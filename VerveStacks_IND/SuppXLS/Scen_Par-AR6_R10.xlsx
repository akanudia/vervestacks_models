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\SuppXLS\"/>
    </mc:Choice>
  </mc:AlternateContent>
  <xr:revisionPtr revIDLastSave="0" documentId="8_{D5828E5E-CD70-4E2B-9E96-CA79ADF047C9}" xr6:coauthVersionLast="47" xr6:coauthVersionMax="47" xr10:uidLastSave="{00000000-0000-0000-0000-000000000000}"/>
  <bookViews>
    <workbookView xWindow="-98" yWindow="-98" windowWidth="28996" windowHeight="17475" firstSheet="18" activeTab="18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s1p1v1_d" sheetId="7" r:id="rId6"/>
    <sheet name="s3p3v3_d" sheetId="8" r:id="rId7"/>
    <sheet name="s5p5v5_d" sheetId="9" r:id="rId8"/>
    <sheet name="s2_w" sheetId="10" r:id="rId9"/>
    <sheet name="s2_w_p2_d" sheetId="11" r:id="rId10"/>
    <sheet name="ts_012" sheetId="12" r:id="rId11"/>
    <sheet name="ts_024" sheetId="13" r:id="rId12"/>
    <sheet name="ts_048" sheetId="14" r:id="rId13"/>
    <sheet name="ts_064" sheetId="15" r:id="rId14"/>
    <sheet name="ts_096P50" sheetId="16" r:id="rId15"/>
    <sheet name="ts_096P10" sheetId="17" r:id="rId16"/>
    <sheet name="ts_096P90" sheetId="18" r:id="rId17"/>
    <sheet name="ts_annual" sheetId="19" r:id="rId18"/>
    <sheet name="ts_12t" sheetId="20" r:id="rId19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20" l="1"/>
  <c r="AG9" i="20"/>
  <c r="AC9" i="20"/>
  <c r="A10" i="6"/>
  <c r="X9" i="20"/>
  <c r="S9" i="20"/>
  <c r="N9" i="20"/>
  <c r="I9" i="20"/>
  <c r="A11" i="20"/>
  <c r="C9" i="20" s="1"/>
  <c r="AK9" i="19"/>
  <c r="AG9" i="19"/>
  <c r="AC9" i="19"/>
  <c r="X9" i="19"/>
  <c r="S9" i="19"/>
  <c r="N9" i="19"/>
  <c r="I9" i="19"/>
  <c r="A11" i="19"/>
  <c r="C9" i="19" s="1"/>
  <c r="AK9" i="18"/>
  <c r="AG9" i="18"/>
  <c r="AC9" i="18"/>
  <c r="X9" i="18"/>
  <c r="S9" i="18"/>
  <c r="N9" i="18"/>
  <c r="I9" i="18"/>
  <c r="A11" i="18"/>
  <c r="C9" i="18" s="1"/>
  <c r="AK9" i="17"/>
  <c r="AG9" i="17"/>
  <c r="AC9" i="17"/>
  <c r="X9" i="17"/>
  <c r="S9" i="17"/>
  <c r="N9" i="17"/>
  <c r="I9" i="17"/>
  <c r="A11" i="17"/>
  <c r="C9" i="17" s="1"/>
  <c r="AK9" i="16"/>
  <c r="AG9" i="16"/>
  <c r="AC9" i="16"/>
  <c r="X9" i="16"/>
  <c r="S9" i="16"/>
  <c r="N9" i="16"/>
  <c r="I9" i="16"/>
  <c r="A11" i="16"/>
  <c r="C9" i="16" s="1"/>
  <c r="AK9" i="15"/>
  <c r="AG9" i="15"/>
  <c r="AC9" i="15"/>
  <c r="X9" i="15"/>
  <c r="S9" i="15"/>
  <c r="N9" i="15"/>
  <c r="I9" i="15"/>
  <c r="A11" i="15"/>
  <c r="C9" i="15" s="1"/>
  <c r="AK9" i="14"/>
  <c r="AG9" i="14"/>
  <c r="AC9" i="14"/>
  <c r="X9" i="14"/>
  <c r="S9" i="14"/>
  <c r="N9" i="14"/>
  <c r="I9" i="14"/>
  <c r="A11" i="14"/>
  <c r="C9" i="14" s="1"/>
  <c r="AK9" i="13"/>
  <c r="AG9" i="13"/>
  <c r="AC9" i="13"/>
  <c r="X9" i="13"/>
  <c r="S9" i="13"/>
  <c r="N9" i="13"/>
  <c r="I9" i="13"/>
  <c r="A11" i="13"/>
  <c r="C9" i="13" s="1"/>
  <c r="AK9" i="12"/>
  <c r="AG9" i="12"/>
  <c r="AC9" i="12"/>
  <c r="X9" i="12"/>
  <c r="S9" i="12"/>
  <c r="N9" i="12"/>
  <c r="I9" i="12"/>
  <c r="A11" i="12"/>
  <c r="C9" i="12" s="1"/>
  <c r="AK9" i="11"/>
  <c r="AG9" i="11"/>
  <c r="AC9" i="11"/>
  <c r="X9" i="11"/>
  <c r="S9" i="11"/>
  <c r="N9" i="11"/>
  <c r="I9" i="11"/>
  <c r="A11" i="11"/>
  <c r="C9" i="11" s="1"/>
  <c r="AK9" i="10"/>
  <c r="AG9" i="10"/>
  <c r="AC9" i="10"/>
  <c r="X9" i="10"/>
  <c r="S9" i="10"/>
  <c r="N9" i="10"/>
  <c r="I9" i="10"/>
  <c r="A11" i="10"/>
  <c r="C9" i="10" s="1"/>
  <c r="AK9" i="9"/>
  <c r="AG9" i="9"/>
  <c r="AC9" i="9"/>
  <c r="X9" i="9"/>
  <c r="S9" i="9"/>
  <c r="N9" i="9"/>
  <c r="I9" i="9"/>
  <c r="A11" i="9"/>
  <c r="C9" i="9" s="1"/>
  <c r="AK9" i="8"/>
  <c r="AG9" i="8"/>
  <c r="AC9" i="8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 s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D77" i="1"/>
  <c r="D73" i="1"/>
  <c r="D72" i="1"/>
  <c r="E69" i="1"/>
  <c r="E74" i="1" s="1"/>
  <c r="D67" i="1"/>
  <c r="E64" i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38" i="1"/>
  <c r="D42" i="1"/>
  <c r="D43" i="1"/>
  <c r="D47" i="1"/>
  <c r="D52" i="1"/>
  <c r="D57" i="1"/>
  <c r="D58" i="1"/>
  <c r="D62" i="1"/>
  <c r="D63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D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/>
  <c r="D23" i="1" s="1"/>
  <c r="AJ28" i="1"/>
  <c r="D28" i="1" s="1"/>
  <c r="AJ33" i="1"/>
  <c r="AJ38" i="1" s="1"/>
  <c r="AJ43" i="1" s="1"/>
  <c r="AJ48" i="1" s="1"/>
  <c r="AJ53" i="1" s="1"/>
  <c r="AJ58" i="1" s="1"/>
  <c r="AJ63" i="1" s="1"/>
  <c r="AJ68" i="1" s="1"/>
  <c r="AJ73" i="1" s="1"/>
  <c r="AJ78" i="1" s="1"/>
  <c r="D78" i="1" s="1"/>
  <c r="AJ14" i="1"/>
  <c r="AJ19" i="1" s="1"/>
  <c r="E15" i="1"/>
  <c r="E20" i="1" s="1"/>
  <c r="E25" i="1" s="1"/>
  <c r="E30" i="1" s="1"/>
  <c r="E35" i="1" s="1"/>
  <c r="E40" i="1" s="1"/>
  <c r="E45" i="1" s="1"/>
  <c r="E50" i="1" s="1"/>
  <c r="E55" i="1" s="1"/>
  <c r="E60" i="1" s="1"/>
  <c r="E65" i="1" s="1"/>
  <c r="E16" i="1"/>
  <c r="E17" i="1"/>
  <c r="B17" i="1" s="1"/>
  <c r="E18" i="1"/>
  <c r="B18" i="1" s="1"/>
  <c r="E21" i="1"/>
  <c r="E22" i="1"/>
  <c r="E27" i="1" s="1"/>
  <c r="E32" i="1" s="1"/>
  <c r="E37" i="1" s="1"/>
  <c r="E42" i="1" s="1"/>
  <c r="E47" i="1" s="1"/>
  <c r="E52" i="1" s="1"/>
  <c r="E57" i="1" s="1"/>
  <c r="E62" i="1" s="1"/>
  <c r="B62" i="1" s="1"/>
  <c r="E23" i="1"/>
  <c r="E28" i="1" s="1"/>
  <c r="E26" i="1"/>
  <c r="E31" i="1" s="1"/>
  <c r="E36" i="1" s="1"/>
  <c r="E41" i="1" s="1"/>
  <c r="E46" i="1" s="1"/>
  <c r="E51" i="1" s="1"/>
  <c r="E56" i="1" s="1"/>
  <c r="E61" i="1" s="1"/>
  <c r="E66" i="1" s="1"/>
  <c r="E14" i="1"/>
  <c r="E19" i="1" s="1"/>
  <c r="E24" i="1" s="1"/>
  <c r="E29" i="1" s="1"/>
  <c r="E34" i="1" s="1"/>
  <c r="E39" i="1" s="1"/>
  <c r="E44" i="1" s="1"/>
  <c r="E49" i="1" s="1"/>
  <c r="E54" i="1" s="1"/>
  <c r="E59" i="1" s="1"/>
  <c r="E70" i="1" l="1"/>
  <c r="E33" i="1"/>
  <c r="B28" i="1"/>
  <c r="B16" i="1"/>
  <c r="AJ24" i="1"/>
  <c r="D19" i="1"/>
  <c r="B19" i="1" s="1"/>
  <c r="D21" i="1"/>
  <c r="B21" i="1" s="1"/>
  <c r="B52" i="1"/>
  <c r="D36" i="1"/>
  <c r="B36" i="1" s="1"/>
  <c r="B23" i="1"/>
  <c r="D41" i="1"/>
  <c r="B41" i="1" s="1"/>
  <c r="B47" i="1"/>
  <c r="D26" i="1"/>
  <c r="B26" i="1" s="1"/>
  <c r="B57" i="1"/>
  <c r="D71" i="1"/>
  <c r="D16" i="1"/>
  <c r="D31" i="1"/>
  <c r="B31" i="1" s="1"/>
  <c r="B15" i="1"/>
  <c r="B27" i="1"/>
  <c r="D61" i="1"/>
  <c r="B61" i="1" s="1"/>
  <c r="D33" i="1"/>
  <c r="D53" i="1"/>
  <c r="D51" i="1"/>
  <c r="B51" i="1" s="1"/>
  <c r="AJ20" i="1"/>
  <c r="D48" i="1"/>
  <c r="B56" i="1"/>
  <c r="D46" i="1"/>
  <c r="B46" i="1" s="1"/>
  <c r="E67" i="1"/>
  <c r="D14" i="1"/>
  <c r="B14" i="1" s="1"/>
  <c r="B22" i="1"/>
  <c r="D56" i="1"/>
  <c r="B42" i="1"/>
  <c r="B37" i="1"/>
  <c r="D66" i="1"/>
  <c r="B66" i="1" s="1"/>
  <c r="D68" i="1"/>
  <c r="B32" i="1"/>
  <c r="E71" i="1"/>
  <c r="B71" i="1" s="1"/>
  <c r="D2" i="1"/>
  <c r="H48" i="1"/>
  <c r="H47" i="1"/>
  <c r="H46" i="1"/>
  <c r="H45" i="1"/>
  <c r="H24" i="6"/>
  <c r="H23" i="6"/>
  <c r="D5" i="1"/>
  <c r="H21" i="6" l="1"/>
  <c r="AJ25" i="1"/>
  <c r="D20" i="1"/>
  <c r="B20" i="1" s="1"/>
  <c r="AJ29" i="1"/>
  <c r="D24" i="1"/>
  <c r="B24" i="1" s="1"/>
  <c r="E72" i="1"/>
  <c r="B67" i="1"/>
  <c r="E38" i="1"/>
  <c r="B33" i="1"/>
  <c r="E75" i="1"/>
  <c r="E76" i="1"/>
  <c r="B76" i="1" s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E43" i="1" l="1"/>
  <c r="B38" i="1"/>
  <c r="B72" i="1"/>
  <c r="E77" i="1"/>
  <c r="B77" i="1" s="1"/>
  <c r="D29" i="1"/>
  <c r="B29" i="1" s="1"/>
  <c r="AJ34" i="1"/>
  <c r="D25" i="1"/>
  <c r="B25" i="1" s="1"/>
  <c r="AJ30" i="1"/>
  <c r="K40" i="1"/>
  <c r="K48" i="1" s="1"/>
  <c r="J37" i="1"/>
  <c r="J45" i="1" s="1"/>
  <c r="J40" i="1"/>
  <c r="J48" i="1" s="1"/>
  <c r="I47" i="1"/>
  <c r="L40" i="1"/>
  <c r="L48" i="1" s="1"/>
  <c r="M40" i="1"/>
  <c r="M48" i="1" s="1"/>
  <c r="N40" i="1"/>
  <c r="N48" i="1" s="1"/>
  <c r="M44" i="1"/>
  <c r="N44" i="1"/>
  <c r="O48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39" i="1" l="1"/>
  <c r="D34" i="1"/>
  <c r="B34" i="1" s="1"/>
  <c r="D30" i="1"/>
  <c r="B30" i="1" s="1"/>
  <c r="AJ35" i="1"/>
  <c r="E48" i="1"/>
  <c r="B43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E53" i="1" l="1"/>
  <c r="B48" i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49" i="1" l="1"/>
  <c r="D44" i="1"/>
  <c r="B44" i="1" s="1"/>
  <c r="AJ45" i="1"/>
  <c r="D40" i="1"/>
  <c r="B40" i="1" s="1"/>
  <c r="E58" i="1"/>
  <c r="B53" i="1"/>
  <c r="U22" i="1"/>
  <c r="Y22" i="1"/>
  <c r="E63" i="1" l="1"/>
  <c r="B58" i="1"/>
  <c r="AJ50" i="1"/>
  <c r="D45" i="1"/>
  <c r="B45" i="1" s="1"/>
  <c r="AJ54" i="1"/>
  <c r="D49" i="1"/>
  <c r="B49" i="1" s="1"/>
  <c r="B63" i="1" l="1"/>
  <c r="E68" i="1"/>
  <c r="AJ59" i="1"/>
  <c r="D54" i="1"/>
  <c r="B54" i="1" s="1"/>
  <c r="AJ55" i="1"/>
  <c r="D50" i="1"/>
  <c r="B50" i="1" s="1"/>
  <c r="AJ60" i="1" l="1"/>
  <c r="D55" i="1"/>
  <c r="B55" i="1" s="1"/>
  <c r="E73" i="1"/>
  <c r="B68" i="1"/>
  <c r="AJ64" i="1"/>
  <c r="D59" i="1"/>
  <c r="B59" i="1" s="1"/>
  <c r="AJ69" i="1" l="1"/>
  <c r="D64" i="1"/>
  <c r="B64" i="1" s="1"/>
  <c r="B73" i="1"/>
  <c r="E78" i="1"/>
  <c r="B78" i="1" s="1"/>
  <c r="AJ65" i="1"/>
  <c r="D60" i="1"/>
  <c r="B60" i="1" s="1"/>
  <c r="AJ70" i="1" l="1"/>
  <c r="D65" i="1"/>
  <c r="B65" i="1" s="1"/>
  <c r="AJ74" i="1"/>
  <c r="D74" i="1" s="1"/>
  <c r="B74" i="1" s="1"/>
  <c r="D69" i="1"/>
  <c r="B69" i="1" s="1"/>
  <c r="AJ75" i="1" l="1"/>
  <c r="D75" i="1" s="1"/>
  <c r="B75" i="1" s="1"/>
  <c r="D70" i="1"/>
  <c r="B70" i="1" s="1"/>
</calcChain>
</file>

<file path=xl/sharedStrings.xml><?xml version="1.0" encoding="utf-8"?>
<sst xmlns="http://schemas.openxmlformats.org/spreadsheetml/2006/main" count="51196" uniqueCount="2051">
  <si>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</si>
  <si>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</si>
  <si>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</si>
  <si>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</si>
  <si>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</si>
  <si>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</si>
  <si>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</si>
  <si>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</si>
  <si>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</si>
  <si>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</si>
  <si>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</si>
  <si>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</si>
  <si>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</si>
  <si>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</si>
  <si>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</si>
  <si>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</si>
  <si>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</si>
  <si>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</si>
  <si>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</si>
  <si>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</si>
  <si>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</si>
  <si>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</si>
  <si>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</si>
  <si>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</si>
  <si>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</si>
  <si>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</si>
  <si>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</si>
  <si>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</si>
  <si>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</si>
  <si>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</si>
  <si>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</si>
  <si>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</si>
  <si>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</si>
  <si>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</si>
  <si>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</si>
  <si>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</si>
  <si>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</si>
  <si>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</si>
  <si>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</si>
  <si>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</si>
  <si>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</si>
  <si>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</si>
  <si>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</si>
  <si>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</si>
  <si>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</si>
  <si>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</si>
  <si>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</si>
  <si>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</si>
  <si>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</si>
  <si>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</si>
  <si>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</si>
  <si>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</si>
  <si>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</si>
  <si>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</si>
  <si>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</si>
  <si>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</si>
  <si>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</si>
  <si>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</si>
  <si>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</si>
  <si>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</si>
  <si>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</si>
  <si>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</si>
  <si>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</si>
  <si>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</si>
  <si>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</si>
  <si>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</si>
  <si>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</si>
  <si>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</si>
  <si>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</si>
  <si>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</si>
  <si>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</si>
  <si>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</si>
  <si>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</si>
  <si>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</si>
  <si>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</si>
  <si>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</si>
  <si>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</si>
  <si>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</si>
  <si>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</si>
  <si>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</si>
  <si>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</si>
  <si>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</si>
  <si>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</si>
  <si>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</si>
  <si>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~TFM_INS-TS: attribute=flo_cost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</si>
  <si>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</si>
  <si>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</si>
  <si>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</si>
  <si>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</si>
  <si>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</si>
  <si>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</si>
  <si>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</si>
  <si>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</si>
  <si>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</si>
  <si>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</si>
  <si>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</si>
  <si>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</si>
  <si>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</si>
  <si>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</si>
  <si>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</si>
  <si>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</si>
  <si>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</si>
  <si>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</si>
  <si>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</si>
  <si>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</si>
  <si>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</si>
  <si>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s5p5v5_d</t>
  </si>
  <si>
    <t>ts_annual</t>
  </si>
  <si>
    <t>pset_co</t>
  </si>
  <si>
    <t>e3d</t>
  </si>
  <si>
    <t>e 1.5 deg no OS</t>
  </si>
  <si>
    <t>d9d</t>
  </si>
  <si>
    <t>d 1.5 deg OS</t>
  </si>
  <si>
    <t>b2w</t>
  </si>
  <si>
    <t>c 2 deg (67%)</t>
  </si>
  <si>
    <t>a2w2d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</si>
  <si>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</si>
  <si>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</si>
  <si>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</si>
  <si>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</si>
  <si>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</si>
  <si>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</si>
  <si>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</si>
  <si>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</si>
  <si>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</si>
  <si>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</si>
  <si>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ts_024</t>
  </si>
  <si>
    <t>ts_048</t>
  </si>
  <si>
    <t>ts_064</t>
  </si>
  <si>
    <t>ts_096P50</t>
  </si>
  <si>
    <t>ts_096P10</t>
  </si>
  <si>
    <t>ts_096P90</t>
  </si>
  <si>
    <t>ts_12t</t>
  </si>
  <si>
    <t>f96p90</t>
  </si>
  <si>
    <t>f96p10</t>
  </si>
  <si>
    <t>f97p50</t>
  </si>
  <si>
    <t>g64</t>
  </si>
  <si>
    <t>h48</t>
  </si>
  <si>
    <t>i24</t>
  </si>
  <si>
    <t>j12</t>
  </si>
  <si>
    <t>k12</t>
  </si>
  <si>
    <t>kAnn</t>
  </si>
  <si>
    <t>IND</t>
  </si>
  <si>
    <t>R10INDIA+</t>
  </si>
  <si>
    <t>Expensive LNG imports, cheap domestic coal</t>
  </si>
  <si>
    <t>1-70</t>
  </si>
  <si>
    <t>season</t>
  </si>
  <si>
    <t>weekly</t>
  </si>
  <si>
    <t>daynite</t>
  </si>
  <si>
    <t>wparent</t>
  </si>
  <si>
    <t>dparent</t>
  </si>
  <si>
    <t>S01</t>
  </si>
  <si>
    <t>a</t>
  </si>
  <si>
    <t>0815h01</t>
  </si>
  <si>
    <t>S01,S02,S03,S04,S05,S06,S07,S08,S09,S10,S11,S12</t>
  </si>
  <si>
    <t>b</t>
  </si>
  <si>
    <t>S02</t>
  </si>
  <si>
    <t>0815h02</t>
  </si>
  <si>
    <t>S08</t>
  </si>
  <si>
    <t>S03</t>
  </si>
  <si>
    <t>c</t>
  </si>
  <si>
    <t>0815h03</t>
  </si>
  <si>
    <t>S09</t>
  </si>
  <si>
    <t>S04</t>
  </si>
  <si>
    <t>d</t>
  </si>
  <si>
    <t>0815h04</t>
  </si>
  <si>
    <t>S11</t>
  </si>
  <si>
    <t>S05</t>
  </si>
  <si>
    <t>0815h05</t>
  </si>
  <si>
    <t>S06</t>
  </si>
  <si>
    <t>0815h06</t>
  </si>
  <si>
    <t>S07</t>
  </si>
  <si>
    <t>0815h07</t>
  </si>
  <si>
    <t>0815h08</t>
  </si>
  <si>
    <t>0815h09</t>
  </si>
  <si>
    <t>S10</t>
  </si>
  <si>
    <t>0815h10</t>
  </si>
  <si>
    <t>0815h11</t>
  </si>
  <si>
    <t>S12</t>
  </si>
  <si>
    <t>0815h12</t>
  </si>
  <si>
    <t>0815h13</t>
  </si>
  <si>
    <t>0815h14</t>
  </si>
  <si>
    <t>0815h15</t>
  </si>
  <si>
    <t>0815h16</t>
  </si>
  <si>
    <t>0815h17</t>
  </si>
  <si>
    <t>0815h18</t>
  </si>
  <si>
    <t>0815h19</t>
  </si>
  <si>
    <t>0815h20</t>
  </si>
  <si>
    <t>0815h21</t>
  </si>
  <si>
    <t>0815h22</t>
  </si>
  <si>
    <t>0815h23</t>
  </si>
  <si>
    <t>0815h24</t>
  </si>
  <si>
    <t>0920h01</t>
  </si>
  <si>
    <t>0920h02</t>
  </si>
  <si>
    <t>0920h03</t>
  </si>
  <si>
    <t>0920h04</t>
  </si>
  <si>
    <t>0920h05</t>
  </si>
  <si>
    <t>0920h06</t>
  </si>
  <si>
    <t>0920h07</t>
  </si>
  <si>
    <t>0920h08</t>
  </si>
  <si>
    <t>0920h09</t>
  </si>
  <si>
    <t>0920h10</t>
  </si>
  <si>
    <t>0920h11</t>
  </si>
  <si>
    <t>0920h12</t>
  </si>
  <si>
    <t>0920h13</t>
  </si>
  <si>
    <t>0920h14</t>
  </si>
  <si>
    <t>0920h15</t>
  </si>
  <si>
    <t>0920h16</t>
  </si>
  <si>
    <t>0920h17</t>
  </si>
  <si>
    <t>0920h18</t>
  </si>
  <si>
    <t>0920h19</t>
  </si>
  <si>
    <t>0920h20</t>
  </si>
  <si>
    <t>0920h21</t>
  </si>
  <si>
    <t>0920h22</t>
  </si>
  <si>
    <t>0920h23</t>
  </si>
  <si>
    <t>0920h24</t>
  </si>
  <si>
    <t>1124h01</t>
  </si>
  <si>
    <t>1124h02</t>
  </si>
  <si>
    <t>1124h03</t>
  </si>
  <si>
    <t>1124h04</t>
  </si>
  <si>
    <t>1124h05</t>
  </si>
  <si>
    <t>1124h06</t>
  </si>
  <si>
    <t>1124h07</t>
  </si>
  <si>
    <t>1124h08</t>
  </si>
  <si>
    <t>1124h09</t>
  </si>
  <si>
    <t>1124h10</t>
  </si>
  <si>
    <t>1124h11</t>
  </si>
  <si>
    <t>1124h12</t>
  </si>
  <si>
    <t>1124h13</t>
  </si>
  <si>
    <t>1124h14</t>
  </si>
  <si>
    <t>1124h15</t>
  </si>
  <si>
    <t>1124h16</t>
  </si>
  <si>
    <t>1124h17</t>
  </si>
  <si>
    <t>1124h18</t>
  </si>
  <si>
    <t>1124h19</t>
  </si>
  <si>
    <t>1124h20</t>
  </si>
  <si>
    <t>1124h21</t>
  </si>
  <si>
    <t>1124h22</t>
  </si>
  <si>
    <t>1124h23</t>
  </si>
  <si>
    <t>1124h24</t>
  </si>
  <si>
    <t>H01</t>
  </si>
  <si>
    <t>H02</t>
  </si>
  <si>
    <t>H03</t>
  </si>
  <si>
    <t>H04</t>
  </si>
  <si>
    <t>H05</t>
  </si>
  <si>
    <t>H06</t>
  </si>
  <si>
    <t>H07</t>
  </si>
  <si>
    <t>H08</t>
  </si>
  <si>
    <t>com_fr</t>
  </si>
  <si>
    <t>elc_spv-IND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</si>
  <si>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</si>
  <si>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</si>
  <si>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</si>
  <si>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</si>
  <si>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</si>
  <si>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</si>
  <si>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</si>
  <si>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</si>
  <si>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</si>
  <si>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</si>
  <si>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</si>
  <si>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</si>
  <si>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</si>
  <si>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</si>
  <si>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</si>
  <si>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</si>
  <si>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</si>
  <si>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</si>
  <si>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</si>
  <si>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</si>
  <si>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</si>
  <si>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</si>
  <si>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</si>
  <si>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</si>
  <si>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</si>
  <si>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</si>
  <si>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</si>
  <si>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</si>
  <si>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</si>
  <si>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</si>
  <si>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</si>
  <si>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</si>
  <si>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</si>
  <si>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</si>
  <si>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</si>
  <si>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</si>
  <si>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</si>
  <si>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</si>
  <si>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</si>
  <si>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</si>
  <si>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</si>
  <si>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</si>
  <si>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</si>
  <si>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</si>
  <si>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</si>
  <si>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</si>
  <si>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</si>
  <si>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</si>
  <si>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</si>
  <si>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S07aH01</t>
  </si>
  <si>
    <t>S07aH02</t>
  </si>
  <si>
    <t>S07aH03</t>
  </si>
  <si>
    <t>S07aH04</t>
  </si>
  <si>
    <t>S07aH05</t>
  </si>
  <si>
    <t>S07aH06</t>
  </si>
  <si>
    <t>S07aH07</t>
  </si>
  <si>
    <t>S07aH08</t>
  </si>
  <si>
    <t>S08aH01</t>
  </si>
  <si>
    <t>S08aH02</t>
  </si>
  <si>
    <t>S08aH03</t>
  </si>
  <si>
    <t>S08aH04</t>
  </si>
  <si>
    <t>S08aH05</t>
  </si>
  <si>
    <t>S08aH06</t>
  </si>
  <si>
    <t>S08aH07</t>
  </si>
  <si>
    <t>S08aH08</t>
  </si>
  <si>
    <t>S08b0815h01</t>
  </si>
  <si>
    <t>S08b0815h02</t>
  </si>
  <si>
    <t>S08b0815h03</t>
  </si>
  <si>
    <t>S08b0815h04</t>
  </si>
  <si>
    <t>S08b0815h05</t>
  </si>
  <si>
    <t>S08b0815h06</t>
  </si>
  <si>
    <t>S08b0815h07</t>
  </si>
  <si>
    <t>S08b0815h08</t>
  </si>
  <si>
    <t>S08b0815h09</t>
  </si>
  <si>
    <t>S08b0815h10</t>
  </si>
  <si>
    <t>S08b0815h11</t>
  </si>
  <si>
    <t>S08b0815h12</t>
  </si>
  <si>
    <t>S08b0815h13</t>
  </si>
  <si>
    <t>S08b0815h14</t>
  </si>
  <si>
    <t>S08b0815h15</t>
  </si>
  <si>
    <t>S08b0815h16</t>
  </si>
  <si>
    <t>S08b0815h17</t>
  </si>
  <si>
    <t>S08b0815h18</t>
  </si>
  <si>
    <t>S08b0815h19</t>
  </si>
  <si>
    <t>S08b0815h20</t>
  </si>
  <si>
    <t>S08b0815h21</t>
  </si>
  <si>
    <t>S08b0815h22</t>
  </si>
  <si>
    <t>S08b0815h23</t>
  </si>
  <si>
    <t>S08b0815h24</t>
  </si>
  <si>
    <t>S09aH01</t>
  </si>
  <si>
    <t>S09aH02</t>
  </si>
  <si>
    <t>S09aH03</t>
  </si>
  <si>
    <t>S09aH04</t>
  </si>
  <si>
    <t>S09aH05</t>
  </si>
  <si>
    <t>S09aH06</t>
  </si>
  <si>
    <t>S09aH07</t>
  </si>
  <si>
    <t>S09aH08</t>
  </si>
  <si>
    <t>S09c0920h01</t>
  </si>
  <si>
    <t>S09c0920h02</t>
  </si>
  <si>
    <t>S09c0920h03</t>
  </si>
  <si>
    <t>S09c0920h04</t>
  </si>
  <si>
    <t>S09c0920h05</t>
  </si>
  <si>
    <t>S09c0920h06</t>
  </si>
  <si>
    <t>S09c0920h07</t>
  </si>
  <si>
    <t>S09c0920h08</t>
  </si>
  <si>
    <t>S09c0920h09</t>
  </si>
  <si>
    <t>S09c0920h10</t>
  </si>
  <si>
    <t>S09c0920h11</t>
  </si>
  <si>
    <t>S09c0920h12</t>
  </si>
  <si>
    <t>S09c0920h13</t>
  </si>
  <si>
    <t>S09c0920h14</t>
  </si>
  <si>
    <t>S09c0920h15</t>
  </si>
  <si>
    <t>S09c0920h16</t>
  </si>
  <si>
    <t>S09c0920h17</t>
  </si>
  <si>
    <t>S09c0920h18</t>
  </si>
  <si>
    <t>S09c0920h19</t>
  </si>
  <si>
    <t>S09c0920h20</t>
  </si>
  <si>
    <t>S09c0920h21</t>
  </si>
  <si>
    <t>S09c0920h22</t>
  </si>
  <si>
    <t>S09c0920h23</t>
  </si>
  <si>
    <t>S09c0920h24</t>
  </si>
  <si>
    <t>S10aH01</t>
  </si>
  <si>
    <t>S10aH02</t>
  </si>
  <si>
    <t>S10aH03</t>
  </si>
  <si>
    <t>S10aH04</t>
  </si>
  <si>
    <t>S10aH05</t>
  </si>
  <si>
    <t>S10aH06</t>
  </si>
  <si>
    <t>S10aH07</t>
  </si>
  <si>
    <t>S10aH08</t>
  </si>
  <si>
    <t>S11aH01</t>
  </si>
  <si>
    <t>S11aH02</t>
  </si>
  <si>
    <t>S11aH03</t>
  </si>
  <si>
    <t>S11aH04</t>
  </si>
  <si>
    <t>S11aH05</t>
  </si>
  <si>
    <t>S11aH06</t>
  </si>
  <si>
    <t>S11aH07</t>
  </si>
  <si>
    <t>S11aH08</t>
  </si>
  <si>
    <t>S11d1124h01</t>
  </si>
  <si>
    <t>S11d1124h02</t>
  </si>
  <si>
    <t>S11d1124h03</t>
  </si>
  <si>
    <t>S11d1124h04</t>
  </si>
  <si>
    <t>S11d1124h05</t>
  </si>
  <si>
    <t>S11d1124h06</t>
  </si>
  <si>
    <t>S11d1124h07</t>
  </si>
  <si>
    <t>S11d1124h08</t>
  </si>
  <si>
    <t>S11d1124h09</t>
  </si>
  <si>
    <t>S11d1124h10</t>
  </si>
  <si>
    <t>S11d1124h11</t>
  </si>
  <si>
    <t>S11d1124h12</t>
  </si>
  <si>
    <t>S11d1124h13</t>
  </si>
  <si>
    <t>S11d1124h14</t>
  </si>
  <si>
    <t>S11d1124h15</t>
  </si>
  <si>
    <t>S11d1124h16</t>
  </si>
  <si>
    <t>S11d1124h17</t>
  </si>
  <si>
    <t>S11d1124h18</t>
  </si>
  <si>
    <t>S11d1124h19</t>
  </si>
  <si>
    <t>S11d1124h20</t>
  </si>
  <si>
    <t>S11d1124h21</t>
  </si>
  <si>
    <t>S11d1124h22</t>
  </si>
  <si>
    <t>S11d1124h23</t>
  </si>
  <si>
    <t>S11d1124h24</t>
  </si>
  <si>
    <t>S12aH01</t>
  </si>
  <si>
    <t>S12aH02</t>
  </si>
  <si>
    <t>S12aH03</t>
  </si>
  <si>
    <t>S12aH04</t>
  </si>
  <si>
    <t>S12aH05</t>
  </si>
  <si>
    <t>S12aH06</t>
  </si>
  <si>
    <t>S12aH07</t>
  </si>
  <si>
    <t>S12aH08</t>
  </si>
  <si>
    <t>elc_won-IND</t>
  </si>
  <si>
    <t>elc_wof-IND</t>
  </si>
  <si>
    <t>g_yrfr</t>
  </si>
  <si>
    <t>day_night</t>
  </si>
  <si>
    <t>D</t>
  </si>
  <si>
    <t>S01aH05,S03aH06,S06aH05,S09c0920h15,S09c0920h18,S10aH02,S10aH06,S11aH06,S12aH04,S12aH05,S02aH04,S02aH05,S08b0815h17,S10aH03,S10aH05,S03aH02,S07aH05,S04aH02,S09aH02,S09aH03,S11aH03,S11aH04,S04aH03,S07aH04,S08aH03,S08b0815h10,S09aH04,S09c0920h17,S11d1124h11,S12aH02,S08aH02,S08b0815h09,S08b0815h13,S08b0815h15,S09aH06,S09c0920h13,S03aH03,S08b0815h18,S09aH05,S09c0920h07,S09c0920h11,S11d1124h09,S11d1124h14,S04aH06,S05aH04,S06aH02,S06aH03,S08b0815h07,S08b0815h08,S08b0815h11,S09c0920h09,S10aH04,S12aH06,S01aH06,S02aH03,S07aH03,S08aH06,S11d1124h08,S01aH02,S04aH04,S11d1124h07,S02aH06,S03aH05,S05aH05,S06aH04,S08aH04,S09c0920h08,S09c0920h12,S11aH02,S04aH05,S11d1124h13,S11d1124h16,S11d1124h18,S01aH04,S07aH02,S07aH06,S08b0815h16,S09c0920h14,S11d1124h15,S02aH02,S06aH06,S08b0815h12,S11d1124h10,S11d1124h12,S03aH04,S08aH05,S08b0815h14,S09c0920h10,S11aH05,S11d1124h17,S12aH03,S01aH03,S05aH02,S05aH03,S05aH06,S09c0920h16</t>
  </si>
  <si>
    <t>N</t>
  </si>
  <si>
    <t>S08b0815h02,S03aH08,S04aH07,S06aH08,S09c0920h02,S12aH01,S08aH07,S08b0815h20,S09c0920h04,S09c0920h19,S09c0920h22,S11d1124h06,S09c0920h20,S11d1124h24,S02aH01,S09c0920h03,S09c0920h05,S04aH08,S06aH01,S08b0815h03,S08b0815h04,S11d1124h05,S12aH08,S08b0815h21,S08b0815h23,S11aH08,S11d1124h02,S05aH07,S07aH01,S08b0815h19,S08b0815h22,S09c0920h01,S09c0920h24,S10aH07,S01aH01,S04aH01,S08b0815h01,S09aH08,S09c0920h06,S11aH01,S11d1124h01,S11d1124h20,S01aH08,S02aH08,S03aH07,S11d1124h21,S11d1124h22,S06aH07,S07aH07,S07aH08,S08aH08,S08b0815h06,S09c0920h21,S09c0920h23,S11d1124h23,S05aH08,S08b0815h05,S10aH08,S11d1124h03,S08aH01,S09aH07,S10aH01,S03aH01,S08b0815h24,S12aH07,S01aH07,S02aH07,S05aH01,S11d1124h19,S09aH01,S11aH07,S11d1124h04</t>
  </si>
  <si>
    <t>com_pkflx</t>
  </si>
  <si>
    <t>ncap_afs</t>
  </si>
  <si>
    <t>pset_ci</t>
  </si>
  <si>
    <t>hydro</t>
  </si>
  <si>
    <t>0812h01</t>
  </si>
  <si>
    <t>0812h02</t>
  </si>
  <si>
    <t>0812h03</t>
  </si>
  <si>
    <t>0812h04</t>
  </si>
  <si>
    <t>e</t>
  </si>
  <si>
    <t>0812h05</t>
  </si>
  <si>
    <t>f</t>
  </si>
  <si>
    <t>0812h06</t>
  </si>
  <si>
    <t>g</t>
  </si>
  <si>
    <t>0812h07</t>
  </si>
  <si>
    <t>h</t>
  </si>
  <si>
    <t>0812h08</t>
  </si>
  <si>
    <t>i</t>
  </si>
  <si>
    <t>0812h09</t>
  </si>
  <si>
    <t>j</t>
  </si>
  <si>
    <t>0812h10</t>
  </si>
  <si>
    <t>0812h11</t>
  </si>
  <si>
    <t>0812h12</t>
  </si>
  <si>
    <t>0812h13</t>
  </si>
  <si>
    <t>0812h14</t>
  </si>
  <si>
    <t>0812h15</t>
  </si>
  <si>
    <t>0812h16</t>
  </si>
  <si>
    <t>0812h17</t>
  </si>
  <si>
    <t>0812h18</t>
  </si>
  <si>
    <t>0812h19</t>
  </si>
  <si>
    <t>0812h20</t>
  </si>
  <si>
    <t>0812h21</t>
  </si>
  <si>
    <t>0812h22</t>
  </si>
  <si>
    <t>0812h23</t>
  </si>
  <si>
    <t>0812h24</t>
  </si>
  <si>
    <t>0814h01</t>
  </si>
  <si>
    <t>0814h02</t>
  </si>
  <si>
    <t>0814h03</t>
  </si>
  <si>
    <t>0814h04</t>
  </si>
  <si>
    <t>0814h05</t>
  </si>
  <si>
    <t>0814h06</t>
  </si>
  <si>
    <t>0814h07</t>
  </si>
  <si>
    <t>0814h08</t>
  </si>
  <si>
    <t>0814h09</t>
  </si>
  <si>
    <t>0814h10</t>
  </si>
  <si>
    <t>0814h11</t>
  </si>
  <si>
    <t>0814h12</t>
  </si>
  <si>
    <t>0814h13</t>
  </si>
  <si>
    <t>0814h14</t>
  </si>
  <si>
    <t>0814h15</t>
  </si>
  <si>
    <t>0814h16</t>
  </si>
  <si>
    <t>0814h17</t>
  </si>
  <si>
    <t>0814h18</t>
  </si>
  <si>
    <t>0814h19</t>
  </si>
  <si>
    <t>0814h20</t>
  </si>
  <si>
    <t>0814h21</t>
  </si>
  <si>
    <t>0814h22</t>
  </si>
  <si>
    <t>0814h23</t>
  </si>
  <si>
    <t>0814h24</t>
  </si>
  <si>
    <t>0919h01</t>
  </si>
  <si>
    <t>0919h02</t>
  </si>
  <si>
    <t>0919h03</t>
  </si>
  <si>
    <t>0919h04</t>
  </si>
  <si>
    <t>0919h05</t>
  </si>
  <si>
    <t>0919h06</t>
  </si>
  <si>
    <t>0919h07</t>
  </si>
  <si>
    <t>0919h08</t>
  </si>
  <si>
    <t>0919h09</t>
  </si>
  <si>
    <t>0919h10</t>
  </si>
  <si>
    <t>0919h11</t>
  </si>
  <si>
    <t>0919h12</t>
  </si>
  <si>
    <t>0919h13</t>
  </si>
  <si>
    <t>0919h14</t>
  </si>
  <si>
    <t>0919h15</t>
  </si>
  <si>
    <t>0919h16</t>
  </si>
  <si>
    <t>0919h17</t>
  </si>
  <si>
    <t>0919h18</t>
  </si>
  <si>
    <t>0919h19</t>
  </si>
  <si>
    <t>0919h20</t>
  </si>
  <si>
    <t>0919h21</t>
  </si>
  <si>
    <t>0919h22</t>
  </si>
  <si>
    <t>0919h23</t>
  </si>
  <si>
    <t>0919h24</t>
  </si>
  <si>
    <t>0921h01</t>
  </si>
  <si>
    <t>0921h02</t>
  </si>
  <si>
    <t>0921h03</t>
  </si>
  <si>
    <t>0921h04</t>
  </si>
  <si>
    <t>0921h05</t>
  </si>
  <si>
    <t>0921h06</t>
  </si>
  <si>
    <t>0921h07</t>
  </si>
  <si>
    <t>0921h08</t>
  </si>
  <si>
    <t>0921h09</t>
  </si>
  <si>
    <t>0921h10</t>
  </si>
  <si>
    <t>0921h11</t>
  </si>
  <si>
    <t>0921h12</t>
  </si>
  <si>
    <t>0921h13</t>
  </si>
  <si>
    <t>0921h14</t>
  </si>
  <si>
    <t>0921h15</t>
  </si>
  <si>
    <t>0921h16</t>
  </si>
  <si>
    <t>0921h17</t>
  </si>
  <si>
    <t>0921h18</t>
  </si>
  <si>
    <t>0921h19</t>
  </si>
  <si>
    <t>0921h20</t>
  </si>
  <si>
    <t>0921h21</t>
  </si>
  <si>
    <t>0921h22</t>
  </si>
  <si>
    <t>0921h23</t>
  </si>
  <si>
    <t>0921h24</t>
  </si>
  <si>
    <t>1125h01</t>
  </si>
  <si>
    <t>1125h02</t>
  </si>
  <si>
    <t>1125h03</t>
  </si>
  <si>
    <t>1125h04</t>
  </si>
  <si>
    <t>1125h05</t>
  </si>
  <si>
    <t>1125h06</t>
  </si>
  <si>
    <t>1125h07</t>
  </si>
  <si>
    <t>1125h08</t>
  </si>
  <si>
    <t>1125h09</t>
  </si>
  <si>
    <t>1125h10</t>
  </si>
  <si>
    <t>1125h11</t>
  </si>
  <si>
    <t>1125h12</t>
  </si>
  <si>
    <t>1125h13</t>
  </si>
  <si>
    <t>1125h14</t>
  </si>
  <si>
    <t>1125h15</t>
  </si>
  <si>
    <t>1125h16</t>
  </si>
  <si>
    <t>1125h17</t>
  </si>
  <si>
    <t>1125h18</t>
  </si>
  <si>
    <t>1125h19</t>
  </si>
  <si>
    <t>1125h20</t>
  </si>
  <si>
    <t>1125h21</t>
  </si>
  <si>
    <t>1125h22</t>
  </si>
  <si>
    <t>1125h23</t>
  </si>
  <si>
    <t>1125h24</t>
  </si>
  <si>
    <t>1126h01</t>
  </si>
  <si>
    <t>1126h02</t>
  </si>
  <si>
    <t>1126h03</t>
  </si>
  <si>
    <t>1126h04</t>
  </si>
  <si>
    <t>1126h05</t>
  </si>
  <si>
    <t>1126h06</t>
  </si>
  <si>
    <t>1126h07</t>
  </si>
  <si>
    <t>1126h08</t>
  </si>
  <si>
    <t>1126h09</t>
  </si>
  <si>
    <t>1126h10</t>
  </si>
  <si>
    <t>1126h11</t>
  </si>
  <si>
    <t>1126h12</t>
  </si>
  <si>
    <t>1126h13</t>
  </si>
  <si>
    <t>1126h14</t>
  </si>
  <si>
    <t>1126h15</t>
  </si>
  <si>
    <t>1126h16</t>
  </si>
  <si>
    <t>1126h17</t>
  </si>
  <si>
    <t>1126h18</t>
  </si>
  <si>
    <t>1126h19</t>
  </si>
  <si>
    <t>1126h20</t>
  </si>
  <si>
    <t>1126h21</t>
  </si>
  <si>
    <t>1126h22</t>
  </si>
  <si>
    <t>1126h23</t>
  </si>
  <si>
    <t>1126h24</t>
  </si>
  <si>
    <t>S08b0812h01</t>
  </si>
  <si>
    <t>S08b0812h02</t>
  </si>
  <si>
    <t>S08b0812h03</t>
  </si>
  <si>
    <t>S08b0812h04</t>
  </si>
  <si>
    <t>S08b0812h05</t>
  </si>
  <si>
    <t>S08b0812h06</t>
  </si>
  <si>
    <t>S08b0812h07</t>
  </si>
  <si>
    <t>S08b0812h08</t>
  </si>
  <si>
    <t>S08b0812h09</t>
  </si>
  <si>
    <t>S08b0812h10</t>
  </si>
  <si>
    <t>S08b0812h11</t>
  </si>
  <si>
    <t>S08b0812h12</t>
  </si>
  <si>
    <t>S08b0812h13</t>
  </si>
  <si>
    <t>S08b0812h14</t>
  </si>
  <si>
    <t>S08b0812h15</t>
  </si>
  <si>
    <t>S08b0812h16</t>
  </si>
  <si>
    <t>S08b0812h17</t>
  </si>
  <si>
    <t>S08b0812h18</t>
  </si>
  <si>
    <t>S08b0812h19</t>
  </si>
  <si>
    <t>S08b0812h20</t>
  </si>
  <si>
    <t>S08b0812h21</t>
  </si>
  <si>
    <t>S08b0812h22</t>
  </si>
  <si>
    <t>S08b0812h23</t>
  </si>
  <si>
    <t>S08b0812h24</t>
  </si>
  <si>
    <t>S08c0814h01</t>
  </si>
  <si>
    <t>S08c0814h02</t>
  </si>
  <si>
    <t>S08c0814h03</t>
  </si>
  <si>
    <t>S08c0814h04</t>
  </si>
  <si>
    <t>S08c0814h05</t>
  </si>
  <si>
    <t>S08c0814h06</t>
  </si>
  <si>
    <t>S08c0814h07</t>
  </si>
  <si>
    <t>S08c0814h08</t>
  </si>
  <si>
    <t>S08c0814h09</t>
  </si>
  <si>
    <t>S08c0814h10</t>
  </si>
  <si>
    <t>S08c0814h11</t>
  </si>
  <si>
    <t>S08c0814h12</t>
  </si>
  <si>
    <t>S08c0814h13</t>
  </si>
  <si>
    <t>S08c0814h14</t>
  </si>
  <si>
    <t>S08c0814h15</t>
  </si>
  <si>
    <t>S08c0814h16</t>
  </si>
  <si>
    <t>S08c0814h17</t>
  </si>
  <si>
    <t>S08c0814h18</t>
  </si>
  <si>
    <t>S08c0814h19</t>
  </si>
  <si>
    <t>S08c0814h20</t>
  </si>
  <si>
    <t>S08c0814h21</t>
  </si>
  <si>
    <t>S08c0814h22</t>
  </si>
  <si>
    <t>S08c0814h23</t>
  </si>
  <si>
    <t>S08c0814h24</t>
  </si>
  <si>
    <t>S08d0815h01</t>
  </si>
  <si>
    <t>S08d0815h02</t>
  </si>
  <si>
    <t>S08d0815h03</t>
  </si>
  <si>
    <t>S08d0815h04</t>
  </si>
  <si>
    <t>S08d0815h05</t>
  </si>
  <si>
    <t>S08d0815h06</t>
  </si>
  <si>
    <t>S08d0815h07</t>
  </si>
  <si>
    <t>S08d0815h08</t>
  </si>
  <si>
    <t>S08d0815h09</t>
  </si>
  <si>
    <t>S08d0815h10</t>
  </si>
  <si>
    <t>S08d0815h11</t>
  </si>
  <si>
    <t>S08d0815h12</t>
  </si>
  <si>
    <t>S08d0815h13</t>
  </si>
  <si>
    <t>S08d0815h14</t>
  </si>
  <si>
    <t>S08d0815h15</t>
  </si>
  <si>
    <t>S08d0815h16</t>
  </si>
  <si>
    <t>S08d0815h17</t>
  </si>
  <si>
    <t>S08d0815h18</t>
  </si>
  <si>
    <t>S08d0815h19</t>
  </si>
  <si>
    <t>S08d0815h20</t>
  </si>
  <si>
    <t>S08d0815h21</t>
  </si>
  <si>
    <t>S08d0815h22</t>
  </si>
  <si>
    <t>S08d0815h23</t>
  </si>
  <si>
    <t>S08d0815h24</t>
  </si>
  <si>
    <t>S09e0919h01</t>
  </si>
  <si>
    <t>S09e0919h02</t>
  </si>
  <si>
    <t>S09e0919h03</t>
  </si>
  <si>
    <t>S09e0919h04</t>
  </si>
  <si>
    <t>S09e0919h05</t>
  </si>
  <si>
    <t>S09e0919h06</t>
  </si>
  <si>
    <t>S09e0919h07</t>
  </si>
  <si>
    <t>S09e0919h08</t>
  </si>
  <si>
    <t>S09e0919h09</t>
  </si>
  <si>
    <t>S09e0919h10</t>
  </si>
  <si>
    <t>S09e0919h11</t>
  </si>
  <si>
    <t>S09e0919h12</t>
  </si>
  <si>
    <t>S09e0919h13</t>
  </si>
  <si>
    <t>S09e0919h14</t>
  </si>
  <si>
    <t>S09e0919h15</t>
  </si>
  <si>
    <t>S09e0919h16</t>
  </si>
  <si>
    <t>S09e0919h17</t>
  </si>
  <si>
    <t>S09e0919h18</t>
  </si>
  <si>
    <t>S09e0919h19</t>
  </si>
  <si>
    <t>S09e0919h20</t>
  </si>
  <si>
    <t>S09e0919h21</t>
  </si>
  <si>
    <t>S09e0919h22</t>
  </si>
  <si>
    <t>S09e0919h23</t>
  </si>
  <si>
    <t>S09e0919h24</t>
  </si>
  <si>
    <t>S09f0920h01</t>
  </si>
  <si>
    <t>S09f0920h02</t>
  </si>
  <si>
    <t>S09f0920h03</t>
  </si>
  <si>
    <t>S09f0920h04</t>
  </si>
  <si>
    <t>S09f0920h05</t>
  </si>
  <si>
    <t>S09f0920h06</t>
  </si>
  <si>
    <t>S09f0920h07</t>
  </si>
  <si>
    <t>S09f0920h08</t>
  </si>
  <si>
    <t>S09f0920h09</t>
  </si>
  <si>
    <t>S09f0920h10</t>
  </si>
  <si>
    <t>S09f0920h11</t>
  </si>
  <si>
    <t>S09f0920h12</t>
  </si>
  <si>
    <t>S09f0920h13</t>
  </si>
  <si>
    <t>S09f0920h14</t>
  </si>
  <si>
    <t>S09f0920h15</t>
  </si>
  <si>
    <t>S09f0920h16</t>
  </si>
  <si>
    <t>S09f0920h17</t>
  </si>
  <si>
    <t>S09f0920h18</t>
  </si>
  <si>
    <t>S09f0920h19</t>
  </si>
  <si>
    <t>S09f0920h20</t>
  </si>
  <si>
    <t>S09f0920h21</t>
  </si>
  <si>
    <t>S09f0920h22</t>
  </si>
  <si>
    <t>S09f0920h23</t>
  </si>
  <si>
    <t>S09f0920h24</t>
  </si>
  <si>
    <t>S09g0921h01</t>
  </si>
  <si>
    <t>S09g0921h02</t>
  </si>
  <si>
    <t>S09g0921h03</t>
  </si>
  <si>
    <t>S09g0921h04</t>
  </si>
  <si>
    <t>S09g0921h05</t>
  </si>
  <si>
    <t>S09g0921h06</t>
  </si>
  <si>
    <t>S09g0921h07</t>
  </si>
  <si>
    <t>S09g0921h08</t>
  </si>
  <si>
    <t>S09g0921h09</t>
  </si>
  <si>
    <t>S09g0921h10</t>
  </si>
  <si>
    <t>S09g0921h11</t>
  </si>
  <si>
    <t>S09g0921h12</t>
  </si>
  <si>
    <t>S09g0921h13</t>
  </si>
  <si>
    <t>S09g0921h14</t>
  </si>
  <si>
    <t>S09g0921h15</t>
  </si>
  <si>
    <t>S09g0921h16</t>
  </si>
  <si>
    <t>S09g0921h17</t>
  </si>
  <si>
    <t>S09g0921h18</t>
  </si>
  <si>
    <t>S09g0921h19</t>
  </si>
  <si>
    <t>S09g0921h20</t>
  </si>
  <si>
    <t>S09g0921h21</t>
  </si>
  <si>
    <t>S09g0921h22</t>
  </si>
  <si>
    <t>S09g0921h23</t>
  </si>
  <si>
    <t>S09g0921h24</t>
  </si>
  <si>
    <t>S11h1124h01</t>
  </si>
  <si>
    <t>S11h1124h02</t>
  </si>
  <si>
    <t>S11h1124h03</t>
  </si>
  <si>
    <t>S11h1124h04</t>
  </si>
  <si>
    <t>S11h1124h05</t>
  </si>
  <si>
    <t>S11h1124h06</t>
  </si>
  <si>
    <t>S11h1124h07</t>
  </si>
  <si>
    <t>S11h1124h08</t>
  </si>
  <si>
    <t>S11h1124h09</t>
  </si>
  <si>
    <t>S11h1124h10</t>
  </si>
  <si>
    <t>S11h1124h11</t>
  </si>
  <si>
    <t>S11h1124h12</t>
  </si>
  <si>
    <t>S11h1124h13</t>
  </si>
  <si>
    <t>S11h1124h14</t>
  </si>
  <si>
    <t>S11h1124h15</t>
  </si>
  <si>
    <t>S11h1124h16</t>
  </si>
  <si>
    <t>S11h1124h17</t>
  </si>
  <si>
    <t>S11h1124h18</t>
  </si>
  <si>
    <t>S11h1124h19</t>
  </si>
  <si>
    <t>S11h1124h20</t>
  </si>
  <si>
    <t>S11h1124h21</t>
  </si>
  <si>
    <t>S11h1124h22</t>
  </si>
  <si>
    <t>S11h1124h23</t>
  </si>
  <si>
    <t>S11h1124h24</t>
  </si>
  <si>
    <t>S11i1125h01</t>
  </si>
  <si>
    <t>S11i1125h02</t>
  </si>
  <si>
    <t>S11i1125h03</t>
  </si>
  <si>
    <t>S11i1125h04</t>
  </si>
  <si>
    <t>S11i1125h05</t>
  </si>
  <si>
    <t>S11i1125h06</t>
  </si>
  <si>
    <t>S11i1125h07</t>
  </si>
  <si>
    <t>S11i1125h08</t>
  </si>
  <si>
    <t>S11i1125h09</t>
  </si>
  <si>
    <t>S11i1125h10</t>
  </si>
  <si>
    <t>S11i1125h11</t>
  </si>
  <si>
    <t>S11i1125h12</t>
  </si>
  <si>
    <t>S11i1125h13</t>
  </si>
  <si>
    <t>S11i1125h14</t>
  </si>
  <si>
    <t>S11i1125h15</t>
  </si>
  <si>
    <t>S11i1125h16</t>
  </si>
  <si>
    <t>S11i1125h17</t>
  </si>
  <si>
    <t>S11i1125h18</t>
  </si>
  <si>
    <t>S11i1125h19</t>
  </si>
  <si>
    <t>S11i1125h20</t>
  </si>
  <si>
    <t>S11i1125h21</t>
  </si>
  <si>
    <t>S11i1125h22</t>
  </si>
  <si>
    <t>S11i1125h23</t>
  </si>
  <si>
    <t>S11i1125h24</t>
  </si>
  <si>
    <t>S11j1126h01</t>
  </si>
  <si>
    <t>S11j1126h02</t>
  </si>
  <si>
    <t>S11j1126h03</t>
  </si>
  <si>
    <t>S11j1126h04</t>
  </si>
  <si>
    <t>S11j1126h05</t>
  </si>
  <si>
    <t>S11j1126h06</t>
  </si>
  <si>
    <t>S11j1126h07</t>
  </si>
  <si>
    <t>S11j1126h08</t>
  </si>
  <si>
    <t>S11j1126h09</t>
  </si>
  <si>
    <t>S11j1126h10</t>
  </si>
  <si>
    <t>S11j1126h11</t>
  </si>
  <si>
    <t>S11j1126h12</t>
  </si>
  <si>
    <t>S11j1126h13</t>
  </si>
  <si>
    <t>S11j1126h14</t>
  </si>
  <si>
    <t>S11j1126h15</t>
  </si>
  <si>
    <t>S11j1126h16</t>
  </si>
  <si>
    <t>S11j1126h17</t>
  </si>
  <si>
    <t>S11j1126h18</t>
  </si>
  <si>
    <t>S11j1126h19</t>
  </si>
  <si>
    <t>S11j1126h20</t>
  </si>
  <si>
    <t>S11j1126h21</t>
  </si>
  <si>
    <t>S11j1126h22</t>
  </si>
  <si>
    <t>S11j1126h23</t>
  </si>
  <si>
    <t>S11j1126h24</t>
  </si>
  <si>
    <t>S01aH04,S07aH02,S07aH06,S08b0812h17,S08c0814h09,S08c0814h14,S09f0920h09,S09f0920h12,S09g0921h07,S09g0921h09,S11h1124h07,S11h1124h09,S11h1124h17,S01aH03,S05aH02,S05aH03,S05aH06,S09e0919h17,S11h1124h12,S11h1124h18,S11i1125h10,S11i1125h14,S11j1126h08,S11j1126h17,S03aH02,S07aH05,S08b0812h09,S08b0812h11,S08b0812h13,S08c0814h15,S08d0815h08,S08d0815h10,S09e0919h11,S09e0919h15,S09g0921h12,S11i1125h09,S11j1126h18,S01aH05,S03aH06,S06aH05,S08c0814h07,S08c0814h10,S09e0919h08,S09g0921h18,S10aH02,S10aH06,S11aH06,S11h1124h15,S11i1125h07,S12aH04,S12aH05,S02aH06,S03aH05,S05aH05,S06aH04,S08aH04,S08c0814h17,S08d0815h07,S08d0815h13,S08d0815h15,S09e0919h07,S11aH02,S11h1124h11,S11h1124h16,S04aH03,S07aH04,S08aH03,S08b0812h07,S08c0814h18,S09aH04,S09f0920h13,S11j1126h14,S12aH02,S01aH06,S02aH03,S07aH03,S08aH06,S08c0814h11,S09e0919h10,S09e0919h16,S09f0920h15,S09g0921h08,S08aH02,S09aH06,S09f0920h08,S09g0921h16,S11h1124h08,S11h1124h14,S11i1125h18,S02aH04,S02aH05,S08c0814h08,S08c0814h13,S08d0815h14,S09g0921h10,S09g0921h14,S09g0921h17,S10aH03,S10aH05,S04aH06,S05aH04,S06aH02,S06aH03,S10aH04,S11i1125h08,S11j1126h13,S12aH06,S04aH05,S08d0815h11,S09e0919h09,S09e0919h13,S09f0920h07,S09f0920h14,S09f0920h18,S11i1125h13,S11j1126h12,S02aH02,S06aH06,S08b0812h12,S08b0812h15,S08d0815h17,S09e0919h12,S09e0919h18,S09f0920h10,S11i1125h17,S11j1126h15,S03aH04,S08aH05,S09g0921h11,S11aH05,S11i1125h11,S11j1126h07,S12aH03,S03aH03,S08b0812h14,S08c0814h16,S08d0815h12,S09aH05,S09e0919h14,S09f0920h17,S09g0921h13,S09g0921h15,S11i1125h12,S04aH02,S08b0812h10,S08b0812h16,S08c0814h12,S08d0815h09,S09aH02,S09aH03,S09f0920h11,S11aH03,S11aH04,S11i1125h16,S11j1126h10,S11j1126h16,S01aH02,S04aH04,S08b0812h08,S08b0812h18,S08d0815h16,S08d0815h18,S09f0920h16,S11h1124h10,S11h1124h13,S11i1125h15,S11j1126h09,S11j1126h11</t>
  </si>
  <si>
    <t>S08aH01,S08b0812h21,S08c0814h03,S09aH07,S09e0919h22,S09f0920h05,S10aH01,S11i1125h05,S11i1125h24,S08d0815h02,S08d0815h22,S08d0815h23,S09aH01,S09e0919h19,S09f0920h02,S09g0921h02,S11aH07,S11i1125h02,S08aH07,S08c0814h20,S08d0815h04,S09f0920h21,S09f0920h24,S11h1124h22,S11j1126h23,S08b0812h24,S08c0814h04,S08c0814h05,S08c0814h23,S08d0815h24,S09e0919h05,S09g0921h06,S11h1124h19,S11i1125h01,S11j1126h22,S06aH07,S07aH07,S07aH08,S08aH08,S08b0812h23,S08d0815h21,S09e0919h06,S09e0919h20,S09f0920h01,S09g0921h22,S11h1124h05,S11i1125h19,S11i1125h21,S02aH01,S08b0812h22,S08c0814h06,S08d0815h06,S08d0815h19,S09f0920h19,S11i1125h03,S11i1125h22,S01aH01,S04aH01,S08b0812h04,S08c0814h21,S08d0815h03,S09aH08,S09e0919h04,S09f0920h03,S09f0920h04,S09g0921h20,S11aH01,S11h1124h20,S11j1126h19,S04aH08,S06aH01,S08d0815h05,S09e0919h02,S09g0921h24,S11h1124h23,S11h1124h24,S11j1126h06,S12aH08,S03aH08,S04aH07,S06aH08,S08b0812h02,S09f0920h23,S09g0921h01,S09g0921h03,S09g0921h19,S11h1124h03,S11i1125h06,S11j1126h02,S12aH01,S05aH07,S07aH01,S08b0812h05,S08c0814h24,S09e0919h01,S09f0920h22,S09g0921h04,S10aH07,S05aH08,S08b0812h19,S08b0812h20,S08c0814h22,S08d0815h20,S09e0919h23,S09f0920h06,S09g0921h05,S10aH08,S11h1124h06,S11j1126h21,S03aH01,S08b0812h01,S09e0919h03,S11h1124h04,S12aH07,S01aH07,S02aH07,S05aH01,S08b0812h06,S08d0815h01,S09e0919h24,S09g0921h21,S11h1124h01,S11h1124h02,S11i1125h23,S11j1126h05,S08c0814h02,S11aH08,S11j1126h20,S11j1126h24,S08b0812h03,S09e0919h21,S11j1126h01,S11j1126h03,S01aH08,S02aH08,S03aH07,S08c0814h01,S08c0814h19,S09f0920h20,S09g0921h23,S11h1124h21,S11i1125h04,S11i1125h20,S11j1126h04</t>
  </si>
  <si>
    <t>0102h01</t>
  </si>
  <si>
    <t>0102h02</t>
  </si>
  <si>
    <t>0102h03</t>
  </si>
  <si>
    <t>0102h04</t>
  </si>
  <si>
    <t>0102h05</t>
  </si>
  <si>
    <t>0102h06</t>
  </si>
  <si>
    <t>0102h07</t>
  </si>
  <si>
    <t>0102h08</t>
  </si>
  <si>
    <t>0102h09</t>
  </si>
  <si>
    <t>0102h10</t>
  </si>
  <si>
    <t>k</t>
  </si>
  <si>
    <t>0102h11</t>
  </si>
  <si>
    <t>l</t>
  </si>
  <si>
    <t>0102h12</t>
  </si>
  <si>
    <t>m</t>
  </si>
  <si>
    <t>0102h13</t>
  </si>
  <si>
    <t>n</t>
  </si>
  <si>
    <t>0102h14</t>
  </si>
  <si>
    <t>o</t>
  </si>
  <si>
    <t>0102h15</t>
  </si>
  <si>
    <t>p</t>
  </si>
  <si>
    <t>0102h16</t>
  </si>
  <si>
    <t>0102h17</t>
  </si>
  <si>
    <t>0102h18</t>
  </si>
  <si>
    <t>0102h19</t>
  </si>
  <si>
    <t>0102h20</t>
  </si>
  <si>
    <t>0102h21</t>
  </si>
  <si>
    <t>0102h22</t>
  </si>
  <si>
    <t>0102h23</t>
  </si>
  <si>
    <t>0102h24</t>
  </si>
  <si>
    <t>0103h01</t>
  </si>
  <si>
    <t>0103h02</t>
  </si>
  <si>
    <t>0103h03</t>
  </si>
  <si>
    <t>0103h04</t>
  </si>
  <si>
    <t>0103h05</t>
  </si>
  <si>
    <t>0103h06</t>
  </si>
  <si>
    <t>0103h07</t>
  </si>
  <si>
    <t>0103h08</t>
  </si>
  <si>
    <t>0103h09</t>
  </si>
  <si>
    <t>0103h10</t>
  </si>
  <si>
    <t>0103h11</t>
  </si>
  <si>
    <t>0103h12</t>
  </si>
  <si>
    <t>0103h13</t>
  </si>
  <si>
    <t>0103h14</t>
  </si>
  <si>
    <t>0103h15</t>
  </si>
  <si>
    <t>0103h16</t>
  </si>
  <si>
    <t>0103h17</t>
  </si>
  <si>
    <t>0103h18</t>
  </si>
  <si>
    <t>0103h19</t>
  </si>
  <si>
    <t>0103h20</t>
  </si>
  <si>
    <t>0103h21</t>
  </si>
  <si>
    <t>0103h22</t>
  </si>
  <si>
    <t>0103h23</t>
  </si>
  <si>
    <t>0103h24</t>
  </si>
  <si>
    <t>0525h01</t>
  </si>
  <si>
    <t>0525h02</t>
  </si>
  <si>
    <t>0525h03</t>
  </si>
  <si>
    <t>0525h04</t>
  </si>
  <si>
    <t>0525h05</t>
  </si>
  <si>
    <t>0525h06</t>
  </si>
  <si>
    <t>0525h07</t>
  </si>
  <si>
    <t>0525h08</t>
  </si>
  <si>
    <t>0525h09</t>
  </si>
  <si>
    <t>0525h10</t>
  </si>
  <si>
    <t>0525h11</t>
  </si>
  <si>
    <t>0525h12</t>
  </si>
  <si>
    <t>0525h13</t>
  </si>
  <si>
    <t>0525h14</t>
  </si>
  <si>
    <t>0525h15</t>
  </si>
  <si>
    <t>0525h16</t>
  </si>
  <si>
    <t>0525h17</t>
  </si>
  <si>
    <t>0525h18</t>
  </si>
  <si>
    <t>0525h19</t>
  </si>
  <si>
    <t>0525h20</t>
  </si>
  <si>
    <t>0525h21</t>
  </si>
  <si>
    <t>0525h22</t>
  </si>
  <si>
    <t>0525h23</t>
  </si>
  <si>
    <t>0525h24</t>
  </si>
  <si>
    <t>0813h01</t>
  </si>
  <si>
    <t>0813h02</t>
  </si>
  <si>
    <t>0813h03</t>
  </si>
  <si>
    <t>0813h04</t>
  </si>
  <si>
    <t>0813h05</t>
  </si>
  <si>
    <t>0813h06</t>
  </si>
  <si>
    <t>0813h07</t>
  </si>
  <si>
    <t>0813h08</t>
  </si>
  <si>
    <t>0813h09</t>
  </si>
  <si>
    <t>0813h10</t>
  </si>
  <si>
    <t>0813h11</t>
  </si>
  <si>
    <t>0813h12</t>
  </si>
  <si>
    <t>0813h13</t>
  </si>
  <si>
    <t>0813h14</t>
  </si>
  <si>
    <t>0813h15</t>
  </si>
  <si>
    <t>0813h16</t>
  </si>
  <si>
    <t>0813h17</t>
  </si>
  <si>
    <t>0813h18</t>
  </si>
  <si>
    <t>0813h19</t>
  </si>
  <si>
    <t>0813h20</t>
  </si>
  <si>
    <t>0813h21</t>
  </si>
  <si>
    <t>0813h22</t>
  </si>
  <si>
    <t>0813h23</t>
  </si>
  <si>
    <t>0813h24</t>
  </si>
  <si>
    <t>0816h01</t>
  </si>
  <si>
    <t>0816h02</t>
  </si>
  <si>
    <t>0816h03</t>
  </si>
  <si>
    <t>0816h04</t>
  </si>
  <si>
    <t>0816h05</t>
  </si>
  <si>
    <t>0816h06</t>
  </si>
  <si>
    <t>0816h07</t>
  </si>
  <si>
    <t>0816h08</t>
  </si>
  <si>
    <t>0816h09</t>
  </si>
  <si>
    <t>0816h10</t>
  </si>
  <si>
    <t>0816h11</t>
  </si>
  <si>
    <t>0816h12</t>
  </si>
  <si>
    <t>0816h13</t>
  </si>
  <si>
    <t>0816h14</t>
  </si>
  <si>
    <t>0816h15</t>
  </si>
  <si>
    <t>0816h16</t>
  </si>
  <si>
    <t>0816h17</t>
  </si>
  <si>
    <t>0816h18</t>
  </si>
  <si>
    <t>0816h19</t>
  </si>
  <si>
    <t>0816h20</t>
  </si>
  <si>
    <t>0816h21</t>
  </si>
  <si>
    <t>0816h22</t>
  </si>
  <si>
    <t>0816h23</t>
  </si>
  <si>
    <t>0816h24</t>
  </si>
  <si>
    <t>0922h01</t>
  </si>
  <si>
    <t>0922h02</t>
  </si>
  <si>
    <t>0922h03</t>
  </si>
  <si>
    <t>0922h04</t>
  </si>
  <si>
    <t>0922h05</t>
  </si>
  <si>
    <t>0922h06</t>
  </si>
  <si>
    <t>0922h07</t>
  </si>
  <si>
    <t>0922h08</t>
  </si>
  <si>
    <t>0922h09</t>
  </si>
  <si>
    <t>0922h10</t>
  </si>
  <si>
    <t>0922h11</t>
  </si>
  <si>
    <t>0922h12</t>
  </si>
  <si>
    <t>0922h13</t>
  </si>
  <si>
    <t>0922h14</t>
  </si>
  <si>
    <t>0922h15</t>
  </si>
  <si>
    <t>0922h16</t>
  </si>
  <si>
    <t>0922h17</t>
  </si>
  <si>
    <t>0922h18</t>
  </si>
  <si>
    <t>0922h19</t>
  </si>
  <si>
    <t>0922h20</t>
  </si>
  <si>
    <t>0922h21</t>
  </si>
  <si>
    <t>0922h22</t>
  </si>
  <si>
    <t>0922h23</t>
  </si>
  <si>
    <t>0922h24</t>
  </si>
  <si>
    <t>S01b0102h01</t>
  </si>
  <si>
    <t>S01b0102h02</t>
  </si>
  <si>
    <t>S01b0102h03</t>
  </si>
  <si>
    <t>S01b0102h04</t>
  </si>
  <si>
    <t>S01b0102h05</t>
  </si>
  <si>
    <t>S01b0102h06</t>
  </si>
  <si>
    <t>S01b0102h07</t>
  </si>
  <si>
    <t>S01b0102h08</t>
  </si>
  <si>
    <t>S01b0102h09</t>
  </si>
  <si>
    <t>S01b0102h10</t>
  </si>
  <si>
    <t>S01b0102h11</t>
  </si>
  <si>
    <t>S01b0102h12</t>
  </si>
  <si>
    <t>S01b0102h13</t>
  </si>
  <si>
    <t>S01b0102h14</t>
  </si>
  <si>
    <t>S01b0102h15</t>
  </si>
  <si>
    <t>S01b0102h16</t>
  </si>
  <si>
    <t>S01b0102h17</t>
  </si>
  <si>
    <t>S01b0102h18</t>
  </si>
  <si>
    <t>S01b0102h19</t>
  </si>
  <si>
    <t>S01b0102h20</t>
  </si>
  <si>
    <t>S01b0102h21</t>
  </si>
  <si>
    <t>S01b0102h22</t>
  </si>
  <si>
    <t>S01b0102h23</t>
  </si>
  <si>
    <t>S01b0102h24</t>
  </si>
  <si>
    <t>S01c0103h01</t>
  </si>
  <si>
    <t>S01c0103h02</t>
  </si>
  <si>
    <t>S01c0103h03</t>
  </si>
  <si>
    <t>S01c0103h04</t>
  </si>
  <si>
    <t>S01c0103h05</t>
  </si>
  <si>
    <t>S01c0103h06</t>
  </si>
  <si>
    <t>S01c0103h07</t>
  </si>
  <si>
    <t>S01c0103h08</t>
  </si>
  <si>
    <t>S01c0103h09</t>
  </si>
  <si>
    <t>S01c0103h10</t>
  </si>
  <si>
    <t>S01c0103h11</t>
  </si>
  <si>
    <t>S01c0103h12</t>
  </si>
  <si>
    <t>S01c0103h13</t>
  </si>
  <si>
    <t>S01c0103h14</t>
  </si>
  <si>
    <t>S01c0103h15</t>
  </si>
  <si>
    <t>S01c0103h16</t>
  </si>
  <si>
    <t>S01c0103h17</t>
  </si>
  <si>
    <t>S01c0103h18</t>
  </si>
  <si>
    <t>S01c0103h19</t>
  </si>
  <si>
    <t>S01c0103h20</t>
  </si>
  <si>
    <t>S01c0103h21</t>
  </si>
  <si>
    <t>S01c0103h22</t>
  </si>
  <si>
    <t>S01c0103h23</t>
  </si>
  <si>
    <t>S01c0103h24</t>
  </si>
  <si>
    <t>S05d0525h01</t>
  </si>
  <si>
    <t>S05d0525h02</t>
  </si>
  <si>
    <t>S05d0525h03</t>
  </si>
  <si>
    <t>S05d0525h04</t>
  </si>
  <si>
    <t>S05d0525h05</t>
  </si>
  <si>
    <t>S05d0525h06</t>
  </si>
  <si>
    <t>S05d0525h07</t>
  </si>
  <si>
    <t>S05d0525h08</t>
  </si>
  <si>
    <t>S05d0525h09</t>
  </si>
  <si>
    <t>S05d0525h10</t>
  </si>
  <si>
    <t>S05d0525h11</t>
  </si>
  <si>
    <t>S05d0525h12</t>
  </si>
  <si>
    <t>S05d0525h13</t>
  </si>
  <si>
    <t>S05d0525h14</t>
  </si>
  <si>
    <t>S05d0525h15</t>
  </si>
  <si>
    <t>S05d0525h16</t>
  </si>
  <si>
    <t>S05d0525h17</t>
  </si>
  <si>
    <t>S05d0525h18</t>
  </si>
  <si>
    <t>S05d0525h19</t>
  </si>
  <si>
    <t>S05d0525h20</t>
  </si>
  <si>
    <t>S05d0525h21</t>
  </si>
  <si>
    <t>S05d0525h22</t>
  </si>
  <si>
    <t>S05d0525h23</t>
  </si>
  <si>
    <t>S05d0525h24</t>
  </si>
  <si>
    <t>S08e0812h01</t>
  </si>
  <si>
    <t>S08e0812h02</t>
  </si>
  <si>
    <t>S08e0812h03</t>
  </si>
  <si>
    <t>S08e0812h04</t>
  </si>
  <si>
    <t>S08e0812h05</t>
  </si>
  <si>
    <t>S08e0812h06</t>
  </si>
  <si>
    <t>S08e0812h07</t>
  </si>
  <si>
    <t>S08e0812h08</t>
  </si>
  <si>
    <t>S08e0812h09</t>
  </si>
  <si>
    <t>S08e0812h10</t>
  </si>
  <si>
    <t>S08e0812h11</t>
  </si>
  <si>
    <t>S08e0812h12</t>
  </si>
  <si>
    <t>S08e0812h13</t>
  </si>
  <si>
    <t>S08e0812h14</t>
  </si>
  <si>
    <t>S08e0812h15</t>
  </si>
  <si>
    <t>S08e0812h16</t>
  </si>
  <si>
    <t>S08e0812h17</t>
  </si>
  <si>
    <t>S08e0812h18</t>
  </si>
  <si>
    <t>S08e0812h19</t>
  </si>
  <si>
    <t>S08e0812h20</t>
  </si>
  <si>
    <t>S08e0812h21</t>
  </si>
  <si>
    <t>S08e0812h22</t>
  </si>
  <si>
    <t>S08e0812h23</t>
  </si>
  <si>
    <t>S08e0812h24</t>
  </si>
  <si>
    <t>S08f0813h01</t>
  </si>
  <si>
    <t>S08f0813h02</t>
  </si>
  <si>
    <t>S08f0813h03</t>
  </si>
  <si>
    <t>S08f0813h04</t>
  </si>
  <si>
    <t>S08f0813h05</t>
  </si>
  <si>
    <t>S08f0813h06</t>
  </si>
  <si>
    <t>S08f0813h07</t>
  </si>
  <si>
    <t>S08f0813h08</t>
  </si>
  <si>
    <t>S08f0813h09</t>
  </si>
  <si>
    <t>S08f0813h10</t>
  </si>
  <si>
    <t>S08f0813h11</t>
  </si>
  <si>
    <t>S08f0813h12</t>
  </si>
  <si>
    <t>S08f0813h13</t>
  </si>
  <si>
    <t>S08f0813h14</t>
  </si>
  <si>
    <t>S08f0813h15</t>
  </si>
  <si>
    <t>S08f0813h16</t>
  </si>
  <si>
    <t>S08f0813h17</t>
  </si>
  <si>
    <t>S08f0813h18</t>
  </si>
  <si>
    <t>S08f0813h19</t>
  </si>
  <si>
    <t>S08f0813h20</t>
  </si>
  <si>
    <t>S08f0813h21</t>
  </si>
  <si>
    <t>S08f0813h22</t>
  </si>
  <si>
    <t>S08f0813h23</t>
  </si>
  <si>
    <t>S08f0813h24</t>
  </si>
  <si>
    <t>S08g0814h01</t>
  </si>
  <si>
    <t>S08g0814h02</t>
  </si>
  <si>
    <t>S08g0814h03</t>
  </si>
  <si>
    <t>S08g0814h04</t>
  </si>
  <si>
    <t>S08g0814h05</t>
  </si>
  <si>
    <t>S08g0814h06</t>
  </si>
  <si>
    <t>S08g0814h07</t>
  </si>
  <si>
    <t>S08g0814h08</t>
  </si>
  <si>
    <t>S08g0814h09</t>
  </si>
  <si>
    <t>S08g0814h10</t>
  </si>
  <si>
    <t>S08g0814h11</t>
  </si>
  <si>
    <t>S08g0814h12</t>
  </si>
  <si>
    <t>S08g0814h13</t>
  </si>
  <si>
    <t>S08g0814h14</t>
  </si>
  <si>
    <t>S08g0814h15</t>
  </si>
  <si>
    <t>S08g0814h16</t>
  </si>
  <si>
    <t>S08g0814h17</t>
  </si>
  <si>
    <t>S08g0814h18</t>
  </si>
  <si>
    <t>S08g0814h19</t>
  </si>
  <si>
    <t>S08g0814h20</t>
  </si>
  <si>
    <t>S08g0814h21</t>
  </si>
  <si>
    <t>S08g0814h22</t>
  </si>
  <si>
    <t>S08g0814h23</t>
  </si>
  <si>
    <t>S08g0814h24</t>
  </si>
  <si>
    <t>S08h0815h01</t>
  </si>
  <si>
    <t>S08h0815h02</t>
  </si>
  <si>
    <t>S08h0815h03</t>
  </si>
  <si>
    <t>S08h0815h04</t>
  </si>
  <si>
    <t>S08h0815h05</t>
  </si>
  <si>
    <t>S08h0815h06</t>
  </si>
  <si>
    <t>S08h0815h07</t>
  </si>
  <si>
    <t>S08h0815h08</t>
  </si>
  <si>
    <t>S08h0815h09</t>
  </si>
  <si>
    <t>S08h0815h10</t>
  </si>
  <si>
    <t>S08h0815h11</t>
  </si>
  <si>
    <t>S08h0815h12</t>
  </si>
  <si>
    <t>S08h0815h13</t>
  </si>
  <si>
    <t>S08h0815h14</t>
  </si>
  <si>
    <t>S08h0815h15</t>
  </si>
  <si>
    <t>S08h0815h16</t>
  </si>
  <si>
    <t>S08h0815h17</t>
  </si>
  <si>
    <t>S08h0815h18</t>
  </si>
  <si>
    <t>S08h0815h19</t>
  </si>
  <si>
    <t>S08h0815h20</t>
  </si>
  <si>
    <t>S08h0815h21</t>
  </si>
  <si>
    <t>S08h0815h22</t>
  </si>
  <si>
    <t>S08h0815h23</t>
  </si>
  <si>
    <t>S08h0815h24</t>
  </si>
  <si>
    <t>S08i0816h01</t>
  </si>
  <si>
    <t>S08i0816h02</t>
  </si>
  <si>
    <t>S08i0816h03</t>
  </si>
  <si>
    <t>S08i0816h04</t>
  </si>
  <si>
    <t>S08i0816h05</t>
  </si>
  <si>
    <t>S08i0816h06</t>
  </si>
  <si>
    <t>S08i0816h07</t>
  </si>
  <si>
    <t>S08i0816h08</t>
  </si>
  <si>
    <t>S08i0816h09</t>
  </si>
  <si>
    <t>S08i0816h10</t>
  </si>
  <si>
    <t>S08i0816h11</t>
  </si>
  <si>
    <t>S08i0816h12</t>
  </si>
  <si>
    <t>S08i0816h13</t>
  </si>
  <si>
    <t>S08i0816h14</t>
  </si>
  <si>
    <t>S08i0816h15</t>
  </si>
  <si>
    <t>S08i0816h16</t>
  </si>
  <si>
    <t>S08i0816h17</t>
  </si>
  <si>
    <t>S08i0816h18</t>
  </si>
  <si>
    <t>S08i0816h19</t>
  </si>
  <si>
    <t>S08i0816h20</t>
  </si>
  <si>
    <t>S08i0816h21</t>
  </si>
  <si>
    <t>S08i0816h22</t>
  </si>
  <si>
    <t>S08i0816h23</t>
  </si>
  <si>
    <t>S08i0816h24</t>
  </si>
  <si>
    <t>S09j0919h01</t>
  </si>
  <si>
    <t>S09j0919h02</t>
  </si>
  <si>
    <t>S09j0919h03</t>
  </si>
  <si>
    <t>S09j0919h04</t>
  </si>
  <si>
    <t>S09j0919h05</t>
  </si>
  <si>
    <t>S09j0919h06</t>
  </si>
  <si>
    <t>S09j0919h07</t>
  </si>
  <si>
    <t>S09j0919h08</t>
  </si>
  <si>
    <t>S09j0919h09</t>
  </si>
  <si>
    <t>S09j0919h10</t>
  </si>
  <si>
    <t>S09j0919h11</t>
  </si>
  <si>
    <t>S09j0919h12</t>
  </si>
  <si>
    <t>S09j0919h13</t>
  </si>
  <si>
    <t>S09j0919h14</t>
  </si>
  <si>
    <t>S09j0919h15</t>
  </si>
  <si>
    <t>S09j0919h16</t>
  </si>
  <si>
    <t>S09j0919h17</t>
  </si>
  <si>
    <t>S09j0919h18</t>
  </si>
  <si>
    <t>S09j0919h19</t>
  </si>
  <si>
    <t>S09j0919h20</t>
  </si>
  <si>
    <t>S09j0919h21</t>
  </si>
  <si>
    <t>S09j0919h22</t>
  </si>
  <si>
    <t>S09j0919h23</t>
  </si>
  <si>
    <t>S09j0919h24</t>
  </si>
  <si>
    <t>S09k0920h01</t>
  </si>
  <si>
    <t>S09k0920h02</t>
  </si>
  <si>
    <t>S09k0920h03</t>
  </si>
  <si>
    <t>S09k0920h04</t>
  </si>
  <si>
    <t>S09k0920h05</t>
  </si>
  <si>
    <t>S09k0920h06</t>
  </si>
  <si>
    <t>S09k0920h07</t>
  </si>
  <si>
    <t>S09k0920h08</t>
  </si>
  <si>
    <t>S09k0920h09</t>
  </si>
  <si>
    <t>S09k0920h10</t>
  </si>
  <si>
    <t>S09k0920h11</t>
  </si>
  <si>
    <t>S09k0920h12</t>
  </si>
  <si>
    <t>S09k0920h13</t>
  </si>
  <si>
    <t>S09k0920h14</t>
  </si>
  <si>
    <t>S09k0920h15</t>
  </si>
  <si>
    <t>S09k0920h16</t>
  </si>
  <si>
    <t>S09k0920h17</t>
  </si>
  <si>
    <t>S09k0920h18</t>
  </si>
  <si>
    <t>S09k0920h19</t>
  </si>
  <si>
    <t>S09k0920h20</t>
  </si>
  <si>
    <t>S09k0920h21</t>
  </si>
  <si>
    <t>S09k0920h22</t>
  </si>
  <si>
    <t>S09k0920h23</t>
  </si>
  <si>
    <t>S09k0920h24</t>
  </si>
  <si>
    <t>S09l0921h01</t>
  </si>
  <si>
    <t>S09l0921h02</t>
  </si>
  <si>
    <t>S09l0921h03</t>
  </si>
  <si>
    <t>S09l0921h04</t>
  </si>
  <si>
    <t>S09l0921h05</t>
  </si>
  <si>
    <t>S09l0921h06</t>
  </si>
  <si>
    <t>S09l0921h07</t>
  </si>
  <si>
    <t>S09l0921h08</t>
  </si>
  <si>
    <t>S09l0921h09</t>
  </si>
  <si>
    <t>S09l0921h10</t>
  </si>
  <si>
    <t>S09l0921h11</t>
  </si>
  <si>
    <t>S09l0921h12</t>
  </si>
  <si>
    <t>S09l0921h13</t>
  </si>
  <si>
    <t>S09l0921h14</t>
  </si>
  <si>
    <t>S09l0921h15</t>
  </si>
  <si>
    <t>S09l0921h16</t>
  </si>
  <si>
    <t>S09l0921h17</t>
  </si>
  <si>
    <t>S09l0921h18</t>
  </si>
  <si>
    <t>S09l0921h19</t>
  </si>
  <si>
    <t>S09l0921h20</t>
  </si>
  <si>
    <t>S09l0921h21</t>
  </si>
  <si>
    <t>S09l0921h22</t>
  </si>
  <si>
    <t>S09l0921h23</t>
  </si>
  <si>
    <t>S09l0921h24</t>
  </si>
  <si>
    <t>S09m0922h01</t>
  </si>
  <si>
    <t>S09m0922h02</t>
  </si>
  <si>
    <t>S09m0922h03</t>
  </si>
  <si>
    <t>S09m0922h04</t>
  </si>
  <si>
    <t>S09m0922h05</t>
  </si>
  <si>
    <t>S09m0922h06</t>
  </si>
  <si>
    <t>S09m0922h07</t>
  </si>
  <si>
    <t>S09m0922h08</t>
  </si>
  <si>
    <t>S09m0922h09</t>
  </si>
  <si>
    <t>S09m0922h10</t>
  </si>
  <si>
    <t>S09m0922h11</t>
  </si>
  <si>
    <t>S09m0922h12</t>
  </si>
  <si>
    <t>S09m0922h13</t>
  </si>
  <si>
    <t>S09m0922h14</t>
  </si>
  <si>
    <t>S09m0922h15</t>
  </si>
  <si>
    <t>S09m0922h16</t>
  </si>
  <si>
    <t>S09m0922h17</t>
  </si>
  <si>
    <t>S09m0922h18</t>
  </si>
  <si>
    <t>S09m0922h19</t>
  </si>
  <si>
    <t>S09m0922h20</t>
  </si>
  <si>
    <t>S09m0922h21</t>
  </si>
  <si>
    <t>S09m0922h22</t>
  </si>
  <si>
    <t>S09m0922h23</t>
  </si>
  <si>
    <t>S09m0922h24</t>
  </si>
  <si>
    <t>S11n1124h01</t>
  </si>
  <si>
    <t>S11n1124h02</t>
  </si>
  <si>
    <t>S11n1124h03</t>
  </si>
  <si>
    <t>S11n1124h04</t>
  </si>
  <si>
    <t>S11n1124h05</t>
  </si>
  <si>
    <t>S11n1124h06</t>
  </si>
  <si>
    <t>S11n1124h07</t>
  </si>
  <si>
    <t>S11n1124h08</t>
  </si>
  <si>
    <t>S11n1124h09</t>
  </si>
  <si>
    <t>S11n1124h10</t>
  </si>
  <si>
    <t>S11n1124h11</t>
  </si>
  <si>
    <t>S11n1124h12</t>
  </si>
  <si>
    <t>S11n1124h13</t>
  </si>
  <si>
    <t>S11n1124h14</t>
  </si>
  <si>
    <t>S11n1124h15</t>
  </si>
  <si>
    <t>S11n1124h16</t>
  </si>
  <si>
    <t>S11n1124h17</t>
  </si>
  <si>
    <t>S11n1124h18</t>
  </si>
  <si>
    <t>S11n1124h19</t>
  </si>
  <si>
    <t>S11n1124h20</t>
  </si>
  <si>
    <t>S11n1124h21</t>
  </si>
  <si>
    <t>S11n1124h22</t>
  </si>
  <si>
    <t>S11n1124h23</t>
  </si>
  <si>
    <t>S11n1124h24</t>
  </si>
  <si>
    <t>S11o1125h01</t>
  </si>
  <si>
    <t>S11o1125h02</t>
  </si>
  <si>
    <t>S11o1125h03</t>
  </si>
  <si>
    <t>S11o1125h04</t>
  </si>
  <si>
    <t>S11o1125h05</t>
  </si>
  <si>
    <t>S11o1125h06</t>
  </si>
  <si>
    <t>S11o1125h07</t>
  </si>
  <si>
    <t>S11o1125h08</t>
  </si>
  <si>
    <t>S11o1125h09</t>
  </si>
  <si>
    <t>S11o1125h10</t>
  </si>
  <si>
    <t>S11o1125h11</t>
  </si>
  <si>
    <t>S11o1125h12</t>
  </si>
  <si>
    <t>S11o1125h13</t>
  </si>
  <si>
    <t>S11o1125h14</t>
  </si>
  <si>
    <t>S11o1125h15</t>
  </si>
  <si>
    <t>S11o1125h16</t>
  </si>
  <si>
    <t>S11o1125h17</t>
  </si>
  <si>
    <t>S11o1125h18</t>
  </si>
  <si>
    <t>S11o1125h19</t>
  </si>
  <si>
    <t>S11o1125h20</t>
  </si>
  <si>
    <t>S11o1125h21</t>
  </si>
  <si>
    <t>S11o1125h22</t>
  </si>
  <si>
    <t>S11o1125h23</t>
  </si>
  <si>
    <t>S11o1125h24</t>
  </si>
  <si>
    <t>S11p1126h01</t>
  </si>
  <si>
    <t>S11p1126h02</t>
  </si>
  <si>
    <t>S11p1126h03</t>
  </si>
  <si>
    <t>S11p1126h04</t>
  </si>
  <si>
    <t>S11p1126h05</t>
  </si>
  <si>
    <t>S11p1126h06</t>
  </si>
  <si>
    <t>S11p1126h07</t>
  </si>
  <si>
    <t>S11p1126h08</t>
  </si>
  <si>
    <t>S11p1126h09</t>
  </si>
  <si>
    <t>S11p1126h10</t>
  </si>
  <si>
    <t>S11p1126h11</t>
  </si>
  <si>
    <t>S11p1126h12</t>
  </si>
  <si>
    <t>S11p1126h13</t>
  </si>
  <si>
    <t>S11p1126h14</t>
  </si>
  <si>
    <t>S11p1126h15</t>
  </si>
  <si>
    <t>S11p1126h16</t>
  </si>
  <si>
    <t>S11p1126h17</t>
  </si>
  <si>
    <t>S11p1126h18</t>
  </si>
  <si>
    <t>S11p1126h19</t>
  </si>
  <si>
    <t>S11p1126h20</t>
  </si>
  <si>
    <t>S11p1126h21</t>
  </si>
  <si>
    <t>S11p1126h22</t>
  </si>
  <si>
    <t>S11p1126h23</t>
  </si>
  <si>
    <t>S11p1126h24</t>
  </si>
  <si>
    <t>S01b0102h08,S01b0102h13,S01b0102h14,S01c0103h07,S01c0103h09,S01c0103h11,S02aH04,S02aH05,S08g0814h10,S08h0815h17,S08i0816h18,S09j0919h07,S09k0920h09,S09k0920h13,S09m0922h17,S10aH03,S10aH05,S11p1126h09,S01c0103h08,S08aH02,S08f0813h08,S08f0813h11,S08f0813h12,S08h0815h13,S08i0816h09,S09aH06,S09j0919h09,S09j0919h16,S09l0921h11,S09l0921h12,S09l0921h18,S09m0922h10,S09m0922h11,S11o1125h14,S01aH03,S01b0102h16,S05aH02,S05aH03,S05aH06,S05d0525h18,S08e0812h11,S08e0812h18,S08h0815h12,S08h0815h14,S08h0815h16,S09j0919h14,S11p1126h07,S11p1126h12,S01aH04,S01b0102h10,S01c0103h15,S05d0525h13,S07aH02,S07aH06,S08f0813h07,S08h0815h15,S08i0816h07,S09j0919h15,S09k0920h15,S09k0920h16,S09l0921h07,S09m0922h13,S11n1124h07,S11n1124h16,S11o1125h11,S11p1126h13,S01b0102h18,S01c0103h13,S01c0103h17,S04aH03,S05d0525h15,S07aH04,S08aH03,S08g0814h13,S08h0815h18,S09aH04,S09l0921h13,S09m0922h08,S09m0922h18,S11n1124h17,S11o1125h09,S11p1126h16,S12aH02,S01c0103h14,S04aH05,S05d0525h12,S05d0525h14,S08e0812h13,S08h0815h08,S08i0816h16,S09j0919h08,S09k0920h11,S09l0921h09,S11n1124h13,S01c0103h18,S02aH02,S05d0525h11,S06aH06,S08f0813h13,S09k0920h10,S09l0921h10,S11o1125h07,S11o1125h15,S11p1126h14,S01aH02,S04aH04,S05d0525h17,S08g0814h11,S08h0815h11,S08i0816h13,S09j0919h17,S09m0922h15,S11o1125h08,S01b0102h17,S01c0103h10,S04aH06,S05aH04,S06aH02,S06aH03,S08e0812h08,S08e0812h14,S08i0816h08,S08i0816h17,S10aH04,S11n1124h11,S11o1125h10,S11p1126h10,S12aH06,S01c0103h12,S03aH03,S08e0812h07,S08e0812h12,S08f0813h15,S08g0814h08,S09aH05,S09k0920h07,S09l0921h16,S09m0922h07,S09m0922h14,S11o1125h17,S11o1125h18,S11p1126h11,S11p1126h15,S11p1126h18,S01b0102h12,S03aH04,S08aH05,S08e0812h09,S08e0812h10,S08f0813h10,S08g0814h07,S08g0814h15,S08i0816h15,S09j0919h10,S09j0919h18,S09l0921h17,S11aH05,S11n1124h08,S11n1124h09,S11p1126h08,S12aH03,S03aH02,S07aH05,S08g0814h18,S08h0815h09,S09k0920h14,S09m0922h09,S11n1124h12,S02aH06,S03aH05,S05aH05,S05d0525h07,S05d0525h10,S05d0525h16,S06aH04,S08aH04,S08e0812h16,S08e0812h17,S08f0813h14,S08i0816h11,S09j0919h11,S09l0921h14,S11aH02,S11o1125h12,S11o1125h16,S04aH02,S08f0813h18,S08g0814h16,S08g0814h17,S08h0815h07,S08h0815h10,S08i0816h14,S09aH02,S09aH03,S09j0919h12,S09k0920h17,S09l0921h15,S11aH03,S11aH04,S11n1124h10,S11n1124h14,S11n1124h18,S01aH05,S01b0102h07,S01b0102h09,S01b0102h15,S03aH06,S05d0525h08,S05d0525h09,S06aH05,S08e0812h15,S08f0813h09,S08f0813h17,S09l0921h08,S09m0922h16,S10aH02,S10aH06,S11aH06,S11n1124h15,S11p1126h17,S12aH04,S12aH05,S01aH06,S01b0102h11,S01c0103h16,S02aH03,S07aH03,S08aH06,S08f0813h16,S08g0814h09,S08g0814h12,S08g0814h14,S08i0816h10,S08i0816h12,S09j0919h13,S09k0920h08,S09k0920h12,S09k0920h18,S09m0922h12,S11o1125h13</t>
  </si>
  <si>
    <t>S01b0102h24,S03aH08,S04aH07,S05d0525h06,S06aH08,S08i0816h19,S09j0919h04,S09k0920h03,S09l0921h02,S09l0921h05,S09l0921h20,S09m0922h06,S11o1125h02,S12aH01,S01b0102h04,S01b0102h19,S01c0103h03,S01c0103h23,S04aH08,S05d0525h23,S06aH01,S08e0812h02,S08f0813h04,S08g0814h01,S09l0921h06,S09l0921h19,S09m0922h01,S09m0922h05,S09m0922h20,S11n1124h02,S11o1125h05,S11o1125h20,S11o1125h24,S11p1126h23,S12aH08,S01b0102h03,S05d0525h05,S08e0812h01,S08e0812h23,S08f0813h05,S08f0813h19,S08h0815h21,S08i0816h22,S09aH01,S09j0919h21,S09m0922h04,S11aH07,S11o1125h06,S11p1126h03,S11p1126h05,S01b0102h05,S05d0525h03,S08aH01,S08h0815h05,S08h0815h23,S09aH07,S09j0919h23,S09m0922h23,S10aH01,S11n1124h24,S01b0102h23,S01c0103h05,S01c0103h06,S02aH01,S08e0812h24,S08f0813h20,S08i0816h02,S09k0920h19,S09l0921h22,S11p1126h04,S01b0102h20,S05aH08,S05d0525h04,S05d0525h21,S05d0525h22,S08f0813h01,S08f0813h23,S08g0814h21,S08h0815h02,S09j0919h05,S09k0920h05,S09l0921h03,S10aH08,S03aH01,S08f0813h03,S08g0814h05,S08h0815h01,S08h0815h22,S11n1124h05,S12aH07,S01aH08,S02aH08,S03aH07,S08e0812h20,S08f0813h06,S08g0814h06,S08h0815h20,S09j0919h19,S09j0919h20,S09l0921h04,S09m0922h02,S09m0922h22,S11n1124h06,S11o1125h22,S11p1126h21,S01b0102h02,S01b0102h06,S01c0103h02,S01c0103h19,S05aH07,S07aH01,S08e0812h06,S08e0812h22,S08g0814h24,S09j0919h02,S09j0919h06,S09j0919h22,S09k0920h22,S09l0921h23,S09m0922h21,S10aH07,S11o1125h19,S11p1126h02,S11p1126h22,S11p1126h24,S01c0103h04,S01c0103h20,S05d0525h24,S08e0812h19,S08g0814h20,S08g0814h23,S08h0815h04,S08i0816h06,S08i0816h24,S09j0919h01,S09j0919h24,S09k0920h06,S09k0920h21,S11aH08,S11n1124h03,S11n1124h20,S11o1125h04,S11o1125h21,S01aH07,S01c0103h01,S02aH07,S05aH01,S05d0525h19,S08g0814h02,S08h0815h24,S08i0816h04,S08i0816h21,S09k0920h02,S11p1126h06,S01c0103h22,S05d0525h01,S08aH07,S08e0812h03,S08e0812h04,S08g0814h19,S08h0815h03,S08i0816h05,S09k0920h04,S09k0920h20,S09k0920h23,S09m0922h03,S11o1125h23,S11p1126h19,S11p1126h20,S05d0525h02,S05d0525h20,S06aH07,S07aH07,S07aH08,S08aH08,S09l0921h01,S09m0922h19,S11n1124h19,S01b0102h21,S01c0103h21,S08g0814h03,S08i0816h01,S09k0920h01,S09k0920h24,S09l0921h21,S09l0921h24,S11n1124h01,S11n1124h21,S11o1125h01,S08e0812h21,S08f0813h02,S08h0815h19,S08i0816h03,S08i0816h23,S09j0919h03,S11n1124h04,S11n1124h22,S11o1125h03,S01aH01,S01b0102h01,S01b0102h22,S01c0103h24,S04aH01,S08e0812h05,S08f0813h21,S08f0813h22,S08f0813h24,S08g0814h04,S08g0814h22,S08h0815h06,S08i0816h20,S09aH08,S09m0922h24,S11aH01,S11n1124h23,S11p1126h01</t>
  </si>
  <si>
    <t>0129h01</t>
  </si>
  <si>
    <t>0129h02</t>
  </si>
  <si>
    <t>S01,S02</t>
  </si>
  <si>
    <t>0129h03</t>
  </si>
  <si>
    <t>0129h04</t>
  </si>
  <si>
    <t>0129h05</t>
  </si>
  <si>
    <t>0129h06</t>
  </si>
  <si>
    <t>0129h07</t>
  </si>
  <si>
    <t>0129h08</t>
  </si>
  <si>
    <t>0129h09</t>
  </si>
  <si>
    <t>0129h10</t>
  </si>
  <si>
    <t>0129h11</t>
  </si>
  <si>
    <t>0129h12</t>
  </si>
  <si>
    <t>0129h13</t>
  </si>
  <si>
    <t>0129h14</t>
  </si>
  <si>
    <t>0129h15</t>
  </si>
  <si>
    <t>0129h16</t>
  </si>
  <si>
    <t>0129h17</t>
  </si>
  <si>
    <t>0129h18</t>
  </si>
  <si>
    <t>0129h19</t>
  </si>
  <si>
    <t>0129h20</t>
  </si>
  <si>
    <t>0129h21</t>
  </si>
  <si>
    <t>0129h22</t>
  </si>
  <si>
    <t>0129h23</t>
  </si>
  <si>
    <t>0129h24</t>
  </si>
  <si>
    <t>0130h01</t>
  </si>
  <si>
    <t>0130h02</t>
  </si>
  <si>
    <t>0130h03</t>
  </si>
  <si>
    <t>0130h04</t>
  </si>
  <si>
    <t>0130h05</t>
  </si>
  <si>
    <t>0130h06</t>
  </si>
  <si>
    <t>0130h07</t>
  </si>
  <si>
    <t>0130h08</t>
  </si>
  <si>
    <t>0130h09</t>
  </si>
  <si>
    <t>0130h10</t>
  </si>
  <si>
    <t>0130h11</t>
  </si>
  <si>
    <t>0130h12</t>
  </si>
  <si>
    <t>0130h13</t>
  </si>
  <si>
    <t>0130h14</t>
  </si>
  <si>
    <t>0130h15</t>
  </si>
  <si>
    <t>0130h16</t>
  </si>
  <si>
    <t>0130h17</t>
  </si>
  <si>
    <t>0130h18</t>
  </si>
  <si>
    <t>0130h19</t>
  </si>
  <si>
    <t>0130h20</t>
  </si>
  <si>
    <t>0130h21</t>
  </si>
  <si>
    <t>0130h22</t>
  </si>
  <si>
    <t>0130h23</t>
  </si>
  <si>
    <t>0130h24</t>
  </si>
  <si>
    <t>0131h01</t>
  </si>
  <si>
    <t>0131h02</t>
  </si>
  <si>
    <t>0131h03</t>
  </si>
  <si>
    <t>0131h04</t>
  </si>
  <si>
    <t>0131h05</t>
  </si>
  <si>
    <t>0131h06</t>
  </si>
  <si>
    <t>0131h07</t>
  </si>
  <si>
    <t>0131h08</t>
  </si>
  <si>
    <t>0131h09</t>
  </si>
  <si>
    <t>0131h10</t>
  </si>
  <si>
    <t>0131h11</t>
  </si>
  <si>
    <t>0131h12</t>
  </si>
  <si>
    <t>0131h13</t>
  </si>
  <si>
    <t>0131h14</t>
  </si>
  <si>
    <t>0131h15</t>
  </si>
  <si>
    <t>0131h16</t>
  </si>
  <si>
    <t>0131h17</t>
  </si>
  <si>
    <t>0131h18</t>
  </si>
  <si>
    <t>0131h19</t>
  </si>
  <si>
    <t>0131h20</t>
  </si>
  <si>
    <t>0131h21</t>
  </si>
  <si>
    <t>0131h22</t>
  </si>
  <si>
    <t>0131h23</t>
  </si>
  <si>
    <t>0131h24</t>
  </si>
  <si>
    <t>0201h01</t>
  </si>
  <si>
    <t>0201h02</t>
  </si>
  <si>
    <t>0201h03</t>
  </si>
  <si>
    <t>0201h04</t>
  </si>
  <si>
    <t>0201h05</t>
  </si>
  <si>
    <t>0201h06</t>
  </si>
  <si>
    <t>0201h07</t>
  </si>
  <si>
    <t>0201h08</t>
  </si>
  <si>
    <t>0201h09</t>
  </si>
  <si>
    <t>0201h10</t>
  </si>
  <si>
    <t>0201h11</t>
  </si>
  <si>
    <t>0201h12</t>
  </si>
  <si>
    <t>0201h13</t>
  </si>
  <si>
    <t>0201h14</t>
  </si>
  <si>
    <t>0201h15</t>
  </si>
  <si>
    <t>0201h16</t>
  </si>
  <si>
    <t>0201h17</t>
  </si>
  <si>
    <t>0201h18</t>
  </si>
  <si>
    <t>0201h19</t>
  </si>
  <si>
    <t>0201h20</t>
  </si>
  <si>
    <t>0201h21</t>
  </si>
  <si>
    <t>0201h22</t>
  </si>
  <si>
    <t>0201h23</t>
  </si>
  <si>
    <t>0201h24</t>
  </si>
  <si>
    <t>0202h01</t>
  </si>
  <si>
    <t>0202h02</t>
  </si>
  <si>
    <t>0202h03</t>
  </si>
  <si>
    <t>0202h04</t>
  </si>
  <si>
    <t>0202h05</t>
  </si>
  <si>
    <t>0202h06</t>
  </si>
  <si>
    <t>0202h07</t>
  </si>
  <si>
    <t>0202h08</t>
  </si>
  <si>
    <t>0202h09</t>
  </si>
  <si>
    <t>0202h10</t>
  </si>
  <si>
    <t>0202h11</t>
  </si>
  <si>
    <t>0202h12</t>
  </si>
  <si>
    <t>0202h13</t>
  </si>
  <si>
    <t>0202h14</t>
  </si>
  <si>
    <t>0202h15</t>
  </si>
  <si>
    <t>0202h16</t>
  </si>
  <si>
    <t>0202h17</t>
  </si>
  <si>
    <t>0202h18</t>
  </si>
  <si>
    <t>0202h19</t>
  </si>
  <si>
    <t>0202h20</t>
  </si>
  <si>
    <t>0202h21</t>
  </si>
  <si>
    <t>0202h22</t>
  </si>
  <si>
    <t>0202h23</t>
  </si>
  <si>
    <t>0202h24</t>
  </si>
  <si>
    <t>0203h01</t>
  </si>
  <si>
    <t>0203h02</t>
  </si>
  <si>
    <t>0203h03</t>
  </si>
  <si>
    <t>0203h04</t>
  </si>
  <si>
    <t>0203h05</t>
  </si>
  <si>
    <t>0203h06</t>
  </si>
  <si>
    <t>0203h07</t>
  </si>
  <si>
    <t>0203h08</t>
  </si>
  <si>
    <t>0203h09</t>
  </si>
  <si>
    <t>0203h10</t>
  </si>
  <si>
    <t>0203h11</t>
  </si>
  <si>
    <t>0203h12</t>
  </si>
  <si>
    <t>0203h13</t>
  </si>
  <si>
    <t>0203h14</t>
  </si>
  <si>
    <t>0203h15</t>
  </si>
  <si>
    <t>0203h16</t>
  </si>
  <si>
    <t>0203h17</t>
  </si>
  <si>
    <t>0203h18</t>
  </si>
  <si>
    <t>0203h19</t>
  </si>
  <si>
    <t>0203h20</t>
  </si>
  <si>
    <t>0203h21</t>
  </si>
  <si>
    <t>0203h22</t>
  </si>
  <si>
    <t>0203h23</t>
  </si>
  <si>
    <t>0203h24</t>
  </si>
  <si>
    <t>0204h01</t>
  </si>
  <si>
    <t>0204h02</t>
  </si>
  <si>
    <t>0204h03</t>
  </si>
  <si>
    <t>0204h04</t>
  </si>
  <si>
    <t>0204h05</t>
  </si>
  <si>
    <t>0204h06</t>
  </si>
  <si>
    <t>0204h07</t>
  </si>
  <si>
    <t>0204h08</t>
  </si>
  <si>
    <t>0204h09</t>
  </si>
  <si>
    <t>0204h10</t>
  </si>
  <si>
    <t>0204h11</t>
  </si>
  <si>
    <t>0204h12</t>
  </si>
  <si>
    <t>0204h13</t>
  </si>
  <si>
    <t>0204h14</t>
  </si>
  <si>
    <t>0204h15</t>
  </si>
  <si>
    <t>0204h16</t>
  </si>
  <si>
    <t>0204h17</t>
  </si>
  <si>
    <t>0204h18</t>
  </si>
  <si>
    <t>0204h19</t>
  </si>
  <si>
    <t>0204h20</t>
  </si>
  <si>
    <t>0204h21</t>
  </si>
  <si>
    <t>0204h22</t>
  </si>
  <si>
    <t>0204h23</t>
  </si>
  <si>
    <t>0204h24</t>
  </si>
  <si>
    <t>0806h01</t>
  </si>
  <si>
    <t>0806h02</t>
  </si>
  <si>
    <t>0806h03</t>
  </si>
  <si>
    <t>0806h04</t>
  </si>
  <si>
    <t>0806h05</t>
  </si>
  <si>
    <t>0806h06</t>
  </si>
  <si>
    <t>0806h07</t>
  </si>
  <si>
    <t>0806h08</t>
  </si>
  <si>
    <t>0806h09</t>
  </si>
  <si>
    <t>0806h10</t>
  </si>
  <si>
    <t>0806h11</t>
  </si>
  <si>
    <t>0806h12</t>
  </si>
  <si>
    <t>0806h13</t>
  </si>
  <si>
    <t>0806h14</t>
  </si>
  <si>
    <t>0806h15</t>
  </si>
  <si>
    <t>0806h16</t>
  </si>
  <si>
    <t>0806h17</t>
  </si>
  <si>
    <t>0806h18</t>
  </si>
  <si>
    <t>0806h19</t>
  </si>
  <si>
    <t>0806h20</t>
  </si>
  <si>
    <t>0806h21</t>
  </si>
  <si>
    <t>0806h22</t>
  </si>
  <si>
    <t>0806h23</t>
  </si>
  <si>
    <t>0806h24</t>
  </si>
  <si>
    <t>0807h01</t>
  </si>
  <si>
    <t>0807h02</t>
  </si>
  <si>
    <t>0807h03</t>
  </si>
  <si>
    <t>0807h04</t>
  </si>
  <si>
    <t>0807h05</t>
  </si>
  <si>
    <t>0807h06</t>
  </si>
  <si>
    <t>0807h07</t>
  </si>
  <si>
    <t>0807h08</t>
  </si>
  <si>
    <t>0807h09</t>
  </si>
  <si>
    <t>0807h10</t>
  </si>
  <si>
    <t>0807h11</t>
  </si>
  <si>
    <t>0807h12</t>
  </si>
  <si>
    <t>0807h13</t>
  </si>
  <si>
    <t>0807h14</t>
  </si>
  <si>
    <t>0807h15</t>
  </si>
  <si>
    <t>0807h16</t>
  </si>
  <si>
    <t>0807h17</t>
  </si>
  <si>
    <t>0807h18</t>
  </si>
  <si>
    <t>0807h19</t>
  </si>
  <si>
    <t>0807h20</t>
  </si>
  <si>
    <t>0807h21</t>
  </si>
  <si>
    <t>0807h22</t>
  </si>
  <si>
    <t>0807h23</t>
  </si>
  <si>
    <t>0807h24</t>
  </si>
  <si>
    <t>0808h01</t>
  </si>
  <si>
    <t>0808h02</t>
  </si>
  <si>
    <t>0808h03</t>
  </si>
  <si>
    <t>0808h04</t>
  </si>
  <si>
    <t>0808h05</t>
  </si>
  <si>
    <t>0808h06</t>
  </si>
  <si>
    <t>0808h07</t>
  </si>
  <si>
    <t>0808h08</t>
  </si>
  <si>
    <t>0808h09</t>
  </si>
  <si>
    <t>0808h10</t>
  </si>
  <si>
    <t>0808h11</t>
  </si>
  <si>
    <t>0808h12</t>
  </si>
  <si>
    <t>0808h13</t>
  </si>
  <si>
    <t>0808h14</t>
  </si>
  <si>
    <t>0808h15</t>
  </si>
  <si>
    <t>0808h16</t>
  </si>
  <si>
    <t>0808h17</t>
  </si>
  <si>
    <t>0808h18</t>
  </si>
  <si>
    <t>0808h19</t>
  </si>
  <si>
    <t>0808h20</t>
  </si>
  <si>
    <t>0808h21</t>
  </si>
  <si>
    <t>0808h22</t>
  </si>
  <si>
    <t>0808h23</t>
  </si>
  <si>
    <t>0808h24</t>
  </si>
  <si>
    <t>0809h01</t>
  </si>
  <si>
    <t>0809h02</t>
  </si>
  <si>
    <t>0809h03</t>
  </si>
  <si>
    <t>0809h04</t>
  </si>
  <si>
    <t>0809h05</t>
  </si>
  <si>
    <t>0809h06</t>
  </si>
  <si>
    <t>0809h07</t>
  </si>
  <si>
    <t>0809h08</t>
  </si>
  <si>
    <t>0809h09</t>
  </si>
  <si>
    <t>0809h10</t>
  </si>
  <si>
    <t>0809h11</t>
  </si>
  <si>
    <t>0809h12</t>
  </si>
  <si>
    <t>0809h13</t>
  </si>
  <si>
    <t>0809h14</t>
  </si>
  <si>
    <t>0809h15</t>
  </si>
  <si>
    <t>0809h16</t>
  </si>
  <si>
    <t>0809h17</t>
  </si>
  <si>
    <t>0809h18</t>
  </si>
  <si>
    <t>0809h19</t>
  </si>
  <si>
    <t>0809h20</t>
  </si>
  <si>
    <t>0809h21</t>
  </si>
  <si>
    <t>0809h22</t>
  </si>
  <si>
    <t>0809h23</t>
  </si>
  <si>
    <t>0809h24</t>
  </si>
  <si>
    <t>0810h01</t>
  </si>
  <si>
    <t>0810h02</t>
  </si>
  <si>
    <t>0810h03</t>
  </si>
  <si>
    <t>0810h04</t>
  </si>
  <si>
    <t>0810h05</t>
  </si>
  <si>
    <t>0810h06</t>
  </si>
  <si>
    <t>0810h07</t>
  </si>
  <si>
    <t>0810h08</t>
  </si>
  <si>
    <t>0810h09</t>
  </si>
  <si>
    <t>0810h10</t>
  </si>
  <si>
    <t>0810h11</t>
  </si>
  <si>
    <t>0810h12</t>
  </si>
  <si>
    <t>0810h13</t>
  </si>
  <si>
    <t>0810h14</t>
  </si>
  <si>
    <t>0810h15</t>
  </si>
  <si>
    <t>0810h16</t>
  </si>
  <si>
    <t>0810h17</t>
  </si>
  <si>
    <t>0810h18</t>
  </si>
  <si>
    <t>0810h19</t>
  </si>
  <si>
    <t>0810h20</t>
  </si>
  <si>
    <t>0810h21</t>
  </si>
  <si>
    <t>0810h22</t>
  </si>
  <si>
    <t>0810h23</t>
  </si>
  <si>
    <t>0810h24</t>
  </si>
  <si>
    <t>0811h01</t>
  </si>
  <si>
    <t>0811h02</t>
  </si>
  <si>
    <t>0811h03</t>
  </si>
  <si>
    <t>0811h04</t>
  </si>
  <si>
    <t>0811h05</t>
  </si>
  <si>
    <t>0811h06</t>
  </si>
  <si>
    <t>0811h07</t>
  </si>
  <si>
    <t>0811h08</t>
  </si>
  <si>
    <t>0811h09</t>
  </si>
  <si>
    <t>0811h10</t>
  </si>
  <si>
    <t>0811h11</t>
  </si>
  <si>
    <t>0811h12</t>
  </si>
  <si>
    <t>0811h13</t>
  </si>
  <si>
    <t>0811h14</t>
  </si>
  <si>
    <t>0811h15</t>
  </si>
  <si>
    <t>0811h16</t>
  </si>
  <si>
    <t>0811h17</t>
  </si>
  <si>
    <t>0811h18</t>
  </si>
  <si>
    <t>0811h19</t>
  </si>
  <si>
    <t>0811h20</t>
  </si>
  <si>
    <t>0811h21</t>
  </si>
  <si>
    <t>0811h22</t>
  </si>
  <si>
    <t>0811h23</t>
  </si>
  <si>
    <t>0811h24</t>
  </si>
  <si>
    <t>S01b0129h01</t>
  </si>
  <si>
    <t>S01b0129h02</t>
  </si>
  <si>
    <t>S01b0129h03</t>
  </si>
  <si>
    <t>S01b0129h04</t>
  </si>
  <si>
    <t>S01b0129h05</t>
  </si>
  <si>
    <t>S01b0129h06</t>
  </si>
  <si>
    <t>S01b0129h07</t>
  </si>
  <si>
    <t>S01b0129h08</t>
  </si>
  <si>
    <t>S01b0129h09</t>
  </si>
  <si>
    <t>S01b0129h10</t>
  </si>
  <si>
    <t>S01b0129h11</t>
  </si>
  <si>
    <t>S01b0129h12</t>
  </si>
  <si>
    <t>S01b0129h13</t>
  </si>
  <si>
    <t>S01b0129h14</t>
  </si>
  <si>
    <t>S01b0129h15</t>
  </si>
  <si>
    <t>S01b0129h16</t>
  </si>
  <si>
    <t>S01b0129h17</t>
  </si>
  <si>
    <t>S01b0129h18</t>
  </si>
  <si>
    <t>S01b0129h19</t>
  </si>
  <si>
    <t>S01b0129h20</t>
  </si>
  <si>
    <t>S01b0129h21</t>
  </si>
  <si>
    <t>S01b0129h22</t>
  </si>
  <si>
    <t>S01b0129h23</t>
  </si>
  <si>
    <t>S01b0129h24</t>
  </si>
  <si>
    <t>S01b0130h01</t>
  </si>
  <si>
    <t>S01b0130h02</t>
  </si>
  <si>
    <t>S01b0130h03</t>
  </si>
  <si>
    <t>S01b0130h04</t>
  </si>
  <si>
    <t>S01b0130h05</t>
  </si>
  <si>
    <t>S01b0130h06</t>
  </si>
  <si>
    <t>S01b0130h07</t>
  </si>
  <si>
    <t>S01b0130h08</t>
  </si>
  <si>
    <t>S01b0130h09</t>
  </si>
  <si>
    <t>S01b0130h10</t>
  </si>
  <si>
    <t>S01b0130h11</t>
  </si>
  <si>
    <t>S01b0130h12</t>
  </si>
  <si>
    <t>S01b0130h13</t>
  </si>
  <si>
    <t>S01b0130h14</t>
  </si>
  <si>
    <t>S01b0130h15</t>
  </si>
  <si>
    <t>S01b0130h16</t>
  </si>
  <si>
    <t>S01b0130h17</t>
  </si>
  <si>
    <t>S01b0130h18</t>
  </si>
  <si>
    <t>S01b0130h19</t>
  </si>
  <si>
    <t>S01b0130h20</t>
  </si>
  <si>
    <t>S01b0130h21</t>
  </si>
  <si>
    <t>S01b0130h22</t>
  </si>
  <si>
    <t>S01b0130h23</t>
  </si>
  <si>
    <t>S01b0130h24</t>
  </si>
  <si>
    <t>S01b0131h01</t>
  </si>
  <si>
    <t>S01b0131h02</t>
  </si>
  <si>
    <t>S01b0131h03</t>
  </si>
  <si>
    <t>S01b0131h04</t>
  </si>
  <si>
    <t>S01b0131h05</t>
  </si>
  <si>
    <t>S01b0131h06</t>
  </si>
  <si>
    <t>S01b0131h07</t>
  </si>
  <si>
    <t>S01b0131h08</t>
  </si>
  <si>
    <t>S01b0131h09</t>
  </si>
  <si>
    <t>S01b0131h10</t>
  </si>
  <si>
    <t>S01b0131h11</t>
  </si>
  <si>
    <t>S01b0131h12</t>
  </si>
  <si>
    <t>S01b0131h13</t>
  </si>
  <si>
    <t>S01b0131h14</t>
  </si>
  <si>
    <t>S01b0131h15</t>
  </si>
  <si>
    <t>S01b0131h16</t>
  </si>
  <si>
    <t>S01b0131h17</t>
  </si>
  <si>
    <t>S01b0131h18</t>
  </si>
  <si>
    <t>S01b0131h19</t>
  </si>
  <si>
    <t>S01b0131h20</t>
  </si>
  <si>
    <t>S01b0131h21</t>
  </si>
  <si>
    <t>S01b0131h22</t>
  </si>
  <si>
    <t>S01b0131h23</t>
  </si>
  <si>
    <t>S01b0131h24</t>
  </si>
  <si>
    <t>S02b0201h01</t>
  </si>
  <si>
    <t>S02b0201h02</t>
  </si>
  <si>
    <t>S02b0201h03</t>
  </si>
  <si>
    <t>S02b0201h04</t>
  </si>
  <si>
    <t>S02b0201h05</t>
  </si>
  <si>
    <t>S02b0201h06</t>
  </si>
  <si>
    <t>S02b0201h07</t>
  </si>
  <si>
    <t>S02b0201h08</t>
  </si>
  <si>
    <t>S02b0201h09</t>
  </si>
  <si>
    <t>S02b0201h10</t>
  </si>
  <si>
    <t>S02b0201h11</t>
  </si>
  <si>
    <t>S02b0201h12</t>
  </si>
  <si>
    <t>S02b0201h13</t>
  </si>
  <si>
    <t>S02b0201h14</t>
  </si>
  <si>
    <t>S02b0201h15</t>
  </si>
  <si>
    <t>S02b0201h16</t>
  </si>
  <si>
    <t>S02b0201h17</t>
  </si>
  <si>
    <t>S02b0201h18</t>
  </si>
  <si>
    <t>S02b0201h19</t>
  </si>
  <si>
    <t>S02b0201h20</t>
  </si>
  <si>
    <t>S02b0201h21</t>
  </si>
  <si>
    <t>S02b0201h22</t>
  </si>
  <si>
    <t>S02b0201h23</t>
  </si>
  <si>
    <t>S02b0201h24</t>
  </si>
  <si>
    <t>S02b0202h01</t>
  </si>
  <si>
    <t>S02b0202h02</t>
  </si>
  <si>
    <t>S02b0202h03</t>
  </si>
  <si>
    <t>S02b0202h04</t>
  </si>
  <si>
    <t>S02b0202h05</t>
  </si>
  <si>
    <t>S02b0202h06</t>
  </si>
  <si>
    <t>S02b0202h07</t>
  </si>
  <si>
    <t>S02b0202h08</t>
  </si>
  <si>
    <t>S02b0202h09</t>
  </si>
  <si>
    <t>S02b0202h10</t>
  </si>
  <si>
    <t>S02b0202h11</t>
  </si>
  <si>
    <t>S02b0202h12</t>
  </si>
  <si>
    <t>S02b0202h13</t>
  </si>
  <si>
    <t>S02b0202h14</t>
  </si>
  <si>
    <t>S02b0202h15</t>
  </si>
  <si>
    <t>S02b0202h16</t>
  </si>
  <si>
    <t>S02b0202h17</t>
  </si>
  <si>
    <t>S02b0202h18</t>
  </si>
  <si>
    <t>S02b0202h19</t>
  </si>
  <si>
    <t>S02b0202h20</t>
  </si>
  <si>
    <t>S02b0202h21</t>
  </si>
  <si>
    <t>S02b0202h22</t>
  </si>
  <si>
    <t>S02b0202h23</t>
  </si>
  <si>
    <t>S02b0202h24</t>
  </si>
  <si>
    <t>S02b0203h01</t>
  </si>
  <si>
    <t>S02b0203h02</t>
  </si>
  <si>
    <t>S02b0203h03</t>
  </si>
  <si>
    <t>S02b0203h04</t>
  </si>
  <si>
    <t>S02b0203h05</t>
  </si>
  <si>
    <t>S02b0203h06</t>
  </si>
  <si>
    <t>S02b0203h07</t>
  </si>
  <si>
    <t>S02b0203h08</t>
  </si>
  <si>
    <t>S02b0203h09</t>
  </si>
  <si>
    <t>S02b0203h10</t>
  </si>
  <si>
    <t>S02b0203h11</t>
  </si>
  <si>
    <t>S02b0203h12</t>
  </si>
  <si>
    <t>S02b0203h13</t>
  </si>
  <si>
    <t>S02b0203h14</t>
  </si>
  <si>
    <t>S02b0203h15</t>
  </si>
  <si>
    <t>S02b0203h16</t>
  </si>
  <si>
    <t>S02b0203h17</t>
  </si>
  <si>
    <t>S02b0203h18</t>
  </si>
  <si>
    <t>S02b0203h19</t>
  </si>
  <si>
    <t>S02b0203h20</t>
  </si>
  <si>
    <t>S02b0203h21</t>
  </si>
  <si>
    <t>S02b0203h22</t>
  </si>
  <si>
    <t>S02b0203h23</t>
  </si>
  <si>
    <t>S02b0203h24</t>
  </si>
  <si>
    <t>S02b0204h01</t>
  </si>
  <si>
    <t>S02b0204h02</t>
  </si>
  <si>
    <t>S02b0204h03</t>
  </si>
  <si>
    <t>S02b0204h04</t>
  </si>
  <si>
    <t>S02b0204h05</t>
  </si>
  <si>
    <t>S02b0204h06</t>
  </si>
  <si>
    <t>S02b0204h07</t>
  </si>
  <si>
    <t>S02b0204h08</t>
  </si>
  <si>
    <t>S02b0204h09</t>
  </si>
  <si>
    <t>S02b0204h10</t>
  </si>
  <si>
    <t>S02b0204h11</t>
  </si>
  <si>
    <t>S02b0204h12</t>
  </si>
  <si>
    <t>S02b0204h13</t>
  </si>
  <si>
    <t>S02b0204h14</t>
  </si>
  <si>
    <t>S02b0204h15</t>
  </si>
  <si>
    <t>S02b0204h16</t>
  </si>
  <si>
    <t>S02b0204h17</t>
  </si>
  <si>
    <t>S02b0204h18</t>
  </si>
  <si>
    <t>S02b0204h19</t>
  </si>
  <si>
    <t>S02b0204h20</t>
  </si>
  <si>
    <t>S02b0204h21</t>
  </si>
  <si>
    <t>S02b0204h22</t>
  </si>
  <si>
    <t>S02b0204h23</t>
  </si>
  <si>
    <t>S02b0204h24</t>
  </si>
  <si>
    <t>S08c0806h01</t>
  </si>
  <si>
    <t>S08c0806h02</t>
  </si>
  <si>
    <t>S08c0806h03</t>
  </si>
  <si>
    <t>S08c0806h04</t>
  </si>
  <si>
    <t>S08c0806h05</t>
  </si>
  <si>
    <t>S08c0806h06</t>
  </si>
  <si>
    <t>S08c0806h07</t>
  </si>
  <si>
    <t>S08c0806h08</t>
  </si>
  <si>
    <t>S08c0806h09</t>
  </si>
  <si>
    <t>S08c0806h10</t>
  </si>
  <si>
    <t>S08c0806h11</t>
  </si>
  <si>
    <t>S08c0806h12</t>
  </si>
  <si>
    <t>S08c0806h13</t>
  </si>
  <si>
    <t>S08c0806h14</t>
  </si>
  <si>
    <t>S08c0806h15</t>
  </si>
  <si>
    <t>S08c0806h16</t>
  </si>
  <si>
    <t>S08c0806h17</t>
  </si>
  <si>
    <t>S08c0806h18</t>
  </si>
  <si>
    <t>S08c0806h19</t>
  </si>
  <si>
    <t>S08c0806h20</t>
  </si>
  <si>
    <t>S08c0806h21</t>
  </si>
  <si>
    <t>S08c0806h22</t>
  </si>
  <si>
    <t>S08c0806h23</t>
  </si>
  <si>
    <t>S08c0806h24</t>
  </si>
  <si>
    <t>S08c0807h01</t>
  </si>
  <si>
    <t>S08c0807h02</t>
  </si>
  <si>
    <t>S08c0807h03</t>
  </si>
  <si>
    <t>S08c0807h04</t>
  </si>
  <si>
    <t>S08c0807h05</t>
  </si>
  <si>
    <t>S08c0807h06</t>
  </si>
  <si>
    <t>S08c0807h07</t>
  </si>
  <si>
    <t>S08c0807h08</t>
  </si>
  <si>
    <t>S08c0807h09</t>
  </si>
  <si>
    <t>S08c0807h10</t>
  </si>
  <si>
    <t>S08c0807h11</t>
  </si>
  <si>
    <t>S08c0807h12</t>
  </si>
  <si>
    <t>S08c0807h13</t>
  </si>
  <si>
    <t>S08c0807h14</t>
  </si>
  <si>
    <t>S08c0807h15</t>
  </si>
  <si>
    <t>S08c0807h16</t>
  </si>
  <si>
    <t>S08c0807h17</t>
  </si>
  <si>
    <t>S08c0807h18</t>
  </si>
  <si>
    <t>S08c0807h19</t>
  </si>
  <si>
    <t>S08c0807h20</t>
  </si>
  <si>
    <t>S08c0807h21</t>
  </si>
  <si>
    <t>S08c0807h22</t>
  </si>
  <si>
    <t>S08c0807h23</t>
  </si>
  <si>
    <t>S08c0807h24</t>
  </si>
  <si>
    <t>S08c0808h01</t>
  </si>
  <si>
    <t>S08c0808h02</t>
  </si>
  <si>
    <t>S08c0808h03</t>
  </si>
  <si>
    <t>S08c0808h04</t>
  </si>
  <si>
    <t>S08c0808h05</t>
  </si>
  <si>
    <t>S08c0808h06</t>
  </si>
  <si>
    <t>S08c0808h07</t>
  </si>
  <si>
    <t>S08c0808h08</t>
  </si>
  <si>
    <t>S08c0808h09</t>
  </si>
  <si>
    <t>S08c0808h10</t>
  </si>
  <si>
    <t>S08c0808h11</t>
  </si>
  <si>
    <t>S08c0808h12</t>
  </si>
  <si>
    <t>S08c0808h13</t>
  </si>
  <si>
    <t>S08c0808h14</t>
  </si>
  <si>
    <t>S08c0808h15</t>
  </si>
  <si>
    <t>S08c0808h16</t>
  </si>
  <si>
    <t>S08c0808h17</t>
  </si>
  <si>
    <t>S08c0808h18</t>
  </si>
  <si>
    <t>S08c0808h19</t>
  </si>
  <si>
    <t>S08c0808h20</t>
  </si>
  <si>
    <t>S08c0808h21</t>
  </si>
  <si>
    <t>S08c0808h22</t>
  </si>
  <si>
    <t>S08c0808h23</t>
  </si>
  <si>
    <t>S08c0808h24</t>
  </si>
  <si>
    <t>S08c0809h01</t>
  </si>
  <si>
    <t>S08c0809h02</t>
  </si>
  <si>
    <t>S08c0809h03</t>
  </si>
  <si>
    <t>S08c0809h04</t>
  </si>
  <si>
    <t>S08c0809h05</t>
  </si>
  <si>
    <t>S08c0809h06</t>
  </si>
  <si>
    <t>S08c0809h07</t>
  </si>
  <si>
    <t>S08c0809h08</t>
  </si>
  <si>
    <t>S08c0809h09</t>
  </si>
  <si>
    <t>S08c0809h10</t>
  </si>
  <si>
    <t>S08c0809h11</t>
  </si>
  <si>
    <t>S08c0809h12</t>
  </si>
  <si>
    <t>S08c0809h13</t>
  </si>
  <si>
    <t>S08c0809h14</t>
  </si>
  <si>
    <t>S08c0809h15</t>
  </si>
  <si>
    <t>S08c0809h16</t>
  </si>
  <si>
    <t>S08c0809h17</t>
  </si>
  <si>
    <t>S08c0809h18</t>
  </si>
  <si>
    <t>S08c0809h19</t>
  </si>
  <si>
    <t>S08c0809h20</t>
  </si>
  <si>
    <t>S08c0809h21</t>
  </si>
  <si>
    <t>S08c0809h22</t>
  </si>
  <si>
    <t>S08c0809h23</t>
  </si>
  <si>
    <t>S08c0809h24</t>
  </si>
  <si>
    <t>S08c0810h01</t>
  </si>
  <si>
    <t>S08c0810h02</t>
  </si>
  <si>
    <t>S08c0810h03</t>
  </si>
  <si>
    <t>S08c0810h04</t>
  </si>
  <si>
    <t>S08c0810h05</t>
  </si>
  <si>
    <t>S08c0810h06</t>
  </si>
  <si>
    <t>S08c0810h07</t>
  </si>
  <si>
    <t>S08c0810h08</t>
  </si>
  <si>
    <t>S08c0810h09</t>
  </si>
  <si>
    <t>S08c0810h10</t>
  </si>
  <si>
    <t>S08c0810h11</t>
  </si>
  <si>
    <t>S08c0810h12</t>
  </si>
  <si>
    <t>S08c0810h13</t>
  </si>
  <si>
    <t>S08c0810h14</t>
  </si>
  <si>
    <t>S08c0810h15</t>
  </si>
  <si>
    <t>S08c0810h16</t>
  </si>
  <si>
    <t>S08c0810h17</t>
  </si>
  <si>
    <t>S08c0810h18</t>
  </si>
  <si>
    <t>S08c0810h19</t>
  </si>
  <si>
    <t>S08c0810h20</t>
  </si>
  <si>
    <t>S08c0810h21</t>
  </si>
  <si>
    <t>S08c0810h22</t>
  </si>
  <si>
    <t>S08c0810h23</t>
  </si>
  <si>
    <t>S08c0810h24</t>
  </si>
  <si>
    <t>S08c0811h01</t>
  </si>
  <si>
    <t>S08c0811h02</t>
  </si>
  <si>
    <t>S08c0811h03</t>
  </si>
  <si>
    <t>S08c0811h04</t>
  </si>
  <si>
    <t>S08c0811h05</t>
  </si>
  <si>
    <t>S08c0811h06</t>
  </si>
  <si>
    <t>S08c0811h07</t>
  </si>
  <si>
    <t>S08c0811h08</t>
  </si>
  <si>
    <t>S08c0811h09</t>
  </si>
  <si>
    <t>S08c0811h10</t>
  </si>
  <si>
    <t>S08c0811h11</t>
  </si>
  <si>
    <t>S08c0811h12</t>
  </si>
  <si>
    <t>S08c0811h13</t>
  </si>
  <si>
    <t>S08c0811h14</t>
  </si>
  <si>
    <t>S08c0811h15</t>
  </si>
  <si>
    <t>S08c0811h16</t>
  </si>
  <si>
    <t>S08c0811h17</t>
  </si>
  <si>
    <t>S08c0811h18</t>
  </si>
  <si>
    <t>S08c0811h19</t>
  </si>
  <si>
    <t>S08c0811h20</t>
  </si>
  <si>
    <t>S08c0811h21</t>
  </si>
  <si>
    <t>S08c0811h22</t>
  </si>
  <si>
    <t>S08c0811h23</t>
  </si>
  <si>
    <t>S08c0811h24</t>
  </si>
  <si>
    <t>S08c0812h01</t>
  </si>
  <si>
    <t>S08c0812h02</t>
  </si>
  <si>
    <t>S08c0812h03</t>
  </si>
  <si>
    <t>S08c0812h04</t>
  </si>
  <si>
    <t>S08c0812h05</t>
  </si>
  <si>
    <t>S08c0812h06</t>
  </si>
  <si>
    <t>S08c0812h07</t>
  </si>
  <si>
    <t>S08c0812h08</t>
  </si>
  <si>
    <t>S08c0812h09</t>
  </si>
  <si>
    <t>S08c0812h10</t>
  </si>
  <si>
    <t>S08c0812h11</t>
  </si>
  <si>
    <t>S08c0812h12</t>
  </si>
  <si>
    <t>S08c0812h13</t>
  </si>
  <si>
    <t>S08c0812h14</t>
  </si>
  <si>
    <t>S08c0812h15</t>
  </si>
  <si>
    <t>S08c0812h16</t>
  </si>
  <si>
    <t>S08c0812h17</t>
  </si>
  <si>
    <t>S08c0812h18</t>
  </si>
  <si>
    <t>S08c0812h19</t>
  </si>
  <si>
    <t>S08c0812h20</t>
  </si>
  <si>
    <t>S08c0812h21</t>
  </si>
  <si>
    <t>S08c0812h22</t>
  </si>
  <si>
    <t>S08c0812h23</t>
  </si>
  <si>
    <t>S08c0812h24</t>
  </si>
  <si>
    <t>S01b0129h12,S01b0131h17,S02b0201h18,S02b0202h13,S02b0202h18,S02b0203h10,S02b0203h11,S02b0203h18,S02b0204h10,S03aH04,S08aH05,S08c0809h08,S08c0809h10,S08c0811h07,S08c0811h15,S08c0811h16,S11aH05,S12aH03,S02b0201h13,S02b0202h10,S04aH02,S08c0811h08,S08c0812h18,S09aH02,S09aH03,S11aH03,S11aH04,S01aH02,S01b0129h08,S01b0129h10,S01b0131h11,S02b0203h07,S04aH04,S08c0806h11,S08c0808h07,S08c0808h08,S08c0808h11,S08c0811h11,S01b0129h15,S01b0130h07,S01b0130h08,S01b0130h11,S02b0202h11,S02b0204h15,S04aH05,S08c0806h07,S08c0806h18,S08c0812h08,S01b0129h13,S01b0131h13,S02aH06,S02b0202h15,S02b0204h16,S03aH05,S05aH05,S06aH04,S08aH04,S08c0806h08,S08c0806h14,S08c0806h16,S08c0806h17,S08c0808h14,S08c0810h08,S08c0810h15,S08c0811h10,S11aH02,S01b0129h07,S01b0129h17,S01b0130h15,S01b0130h18,S01b0131h16,S02aH02,S02b0202h09,S02b0203h14,S06aH06,S08c0807h08,S08c0807h10,S08c0807h14,S08c0808h18,S08c0809h14,S08c0810h14,S01aH03,S01b0129h14,S01b0130h13,S01b0131h18,S02b0201h15,S02b0202h14,S02b0203h15,S05aH02,S05aH03,S05aH06,S08c0809h11,S08c0809h13,S08c0809h16,S08c0810h09,S08c0810h18,S08c0812h14,S01aH06,S01b0129h11,S01b0131h09,S02aH03,S02b0201h16,S02b0203h08,S02b0203h16,S07aH03,S08aH06,S08c0808h17,S08c0809h09,S08c0810h16,S08c0812h10,S01b0131h07,S01b0131h15,S02b0203h13,S02b0204h14,S08aH02,S08c0807h09,S08c0807h16,S08c0809h18,S08c0810h10,S08c0810h11,S08c0811h12,S09aH06,S01b0131h12,S02aH04,S02aH05,S02b0201h09,S02b0201h12,S02b0203h17,S02b0204h11,S02b0204h12,S08c0806h13,S08c0806h15,S08c0807h18,S08c0808h13,S08c0809h15,S08c0810h07,S08c0811h18,S08c0812h09,S08c0812h13,S10aH03,S10aH05,S01b0130h10,S02b0204h08,S04aH03,S07aH04,S08aH03,S08c0807h07,S08c0807h13,S08c0808h09,S08c0808h10,S08c0808h16,S08c0810h13,S08c0810h17,S08c0811h09,S08c0811h14,S08c0812h07,S09aH04,S12aH02,S01b0130h09,S01b0130h12,S01b0131h08,S02b0201h14,S02b0202h08,S02b0203h09,S02b0204h09,S02b0204h13,S02b0204h17,S03aH03,S08c0811h13,S08c0812h11,S09aH05,S01b0129h16,S02b0201h08,S02b0201h11,S02b0201h17,S04aH06,S05aH04,S06aH02,S06aH03,S08c0809h17,S08c0810h12,S10aH04,S12aH06,S01aH04,S01b0129h09,S01b0129h18,S01b0130h16,S01b0130h17,S02b0201h07,S02b0202h07,S02b0202h12,S02b0203h12,S07aH02,S07aH06,S08c0806h09,S08c0807h12,S08c0809h12,S08c0812h16,S01b0131h10,S01b0131h14,S02b0201h10,S02b0202h16,S02b0204h07,S03aH02,S07aH05,S08c0806h12,S08c0807h11,S08c0807h17,S08c0808h12,S08c0811h17,S08c0812h17,S01aH05,S01b0130h14,S02b0202h17,S02b0204h18,S03aH06,S06aH05,S08c0806h10,S08c0807h15,S08c0808h15,S08c0809h07,S08c0812h12,S08c0812h15,S10aH02,S10aH06,S11aH06,S12aH04,S12aH05</t>
  </si>
  <si>
    <t>S01aH07,S01b0129h23,S02aH07,S02b0201h21,S02b0204h03,S05aH01,S08c0807h21,S08c0808h22,S08c0809h01,S08c0812h06,S01b0130h21,S01b0130h22,S01b0130h23,S02b0201h01,S02b0201h19,S02b0202h23,S02b0202h24,S08c0806h02,S08c0806h04,S08c0806h21,S08c0807h01,S08c0810h23,S08c0812h21,S01aH08,S01b0130h19,S01b0131h05,S02aH08,S02b0202h01,S02b0202h03,S02b0203h06,S02b0204h05,S03aH07,S08c0807h24,S08c0808h04,S08c0810h22,S01b0129h04,S01b0130h06,S02b0201h02,S02b0202h19,S02b0204h20,S05aH08,S08c0806h05,S08c0809h21,S08c0811h22,S08c0811h24,S10aH08,S01b0129h22,S01b0131h19,S02b0201h03,S02b0201h04,S02b0201h20,S02b0203h21,S06aH07,S07aH07,S07aH08,S08aH08,S08c0806h20,S08c0808h24,S08c0809h22,S08c0810h01,S08c0810h03,S08c0810h24,S08c0811h03,S08c0811h04,S08c0812h02,S01b0129h24,S01b0131h20,S02b0201h05,S02b0203h02,S02b0203h03,S02b0203h05,S02b0203h22,S02b0203h24,S02b0204h19,S03aH01,S08c0806h03,S08c0807h19,S08c0808h05,S08c0810h20,S12aH07,S01b0129h03,S02b0201h22,S02b0203h20,S08c0808h21,S08c0809h19,S08c0810h04,S08c0811h20,S08c0812h20,S09aH01,S11aH07,S01aH01,S01b0129h05,S01b0130h04,S01b0131h04,S01b0131h21,S01b0131h22,S02b0201h06,S02b0202h21,S02b0204h01,S04aH01,S08c0807h03,S08c0807h05,S08c0808h03,S08c0808h20,S08c0809h24,S08c0810h06,S08c0810h19,S08c0811h23,S08c0812h01,S08c0812h22,S09aH08,S11aH01,S01b0129h19,S01b0129h20,S02b0201h23,S02b0201h24,S02b0202h22,S04aH08,S06aH01,S08c0809h20,S08c0811h19,S12aH08,S01b0130h05,S03aH08,S04aH07,S06aH08,S08c0806h01,S08c0807h20,S08c0807h23,S08c0809h03,S08c0809h06,S12aH01,S01b0130h02,S01b0130h03,S01b0130h24,S01b0131h03,S02aH01,S02b0202h02,S02b0202h06,S02b0203h04,S08c0806h23,S08c0807h06,S08c0808h06,S08c0812h03,S01b0129h02,S01b0130h01,S01b0131h01,S02b0203h23,S08c0807h02,S08c0807h04,S08c0809h23,S08c0811h06,S08c0811h21,S11aH08,S01b0129h21,S01b0130h20,S01b0131h06,S02b0202h20,S02b0204h04,S02b0204h22,S05aH07,S07aH01,S08c0810h02,S08c0812h04,S08c0812h19,S08c0812h23,S08c0812h24,S10aH07,S01b0129h06,S02b0202h04,S02b0202h05,S02b0204h02,S02b0204h06,S02b0204h21,S08aH01,S08c0806h24,S08c0809h04,S08c0810h05,S08c0810h21,S08c0811h02,S08c0811h05,S09aH07,S10aH01,S01b0131h24,S02b0203h01,S02b0203h19,S08aH07,S08c0806h06,S08c0807h22,S08c0808h01,S01b0129h01,S01b0131h02,S01b0131h23,S02b0204h23,S02b0204h24,S08c0806h19,S08c0806h22,S08c0808h02,S08c0808h19,S08c0808h23,S08c0809h02,S08c0809h05,S08c0811h01,S08c0812h05</t>
  </si>
  <si>
    <t>S09d0920h01</t>
  </si>
  <si>
    <t>S09d0920h02</t>
  </si>
  <si>
    <t>S09d0920h03</t>
  </si>
  <si>
    <t>S09d0920h04</t>
  </si>
  <si>
    <t>S09d0920h05</t>
  </si>
  <si>
    <t>S09d0920h06</t>
  </si>
  <si>
    <t>S09d0920h07</t>
  </si>
  <si>
    <t>S09d0920h08</t>
  </si>
  <si>
    <t>S09d0920h09</t>
  </si>
  <si>
    <t>S09d0920h10</t>
  </si>
  <si>
    <t>S09d0920h11</t>
  </si>
  <si>
    <t>S09d0920h12</t>
  </si>
  <si>
    <t>S09d0920h13</t>
  </si>
  <si>
    <t>S09d0920h14</t>
  </si>
  <si>
    <t>S09d0920h15</t>
  </si>
  <si>
    <t>S09d0920h16</t>
  </si>
  <si>
    <t>S09d0920h17</t>
  </si>
  <si>
    <t>S09d0920h18</t>
  </si>
  <si>
    <t>S09d0920h19</t>
  </si>
  <si>
    <t>S09d0920h20</t>
  </si>
  <si>
    <t>S09d0920h21</t>
  </si>
  <si>
    <t>S09d0920h22</t>
  </si>
  <si>
    <t>S09d0920h23</t>
  </si>
  <si>
    <t>S09d0920h24</t>
  </si>
  <si>
    <t>S09e0921h01</t>
  </si>
  <si>
    <t>S09e0921h02</t>
  </si>
  <si>
    <t>S09e0921h03</t>
  </si>
  <si>
    <t>S09e0921h04</t>
  </si>
  <si>
    <t>S09e0921h05</t>
  </si>
  <si>
    <t>S09e0921h06</t>
  </si>
  <si>
    <t>S09e0921h07</t>
  </si>
  <si>
    <t>S09e0921h08</t>
  </si>
  <si>
    <t>S09e0921h09</t>
  </si>
  <si>
    <t>S09e0921h10</t>
  </si>
  <si>
    <t>S09e0921h11</t>
  </si>
  <si>
    <t>S09e0921h12</t>
  </si>
  <si>
    <t>S09e0921h13</t>
  </si>
  <si>
    <t>S09e0921h14</t>
  </si>
  <si>
    <t>S09e0921h15</t>
  </si>
  <si>
    <t>S09e0921h16</t>
  </si>
  <si>
    <t>S09e0921h17</t>
  </si>
  <si>
    <t>S09e0921h18</t>
  </si>
  <si>
    <t>S09e0921h19</t>
  </si>
  <si>
    <t>S09e0921h20</t>
  </si>
  <si>
    <t>S09e0921h21</t>
  </si>
  <si>
    <t>S09e0921h22</t>
  </si>
  <si>
    <t>S09e0921h23</t>
  </si>
  <si>
    <t>S09e0921h24</t>
  </si>
  <si>
    <t>S01b0129h12,S01b0131h17,S02b0201h18,S02b0202h13,S02b0202h18,S02b0203h10,S02b0203h11,S02b0203h18,S02b0204h10,S03aH04,S08aH05,S08c0809h08,S08c0809h10,S08c0811h07,S08c0811h15,S08c0811h16,S09d0920h16,S09e0921h13,S11aH05,S12aH03,S02b0201h13,S02b0202h10,S04aH02,S08c0811h08,S08c0812h18,S09aH02,S09aH03,S09e0921h08,S11aH03,S11aH04,S01aH05,S01b0130h14,S02b0202h17,S02b0204h18,S03aH06,S06aH05,S08c0806h10,S08c0807h15,S08c0808h15,S08c0809h07,S08c0812h12,S08c0812h15,S09e0921h10,S09e0921h16,S10aH02,S10aH06,S11aH06,S12aH04,S12aH05,S01b0129h15,S01b0130h07,S01b0130h08,S01b0130h11,S02b0202h11,S02b0204h15,S04aH05,S08c0806h07,S08c0806h18,S08c0812h08,S01b0129h13,S01b0131h13,S02aH06,S02b0202h15,S02b0204h16,S03aH05,S05aH05,S06aH04,S08aH04,S08c0806h08,S08c0806h14,S08c0806h16,S08c0806h17,S08c0808h14,S08c0810h08,S08c0810h15,S08c0811h10,S09d0920h11,S11aH02,S01b0130h10,S02b0204h08,S04aH03,S07aH04,S08aH03,S08c0807h07,S08c0807h13,S08c0808h09,S08c0808h10,S08c0808h16,S08c0810h13,S08c0810h17,S08c0811h09,S08c0811h14,S08c0812h07,S09aH04,S09d0920h17,S12aH02,S01b0129h16,S02b0201h08,S02b0201h11,S02b0201h17,S04aH06,S05aH04,S06aH02,S06aH03,S08c0809h17,S08c0810h12,S09d0920h12,S09e0921h07,S09e0921h15,S10aH04,S12aH06,S01b0131h12,S02aH04,S02aH05,S02b0201h09,S02b0201h12,S02b0203h17,S02b0204h11,S02b0204h12,S08c0806h13,S08c0806h15,S08c0807h18,S08c0808h13,S08c0809h15,S08c0810h07,S08c0811h18,S08c0812h09,S08c0812h13,S09d0920h07,S09d0920h13,S10aH03,S10aH05,S01b0131h07,S01b0131h15,S02b0203h13,S02b0204h14,S08aH02,S08c0807h09,S08c0807h16,S08c0809h18,S08c0810h10,S08c0810h11,S08c0811h12,S09aH06,S09e0921h12,S09e0921h17,S01aH03,S01b0129h14,S01b0130h13,S01b0131h18,S02b0201h15,S02b0202h14,S02b0203h15,S05aH02,S05aH03,S05aH06,S08c0809h11,S08c0809h13,S08c0809h16,S08c0810h09,S08c0810h18,S08c0812h14,S09e0921h11,S01aH04,S01b0129h09,S01b0129h18,S01b0130h16,S01b0130h17,S02b0201h07,S02b0202h07,S02b0202h12,S02b0203h12,S07aH02,S07aH06,S08c0806h09,S08c0807h12,S08c0809h12,S08c0812h16,S09d0920h14,S09e0921h18,S01aH06,S01b0129h11,S01b0131h09,S02aH03,S02b0201h16,S02b0203h08,S02b0203h16,S07aH03,S08aH06,S08c0808h17,S08c0809h09,S08c0810h16,S08c0812h10,S09d0920h08,S09d0920h10,S09e0921h14,S01b0130h09,S01b0130h12,S01b0131h08,S02b0201h14,S02b0202h08,S02b0203h09,S02b0204h09,S02b0204h13,S02b0204h17,S03aH03,S08c0811h13,S08c0812h11,S09aH05,S01aH02,S01b0129h08,S01b0129h10,S01b0131h11,S02b0203h07,S04aH04,S08c0806h11,S08c0808h07,S08c0808h08,S08c0808h11,S08c0811h11,S09d0920h18,S01b0129h07,S01b0129h17,S01b0130h15,S01b0130h18,S01b0131h16,S02aH02,S02b0202h09,S02b0203h14,S06aH06,S08c0807h08,S08c0807h10,S08c0807h14,S08c0808h18,S08c0809h14,S08c0810h14,S09d0920h09,S09d0920h15,S09e0921h09,S01b0131h10,S01b0131h14,S02b0201h10,S02b0202h16,S02b0204h07,S03aH02,S07aH05,S08c0806h12,S08c0807h11,S08c0807h17,S08c0808h12,S08c0811h17,S08c0812h17</t>
  </si>
  <si>
    <t>S01aH07,S01b0129h23,S02aH07,S02b0201h21,S02b0204h03,S05aH01,S08c0807h21,S08c0808h22,S08c0809h01,S08c0812h06,S09e0921h03,S01b0130h21,S01b0130h22,S01b0130h23,S02b0201h01,S02b0201h19,S02b0202h23,S02b0202h24,S08c0806h02,S08c0806h04,S08c0806h21,S08c0807h01,S08c0810h23,S08c0812h21,S09d0920h02,S09d0920h19,S09e0921h01,S01b0129h01,S01b0131h02,S01b0131h23,S02b0204h23,S02b0204h24,S08c0806h19,S08c0806h22,S08c0808h02,S08c0808h19,S08c0808h23,S08c0809h02,S08c0809h05,S08c0811h01,S08c0812h05,S01b0129h04,S01b0130h06,S02b0201h02,S02b0202h19,S02b0204h20,S05aH08,S08c0806h05,S08c0809h21,S08c0811h22,S08c0811h24,S09d0920h01,S09e0921h20,S09e0921h22,S10aH08,S01b0129h22,S01b0131h19,S02b0201h03,S02b0201h04,S02b0201h20,S02b0203h21,S06aH07,S07aH07,S07aH08,S08aH08,S08c0806h20,S08c0808h24,S08c0809h22,S08c0810h01,S08c0810h03,S08c0810h24,S08c0811h03,S08c0811h04,S08c0812h02,S09d0920h06,S09e0921h02,S01b0130h02,S01b0130h03,S01b0130h24,S01b0131h03,S02aH01,S02b0202h02,S02b0202h06,S02b0203h04,S08c0806h23,S08c0807h06,S08c0808h06,S08c0812h03,S01b0129h21,S01b0130h20,S01b0131h06,S02b0202h20,S02b0204h04,S02b0204h22,S05aH07,S07aH01,S08c0810h02,S08c0812h04,S08c0812h19,S08c0812h23,S08c0812h24,S09d0920h03,S09e0921h06,S09e0921h19,S10aH07,S01b0130h05,S03aH08,S04aH07,S06aH08,S08c0806h01,S08c0807h20,S08c0807h23,S08c0809h03,S08c0809h06,S09e0921h04,S12aH01,S01b0129h19,S01b0129h20,S02b0201h23,S02b0201h24,S02b0202h22,S04aH08,S06aH01,S08c0809h20,S08c0811h19,S09d0920h23,S12aH08,S01b0129h03,S02b0201h22,S02b0203h20,S08c0808h21,S08c0809h19,S08c0810h04,S08c0811h20,S08c0812h20,S09aH01,S09e0921h05,S11aH07,S01b0129h06,S02b0202h04,S02b0202h05,S02b0204h02,S02b0204h06,S02b0204h21,S08aH01,S08c0806h24,S08c0809h04,S08c0810h05,S08c0810h21,S08c0811h02,S08c0811h05,S09aH07,S09d0920h21,S09e0921h24,S10aH01,S01aH01,S01b0129h05,S01b0130h04,S01b0131h04,S01b0131h21,S01b0131h22,S02b0201h06,S02b0202h21,S02b0204h01,S04aH01,S08c0807h03,S08c0807h05,S08c0808h03,S08c0808h20,S08c0809h24,S08c0810h06,S08c0810h19,S08c0811h23,S08c0812h01,S08c0812h22,S09aH08,S09e0921h21,S11aH01,S01b0129h02,S01b0130h01,S01b0131h01,S02b0203h23,S08c0807h02,S08c0807h04,S08c0809h23,S08c0811h06,S08c0811h21,S09d0920h20,S09d0920h24,S11aH08,S01aH08,S01b0130h19,S01b0131h05,S02aH08,S02b0202h01,S02b0202h03,S02b0203h06,S02b0204h05,S03aH07,S08c0807h24,S08c0808h04,S08c0810h22,S09d0920h05,S09e0921h23,S01b0129h24,S01b0131h20,S02b0201h05,S02b0203h02,S02b0203h03,S02b0203h05,S02b0203h22,S02b0203h24,S02b0204h19,S03aH01,S08c0806h03,S08c0807h19,S08c0808h05,S08c0810h20,S12aH07,S01b0131h24,S02b0203h01,S02b0203h19,S08aH07,S08c0806h06,S08c0807h22,S08c0808h01,S09d0920h04,S09d0920h22</t>
  </si>
  <si>
    <t>S01,S02,S03,S04</t>
  </si>
  <si>
    <t>S01aH02,S02aH02,S03aH02,S04aH02</t>
  </si>
  <si>
    <t>S04aH03,S03aH01,S03aH03,S02aH03,S01aH01,S04aH01,S01aH03,S02aH01</t>
  </si>
  <si>
    <t>S02aH04,S02aH05,S04aH05,S02aH02,S03aH05,S01aH03,S03aH03,S03aH02,S01aH05,S01aH04,S04aH03,S02aH03,S01aH02,S04aH04,S03aH04,S04aH02</t>
  </si>
  <si>
    <t>S02aH06,S03aH01,S01aH06,S02aH01,S01aH01,S04aH01,S04aH06,S03aH06</t>
  </si>
  <si>
    <t>S01,S02,S03,S04,S05,S06,S07</t>
  </si>
  <si>
    <t>S01aH04,S07aH02,S03aH05,S05aH05,S06aH04,S01aH03,S05aH02,S05aH03,S01aH02,S04aH04,S02aH02,S02aH04,S02aH05,S04aH05,S03aH03,S05aH04,S06aH02,S06aH03,S03aH04,S03aH02,S07aH05,S04aH02,S01aH05,S06aH05,S02aH03,S07aH03,S04aH03,S07aH04</t>
  </si>
  <si>
    <t>S03aH06,S03aH01,S02aH06,S06aH06,S01aH06,S07aH01,S05aH01,S07aH06,S01aH01,S04aH01,S04aH06,S06aH01,S02aH01,S05aH06</t>
  </si>
  <si>
    <t>S03aH04,S04aH02,S04aH03,S07aH04,S04aH06,S05aH04,S06aH02,S06aH03,S02aH06,S03aH05,S05aH05,S06aH04,S01aH04,S07aH02,S07aH06,S01aH03,S05aH02,S05aH03,S05aH06,S03aH02,S07aH05,S04aH05,S03aH03,S02aH04,S02aH05,S01aH02,S04aH04,S01aH05,S03aH06,S06aH05,S02aH02,S06aH06,S01aH06,S02aH03,S07aH03</t>
  </si>
  <si>
    <t>S01aH07,S02aH07,S05aH01,S02aH01,S04aH08,S06aH01,S05aH07,S07aH01,S06aH07,S07aH07,S07aH08,S05aH08,S03aH08,S04aH07,S06aH08,S01aH08,S02aH08,S03aH07,S03aH01,S01aH01,S04aH01</t>
  </si>
  <si>
    <t>S01aH04,S07aH02,S07aH06,S02aH04,S02aH05,S10aH03,S10aH05,S03aH02,S07aH05,S01aH02,S04aH04,S02aH02,S06aH06,S04aH06,S05aH04,S06aH02,S06aH03,S10aH04,S12aH06,S03aH03,S09aH05,S04aH05,S03aH04,S08aH05,S11aH05,S12aH03,S04aH02,S09aH02,S09aH03,S11aH03,S11aH04,S08aH02,S09aH06,S01aH05,S03aH06,S06aH05,S10aH02,S10aH06,S11aH06,S12aH04,S12aH05,S04aH03,S07aH04,S08aH03,S09aH04,S12aH02,S01aH03,S05aH02,S05aH03,S05aH06,S02aH06,S03aH05,S05aH05,S06aH04,S08aH04,S11aH02,S01aH06,S02aH03,S07aH03,S08aH06</t>
  </si>
  <si>
    <t>S08aH01,S09aH07,S10aH01,S03aH08,S04aH07,S06aH08,S12aH01,S08aH07,S01aH08,S02aH08,S03aH07,S03aH01,S12aH07,S05aH07,S07aH01,S10aH07,S11aH08,S05aH08,S10aH08,S01aH07,S02aH07,S05aH01,S04aH08,S06aH01,S12aH08,S02aH01,S09aH01,S11aH07,S06aH07,S07aH07,S07aH08,S08aH08,S01aH01,S04aH01,S09aH08,S11aH01</t>
  </si>
  <si>
    <t>S02aH06,S03aH05,S05aH05,S06aH04,S08aH04,S11aH02,S04aH02,S09aH02,S09aH03,S11aH03,S11aH04,S02aH02,S06aH06,S08aH02,S09aH06,S01aH03,S05aH02,S05aH03,S05aH06,S03aH04,S08aH05,S11aH05,S12aH03,S03aH03,S09aH05,S04aH05,S04aH03,S07aH04,S08aH03,S09aH04,S12aH02,S03aH02,S07aH05,S01aH04,S07aH02,S07aH06,S01aH06,S02aH03,S07aH03,S08aH06,S01aH05,S03aH06,S06aH05,S10aH02,S10aH06,S11aH06,S12aH04,S12aH05,S04aH06,S05aH04,S06aH02,S06aH03,S10aH04,S12aH06,S02aH04,S02aH05,S10aH03,S10aH05,S01aH02,S04aH04</t>
  </si>
  <si>
    <t>S06aH07,S07aH07,S07aH08,S08aH08,S03aH01,S12aH07,S04aH08,S06aH01,S12aH08,S09aH01,S11aH07,S01aH07,S02aH07,S05aH01,S11aH08,S05aH08,S10aH08,S02aH01,S08aH07,S08aH01,S09aH07,S10aH01,S01aH01,S04aH01,S09aH08,S11aH01,S05aH07,S07aH01,S10aH07,S03aH08,S04aH07,S06aH08,S12aH01,S01aH08,S02aH08,S03aH07</t>
  </si>
  <si>
    <t>S01aH04,S07aH02,S07aH06,S08aH02,S09aH06,S04aH03,S07aH04,S08aH03,S09aH04,S12aH02,S02aH02,S06aH06,S01aH02,S04aH04,S04aH02,S09aH02,S09aH03,S11aH03,S11aH04,S04aH06,S05aH04,S06aH02,S06aH03,S10aH04,S12aH06,S03aH03,S09aH05,S01aH06,S02aH03,S07aH03,S08aH06,S02aH06,S03aH05,S05aH05,S06aH04,S08aH04,S11aH02,S03aH02,S07aH05,S02aH04,S02aH05,S10aH03,S10aH05,S04aH05,S01aH03,S05aH02,S05aH03,S05aH06,S03aH04,S08aH05,S11aH05,S12aH03,S01aH05,S03aH06,S06aH05,S10aH02,S10aH06,S11aH06,S12aH04,S12aH05</t>
  </si>
  <si>
    <t>S08aH01,S09aH07,S10aH01,S04aH08,S06aH01,S12aH08,S02aH01,S03aH01,S12aH07,S01aH08,S02aH08,S03aH07,S05aH07,S07aH01,S10aH07,S11aH08,S01aH01,S04aH01,S09aH08,S11aH01,S06aH07,S07aH07,S07aH08,S08aH08,S08aH07,S03aH08,S04aH07,S06aH08,S12aH01,S05aH08,S10aH08,S09aH01,S11aH07,S01aH07,S02aH07,S05aH01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</si>
  <si>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</si>
  <si>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</si>
  <si>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</si>
  <si>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</si>
  <si>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</si>
  <si>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</si>
  <si>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</si>
  <si>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</si>
  <si>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</si>
  <si>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</si>
  <si>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</si>
  <si>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</si>
  <si>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</si>
  <si>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</si>
  <si>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</si>
  <si>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</si>
  <si>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</si>
  <si>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</si>
  <si>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</si>
  <si>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</si>
  <si>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</si>
  <si>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SaD,WaD,FaP,SaP,WaP,FaD,RaD,RaP</t>
  </si>
  <si>
    <t>FaP,SaP,RaN,FaN,RaP,WaP,SaN,WaN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</si>
</sst>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1811.6499999999999</c:v>
                </c:pt>
                <c:pt idx="1">
                  <c:v>2355.145</c:v>
                </c:pt>
                <c:pt idx="2">
                  <c:v>2934.873</c:v>
                </c:pt>
                <c:pt idx="3">
                  <c:v>3840.6979999999999</c:v>
                </c:pt>
                <c:pt idx="4">
                  <c:v>4782.7560000000003</c:v>
                </c:pt>
                <c:pt idx="5">
                  <c:v>6213.9594999999999</c:v>
                </c:pt>
                <c:pt idx="6">
                  <c:v>7445.8815000000004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47.87</c:v>
                </c:pt>
                <c:pt idx="3">
                  <c:v>86.21</c:v>
                </c:pt>
                <c:pt idx="4">
                  <c:v>123.26</c:v>
                </c:pt>
                <c:pt idx="5">
                  <c:v>172.36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78"/>
  <sheetViews>
    <sheetView workbookViewId="0">
      <selection activeCell="A21" sqref="A21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8" x14ac:dyDescent="0.45">
      <c r="G1" s="18" t="s">
        <v>145</v>
      </c>
    </row>
    <row r="2" spans="1:38" x14ac:dyDescent="0.45">
      <c r="D2" s="1" t="str">
        <f>"~Inputcell: "&amp;_xlfn.TEXTJOIN(",",TRUE,G1:EE1)</f>
        <v>~Inputcell: 1-70</v>
      </c>
      <c r="G2">
        <v>5</v>
      </c>
      <c r="H2">
        <v>6</v>
      </c>
      <c r="I2">
        <v>7</v>
      </c>
      <c r="J2">
        <v>9</v>
      </c>
      <c r="K2">
        <v>10</v>
      </c>
      <c r="L2">
        <v>11</v>
      </c>
      <c r="M2">
        <v>16</v>
      </c>
      <c r="N2">
        <v>17</v>
      </c>
      <c r="O2">
        <v>18</v>
      </c>
      <c r="P2">
        <v>20</v>
      </c>
      <c r="Q2">
        <v>21</v>
      </c>
      <c r="R2">
        <v>22</v>
      </c>
      <c r="S2">
        <v>27</v>
      </c>
      <c r="T2">
        <v>28</v>
      </c>
      <c r="U2">
        <v>29</v>
      </c>
      <c r="V2">
        <v>31</v>
      </c>
      <c r="W2">
        <v>32</v>
      </c>
      <c r="X2">
        <v>33</v>
      </c>
      <c r="Y2">
        <v>38</v>
      </c>
      <c r="Z2">
        <v>39</v>
      </c>
      <c r="AA2">
        <v>40</v>
      </c>
      <c r="AB2">
        <v>42</v>
      </c>
      <c r="AC2">
        <v>43</v>
      </c>
      <c r="AD2">
        <v>44</v>
      </c>
      <c r="AE2">
        <v>49</v>
      </c>
      <c r="AF2">
        <v>50</v>
      </c>
      <c r="AG2">
        <v>51</v>
      </c>
      <c r="AH2">
        <v>53</v>
      </c>
      <c r="AI2">
        <v>54</v>
      </c>
      <c r="AJ2">
        <v>55</v>
      </c>
    </row>
    <row r="3" spans="1:38" x14ac:dyDescent="0.45">
      <c r="D3" s="9">
        <v>3</v>
      </c>
    </row>
    <row r="5" spans="1:38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8" x14ac:dyDescent="0.45">
      <c r="B7" s="16" t="s">
        <v>119</v>
      </c>
    </row>
    <row r="8" spans="1:38" ht="14.65" thickBot="1" x14ac:dyDescent="0.5">
      <c r="A8" s="4" t="s">
        <v>124</v>
      </c>
      <c r="B8" s="4" t="s">
        <v>120</v>
      </c>
      <c r="C8" s="4" t="s">
        <v>121</v>
      </c>
      <c r="D8" s="4" t="s">
        <v>122</v>
      </c>
      <c r="E8" s="4" t="s">
        <v>123</v>
      </c>
    </row>
    <row r="9" spans="1:38" x14ac:dyDescent="0.45">
      <c r="A9">
        <v>5</v>
      </c>
      <c r="B9" t="str">
        <f>VLOOKUP(E9,$AK$9:$AL$15,2,FALSE)&amp;"."&amp;VLOOKUP(D9,$AH$9:$AI$24,2,FALSE)</f>
        <v>e 1.5 deg no OS.kAnn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107</v>
      </c>
      <c r="AI9" t="s">
        <v>141</v>
      </c>
      <c r="AJ9" s="10">
        <v>1</v>
      </c>
      <c r="AK9" t="s">
        <v>0</v>
      </c>
      <c r="AL9" t="s">
        <v>110</v>
      </c>
    </row>
    <row r="10" spans="1:38" x14ac:dyDescent="0.45">
      <c r="A10">
        <v>5</v>
      </c>
      <c r="B10" t="str">
        <f t="shared" ref="B10:B73" si="0">VLOOKUP(E10,$AK$9:$AL$15,2,FALSE)&amp;"."&amp;VLOOKUP(D10,$AH$9:$AI$24,2,FALSE)</f>
        <v>d 1.5 deg OS.kAnn</v>
      </c>
      <c r="C10">
        <f>C9+1</f>
        <v>2</v>
      </c>
      <c r="D10" t="str">
        <f t="shared" ref="D10:D63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132</v>
      </c>
      <c r="AI10" t="s">
        <v>140</v>
      </c>
      <c r="AJ10" s="10">
        <v>1</v>
      </c>
      <c r="AK10" t="s">
        <v>2</v>
      </c>
      <c r="AL10" t="s">
        <v>112</v>
      </c>
    </row>
    <row r="11" spans="1:38" x14ac:dyDescent="0.45">
      <c r="A11">
        <v>5</v>
      </c>
      <c r="B11" t="str">
        <f t="shared" si="0"/>
        <v>c 2 deg (67%).kAnn</v>
      </c>
      <c r="C11">
        <f t="shared" ref="C11:C74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125</v>
      </c>
      <c r="AI11" t="s">
        <v>139</v>
      </c>
      <c r="AJ11" s="10">
        <v>1</v>
      </c>
      <c r="AK11" t="s">
        <v>5</v>
      </c>
      <c r="AL11" t="s">
        <v>114</v>
      </c>
    </row>
    <row r="12" spans="1:38" ht="14.65" customHeight="1" thickBot="1" x14ac:dyDescent="0.5">
      <c r="A12">
        <v>5</v>
      </c>
      <c r="B12" t="str">
        <f t="shared" si="0"/>
        <v>b 2 deg (50%).kAnn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1811.6499999999999</v>
      </c>
      <c r="T12" s="2" t="s">
        <v>57</v>
      </c>
      <c r="AG12">
        <v>4</v>
      </c>
      <c r="AH12" t="s">
        <v>126</v>
      </c>
      <c r="AI12" t="s">
        <v>138</v>
      </c>
      <c r="AJ12" s="10">
        <v>1</v>
      </c>
      <c r="AK12" t="s">
        <v>7</v>
      </c>
      <c r="AL12" t="s">
        <v>116</v>
      </c>
    </row>
    <row r="13" spans="1:38" ht="14.65" customHeight="1" thickTop="1" x14ac:dyDescent="0.45">
      <c r="A13">
        <v>5</v>
      </c>
      <c r="B13" t="str">
        <f t="shared" si="0"/>
        <v>a 3 deg.kAnn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127</v>
      </c>
      <c r="AI13" t="s">
        <v>137</v>
      </c>
      <c r="AJ13" s="10">
        <v>1</v>
      </c>
      <c r="AK13" t="s">
        <v>9</v>
      </c>
      <c r="AL13" t="s">
        <v>117</v>
      </c>
    </row>
    <row r="14" spans="1:38" x14ac:dyDescent="0.45">
      <c r="A14">
        <v>5</v>
      </c>
      <c r="B14" t="str">
        <f t="shared" si="0"/>
        <v>e 1.5 deg no OS.k12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1811.6499999999999</v>
      </c>
      <c r="U14" s="8">
        <f t="shared" ref="U14:Z14" si="3">$S$12*J15</f>
        <v>2355.145</v>
      </c>
      <c r="V14" s="8">
        <f t="shared" si="3"/>
        <v>2934.873</v>
      </c>
      <c r="W14" s="8">
        <f t="shared" si="3"/>
        <v>3840.6979999999999</v>
      </c>
      <c r="X14" s="8">
        <f t="shared" si="3"/>
        <v>4782.7560000000003</v>
      </c>
      <c r="Y14" s="8">
        <f t="shared" si="3"/>
        <v>6213.9594999999999</v>
      </c>
      <c r="Z14" s="8">
        <f t="shared" si="3"/>
        <v>7445.8815000000004</v>
      </c>
      <c r="AG14">
        <v>6</v>
      </c>
      <c r="AH14" t="s">
        <v>128</v>
      </c>
      <c r="AI14" t="s">
        <v>136</v>
      </c>
      <c r="AJ14" s="10">
        <f>AJ9+1</f>
        <v>2</v>
      </c>
    </row>
    <row r="15" spans="1:38" x14ac:dyDescent="0.45">
      <c r="A15">
        <v>5</v>
      </c>
      <c r="B15" t="str">
        <f t="shared" si="0"/>
        <v>d 1.5 deg OS.k12</v>
      </c>
      <c r="C15">
        <f t="shared" si="2"/>
        <v>7</v>
      </c>
      <c r="D15" t="str">
        <f t="shared" si="1"/>
        <v>ts_12t</v>
      </c>
      <c r="E15" t="str">
        <f t="shared" ref="E15:E78" si="4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1.3</v>
      </c>
      <c r="K15" s="11">
        <f>SUMIFS(ar6_r10!$F$2:$F$999,ar6_r10!$A$2:$A$999,Veda!$E$5,ar6_r10!$C$2:$C$999,Veda!K$17,ar6_r10!$M$2:$M$999,Veda!$G15)</f>
        <v>1.62</v>
      </c>
      <c r="L15" s="11">
        <f>SUMIFS(ar6_r10!$F$2:$F$999,ar6_r10!$A$2:$A$999,Veda!$E$5,ar6_r10!$C$2:$C$999,Veda!L$17,ar6_r10!$M$2:$M$999,Veda!$G15)</f>
        <v>2.12</v>
      </c>
      <c r="M15" s="11">
        <f>SUMIFS(ar6_r10!$F$2:$F$999,ar6_r10!$A$2:$A$999,Veda!$E$5,ar6_r10!$C$2:$C$999,Veda!M$17,ar6_r10!$M$2:$M$999,Veda!$G15)</f>
        <v>2.64</v>
      </c>
      <c r="N15" s="11">
        <f>SUMIFS(ar6_r10!$F$2:$F$999,ar6_r10!$A$2:$A$999,Veda!$E$5,ar6_r10!$C$2:$C$999,Veda!N$17,ar6_r10!$M$2:$M$999,Veda!$G15)</f>
        <v>3.43</v>
      </c>
      <c r="O15" s="11">
        <f>SUMIFS(ar6_r10!$F$2:$F$999,ar6_r10!$A$2:$A$999,Veda!$E$5,ar6_r10!$C$2:$C$999,Veda!O$17,ar6_r10!$M$2:$M$999,Veda!$G15)</f>
        <v>4.1100000000000003</v>
      </c>
      <c r="AG15">
        <v>7</v>
      </c>
      <c r="AH15" t="s">
        <v>129</v>
      </c>
      <c r="AI15" t="s">
        <v>135</v>
      </c>
      <c r="AJ15" s="10">
        <f t="shared" ref="AJ15:AJ78" si="5">AJ10+1</f>
        <v>2</v>
      </c>
    </row>
    <row r="16" spans="1:38" ht="17.649999999999999" customHeight="1" thickBot="1" x14ac:dyDescent="0.6">
      <c r="A16">
        <v>5</v>
      </c>
      <c r="B16" t="str">
        <f t="shared" si="0"/>
        <v>c 2 deg (67%).k12</v>
      </c>
      <c r="C16">
        <f t="shared" si="2"/>
        <v>8</v>
      </c>
      <c r="D16" t="str">
        <f t="shared" si="1"/>
        <v>ts_12t</v>
      </c>
      <c r="E16" t="str">
        <f t="shared" si="4"/>
        <v>C3</v>
      </c>
      <c r="S16" s="5" t="s">
        <v>12</v>
      </c>
      <c r="AG16">
        <v>8</v>
      </c>
      <c r="AH16" t="s">
        <v>130</v>
      </c>
      <c r="AI16" t="s">
        <v>134</v>
      </c>
      <c r="AJ16" s="10">
        <f t="shared" si="5"/>
        <v>2</v>
      </c>
    </row>
    <row r="17" spans="1:36" ht="15" customHeight="1" thickTop="1" thickBot="1" x14ac:dyDescent="0.5">
      <c r="A17">
        <v>5</v>
      </c>
      <c r="B17" t="str">
        <f t="shared" si="0"/>
        <v>b 2 deg (50%).k12</v>
      </c>
      <c r="C17">
        <f t="shared" si="2"/>
        <v>9</v>
      </c>
      <c r="D17" t="str">
        <f t="shared" si="1"/>
        <v>ts_12t</v>
      </c>
      <c r="E17" t="str">
        <f t="shared" si="4"/>
        <v>C4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131</v>
      </c>
      <c r="AI17" t="s">
        <v>133</v>
      </c>
      <c r="AJ17" s="10">
        <f t="shared" si="5"/>
        <v>2</v>
      </c>
    </row>
    <row r="18" spans="1:36" x14ac:dyDescent="0.45">
      <c r="A18">
        <v>5</v>
      </c>
      <c r="B18" t="str">
        <f t="shared" si="0"/>
        <v>a 3 deg.k12</v>
      </c>
      <c r="C18">
        <f t="shared" si="2"/>
        <v>10</v>
      </c>
      <c r="D18" t="str">
        <f t="shared" si="1"/>
        <v>ts_12t</v>
      </c>
      <c r="E18" t="str">
        <f t="shared" si="4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0.02</v>
      </c>
      <c r="N18" s="11">
        <f>SUMIFS(ar6_r10!$F$2:$F$999,ar6_r10!$A$2:$A$999,Veda!$E$5,ar6_r10!$C$2:$C$999,Veda!N$17,ar6_r10!$M$2:$M$999,Veda!$G18)</f>
        <v>0.02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0</v>
      </c>
      <c r="W18" s="6">
        <f t="shared" si="7"/>
        <v>38.406979999999997</v>
      </c>
      <c r="X18" s="6">
        <f t="shared" si="7"/>
        <v>95.655120000000011</v>
      </c>
      <c r="Y18" s="6">
        <f t="shared" si="7"/>
        <v>124.27919</v>
      </c>
      <c r="Z18" s="6">
        <f t="shared" si="7"/>
        <v>223.37644500000002</v>
      </c>
      <c r="AA18" t="s">
        <v>17</v>
      </c>
      <c r="AC18" s="2"/>
      <c r="AG18">
        <v>10</v>
      </c>
      <c r="AH18" t="s">
        <v>102</v>
      </c>
      <c r="AI18" t="s">
        <v>109</v>
      </c>
      <c r="AJ18" s="10">
        <f t="shared" si="5"/>
        <v>2</v>
      </c>
    </row>
    <row r="19" spans="1:36" x14ac:dyDescent="0.45">
      <c r="A19">
        <v>5</v>
      </c>
      <c r="B19" t="str">
        <f t="shared" si="0"/>
        <v>e 1.5 deg no OS.j12</v>
      </c>
      <c r="C19">
        <f t="shared" si="2"/>
        <v>11</v>
      </c>
      <c r="D19" t="str">
        <f t="shared" si="1"/>
        <v>ts_012</v>
      </c>
      <c r="E19" t="str">
        <f t="shared" si="4"/>
        <v>C1</v>
      </c>
      <c r="G19" t="s">
        <v>18</v>
      </c>
      <c r="I19" s="11">
        <f>SUMIFS(ar6_r10!$F$2:$F$999,ar6_r10!$A$2:$A$999,Veda!$E$5,ar6_r10!$C$2:$C$999,Veda!I$17,ar6_r10!$M$2:$M$999,Veda!$G19)</f>
        <v>0.49</v>
      </c>
      <c r="J19" s="11">
        <f>SUMIFS(ar6_r10!$F$2:$F$999,ar6_r10!$A$2:$A$999,Veda!$E$5,ar6_r10!$C$2:$C$999,Veda!J$17,ar6_r10!$M$2:$M$999,Veda!$G19)</f>
        <v>0.49</v>
      </c>
      <c r="K19" s="11">
        <f>SUMIFS(ar6_r10!$F$2:$F$999,ar6_r10!$A$2:$A$999,Veda!$E$5,ar6_r10!$C$2:$C$999,Veda!K$17,ar6_r10!$M$2:$M$999,Veda!$G19)</f>
        <v>0.46</v>
      </c>
      <c r="L19" s="11">
        <f>SUMIFS(ar6_r10!$F$2:$F$999,ar6_r10!$A$2:$A$999,Veda!$E$5,ar6_r10!$C$2:$C$999,Veda!L$17,ar6_r10!$M$2:$M$999,Veda!$G19)</f>
        <v>0.48</v>
      </c>
      <c r="M19" s="11">
        <f>SUMIFS(ar6_r10!$F$2:$F$999,ar6_r10!$A$2:$A$999,Veda!$E$5,ar6_r10!$C$2:$C$999,Veda!M$17,ar6_r10!$M$2:$M$999,Veda!$G19)</f>
        <v>0.46</v>
      </c>
      <c r="N19" s="11">
        <f>SUMIFS(ar6_r10!$F$2:$F$999,ar6_r10!$A$2:$A$999,Veda!$E$5,ar6_r10!$C$2:$C$999,Veda!N$17,ar6_r10!$M$2:$M$999,Veda!$G19)</f>
        <v>0.48</v>
      </c>
      <c r="O19" s="11">
        <f>SUMIFS(ar6_r10!$F$2:$F$999,ar6_r10!$A$2:$A$999,Veda!$E$5,ar6_r10!$C$2:$C$999,Veda!O$17,ar6_r10!$M$2:$M$999,Veda!$G19)</f>
        <v>0.47</v>
      </c>
      <c r="S19" s="10" t="s">
        <v>19</v>
      </c>
      <c r="T19" s="6">
        <f t="shared" si="7"/>
        <v>887.70849999999996</v>
      </c>
      <c r="U19" s="6">
        <f t="shared" si="7"/>
        <v>1154.0210500000001</v>
      </c>
      <c r="V19" s="6">
        <f t="shared" si="7"/>
        <v>1350.0415800000001</v>
      </c>
      <c r="W19" s="6">
        <f t="shared" si="7"/>
        <v>1843.5350399999998</v>
      </c>
      <c r="X19" s="6">
        <f t="shared" si="7"/>
        <v>2200.0677600000004</v>
      </c>
      <c r="Y19" s="6">
        <f t="shared" si="7"/>
        <v>2982.7005599999998</v>
      </c>
      <c r="Z19" s="6">
        <f t="shared" si="7"/>
        <v>3499.5643049999999</v>
      </c>
      <c r="AA19" t="s">
        <v>17</v>
      </c>
      <c r="AG19">
        <v>11</v>
      </c>
      <c r="AH19" t="s">
        <v>103</v>
      </c>
      <c r="AI19" t="s">
        <v>111</v>
      </c>
      <c r="AJ19" s="10">
        <f t="shared" si="5"/>
        <v>3</v>
      </c>
    </row>
    <row r="20" spans="1:36" x14ac:dyDescent="0.45">
      <c r="A20">
        <v>5</v>
      </c>
      <c r="B20" t="str">
        <f t="shared" si="0"/>
        <v>d 1.5 deg OS.j12</v>
      </c>
      <c r="C20">
        <f t="shared" si="2"/>
        <v>12</v>
      </c>
      <c r="D20" t="str">
        <f t="shared" si="1"/>
        <v>ts_012</v>
      </c>
      <c r="E20" t="str">
        <f t="shared" si="4"/>
        <v>C2</v>
      </c>
      <c r="G20" t="s">
        <v>21</v>
      </c>
      <c r="I20" s="11">
        <f>SUMIFS(ar6_r10!$F$2:$F$999,ar6_r10!$A$2:$A$999,Veda!$E$5,ar6_r10!$C$2:$C$999,Veda!I$17,ar6_r10!$M$2:$M$999,Veda!$G20)</f>
        <v>0.46</v>
      </c>
      <c r="J20" s="11">
        <f>SUMIFS(ar6_r10!$F$2:$F$999,ar6_r10!$A$2:$A$999,Veda!$E$5,ar6_r10!$C$2:$C$999,Veda!J$17,ar6_r10!$M$2:$M$999,Veda!$G20)</f>
        <v>0.47</v>
      </c>
      <c r="K20" s="11">
        <f>SUMIFS(ar6_r10!$F$2:$F$999,ar6_r10!$A$2:$A$999,Veda!$E$5,ar6_r10!$C$2:$C$999,Veda!K$17,ar6_r10!$M$2:$M$999,Veda!$G20)</f>
        <v>0.45</v>
      </c>
      <c r="L20" s="11">
        <f>SUMIFS(ar6_r10!$F$2:$F$999,ar6_r10!$A$2:$A$999,Veda!$E$5,ar6_r10!$C$2:$C$999,Veda!L$17,ar6_r10!$M$2:$M$999,Veda!$G20)</f>
        <v>0.45</v>
      </c>
      <c r="M20" s="11">
        <f>SUMIFS(ar6_r10!$F$2:$F$999,ar6_r10!$A$2:$A$999,Veda!$E$5,ar6_r10!$C$2:$C$999,Veda!M$17,ar6_r10!$M$2:$M$999,Veda!$G20)</f>
        <v>0.47</v>
      </c>
      <c r="N20" s="11">
        <f>SUMIFS(ar6_r10!$F$2:$F$999,ar6_r10!$A$2:$A$999,Veda!$E$5,ar6_r10!$C$2:$C$999,Veda!N$17,ar6_r10!$M$2:$M$999,Veda!$G20)</f>
        <v>0.44</v>
      </c>
      <c r="O20" s="11">
        <f>SUMIFS(ar6_r10!$F$2:$F$999,ar6_r10!$A$2:$A$999,Veda!$E$5,ar6_r10!$C$2:$C$999,Veda!O$17,ar6_r10!$M$2:$M$999,Veda!$G20)</f>
        <v>0.44</v>
      </c>
      <c r="S20" s="10" t="s">
        <v>22</v>
      </c>
      <c r="T20" s="6">
        <f t="shared" si="7"/>
        <v>833.35899999999992</v>
      </c>
      <c r="U20" s="6">
        <f t="shared" si="7"/>
        <v>1106.91815</v>
      </c>
      <c r="V20" s="6">
        <f t="shared" si="7"/>
        <v>1320.6928500000001</v>
      </c>
      <c r="W20" s="6">
        <f t="shared" si="7"/>
        <v>1728.3141000000001</v>
      </c>
      <c r="X20" s="6">
        <f t="shared" si="7"/>
        <v>2247.8953200000001</v>
      </c>
      <c r="Y20" s="6">
        <f t="shared" si="7"/>
        <v>2734.1421799999998</v>
      </c>
      <c r="Z20" s="6">
        <f t="shared" si="7"/>
        <v>3276.18786</v>
      </c>
      <c r="AA20" t="s">
        <v>17</v>
      </c>
      <c r="AG20">
        <v>12</v>
      </c>
      <c r="AH20" t="s">
        <v>106</v>
      </c>
      <c r="AI20" t="s">
        <v>118</v>
      </c>
      <c r="AJ20" s="10">
        <f t="shared" si="5"/>
        <v>3</v>
      </c>
    </row>
    <row r="21" spans="1:36" x14ac:dyDescent="0.45">
      <c r="A21">
        <v>5</v>
      </c>
      <c r="B21" t="str">
        <f t="shared" si="0"/>
        <v>c 2 deg (67%).j12</v>
      </c>
      <c r="C21">
        <f t="shared" si="2"/>
        <v>13</v>
      </c>
      <c r="D21" t="str">
        <f t="shared" si="1"/>
        <v>ts_012</v>
      </c>
      <c r="E21" t="str">
        <f t="shared" si="4"/>
        <v>C3</v>
      </c>
      <c r="G21" t="s">
        <v>23</v>
      </c>
      <c r="I21" s="11">
        <f>SUMIFS(ar6_r10!$F$2:$F$999,ar6_r10!$A$2:$A$999,Veda!$E$5,ar6_r10!$C$2:$C$999,Veda!I$17,ar6_r10!$M$2:$M$999,Veda!$G21)</f>
        <v>0.02</v>
      </c>
      <c r="J21" s="11">
        <f>SUMIFS(ar6_r10!$F$2:$F$999,ar6_r10!$A$2:$A$999,Veda!$E$5,ar6_r10!$C$2:$C$999,Veda!J$17,ar6_r10!$M$2:$M$999,Veda!$G21)</f>
        <v>0.02</v>
      </c>
      <c r="K21" s="11">
        <f>SUMIFS(ar6_r10!$F$2:$F$999,ar6_r10!$A$2:$A$999,Veda!$E$5,ar6_r10!$C$2:$C$999,Veda!K$17,ar6_r10!$M$2:$M$999,Veda!$G21)</f>
        <v>0.03</v>
      </c>
      <c r="L21" s="11">
        <f>SUMIFS(ar6_r10!$F$2:$F$999,ar6_r10!$A$2:$A$999,Veda!$E$5,ar6_r10!$C$2:$C$999,Veda!L$17,ar6_r10!$M$2:$M$999,Veda!$G21)</f>
        <v>0.04</v>
      </c>
      <c r="M21" s="11">
        <f>SUMIFS(ar6_r10!$F$2:$F$999,ar6_r10!$A$2:$A$999,Veda!$E$5,ar6_r10!$C$2:$C$999,Veda!M$17,ar6_r10!$M$2:$M$999,Veda!$G21)</f>
        <v>0.05</v>
      </c>
      <c r="N21" s="11">
        <f>SUMIFS(ar6_r10!$F$2:$F$999,ar6_r10!$A$2:$A$999,Veda!$E$5,ar6_r10!$C$2:$C$999,Veda!N$17,ar6_r10!$M$2:$M$999,Veda!$G21)</f>
        <v>0.06</v>
      </c>
      <c r="O21" s="11">
        <f>SUMIFS(ar6_r10!$F$2:$F$999,ar6_r10!$A$2:$A$999,Veda!$E$5,ar6_r10!$C$2:$C$999,Veda!O$17,ar6_r10!$M$2:$M$999,Veda!$G21)</f>
        <v>0.06</v>
      </c>
      <c r="S21" s="10" t="s">
        <v>24</v>
      </c>
      <c r="T21" s="6">
        <f>I21*T$14</f>
        <v>36.232999999999997</v>
      </c>
      <c r="U21" s="6">
        <f t="shared" ref="U21:Z21" si="8">T21</f>
        <v>36.232999999999997</v>
      </c>
      <c r="V21" s="6">
        <f t="shared" si="8"/>
        <v>36.232999999999997</v>
      </c>
      <c r="W21" s="6">
        <f t="shared" si="8"/>
        <v>36.232999999999997</v>
      </c>
      <c r="X21" s="6">
        <f t="shared" si="8"/>
        <v>36.232999999999997</v>
      </c>
      <c r="Y21" s="6">
        <f t="shared" si="8"/>
        <v>36.232999999999997</v>
      </c>
      <c r="Z21" s="6">
        <f t="shared" si="8"/>
        <v>36.232999999999997</v>
      </c>
      <c r="AA21" t="s">
        <v>17</v>
      </c>
      <c r="AC21" s="2" t="s">
        <v>20</v>
      </c>
      <c r="AG21">
        <v>13</v>
      </c>
      <c r="AH21" t="s">
        <v>104</v>
      </c>
      <c r="AI21" t="s">
        <v>113</v>
      </c>
      <c r="AJ21" s="10">
        <f t="shared" si="5"/>
        <v>3</v>
      </c>
    </row>
    <row r="22" spans="1:36" x14ac:dyDescent="0.45">
      <c r="A22">
        <v>5</v>
      </c>
      <c r="B22" t="str">
        <f t="shared" si="0"/>
        <v>b 2 deg (50%).j12</v>
      </c>
      <c r="C22">
        <f t="shared" si="2"/>
        <v>14</v>
      </c>
      <c r="D22" t="str">
        <f t="shared" si="1"/>
        <v>ts_012</v>
      </c>
      <c r="E22" t="str">
        <f t="shared" si="4"/>
        <v>C4</v>
      </c>
      <c r="S22" s="10" t="s">
        <v>25</v>
      </c>
      <c r="T22" s="6">
        <f t="shared" ref="T22:Z22" si="9">T14-SUM(T19:T21)</f>
        <v>54.349500000000035</v>
      </c>
      <c r="U22" s="6">
        <f t="shared" si="9"/>
        <v>57.972800000000007</v>
      </c>
      <c r="V22" s="6">
        <f t="shared" si="9"/>
        <v>227.90556999999944</v>
      </c>
      <c r="W22" s="6">
        <f t="shared" si="9"/>
        <v>232.61585999999988</v>
      </c>
      <c r="X22" s="6">
        <f t="shared" si="9"/>
        <v>298.55991999999969</v>
      </c>
      <c r="Y22" s="6">
        <f t="shared" si="9"/>
        <v>460.88375999999971</v>
      </c>
      <c r="Z22" s="6">
        <f t="shared" si="9"/>
        <v>633.89633500000036</v>
      </c>
      <c r="AA22" t="s">
        <v>17</v>
      </c>
      <c r="AG22">
        <v>14</v>
      </c>
      <c r="AH22" t="s">
        <v>105</v>
      </c>
      <c r="AI22" t="s">
        <v>115</v>
      </c>
      <c r="AJ22" s="10">
        <f t="shared" si="5"/>
        <v>3</v>
      </c>
    </row>
    <row r="23" spans="1:36" x14ac:dyDescent="0.45">
      <c r="A23">
        <v>5</v>
      </c>
      <c r="B23" t="str">
        <f t="shared" si="0"/>
        <v>a 3 deg.j12</v>
      </c>
      <c r="C23">
        <f t="shared" si="2"/>
        <v>15</v>
      </c>
      <c r="D23" t="str">
        <f t="shared" si="1"/>
        <v>ts_012</v>
      </c>
      <c r="E23" t="str">
        <f t="shared" si="4"/>
        <v>C7</v>
      </c>
      <c r="S23" t="s">
        <v>26</v>
      </c>
      <c r="AJ23" s="10">
        <f t="shared" si="5"/>
        <v>3</v>
      </c>
    </row>
    <row r="24" spans="1:36" ht="14.65" customHeight="1" x14ac:dyDescent="0.45">
      <c r="A24">
        <v>5</v>
      </c>
      <c r="B24" t="str">
        <f t="shared" si="0"/>
        <v>e 1.5 deg no OS.i24</v>
      </c>
      <c r="C24">
        <f t="shared" si="2"/>
        <v>16</v>
      </c>
      <c r="D24" t="str">
        <f t="shared" si="1"/>
        <v>ts_024</v>
      </c>
      <c r="E24" t="str">
        <f t="shared" si="4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47.87</v>
      </c>
      <c r="L24" s="8">
        <f>SUMIFS(ar6_r10!$F$2:$F$999,ar6_r10!$A$2:$A$999,Veda!$E$5,ar6_r10!$C$2:$C$999,Veda!L$17,ar6_r10!$M$2:$M$999,Veda!$G24)</f>
        <v>86.21</v>
      </c>
      <c r="M24" s="8">
        <f>SUMIFS(ar6_r10!$F$2:$F$999,ar6_r10!$A$2:$A$999,Veda!$E$5,ar6_r10!$C$2:$C$999,Veda!M$17,ar6_r10!$M$2:$M$999,Veda!$G24)</f>
        <v>123.26</v>
      </c>
      <c r="N24" s="8">
        <f>SUMIFS(ar6_r10!$F$2:$F$999,ar6_r10!$A$2:$A$999,Veda!$E$5,ar6_r10!$C$2:$C$999,Veda!N$17,ar6_r10!$M$2:$M$999,Veda!$G24)</f>
        <v>172.36</v>
      </c>
      <c r="O24" s="8">
        <f>SUMIFS(ar6_r10!$F$2:$F$999,ar6_r10!$A$2:$A$999,Veda!$E$5,ar6_r10!$C$2:$C$999,Veda!O$17,ar6_r10!$M$2:$M$999,Veda!$G24)</f>
        <v>209.45</v>
      </c>
      <c r="S24" t="s">
        <v>28</v>
      </c>
      <c r="U24">
        <v>0</v>
      </c>
      <c r="V24" s="11">
        <f>K24/1000</f>
        <v>4.7869999999999996E-2</v>
      </c>
      <c r="W24" s="11">
        <f>L24/1000</f>
        <v>8.6209999999999995E-2</v>
      </c>
      <c r="X24" s="11">
        <f>M24/1000</f>
        <v>0.12326000000000001</v>
      </c>
      <c r="Y24" s="11">
        <f>N24/1000</f>
        <v>0.17236000000000001</v>
      </c>
      <c r="Z24" s="11">
        <f>O24/1000</f>
        <v>0.20945</v>
      </c>
      <c r="AA24" t="s">
        <v>29</v>
      </c>
      <c r="AJ24" s="10">
        <f t="shared" si="5"/>
        <v>4</v>
      </c>
    </row>
    <row r="25" spans="1:36" ht="14.65" customHeight="1" x14ac:dyDescent="0.45">
      <c r="A25">
        <v>5</v>
      </c>
      <c r="B25" t="str">
        <f t="shared" si="0"/>
        <v>d 1.5 deg OS.i24</v>
      </c>
      <c r="C25">
        <f t="shared" si="2"/>
        <v>17</v>
      </c>
      <c r="D25" t="str">
        <f t="shared" si="1"/>
        <v>ts_024</v>
      </c>
      <c r="E25" t="str">
        <f t="shared" si="4"/>
        <v>C2</v>
      </c>
      <c r="AJ25" s="10">
        <f t="shared" si="5"/>
        <v>4</v>
      </c>
    </row>
    <row r="26" spans="1:36" ht="17.649999999999999" customHeight="1" thickBot="1" x14ac:dyDescent="0.6">
      <c r="A26">
        <v>5</v>
      </c>
      <c r="B26" t="str">
        <f t="shared" si="0"/>
        <v>c 2 deg (67%).i24</v>
      </c>
      <c r="C26">
        <f t="shared" si="2"/>
        <v>18</v>
      </c>
      <c r="D26" t="str">
        <f t="shared" si="1"/>
        <v>ts_024</v>
      </c>
      <c r="E26" t="str">
        <f t="shared" si="4"/>
        <v>C3</v>
      </c>
      <c r="S26" s="5" t="s">
        <v>12</v>
      </c>
      <c r="AJ26" s="10">
        <f t="shared" si="5"/>
        <v>4</v>
      </c>
    </row>
    <row r="27" spans="1:36" ht="15" customHeight="1" thickTop="1" thickBot="1" x14ac:dyDescent="0.5">
      <c r="A27">
        <v>5</v>
      </c>
      <c r="B27" t="str">
        <f t="shared" si="0"/>
        <v>b 2 deg (50%).i24</v>
      </c>
      <c r="C27">
        <f t="shared" si="2"/>
        <v>19</v>
      </c>
      <c r="D27" t="str">
        <f t="shared" si="1"/>
        <v>ts_024</v>
      </c>
      <c r="E27" t="str">
        <f t="shared" si="4"/>
        <v>C4</v>
      </c>
      <c r="S27" s="4" t="s">
        <v>30</v>
      </c>
      <c r="T27" s="4">
        <f t="shared" ref="T27:Z27" si="10">T17</f>
        <v>2022</v>
      </c>
      <c r="U27" s="4">
        <f t="shared" si="10"/>
        <v>2025</v>
      </c>
      <c r="V27" s="4">
        <f t="shared" si="10"/>
        <v>2030</v>
      </c>
      <c r="W27" s="4">
        <f t="shared" si="10"/>
        <v>2035</v>
      </c>
      <c r="X27" s="4">
        <f t="shared" si="10"/>
        <v>2040</v>
      </c>
      <c r="Y27" s="4">
        <f t="shared" si="10"/>
        <v>2045</v>
      </c>
      <c r="Z27" s="4">
        <f t="shared" si="10"/>
        <v>2050</v>
      </c>
      <c r="AA27" s="4" t="s">
        <v>14</v>
      </c>
      <c r="AB27" s="4" t="s">
        <v>31</v>
      </c>
      <c r="AJ27" s="10">
        <f t="shared" si="5"/>
        <v>4</v>
      </c>
    </row>
    <row r="28" spans="1:36" ht="14.65" customHeight="1" thickBot="1" x14ac:dyDescent="0.5">
      <c r="A28">
        <v>5</v>
      </c>
      <c r="B28" t="str">
        <f t="shared" si="0"/>
        <v>a 3 deg.i24</v>
      </c>
      <c r="C28">
        <f t="shared" si="2"/>
        <v>20</v>
      </c>
      <c r="D28" t="str">
        <f t="shared" si="1"/>
        <v>ts_024</v>
      </c>
      <c r="E28" t="str">
        <f t="shared" si="4"/>
        <v>C7</v>
      </c>
      <c r="Q28" s="3">
        <f>SUMIFS(iea_data!G3:G9999,iea_data!$B$3:$B$9999,Veda!$S$11)</f>
        <v>7.84</v>
      </c>
      <c r="S28" t="s">
        <v>32</v>
      </c>
      <c r="T28" s="3">
        <f>Q28</f>
        <v>7.84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5"/>
        <v>4</v>
      </c>
    </row>
    <row r="29" spans="1:36" ht="15" customHeight="1" thickTop="1" thickBot="1" x14ac:dyDescent="0.5">
      <c r="A29">
        <v>5</v>
      </c>
      <c r="B29" t="str">
        <f t="shared" si="0"/>
        <v>e 1.5 deg no OS.h48</v>
      </c>
      <c r="C29">
        <f t="shared" si="2"/>
        <v>21</v>
      </c>
      <c r="D29" t="str">
        <f t="shared" si="1"/>
        <v>ts_048</v>
      </c>
      <c r="E29" t="str">
        <f t="shared" si="4"/>
        <v>C1</v>
      </c>
      <c r="Q29" s="3">
        <f>SUMIFS(iea_data!H3:H9999,iea_data!$B$3:$B$9999,Veda!$S$11)</f>
        <v>-10.25</v>
      </c>
      <c r="S29" t="s">
        <v>35</v>
      </c>
      <c r="T29" s="3">
        <f>-1*Q29</f>
        <v>10.25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5"/>
        <v>5</v>
      </c>
    </row>
    <row r="30" spans="1:36" ht="14.65" customHeight="1" thickTop="1" x14ac:dyDescent="0.45">
      <c r="A30">
        <v>5</v>
      </c>
      <c r="B30" t="str">
        <f t="shared" si="0"/>
        <v>d 1.5 deg OS.h48</v>
      </c>
      <c r="C30">
        <f t="shared" si="2"/>
        <v>22</v>
      </c>
      <c r="D30" t="str">
        <f t="shared" si="1"/>
        <v>ts_048</v>
      </c>
      <c r="E30" t="str">
        <f t="shared" si="4"/>
        <v>C2</v>
      </c>
      <c r="AJ30" s="10">
        <f t="shared" si="5"/>
        <v>5</v>
      </c>
    </row>
    <row r="31" spans="1:36" x14ac:dyDescent="0.45">
      <c r="A31">
        <v>5</v>
      </c>
      <c r="B31" t="str">
        <f t="shared" si="0"/>
        <v>c 2 deg (67%).h48</v>
      </c>
      <c r="C31">
        <f t="shared" si="2"/>
        <v>23</v>
      </c>
      <c r="D31" t="str">
        <f t="shared" si="1"/>
        <v>ts_048</v>
      </c>
      <c r="E31" t="str">
        <f t="shared" si="4"/>
        <v>C3</v>
      </c>
      <c r="AJ31" s="10">
        <f t="shared" si="5"/>
        <v>5</v>
      </c>
    </row>
    <row r="32" spans="1:36" x14ac:dyDescent="0.45">
      <c r="A32">
        <v>5</v>
      </c>
      <c r="B32" t="str">
        <f t="shared" si="0"/>
        <v>b 2 deg (50%).h48</v>
      </c>
      <c r="C32">
        <f t="shared" si="2"/>
        <v>24</v>
      </c>
      <c r="D32" t="str">
        <f t="shared" si="1"/>
        <v>ts_048</v>
      </c>
      <c r="E32" t="str">
        <f t="shared" si="4"/>
        <v>C4</v>
      </c>
      <c r="AJ32" s="10">
        <f t="shared" si="5"/>
        <v>5</v>
      </c>
    </row>
    <row r="33" spans="1:36" x14ac:dyDescent="0.45">
      <c r="A33">
        <v>5</v>
      </c>
      <c r="B33" t="str">
        <f t="shared" si="0"/>
        <v>a 3 deg.h48</v>
      </c>
      <c r="C33">
        <f t="shared" si="2"/>
        <v>25</v>
      </c>
      <c r="D33" t="str">
        <f t="shared" si="1"/>
        <v>ts_048</v>
      </c>
      <c r="E33" t="str">
        <f t="shared" si="4"/>
        <v>C7</v>
      </c>
      <c r="AJ33" s="10">
        <f t="shared" si="5"/>
        <v>5</v>
      </c>
    </row>
    <row r="34" spans="1:36" x14ac:dyDescent="0.45">
      <c r="A34">
        <v>5</v>
      </c>
      <c r="B34" t="str">
        <f t="shared" si="0"/>
        <v>e 1.5 deg no OS.g64</v>
      </c>
      <c r="C34">
        <f t="shared" si="2"/>
        <v>26</v>
      </c>
      <c r="D34" t="str">
        <f t="shared" si="1"/>
        <v>ts_064</v>
      </c>
      <c r="E34" t="str">
        <f t="shared" si="4"/>
        <v>C1</v>
      </c>
      <c r="AJ34" s="10">
        <f t="shared" si="5"/>
        <v>6</v>
      </c>
    </row>
    <row r="35" spans="1:36" x14ac:dyDescent="0.45">
      <c r="A35">
        <v>5</v>
      </c>
      <c r="B35" t="str">
        <f t="shared" si="0"/>
        <v>d 1.5 deg OS.g64</v>
      </c>
      <c r="C35">
        <f t="shared" si="2"/>
        <v>27</v>
      </c>
      <c r="D35" t="str">
        <f t="shared" si="1"/>
        <v>ts_064</v>
      </c>
      <c r="E35" t="str">
        <f t="shared" si="4"/>
        <v>C2</v>
      </c>
      <c r="AJ35" s="10">
        <f t="shared" si="5"/>
        <v>6</v>
      </c>
    </row>
    <row r="36" spans="1:36" x14ac:dyDescent="0.45">
      <c r="A36">
        <v>5</v>
      </c>
      <c r="B36" t="str">
        <f t="shared" si="0"/>
        <v>c 2 deg (67%).g64</v>
      </c>
      <c r="C36">
        <f t="shared" si="2"/>
        <v>28</v>
      </c>
      <c r="D36" t="str">
        <f t="shared" si="1"/>
        <v>ts_064</v>
      </c>
      <c r="E36" t="str">
        <f t="shared" si="4"/>
        <v>C3</v>
      </c>
      <c r="G36" s="2" t="s">
        <v>9</v>
      </c>
      <c r="AJ36" s="10">
        <f t="shared" si="5"/>
        <v>6</v>
      </c>
    </row>
    <row r="37" spans="1:36" x14ac:dyDescent="0.45">
      <c r="A37">
        <v>5</v>
      </c>
      <c r="B37" t="str">
        <f t="shared" si="0"/>
        <v>b 2 deg (50%).g64</v>
      </c>
      <c r="C37">
        <f t="shared" si="2"/>
        <v>29</v>
      </c>
      <c r="D37" t="str">
        <f t="shared" si="1"/>
        <v>ts_064</v>
      </c>
      <c r="E37" t="str">
        <f t="shared" si="4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1.1100000000000001</v>
      </c>
      <c r="K37" s="11">
        <f>SUMIFS(ar6_r10!$F$2:$F$999,ar6_r10!$A$2:$A$999,Veda!$G$36,ar6_r10!$C$2:$C$999,Veda!K$17,ar6_r10!$M$2:$M$999,Veda!$G37)</f>
        <v>1.21</v>
      </c>
      <c r="L37" s="11">
        <f>SUMIFS(ar6_r10!$F$2:$F$999,ar6_r10!$A$2:$A$999,Veda!$G$36,ar6_r10!$C$2:$C$999,Veda!L$17,ar6_r10!$M$2:$M$999,Veda!$G37)</f>
        <v>1.1599999999999999</v>
      </c>
      <c r="M37" s="11">
        <f>SUMIFS(ar6_r10!$F$2:$F$999,ar6_r10!$A$2:$A$999,Veda!$G$36,ar6_r10!$C$2:$C$999,Veda!M$17,ar6_r10!$M$2:$M$999,Veda!$G37)</f>
        <v>1.36</v>
      </c>
      <c r="N37" s="11">
        <f>SUMIFS(ar6_r10!$F$2:$F$999,ar6_r10!$A$2:$A$999,Veda!$G$36,ar6_r10!$C$2:$C$999,Veda!N$17,ar6_r10!$M$2:$M$999,Veda!$G37)</f>
        <v>1.4</v>
      </c>
      <c r="O37" s="11">
        <f>SUMIFS(ar6_r10!$F$2:$F$999,ar6_r10!$A$2:$A$999,Veda!$G$36,ar6_r10!$C$2:$C$999,Veda!O$17,ar6_r10!$M$2:$M$999,Veda!$G37)</f>
        <v>1.44</v>
      </c>
      <c r="AJ37" s="10">
        <f t="shared" si="5"/>
        <v>6</v>
      </c>
    </row>
    <row r="38" spans="1:36" x14ac:dyDescent="0.45">
      <c r="A38">
        <v>5</v>
      </c>
      <c r="B38" t="str">
        <f t="shared" si="0"/>
        <v>a 3 deg.g64</v>
      </c>
      <c r="C38">
        <f t="shared" si="2"/>
        <v>30</v>
      </c>
      <c r="D38" t="str">
        <f t="shared" si="1"/>
        <v>ts_064</v>
      </c>
      <c r="E38" t="str">
        <f t="shared" si="4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1.07</v>
      </c>
      <c r="K38" s="11">
        <f>SUMIFS(ar6_r10!$F$2:$F$999,ar6_r10!$A$2:$A$999,Veda!$G$36,ar6_r10!$C$2:$C$999,Veda!K$17,ar6_r10!$M$2:$M$999,Veda!$G38)</f>
        <v>1.17</v>
      </c>
      <c r="L38" s="11">
        <f>SUMIFS(ar6_r10!$F$2:$F$999,ar6_r10!$A$2:$A$999,Veda!$G$36,ar6_r10!$C$2:$C$999,Veda!L$17,ar6_r10!$M$2:$M$999,Veda!$G38)</f>
        <v>1.21</v>
      </c>
      <c r="M38" s="11">
        <f>SUMIFS(ar6_r10!$F$2:$F$999,ar6_r10!$A$2:$A$999,Veda!$G$36,ar6_r10!$C$2:$C$999,Veda!M$17,ar6_r10!$M$2:$M$999,Veda!$G38)</f>
        <v>1.37</v>
      </c>
      <c r="N38" s="11">
        <f>SUMIFS(ar6_r10!$F$2:$F$999,ar6_r10!$A$2:$A$999,Veda!$G$36,ar6_r10!$C$2:$C$999,Veda!N$17,ar6_r10!$M$2:$M$999,Veda!$G38)</f>
        <v>1.33</v>
      </c>
      <c r="O38" s="11">
        <f>SUMIFS(ar6_r10!$F$2:$F$999,ar6_r10!$A$2:$A$999,Veda!$G$36,ar6_r10!$C$2:$C$999,Veda!O$17,ar6_r10!$M$2:$M$999,Veda!$G38)</f>
        <v>1.52</v>
      </c>
      <c r="AJ38" s="10">
        <f t="shared" si="5"/>
        <v>6</v>
      </c>
    </row>
    <row r="39" spans="1:36" x14ac:dyDescent="0.45">
      <c r="A39">
        <v>5</v>
      </c>
      <c r="B39" t="str">
        <f t="shared" si="0"/>
        <v>e 1.5 deg no OS.f97p50</v>
      </c>
      <c r="C39">
        <f t="shared" si="2"/>
        <v>31</v>
      </c>
      <c r="D39" t="str">
        <f t="shared" si="1"/>
        <v>ts_096P50</v>
      </c>
      <c r="E39" t="str">
        <f t="shared" si="4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1.43</v>
      </c>
      <c r="K39" s="11">
        <f>SUMIFS(ar6_r10!$F$2:$F$999,ar6_r10!$A$2:$A$999,Veda!$G$36,ar6_r10!$C$2:$C$999,Veda!K$17,ar6_r10!$M$2:$M$999,Veda!$G39)</f>
        <v>1.58</v>
      </c>
      <c r="L39" s="11">
        <f>SUMIFS(ar6_r10!$F$2:$F$999,ar6_r10!$A$2:$A$999,Veda!$G$36,ar6_r10!$C$2:$C$999,Veda!L$17,ar6_r10!$M$2:$M$999,Veda!$G39)</f>
        <v>1.53</v>
      </c>
      <c r="M39" s="11">
        <f>SUMIFS(ar6_r10!$F$2:$F$999,ar6_r10!$A$2:$A$999,Veda!$G$36,ar6_r10!$C$2:$C$999,Veda!M$17,ar6_r10!$M$2:$M$999,Veda!$G39)</f>
        <v>1.74</v>
      </c>
      <c r="N39" s="11">
        <f>SUMIFS(ar6_r10!$F$2:$F$999,ar6_r10!$A$2:$A$999,Veda!$G$36,ar6_r10!$C$2:$C$999,Veda!N$17,ar6_r10!$M$2:$M$999,Veda!$G39)</f>
        <v>1.94</v>
      </c>
      <c r="O39" s="11">
        <f>SUMIFS(ar6_r10!$F$2:$F$999,ar6_r10!$A$2:$A$999,Veda!$G$36,ar6_r10!$C$2:$C$999,Veda!O$17,ar6_r10!$M$2:$M$999,Veda!$G39)</f>
        <v>2.2000000000000002</v>
      </c>
      <c r="AJ39" s="10">
        <f t="shared" si="5"/>
        <v>7</v>
      </c>
    </row>
    <row r="40" spans="1:36" x14ac:dyDescent="0.45">
      <c r="A40">
        <v>5</v>
      </c>
      <c r="B40" t="str">
        <f t="shared" si="0"/>
        <v>d 1.5 deg OS.f97p50</v>
      </c>
      <c r="C40">
        <f t="shared" si="2"/>
        <v>32</v>
      </c>
      <c r="D40" t="str">
        <f t="shared" si="1"/>
        <v>ts_096P50</v>
      </c>
      <c r="E40" t="str">
        <f t="shared" si="4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1.05</v>
      </c>
      <c r="K40" s="11">
        <f>SUMIFS(ar6_r10!$F$2:$F$999,ar6_r10!$A$2:$A$999,Veda!$G$36,ar6_r10!$C$2:$C$999,Veda!K$17,ar6_r10!$M$2:$M$999,Veda!$G40)</f>
        <v>1.06</v>
      </c>
      <c r="L40" s="11">
        <f>SUMIFS(ar6_r10!$F$2:$F$999,ar6_r10!$A$2:$A$999,Veda!$G$36,ar6_r10!$C$2:$C$999,Veda!L$17,ar6_r10!$M$2:$M$999,Veda!$G40)</f>
        <v>1.04</v>
      </c>
      <c r="M40" s="11">
        <f>SUMIFS(ar6_r10!$F$2:$F$999,ar6_r10!$A$2:$A$999,Veda!$G$36,ar6_r10!$C$2:$C$999,Veda!M$17,ar6_r10!$M$2:$M$999,Veda!$G40)</f>
        <v>1</v>
      </c>
      <c r="N40" s="11">
        <f>SUMIFS(ar6_r10!$F$2:$F$999,ar6_r10!$A$2:$A$999,Veda!$G$36,ar6_r10!$C$2:$C$999,Veda!N$17,ar6_r10!$M$2:$M$999,Veda!$G40)</f>
        <v>0.95</v>
      </c>
      <c r="O40" s="11">
        <f>SUMIFS(ar6_r10!$F$2:$F$999,ar6_r10!$A$2:$A$999,Veda!$G$36,ar6_r10!$C$2:$C$999,Veda!O$17,ar6_r10!$M$2:$M$999,Veda!$G40)</f>
        <v>0.93</v>
      </c>
      <c r="AJ40" s="10">
        <f t="shared" si="5"/>
        <v>7</v>
      </c>
    </row>
    <row r="41" spans="1:36" x14ac:dyDescent="0.45">
      <c r="A41">
        <v>5</v>
      </c>
      <c r="B41" t="str">
        <f t="shared" si="0"/>
        <v>c 2 deg (67%).f97p50</v>
      </c>
      <c r="C41">
        <f t="shared" si="2"/>
        <v>33</v>
      </c>
      <c r="D41" t="str">
        <f t="shared" si="1"/>
        <v>ts_096P50</v>
      </c>
      <c r="E41" t="str">
        <f t="shared" si="4"/>
        <v>C3</v>
      </c>
      <c r="AJ41" s="10">
        <f t="shared" si="5"/>
        <v>7</v>
      </c>
    </row>
    <row r="42" spans="1:36" x14ac:dyDescent="0.45">
      <c r="A42">
        <v>5</v>
      </c>
      <c r="B42" t="str">
        <f t="shared" si="0"/>
        <v>b 2 deg (50%).f97p50</v>
      </c>
      <c r="C42">
        <f t="shared" si="2"/>
        <v>34</v>
      </c>
      <c r="D42" t="str">
        <f t="shared" si="1"/>
        <v>ts_096P50</v>
      </c>
      <c r="E42" t="str">
        <f t="shared" si="4"/>
        <v>C4</v>
      </c>
      <c r="AJ42" s="10">
        <f t="shared" si="5"/>
        <v>7</v>
      </c>
    </row>
    <row r="43" spans="1:36" x14ac:dyDescent="0.45">
      <c r="A43">
        <v>5</v>
      </c>
      <c r="B43" t="str">
        <f t="shared" si="0"/>
        <v>a 3 deg.f97p50</v>
      </c>
      <c r="C43">
        <f t="shared" si="2"/>
        <v>35</v>
      </c>
      <c r="D43" t="str">
        <f t="shared" si="1"/>
        <v>ts_096P50</v>
      </c>
      <c r="E43" t="str">
        <f t="shared" si="4"/>
        <v>C7</v>
      </c>
      <c r="G43" t="s">
        <v>84</v>
      </c>
      <c r="AJ43" s="10">
        <f t="shared" si="5"/>
        <v>7</v>
      </c>
    </row>
    <row r="44" spans="1:36" x14ac:dyDescent="0.45">
      <c r="A44">
        <v>5</v>
      </c>
      <c r="B44" t="str">
        <f t="shared" si="0"/>
        <v>e 1.5 deg no OS.f96p10</v>
      </c>
      <c r="C44">
        <f t="shared" si="2"/>
        <v>36</v>
      </c>
      <c r="D44" t="str">
        <f t="shared" si="1"/>
        <v>ts_096P10</v>
      </c>
      <c r="E44" t="str">
        <f t="shared" si="4"/>
        <v>C1</v>
      </c>
      <c r="G44" t="s">
        <v>13</v>
      </c>
      <c r="H44" t="s">
        <v>108</v>
      </c>
      <c r="I44">
        <v>2022</v>
      </c>
      <c r="J44">
        <f>J17</f>
        <v>2025</v>
      </c>
      <c r="K44">
        <f t="shared" ref="K44:O44" si="11">K17</f>
        <v>2030</v>
      </c>
      <c r="L44">
        <f t="shared" si="11"/>
        <v>2035</v>
      </c>
      <c r="M44">
        <f t="shared" si="11"/>
        <v>2040</v>
      </c>
      <c r="N44">
        <f t="shared" si="11"/>
        <v>2045</v>
      </c>
      <c r="O44">
        <f t="shared" si="11"/>
        <v>2050</v>
      </c>
      <c r="R44" t="s">
        <v>82</v>
      </c>
      <c r="S44" t="s">
        <v>83</v>
      </c>
      <c r="AJ44" s="10">
        <f t="shared" si="5"/>
        <v>8</v>
      </c>
    </row>
    <row r="45" spans="1:36" x14ac:dyDescent="0.45">
      <c r="A45">
        <v>5</v>
      </c>
      <c r="B45" t="str">
        <f t="shared" si="0"/>
        <v>d 1.5 deg OS.f96p10</v>
      </c>
      <c r="C45">
        <f t="shared" si="2"/>
        <v>37</v>
      </c>
      <c r="D45" t="str">
        <f t="shared" si="1"/>
        <v>ts_096P10</v>
      </c>
      <c r="E45" t="str">
        <f t="shared" si="4"/>
        <v>C2</v>
      </c>
      <c r="G45" t="s">
        <v>78</v>
      </c>
      <c r="H45" t="str">
        <f>G45</f>
        <v>Gas</v>
      </c>
      <c r="I45">
        <f t="shared" ref="I45:O48" si="12">AVERAGE($R45:$S45)*I37</f>
        <v>36</v>
      </c>
      <c r="J45">
        <f t="shared" si="12"/>
        <v>39.96</v>
      </c>
      <c r="K45">
        <f t="shared" si="12"/>
        <v>43.56</v>
      </c>
      <c r="L45">
        <f t="shared" si="12"/>
        <v>41.76</v>
      </c>
      <c r="M45">
        <f t="shared" si="12"/>
        <v>48.96</v>
      </c>
      <c r="N45">
        <f t="shared" si="12"/>
        <v>50.4</v>
      </c>
      <c r="O45">
        <f t="shared" si="12"/>
        <v>51.839999999999996</v>
      </c>
      <c r="R45">
        <f>HLOOKUP($G45&amp;"_"&amp;R$44,fuel_prices!$B$10:$I$11,2,FALSE)</f>
        <v>30.9</v>
      </c>
      <c r="S45">
        <f>HLOOKUP($G45&amp;"_"&amp;S$44,fuel_prices!$B$10:$I$11,2,FALSE)</f>
        <v>41.1</v>
      </c>
      <c r="AJ45" s="10">
        <f t="shared" si="5"/>
        <v>8</v>
      </c>
    </row>
    <row r="46" spans="1:36" x14ac:dyDescent="0.45">
      <c r="A46">
        <v>5</v>
      </c>
      <c r="B46" t="str">
        <f t="shared" si="0"/>
        <v>c 2 deg (67%).f96p10</v>
      </c>
      <c r="C46">
        <f t="shared" si="2"/>
        <v>38</v>
      </c>
      <c r="D46" t="str">
        <f t="shared" si="1"/>
        <v>ts_096P10</v>
      </c>
      <c r="E46" t="str">
        <f t="shared" si="4"/>
        <v>C3</v>
      </c>
      <c r="G46" t="s">
        <v>79</v>
      </c>
      <c r="H46" t="str">
        <f t="shared" ref="H46:H48" si="13">G46</f>
        <v>Coal</v>
      </c>
      <c r="I46">
        <f t="shared" si="12"/>
        <v>9.8000000000000007</v>
      </c>
      <c r="J46">
        <f t="shared" si="12"/>
        <v>10.486000000000001</v>
      </c>
      <c r="K46">
        <f t="shared" si="12"/>
        <v>11.465999999999999</v>
      </c>
      <c r="L46">
        <f t="shared" si="12"/>
        <v>11.858000000000001</v>
      </c>
      <c r="M46">
        <f t="shared" si="12"/>
        <v>13.426000000000002</v>
      </c>
      <c r="N46">
        <f t="shared" si="12"/>
        <v>13.034000000000002</v>
      </c>
      <c r="O46">
        <f t="shared" si="12"/>
        <v>14.896000000000001</v>
      </c>
      <c r="R46">
        <f>HLOOKUP($G46&amp;"_"&amp;R$44,fuel_prices!$B$10:$I$11,2,FALSE)</f>
        <v>8.6</v>
      </c>
      <c r="S46">
        <f>HLOOKUP($G46&amp;"_"&amp;S$44,fuel_prices!$B$10:$I$11,2,FALSE)</f>
        <v>11</v>
      </c>
      <c r="AJ46" s="10">
        <f t="shared" si="5"/>
        <v>8</v>
      </c>
    </row>
    <row r="47" spans="1:36" x14ac:dyDescent="0.45">
      <c r="A47">
        <v>5</v>
      </c>
      <c r="B47" t="str">
        <f t="shared" si="0"/>
        <v>b 2 deg (50%).f96p10</v>
      </c>
      <c r="C47">
        <f t="shared" si="2"/>
        <v>39</v>
      </c>
      <c r="D47" t="str">
        <f t="shared" si="1"/>
        <v>ts_096P10</v>
      </c>
      <c r="E47" t="str">
        <f t="shared" si="4"/>
        <v>C4</v>
      </c>
      <c r="G47" t="s">
        <v>80</v>
      </c>
      <c r="H47" t="str">
        <f t="shared" si="13"/>
        <v>Oil</v>
      </c>
      <c r="I47">
        <f t="shared" si="12"/>
        <v>50</v>
      </c>
      <c r="J47">
        <f t="shared" si="12"/>
        <v>71.5</v>
      </c>
      <c r="K47">
        <f t="shared" si="12"/>
        <v>79</v>
      </c>
      <c r="L47">
        <f t="shared" si="12"/>
        <v>76.5</v>
      </c>
      <c r="M47">
        <f t="shared" si="12"/>
        <v>87</v>
      </c>
      <c r="N47">
        <f t="shared" si="12"/>
        <v>97</v>
      </c>
      <c r="O47">
        <f t="shared" si="12"/>
        <v>110.00000000000001</v>
      </c>
      <c r="R47">
        <f>HLOOKUP($G47&amp;"_"&amp;R$44,fuel_prices!$B$10:$I$11,2,FALSE)</f>
        <v>45</v>
      </c>
      <c r="S47">
        <f>HLOOKUP($G47&amp;"_"&amp;S$44,fuel_prices!$B$10:$I$11,2,FALSE)</f>
        <v>55</v>
      </c>
      <c r="AJ47" s="10">
        <f t="shared" si="5"/>
        <v>8</v>
      </c>
    </row>
    <row r="48" spans="1:36" x14ac:dyDescent="0.45">
      <c r="A48">
        <v>5</v>
      </c>
      <c r="B48" t="str">
        <f t="shared" si="0"/>
        <v>a 3 deg.f96p10</v>
      </c>
      <c r="C48">
        <f t="shared" si="2"/>
        <v>40</v>
      </c>
      <c r="D48" t="str">
        <f t="shared" si="1"/>
        <v>ts_096P10</v>
      </c>
      <c r="E48" t="str">
        <f t="shared" si="4"/>
        <v>C7</v>
      </c>
      <c r="G48" t="s">
        <v>81</v>
      </c>
      <c r="H48" t="str">
        <f t="shared" si="13"/>
        <v>Bioenergy</v>
      </c>
      <c r="I48">
        <f t="shared" si="12"/>
        <v>18.5</v>
      </c>
      <c r="J48">
        <f t="shared" si="12"/>
        <v>19.425000000000001</v>
      </c>
      <c r="K48">
        <f t="shared" si="12"/>
        <v>19.61</v>
      </c>
      <c r="L48">
        <f t="shared" si="12"/>
        <v>19.240000000000002</v>
      </c>
      <c r="M48">
        <f t="shared" si="12"/>
        <v>18.5</v>
      </c>
      <c r="N48">
        <f t="shared" si="12"/>
        <v>17.574999999999999</v>
      </c>
      <c r="O48">
        <f t="shared" si="12"/>
        <v>17.205000000000002</v>
      </c>
      <c r="R48">
        <f>HLOOKUP($G48&amp;"_"&amp;R$44,fuel_prices!$B$10:$I$11,2,FALSE)</f>
        <v>15</v>
      </c>
      <c r="S48">
        <f>HLOOKUP($G48&amp;"_"&amp;S$44,fuel_prices!$B$10:$I$11,2,FALSE)</f>
        <v>22</v>
      </c>
      <c r="AJ48" s="10">
        <f t="shared" si="5"/>
        <v>8</v>
      </c>
    </row>
    <row r="49" spans="1:36" x14ac:dyDescent="0.45">
      <c r="A49">
        <v>5</v>
      </c>
      <c r="B49" t="str">
        <f t="shared" si="0"/>
        <v>e 1.5 deg no OS.f96p90</v>
      </c>
      <c r="C49">
        <f t="shared" si="2"/>
        <v>41</v>
      </c>
      <c r="D49" t="str">
        <f t="shared" si="1"/>
        <v>ts_096P90</v>
      </c>
      <c r="E49" t="str">
        <f t="shared" si="4"/>
        <v>C1</v>
      </c>
      <c r="AJ49" s="10">
        <f t="shared" si="5"/>
        <v>9</v>
      </c>
    </row>
    <row r="50" spans="1:36" x14ac:dyDescent="0.45">
      <c r="A50">
        <v>5</v>
      </c>
      <c r="B50" t="str">
        <f t="shared" si="0"/>
        <v>d 1.5 deg OS.f96p90</v>
      </c>
      <c r="C50">
        <f t="shared" si="2"/>
        <v>42</v>
      </c>
      <c r="D50" t="str">
        <f t="shared" si="1"/>
        <v>ts_096P90</v>
      </c>
      <c r="E50" t="str">
        <f t="shared" si="4"/>
        <v>C2</v>
      </c>
      <c r="AJ50" s="10">
        <f t="shared" si="5"/>
        <v>9</v>
      </c>
    </row>
    <row r="51" spans="1:36" x14ac:dyDescent="0.45">
      <c r="A51">
        <v>5</v>
      </c>
      <c r="B51" t="str">
        <f t="shared" si="0"/>
        <v>c 2 deg (67%).f96p90</v>
      </c>
      <c r="C51">
        <f t="shared" si="2"/>
        <v>43</v>
      </c>
      <c r="D51" t="str">
        <f t="shared" si="1"/>
        <v>ts_096P90</v>
      </c>
      <c r="E51" t="str">
        <f t="shared" si="4"/>
        <v>C3</v>
      </c>
      <c r="AJ51" s="10">
        <f t="shared" si="5"/>
        <v>9</v>
      </c>
    </row>
    <row r="52" spans="1:36" x14ac:dyDescent="0.45">
      <c r="A52">
        <v>5</v>
      </c>
      <c r="B52" t="str">
        <f t="shared" si="0"/>
        <v>b 2 deg (50%).f96p90</v>
      </c>
      <c r="C52">
        <f t="shared" si="2"/>
        <v>44</v>
      </c>
      <c r="D52" t="str">
        <f t="shared" si="1"/>
        <v>ts_096P90</v>
      </c>
      <c r="E52" t="str">
        <f t="shared" si="4"/>
        <v>C4</v>
      </c>
      <c r="AJ52" s="10">
        <f t="shared" si="5"/>
        <v>9</v>
      </c>
    </row>
    <row r="53" spans="1:36" x14ac:dyDescent="0.45">
      <c r="A53">
        <v>5</v>
      </c>
      <c r="B53" t="str">
        <f t="shared" si="0"/>
        <v>a 3 deg.f96p90</v>
      </c>
      <c r="C53">
        <f t="shared" si="2"/>
        <v>45</v>
      </c>
      <c r="D53" t="str">
        <f t="shared" si="1"/>
        <v>ts_096P90</v>
      </c>
      <c r="E53" t="str">
        <f t="shared" si="4"/>
        <v>C7</v>
      </c>
      <c r="AJ53" s="10">
        <f t="shared" si="5"/>
        <v>9</v>
      </c>
    </row>
    <row r="54" spans="1:36" x14ac:dyDescent="0.45">
      <c r="A54">
        <v>5</v>
      </c>
      <c r="B54" t="str">
        <f t="shared" si="0"/>
        <v>e 1.5 deg no OS.e3d</v>
      </c>
      <c r="C54">
        <f t="shared" si="2"/>
        <v>46</v>
      </c>
      <c r="D54" t="str">
        <f t="shared" si="1"/>
        <v>s1p1v1_d</v>
      </c>
      <c r="E54" t="str">
        <f t="shared" si="4"/>
        <v>C1</v>
      </c>
      <c r="AJ54" s="10">
        <f t="shared" si="5"/>
        <v>10</v>
      </c>
    </row>
    <row r="55" spans="1:36" x14ac:dyDescent="0.45">
      <c r="A55">
        <v>5</v>
      </c>
      <c r="B55" t="str">
        <f t="shared" si="0"/>
        <v>d 1.5 deg OS.e3d</v>
      </c>
      <c r="C55">
        <f t="shared" si="2"/>
        <v>47</v>
      </c>
      <c r="D55" t="str">
        <f t="shared" si="1"/>
        <v>s1p1v1_d</v>
      </c>
      <c r="E55" t="str">
        <f t="shared" si="4"/>
        <v>C2</v>
      </c>
      <c r="AJ55" s="10">
        <f t="shared" si="5"/>
        <v>10</v>
      </c>
    </row>
    <row r="56" spans="1:36" x14ac:dyDescent="0.45">
      <c r="A56">
        <v>5</v>
      </c>
      <c r="B56" t="str">
        <f t="shared" si="0"/>
        <v>c 2 deg (67%).e3d</v>
      </c>
      <c r="C56">
        <f t="shared" si="2"/>
        <v>48</v>
      </c>
      <c r="D56" t="str">
        <f t="shared" si="1"/>
        <v>s1p1v1_d</v>
      </c>
      <c r="E56" t="str">
        <f t="shared" si="4"/>
        <v>C3</v>
      </c>
      <c r="AJ56" s="10">
        <f t="shared" si="5"/>
        <v>10</v>
      </c>
    </row>
    <row r="57" spans="1:36" x14ac:dyDescent="0.45">
      <c r="A57">
        <v>5</v>
      </c>
      <c r="B57" t="str">
        <f t="shared" si="0"/>
        <v>b 2 deg (50%).e3d</v>
      </c>
      <c r="C57">
        <f t="shared" si="2"/>
        <v>49</v>
      </c>
      <c r="D57" t="str">
        <f t="shared" si="1"/>
        <v>s1p1v1_d</v>
      </c>
      <c r="E57" t="str">
        <f t="shared" si="4"/>
        <v>C4</v>
      </c>
      <c r="AJ57" s="10">
        <f t="shared" si="5"/>
        <v>10</v>
      </c>
    </row>
    <row r="58" spans="1:36" x14ac:dyDescent="0.45">
      <c r="A58">
        <v>5</v>
      </c>
      <c r="B58" t="str">
        <f t="shared" si="0"/>
        <v>a 3 deg.e3d</v>
      </c>
      <c r="C58">
        <f t="shared" si="2"/>
        <v>50</v>
      </c>
      <c r="D58" t="str">
        <f t="shared" si="1"/>
        <v>s1p1v1_d</v>
      </c>
      <c r="E58" t="str">
        <f t="shared" si="4"/>
        <v>C7</v>
      </c>
      <c r="AJ58" s="10">
        <f t="shared" si="5"/>
        <v>10</v>
      </c>
    </row>
    <row r="59" spans="1:36" x14ac:dyDescent="0.45">
      <c r="A59">
        <v>5</v>
      </c>
      <c r="B59" t="str">
        <f t="shared" si="0"/>
        <v>e 1.5 deg no OS.d9d</v>
      </c>
      <c r="C59">
        <f t="shared" si="2"/>
        <v>51</v>
      </c>
      <c r="D59" t="str">
        <f t="shared" si="1"/>
        <v>s3p3v3_d</v>
      </c>
      <c r="E59" t="str">
        <f t="shared" si="4"/>
        <v>C1</v>
      </c>
      <c r="AJ59" s="10">
        <f t="shared" si="5"/>
        <v>11</v>
      </c>
    </row>
    <row r="60" spans="1:36" x14ac:dyDescent="0.45">
      <c r="A60">
        <v>5</v>
      </c>
      <c r="B60" t="str">
        <f t="shared" si="0"/>
        <v>d 1.5 deg OS.d9d</v>
      </c>
      <c r="C60">
        <f t="shared" si="2"/>
        <v>52</v>
      </c>
      <c r="D60" t="str">
        <f t="shared" si="1"/>
        <v>s3p3v3_d</v>
      </c>
      <c r="E60" t="str">
        <f t="shared" si="4"/>
        <v>C2</v>
      </c>
      <c r="AJ60" s="10">
        <f t="shared" si="5"/>
        <v>11</v>
      </c>
    </row>
    <row r="61" spans="1:36" x14ac:dyDescent="0.45">
      <c r="A61">
        <v>5</v>
      </c>
      <c r="B61" t="str">
        <f t="shared" si="0"/>
        <v>c 2 deg (67%).d9d</v>
      </c>
      <c r="C61">
        <f t="shared" si="2"/>
        <v>53</v>
      </c>
      <c r="D61" t="str">
        <f t="shared" si="1"/>
        <v>s3p3v3_d</v>
      </c>
      <c r="E61" t="str">
        <f t="shared" si="4"/>
        <v>C3</v>
      </c>
      <c r="AJ61" s="10">
        <f t="shared" si="5"/>
        <v>11</v>
      </c>
    </row>
    <row r="62" spans="1:36" x14ac:dyDescent="0.45">
      <c r="A62">
        <v>5</v>
      </c>
      <c r="B62" t="str">
        <f t="shared" si="0"/>
        <v>b 2 deg (50%).d9d</v>
      </c>
      <c r="C62">
        <f t="shared" si="2"/>
        <v>54</v>
      </c>
      <c r="D62" t="str">
        <f t="shared" si="1"/>
        <v>s3p3v3_d</v>
      </c>
      <c r="E62" t="str">
        <f t="shared" si="4"/>
        <v>C4</v>
      </c>
      <c r="AJ62" s="10">
        <f t="shared" si="5"/>
        <v>11</v>
      </c>
    </row>
    <row r="63" spans="1:36" x14ac:dyDescent="0.45">
      <c r="A63">
        <v>5</v>
      </c>
      <c r="B63" t="str">
        <f t="shared" si="0"/>
        <v>a 3 deg.d9d</v>
      </c>
      <c r="C63">
        <f t="shared" si="2"/>
        <v>55</v>
      </c>
      <c r="D63" t="str">
        <f t="shared" si="1"/>
        <v>s3p3v3_d</v>
      </c>
      <c r="E63" t="str">
        <f t="shared" si="4"/>
        <v>C7</v>
      </c>
      <c r="AJ63" s="10">
        <f t="shared" si="5"/>
        <v>11</v>
      </c>
    </row>
    <row r="64" spans="1:36" x14ac:dyDescent="0.45">
      <c r="A64">
        <v>5</v>
      </c>
      <c r="B64" t="str">
        <f t="shared" si="0"/>
        <v>e 1.5 deg no OS.c15d</v>
      </c>
      <c r="C64">
        <f t="shared" si="2"/>
        <v>56</v>
      </c>
      <c r="D64" t="str">
        <f t="shared" ref="D64:D78" si="14">VLOOKUP(AJ64,$AG$9:$AH$22,2,FALSE)</f>
        <v>s5p5v5_d</v>
      </c>
      <c r="E64" t="str">
        <f t="shared" si="4"/>
        <v>C1</v>
      </c>
      <c r="AJ64" s="10">
        <f t="shared" si="5"/>
        <v>12</v>
      </c>
    </row>
    <row r="65" spans="1:36" x14ac:dyDescent="0.45">
      <c r="A65">
        <v>5</v>
      </c>
      <c r="B65" t="str">
        <f t="shared" si="0"/>
        <v>d 1.5 deg OS.c15d</v>
      </c>
      <c r="C65">
        <f t="shared" si="2"/>
        <v>57</v>
      </c>
      <c r="D65" t="str">
        <f t="shared" si="14"/>
        <v>s5p5v5_d</v>
      </c>
      <c r="E65" t="str">
        <f t="shared" si="4"/>
        <v>C2</v>
      </c>
      <c r="AJ65" s="10">
        <f t="shared" si="5"/>
        <v>12</v>
      </c>
    </row>
    <row r="66" spans="1:36" x14ac:dyDescent="0.45">
      <c r="A66">
        <v>5</v>
      </c>
      <c r="B66" t="str">
        <f t="shared" si="0"/>
        <v>c 2 deg (67%).c15d</v>
      </c>
      <c r="C66">
        <f t="shared" si="2"/>
        <v>58</v>
      </c>
      <c r="D66" t="str">
        <f t="shared" si="14"/>
        <v>s5p5v5_d</v>
      </c>
      <c r="E66" t="str">
        <f t="shared" si="4"/>
        <v>C3</v>
      </c>
      <c r="AJ66" s="10">
        <f t="shared" si="5"/>
        <v>12</v>
      </c>
    </row>
    <row r="67" spans="1:36" x14ac:dyDescent="0.45">
      <c r="A67">
        <v>5</v>
      </c>
      <c r="B67" t="str">
        <f t="shared" si="0"/>
        <v>b 2 deg (50%).c15d</v>
      </c>
      <c r="C67">
        <f t="shared" si="2"/>
        <v>59</v>
      </c>
      <c r="D67" t="str">
        <f t="shared" si="14"/>
        <v>s5p5v5_d</v>
      </c>
      <c r="E67" t="str">
        <f t="shared" si="4"/>
        <v>C4</v>
      </c>
      <c r="AJ67" s="10">
        <f t="shared" si="5"/>
        <v>12</v>
      </c>
    </row>
    <row r="68" spans="1:36" x14ac:dyDescent="0.45">
      <c r="A68">
        <v>5</v>
      </c>
      <c r="B68" t="str">
        <f t="shared" si="0"/>
        <v>a 3 deg.c15d</v>
      </c>
      <c r="C68">
        <f t="shared" si="2"/>
        <v>60</v>
      </c>
      <c r="D68" t="str">
        <f t="shared" si="14"/>
        <v>s5p5v5_d</v>
      </c>
      <c r="E68" t="str">
        <f t="shared" si="4"/>
        <v>C7</v>
      </c>
      <c r="AJ68" s="10">
        <f t="shared" si="5"/>
        <v>12</v>
      </c>
    </row>
    <row r="69" spans="1:36" x14ac:dyDescent="0.45">
      <c r="A69">
        <v>5</v>
      </c>
      <c r="B69" t="str">
        <f t="shared" si="0"/>
        <v>e 1.5 deg no OS.b2w</v>
      </c>
      <c r="C69">
        <f t="shared" si="2"/>
        <v>61</v>
      </c>
      <c r="D69" t="str">
        <f t="shared" si="14"/>
        <v>s2_w</v>
      </c>
      <c r="E69" t="str">
        <f t="shared" si="4"/>
        <v>C1</v>
      </c>
      <c r="AJ69" s="10">
        <f t="shared" si="5"/>
        <v>13</v>
      </c>
    </row>
    <row r="70" spans="1:36" x14ac:dyDescent="0.45">
      <c r="A70">
        <v>5</v>
      </c>
      <c r="B70" t="str">
        <f t="shared" si="0"/>
        <v>d 1.5 deg OS.b2w</v>
      </c>
      <c r="C70">
        <f t="shared" si="2"/>
        <v>62</v>
      </c>
      <c r="D70" t="str">
        <f t="shared" si="14"/>
        <v>s2_w</v>
      </c>
      <c r="E70" t="str">
        <f t="shared" si="4"/>
        <v>C2</v>
      </c>
      <c r="AJ70" s="10">
        <f t="shared" si="5"/>
        <v>13</v>
      </c>
    </row>
    <row r="71" spans="1:36" x14ac:dyDescent="0.45">
      <c r="A71">
        <v>5</v>
      </c>
      <c r="B71" t="str">
        <f t="shared" si="0"/>
        <v>c 2 deg (67%).b2w</v>
      </c>
      <c r="C71">
        <f t="shared" si="2"/>
        <v>63</v>
      </c>
      <c r="D71" t="str">
        <f t="shared" si="14"/>
        <v>s2_w</v>
      </c>
      <c r="E71" t="str">
        <f t="shared" si="4"/>
        <v>C3</v>
      </c>
      <c r="AJ71" s="10">
        <f t="shared" si="5"/>
        <v>13</v>
      </c>
    </row>
    <row r="72" spans="1:36" x14ac:dyDescent="0.45">
      <c r="A72">
        <v>5</v>
      </c>
      <c r="B72" t="str">
        <f t="shared" si="0"/>
        <v>b 2 deg (50%).b2w</v>
      </c>
      <c r="C72">
        <f t="shared" si="2"/>
        <v>64</v>
      </c>
      <c r="D72" t="str">
        <f t="shared" si="14"/>
        <v>s2_w</v>
      </c>
      <c r="E72" t="str">
        <f t="shared" si="4"/>
        <v>C4</v>
      </c>
      <c r="AJ72" s="10">
        <f t="shared" si="5"/>
        <v>13</v>
      </c>
    </row>
    <row r="73" spans="1:36" x14ac:dyDescent="0.45">
      <c r="A73">
        <v>5</v>
      </c>
      <c r="B73" t="str">
        <f t="shared" si="0"/>
        <v>a 3 deg.b2w</v>
      </c>
      <c r="C73">
        <f t="shared" si="2"/>
        <v>65</v>
      </c>
      <c r="D73" t="str">
        <f t="shared" si="14"/>
        <v>s2_w</v>
      </c>
      <c r="E73" t="str">
        <f t="shared" si="4"/>
        <v>C7</v>
      </c>
      <c r="AJ73" s="10">
        <f t="shared" si="5"/>
        <v>13</v>
      </c>
    </row>
    <row r="74" spans="1:36" x14ac:dyDescent="0.45">
      <c r="A74">
        <v>5</v>
      </c>
      <c r="B74" t="str">
        <f t="shared" ref="B74:B78" si="15">VLOOKUP(E74,$AK$9:$AL$15,2,FALSE)&amp;"."&amp;VLOOKUP(D74,$AH$9:$AI$24,2,FALSE)</f>
        <v>e 1.5 deg no OS.a2w2d</v>
      </c>
      <c r="C74">
        <f t="shared" si="2"/>
        <v>66</v>
      </c>
      <c r="D74" t="str">
        <f t="shared" si="14"/>
        <v>s2_w_p2_d</v>
      </c>
      <c r="E74" t="str">
        <f t="shared" si="4"/>
        <v>C1</v>
      </c>
      <c r="AJ74" s="10">
        <f t="shared" si="5"/>
        <v>14</v>
      </c>
    </row>
    <row r="75" spans="1:36" x14ac:dyDescent="0.45">
      <c r="A75">
        <v>5</v>
      </c>
      <c r="B75" t="str">
        <f t="shared" si="15"/>
        <v>d 1.5 deg OS.a2w2d</v>
      </c>
      <c r="C75">
        <f t="shared" ref="C75:C78" si="16">C74+1</f>
        <v>67</v>
      </c>
      <c r="D75" t="str">
        <f t="shared" si="14"/>
        <v>s2_w_p2_d</v>
      </c>
      <c r="E75" t="str">
        <f t="shared" si="4"/>
        <v>C2</v>
      </c>
      <c r="AJ75" s="10">
        <f t="shared" si="5"/>
        <v>14</v>
      </c>
    </row>
    <row r="76" spans="1:36" x14ac:dyDescent="0.45">
      <c r="A76">
        <v>5</v>
      </c>
      <c r="B76" t="str">
        <f t="shared" si="15"/>
        <v>c 2 deg (67%).a2w2d</v>
      </c>
      <c r="C76">
        <f t="shared" si="16"/>
        <v>68</v>
      </c>
      <c r="D76" t="str">
        <f t="shared" si="14"/>
        <v>s2_w_p2_d</v>
      </c>
      <c r="E76" t="str">
        <f t="shared" si="4"/>
        <v>C3</v>
      </c>
      <c r="AJ76" s="10">
        <f t="shared" si="5"/>
        <v>14</v>
      </c>
    </row>
    <row r="77" spans="1:36" x14ac:dyDescent="0.45">
      <c r="A77">
        <v>5</v>
      </c>
      <c r="B77" t="str">
        <f t="shared" si="15"/>
        <v>b 2 deg (50%).a2w2d</v>
      </c>
      <c r="C77">
        <f t="shared" si="16"/>
        <v>69</v>
      </c>
      <c r="D77" t="str">
        <f t="shared" si="14"/>
        <v>s2_w_p2_d</v>
      </c>
      <c r="E77" t="str">
        <f t="shared" si="4"/>
        <v>C4</v>
      </c>
      <c r="AJ77" s="10">
        <f t="shared" si="5"/>
        <v>14</v>
      </c>
    </row>
    <row r="78" spans="1:36" x14ac:dyDescent="0.45">
      <c r="A78">
        <v>5</v>
      </c>
      <c r="B78" t="str">
        <f t="shared" si="15"/>
        <v>a 3 deg.a2w2d</v>
      </c>
      <c r="C78">
        <f t="shared" si="16"/>
        <v>70</v>
      </c>
      <c r="D78" t="str">
        <f t="shared" si="14"/>
        <v>s2_w_p2_d</v>
      </c>
      <c r="E78" t="str">
        <f t="shared" si="4"/>
        <v>C7</v>
      </c>
      <c r="AJ78" s="10">
        <f t="shared" si="5"/>
        <v>14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142</v>
      </c>
      <c r="B11">
        <v>30.9</v>
      </c>
      <c r="C11">
        <v>41.1</v>
      </c>
      <c r="D11">
        <v>8.6</v>
      </c>
      <c r="E11">
        <v>11</v>
      </c>
      <c r="F11">
        <v>45</v>
      </c>
      <c r="G11">
        <v>55</v>
      </c>
      <c r="H11">
        <v>15</v>
      </c>
      <c r="I11">
        <v>22</v>
      </c>
      <c r="J11" t="s">
        <v>144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142</v>
      </c>
      <c r="B11">
        <v>2000</v>
      </c>
      <c r="C11">
        <v>353.17</v>
      </c>
      <c r="D11">
        <v>183.05</v>
      </c>
      <c r="E11">
        <v>8.2100000000000009</v>
      </c>
      <c r="F11">
        <v>0</v>
      </c>
      <c r="G11">
        <v>1.5</v>
      </c>
      <c r="H11">
        <v>-0.2</v>
      </c>
      <c r="I11">
        <v>561.05999999999995</v>
      </c>
    </row>
    <row r="12" spans="1:9" x14ac:dyDescent="0.45">
      <c r="A12" t="s">
        <v>142</v>
      </c>
      <c r="B12">
        <v>2001</v>
      </c>
      <c r="C12">
        <v>365.24</v>
      </c>
      <c r="D12">
        <v>185.84</v>
      </c>
      <c r="E12">
        <v>8.11</v>
      </c>
      <c r="F12">
        <v>0</v>
      </c>
      <c r="G12">
        <v>1.52</v>
      </c>
      <c r="H12">
        <v>-0.23</v>
      </c>
      <c r="I12">
        <v>579.62</v>
      </c>
    </row>
    <row r="13" spans="1:9" x14ac:dyDescent="0.45">
      <c r="A13" t="s">
        <v>142</v>
      </c>
      <c r="B13">
        <v>2002</v>
      </c>
      <c r="C13">
        <v>373.25</v>
      </c>
      <c r="D13">
        <v>197.43</v>
      </c>
      <c r="E13">
        <v>8.8000000000000007</v>
      </c>
      <c r="F13">
        <v>0</v>
      </c>
      <c r="G13">
        <v>1.52</v>
      </c>
      <c r="H13">
        <v>-0.17</v>
      </c>
      <c r="I13">
        <v>602.77</v>
      </c>
    </row>
    <row r="14" spans="1:9" x14ac:dyDescent="0.45">
      <c r="A14" t="s">
        <v>142</v>
      </c>
      <c r="B14">
        <v>2003</v>
      </c>
      <c r="C14">
        <v>398.6</v>
      </c>
      <c r="D14">
        <v>209.74</v>
      </c>
      <c r="E14">
        <v>9.2100000000000009</v>
      </c>
      <c r="F14">
        <v>0</v>
      </c>
      <c r="G14">
        <v>1.75</v>
      </c>
      <c r="H14">
        <v>-0.06</v>
      </c>
      <c r="I14">
        <v>640.35</v>
      </c>
    </row>
    <row r="15" spans="1:9" x14ac:dyDescent="0.45">
      <c r="A15" t="s">
        <v>142</v>
      </c>
      <c r="B15">
        <v>2004</v>
      </c>
      <c r="C15">
        <v>420.06</v>
      </c>
      <c r="D15">
        <v>219.17</v>
      </c>
      <c r="E15">
        <v>9.49</v>
      </c>
      <c r="F15">
        <v>0</v>
      </c>
      <c r="G15">
        <v>1.74</v>
      </c>
      <c r="H15">
        <v>-0.04</v>
      </c>
      <c r="I15">
        <v>675.52</v>
      </c>
    </row>
    <row r="16" spans="1:9" x14ac:dyDescent="0.45">
      <c r="A16" t="s">
        <v>142</v>
      </c>
      <c r="B16">
        <v>2005</v>
      </c>
      <c r="C16">
        <v>440.21</v>
      </c>
      <c r="D16">
        <v>233.64</v>
      </c>
      <c r="E16">
        <v>9.94</v>
      </c>
      <c r="F16">
        <v>0</v>
      </c>
      <c r="G16">
        <v>1.76</v>
      </c>
      <c r="H16">
        <v>-0.21</v>
      </c>
      <c r="I16">
        <v>708.4</v>
      </c>
    </row>
    <row r="17" spans="1:9" x14ac:dyDescent="0.45">
      <c r="A17" t="s">
        <v>142</v>
      </c>
      <c r="B17">
        <v>2006</v>
      </c>
      <c r="C17">
        <v>473.33</v>
      </c>
      <c r="D17">
        <v>260.14</v>
      </c>
      <c r="E17">
        <v>10.8</v>
      </c>
      <c r="F17">
        <v>0</v>
      </c>
      <c r="G17">
        <v>2.96</v>
      </c>
      <c r="H17">
        <v>-0.22</v>
      </c>
      <c r="I17">
        <v>767.3</v>
      </c>
    </row>
    <row r="18" spans="1:9" x14ac:dyDescent="0.45">
      <c r="A18" t="s">
        <v>142</v>
      </c>
      <c r="B18">
        <v>2007</v>
      </c>
      <c r="C18">
        <v>508.87</v>
      </c>
      <c r="D18">
        <v>274.29000000000002</v>
      </c>
      <c r="E18">
        <v>11.11</v>
      </c>
      <c r="F18">
        <v>0</v>
      </c>
      <c r="G18">
        <v>5.23</v>
      </c>
      <c r="H18">
        <v>-0.28999999999999998</v>
      </c>
      <c r="I18">
        <v>817.35</v>
      </c>
    </row>
    <row r="19" spans="1:9" x14ac:dyDescent="0.45">
      <c r="A19" t="s">
        <v>142</v>
      </c>
      <c r="B19">
        <v>2008</v>
      </c>
      <c r="C19">
        <v>517.86</v>
      </c>
      <c r="D19">
        <v>293.74</v>
      </c>
      <c r="E19">
        <v>11.81</v>
      </c>
      <c r="F19">
        <v>0</v>
      </c>
      <c r="G19">
        <v>5.9</v>
      </c>
      <c r="H19">
        <v>-0.06</v>
      </c>
      <c r="I19">
        <v>845.01</v>
      </c>
    </row>
    <row r="20" spans="1:9" x14ac:dyDescent="0.45">
      <c r="A20" t="s">
        <v>142</v>
      </c>
      <c r="B20">
        <v>2009</v>
      </c>
      <c r="C20">
        <v>555.27</v>
      </c>
      <c r="D20">
        <v>322.23</v>
      </c>
      <c r="E20">
        <v>12.39</v>
      </c>
      <c r="F20">
        <v>0</v>
      </c>
      <c r="G20">
        <v>5.36</v>
      </c>
      <c r="H20">
        <v>-0.06</v>
      </c>
      <c r="I20">
        <v>909.5</v>
      </c>
    </row>
    <row r="21" spans="1:9" x14ac:dyDescent="0.45">
      <c r="A21" t="s">
        <v>142</v>
      </c>
      <c r="B21">
        <v>2010</v>
      </c>
      <c r="C21">
        <v>585.41</v>
      </c>
      <c r="D21">
        <v>349.52</v>
      </c>
      <c r="E21">
        <v>13.32</v>
      </c>
      <c r="F21">
        <v>0</v>
      </c>
      <c r="G21">
        <v>5.61</v>
      </c>
      <c r="H21">
        <v>-0.06</v>
      </c>
      <c r="I21">
        <v>972.25</v>
      </c>
    </row>
    <row r="22" spans="1:9" x14ac:dyDescent="0.45">
      <c r="A22" t="s">
        <v>142</v>
      </c>
      <c r="B22">
        <v>2011</v>
      </c>
      <c r="C22">
        <v>636.4</v>
      </c>
      <c r="D22">
        <v>378.48</v>
      </c>
      <c r="E22">
        <v>14.21</v>
      </c>
      <c r="F22">
        <v>0</v>
      </c>
      <c r="G22">
        <v>5.25</v>
      </c>
      <c r="H22">
        <v>-0.13</v>
      </c>
      <c r="I22">
        <v>1059.1600000000001</v>
      </c>
    </row>
    <row r="23" spans="1:9" x14ac:dyDescent="0.45">
      <c r="A23" t="s">
        <v>142</v>
      </c>
      <c r="B23">
        <v>2012</v>
      </c>
      <c r="C23">
        <v>662.84</v>
      </c>
      <c r="D23">
        <v>407.44</v>
      </c>
      <c r="E23">
        <v>14.1</v>
      </c>
      <c r="F23">
        <v>0</v>
      </c>
      <c r="G23">
        <v>4.79</v>
      </c>
      <c r="H23">
        <v>-0.15</v>
      </c>
      <c r="I23">
        <v>1114.54</v>
      </c>
    </row>
    <row r="24" spans="1:9" x14ac:dyDescent="0.45">
      <c r="A24" t="s">
        <v>142</v>
      </c>
      <c r="B24">
        <v>2013</v>
      </c>
      <c r="C24">
        <v>698.03</v>
      </c>
      <c r="D24">
        <v>430.77</v>
      </c>
      <c r="E24">
        <v>15.54</v>
      </c>
      <c r="F24">
        <v>0</v>
      </c>
      <c r="G24">
        <v>5.6</v>
      </c>
      <c r="H24">
        <v>-1.65</v>
      </c>
      <c r="I24">
        <v>1182.42</v>
      </c>
    </row>
    <row r="25" spans="1:9" x14ac:dyDescent="0.45">
      <c r="A25" t="s">
        <v>142</v>
      </c>
      <c r="B25">
        <v>2014</v>
      </c>
      <c r="C25">
        <v>748.32</v>
      </c>
      <c r="D25">
        <v>478.19</v>
      </c>
      <c r="E25">
        <v>16.18</v>
      </c>
      <c r="F25">
        <v>0</v>
      </c>
      <c r="G25">
        <v>5.01</v>
      </c>
      <c r="H25">
        <v>-4.43</v>
      </c>
      <c r="I25">
        <v>1288.45</v>
      </c>
    </row>
    <row r="26" spans="1:9" x14ac:dyDescent="0.45">
      <c r="A26" t="s">
        <v>142</v>
      </c>
      <c r="B26">
        <v>2015</v>
      </c>
      <c r="C26">
        <v>768.06</v>
      </c>
      <c r="D26">
        <v>511.99</v>
      </c>
      <c r="E26">
        <v>16.59</v>
      </c>
      <c r="F26">
        <v>0</v>
      </c>
      <c r="G26">
        <v>5.24</v>
      </c>
      <c r="H26">
        <v>-5.15</v>
      </c>
      <c r="I26">
        <v>1357.75</v>
      </c>
    </row>
    <row r="27" spans="1:9" x14ac:dyDescent="0.45">
      <c r="A27" t="s">
        <v>142</v>
      </c>
      <c r="B27">
        <v>2016</v>
      </c>
      <c r="C27">
        <v>801.84</v>
      </c>
      <c r="D27">
        <v>553.13</v>
      </c>
      <c r="E27">
        <v>15.68</v>
      </c>
      <c r="F27">
        <v>0</v>
      </c>
      <c r="G27">
        <v>5.62</v>
      </c>
      <c r="H27">
        <v>-6.71</v>
      </c>
      <c r="I27">
        <v>1432.89</v>
      </c>
    </row>
    <row r="28" spans="1:9" x14ac:dyDescent="0.45">
      <c r="A28" t="s">
        <v>142</v>
      </c>
      <c r="B28">
        <v>2017</v>
      </c>
      <c r="C28">
        <v>850.93</v>
      </c>
      <c r="D28">
        <v>583.78</v>
      </c>
      <c r="E28">
        <v>17.43</v>
      </c>
      <c r="F28">
        <v>0</v>
      </c>
      <c r="G28">
        <v>5.07</v>
      </c>
      <c r="H28">
        <v>-7.2</v>
      </c>
      <c r="I28">
        <v>1510.1</v>
      </c>
    </row>
    <row r="29" spans="1:9" x14ac:dyDescent="0.45">
      <c r="A29" t="s">
        <v>142</v>
      </c>
      <c r="B29">
        <v>2018</v>
      </c>
      <c r="C29">
        <v>918.63</v>
      </c>
      <c r="D29">
        <v>615.14</v>
      </c>
      <c r="E29">
        <v>18.84</v>
      </c>
      <c r="F29">
        <v>0</v>
      </c>
      <c r="G29">
        <v>4.4000000000000004</v>
      </c>
      <c r="H29">
        <v>-8.4700000000000006</v>
      </c>
      <c r="I29">
        <v>1608.81</v>
      </c>
    </row>
    <row r="30" spans="1:9" x14ac:dyDescent="0.45">
      <c r="A30" t="s">
        <v>142</v>
      </c>
      <c r="B30">
        <v>2019</v>
      </c>
      <c r="C30">
        <v>935.33</v>
      </c>
      <c r="D30">
        <v>641.13</v>
      </c>
      <c r="E30">
        <v>19.149999999999999</v>
      </c>
      <c r="F30">
        <v>0</v>
      </c>
      <c r="G30">
        <v>6.35</v>
      </c>
      <c r="H30">
        <v>-9.49</v>
      </c>
      <c r="I30">
        <v>1646.58</v>
      </c>
    </row>
    <row r="31" spans="1:9" x14ac:dyDescent="0.45">
      <c r="A31" t="s">
        <v>142</v>
      </c>
      <c r="B31">
        <v>2020</v>
      </c>
      <c r="C31">
        <v>905.9</v>
      </c>
      <c r="D31">
        <v>597.54</v>
      </c>
      <c r="E31">
        <v>14.67</v>
      </c>
      <c r="F31">
        <v>0</v>
      </c>
      <c r="G31">
        <v>9.5500000000000007</v>
      </c>
      <c r="H31">
        <v>-9.57</v>
      </c>
      <c r="I31">
        <v>1536.76</v>
      </c>
    </row>
    <row r="32" spans="1:9" x14ac:dyDescent="0.45">
      <c r="A32" t="s">
        <v>142</v>
      </c>
      <c r="B32">
        <v>2021</v>
      </c>
      <c r="C32">
        <v>960.02</v>
      </c>
      <c r="D32">
        <v>665.35</v>
      </c>
      <c r="E32">
        <v>21.93</v>
      </c>
      <c r="F32">
        <v>0</v>
      </c>
      <c r="G32">
        <v>7.97</v>
      </c>
      <c r="H32">
        <v>-8.25</v>
      </c>
      <c r="I32">
        <v>1636.31</v>
      </c>
    </row>
    <row r="33" spans="1:9" x14ac:dyDescent="0.45">
      <c r="A33" t="s">
        <v>142</v>
      </c>
      <c r="B33">
        <v>2022</v>
      </c>
      <c r="C33">
        <v>1016.7</v>
      </c>
      <c r="D33">
        <v>707.9</v>
      </c>
      <c r="E33">
        <v>25</v>
      </c>
      <c r="F33">
        <v>0</v>
      </c>
      <c r="G33">
        <v>7.84</v>
      </c>
      <c r="H33">
        <v>-10.25</v>
      </c>
      <c r="I33">
        <v>1814.06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143</v>
      </c>
      <c r="C11">
        <v>2020</v>
      </c>
      <c r="D11">
        <v>60</v>
      </c>
      <c r="E11">
        <v>0.18</v>
      </c>
      <c r="F11">
        <v>0.28000000000000003</v>
      </c>
      <c r="G11">
        <v>0.17</v>
      </c>
      <c r="H11">
        <v>0</v>
      </c>
      <c r="I11">
        <v>0.55000000000000004</v>
      </c>
      <c r="J11">
        <v>0</v>
      </c>
      <c r="K11">
        <v>0.28000000000000003</v>
      </c>
      <c r="L11" t="s">
        <v>1</v>
      </c>
      <c r="M11" t="s">
        <v>27</v>
      </c>
    </row>
    <row r="12" spans="1:13" x14ac:dyDescent="0.45">
      <c r="A12" t="s">
        <v>0</v>
      </c>
      <c r="B12" t="s">
        <v>143</v>
      </c>
      <c r="C12">
        <v>2025</v>
      </c>
      <c r="D12">
        <v>60</v>
      </c>
      <c r="E12">
        <v>150.71</v>
      </c>
      <c r="F12">
        <v>133.66999999999999</v>
      </c>
      <c r="G12">
        <v>123.07</v>
      </c>
      <c r="H12">
        <v>25.7</v>
      </c>
      <c r="I12">
        <v>626.48</v>
      </c>
      <c r="J12">
        <v>63.83</v>
      </c>
      <c r="K12">
        <v>177.75</v>
      </c>
      <c r="L12" t="s">
        <v>1</v>
      </c>
      <c r="M12" t="s">
        <v>27</v>
      </c>
    </row>
    <row r="13" spans="1:13" x14ac:dyDescent="0.45">
      <c r="A13" t="s">
        <v>0</v>
      </c>
      <c r="B13" t="s">
        <v>143</v>
      </c>
      <c r="C13">
        <v>2030</v>
      </c>
      <c r="D13">
        <v>60</v>
      </c>
      <c r="E13">
        <v>197.87</v>
      </c>
      <c r="F13">
        <v>176.95</v>
      </c>
      <c r="G13">
        <v>120.69</v>
      </c>
      <c r="H13">
        <v>43.04</v>
      </c>
      <c r="I13">
        <v>673.46</v>
      </c>
      <c r="J13">
        <v>103.13</v>
      </c>
      <c r="K13">
        <v>241.69</v>
      </c>
      <c r="L13" t="s">
        <v>1</v>
      </c>
      <c r="M13" t="s">
        <v>27</v>
      </c>
    </row>
    <row r="14" spans="1:13" x14ac:dyDescent="0.45">
      <c r="A14" t="s">
        <v>0</v>
      </c>
      <c r="B14" t="s">
        <v>143</v>
      </c>
      <c r="C14">
        <v>2035</v>
      </c>
      <c r="D14">
        <v>60</v>
      </c>
      <c r="E14">
        <v>284.66000000000003</v>
      </c>
      <c r="F14">
        <v>242.69</v>
      </c>
      <c r="G14">
        <v>157.97999999999999</v>
      </c>
      <c r="H14">
        <v>72.05</v>
      </c>
      <c r="I14">
        <v>859.53</v>
      </c>
      <c r="J14">
        <v>152.72</v>
      </c>
      <c r="K14">
        <v>350.22</v>
      </c>
      <c r="L14" t="s">
        <v>1</v>
      </c>
      <c r="M14" t="s">
        <v>27</v>
      </c>
    </row>
    <row r="15" spans="1:13" x14ac:dyDescent="0.45">
      <c r="A15" t="s">
        <v>0</v>
      </c>
      <c r="B15" t="s">
        <v>143</v>
      </c>
      <c r="C15">
        <v>2040</v>
      </c>
      <c r="D15">
        <v>60</v>
      </c>
      <c r="E15">
        <v>400.28</v>
      </c>
      <c r="F15">
        <v>325.37</v>
      </c>
      <c r="G15">
        <v>210.28</v>
      </c>
      <c r="H15">
        <v>130.36000000000001</v>
      </c>
      <c r="I15">
        <v>1097.01</v>
      </c>
      <c r="J15">
        <v>260.5</v>
      </c>
      <c r="K15">
        <v>499.12</v>
      </c>
      <c r="L15" t="s">
        <v>1</v>
      </c>
      <c r="M15" t="s">
        <v>27</v>
      </c>
    </row>
    <row r="16" spans="1:13" x14ac:dyDescent="0.45">
      <c r="A16" t="s">
        <v>0</v>
      </c>
      <c r="B16" t="s">
        <v>143</v>
      </c>
      <c r="C16">
        <v>2045</v>
      </c>
      <c r="D16">
        <v>60</v>
      </c>
      <c r="E16">
        <v>522.47</v>
      </c>
      <c r="F16">
        <v>430.26</v>
      </c>
      <c r="G16">
        <v>244.97</v>
      </c>
      <c r="H16">
        <v>193.42</v>
      </c>
      <c r="I16">
        <v>1269.8800000000001</v>
      </c>
      <c r="J16">
        <v>352.78</v>
      </c>
      <c r="K16">
        <v>693.38</v>
      </c>
      <c r="L16" t="s">
        <v>1</v>
      </c>
      <c r="M16" t="s">
        <v>27</v>
      </c>
    </row>
    <row r="17" spans="1:13" x14ac:dyDescent="0.45">
      <c r="A17" t="s">
        <v>0</v>
      </c>
      <c r="B17" t="s">
        <v>143</v>
      </c>
      <c r="C17">
        <v>2050</v>
      </c>
      <c r="D17">
        <v>60</v>
      </c>
      <c r="E17">
        <v>631.49</v>
      </c>
      <c r="F17">
        <v>592.32000000000005</v>
      </c>
      <c r="G17">
        <v>257.5</v>
      </c>
      <c r="H17">
        <v>209.76</v>
      </c>
      <c r="I17">
        <v>1170.26</v>
      </c>
      <c r="J17">
        <v>412.98</v>
      </c>
      <c r="K17">
        <v>815.96</v>
      </c>
      <c r="L17" t="s">
        <v>1</v>
      </c>
      <c r="M17" t="s">
        <v>27</v>
      </c>
    </row>
    <row r="18" spans="1:13" x14ac:dyDescent="0.45">
      <c r="A18" t="s">
        <v>2</v>
      </c>
      <c r="B18" t="s">
        <v>143</v>
      </c>
      <c r="C18">
        <v>2020</v>
      </c>
      <c r="D18">
        <v>86</v>
      </c>
      <c r="E18">
        <v>0.16</v>
      </c>
      <c r="F18">
        <v>0</v>
      </c>
      <c r="G18">
        <v>0.22</v>
      </c>
      <c r="H18">
        <v>0</v>
      </c>
      <c r="I18">
        <v>0.55000000000000004</v>
      </c>
      <c r="J18">
        <v>0</v>
      </c>
      <c r="K18">
        <v>0.28000000000000003</v>
      </c>
      <c r="L18" t="s">
        <v>3</v>
      </c>
      <c r="M18" t="s">
        <v>27</v>
      </c>
    </row>
    <row r="19" spans="1:13" x14ac:dyDescent="0.45">
      <c r="A19" t="s">
        <v>2</v>
      </c>
      <c r="B19" t="s">
        <v>143</v>
      </c>
      <c r="C19">
        <v>2025</v>
      </c>
      <c r="D19">
        <v>75</v>
      </c>
      <c r="E19">
        <v>40.229999999999997</v>
      </c>
      <c r="F19">
        <v>23.04</v>
      </c>
      <c r="G19">
        <v>49.98</v>
      </c>
      <c r="H19">
        <v>0</v>
      </c>
      <c r="I19">
        <v>174.97</v>
      </c>
      <c r="J19">
        <v>1.1100000000000001</v>
      </c>
      <c r="K19">
        <v>61.44</v>
      </c>
      <c r="L19" t="s">
        <v>3</v>
      </c>
      <c r="M19" t="s">
        <v>27</v>
      </c>
    </row>
    <row r="20" spans="1:13" x14ac:dyDescent="0.45">
      <c r="A20" t="s">
        <v>2</v>
      </c>
      <c r="B20" t="s">
        <v>143</v>
      </c>
      <c r="C20">
        <v>2030</v>
      </c>
      <c r="D20">
        <v>86</v>
      </c>
      <c r="E20">
        <v>50.96</v>
      </c>
      <c r="F20">
        <v>41.97</v>
      </c>
      <c r="G20">
        <v>56.05</v>
      </c>
      <c r="H20">
        <v>0</v>
      </c>
      <c r="I20">
        <v>221.93</v>
      </c>
      <c r="J20">
        <v>1.1100000000000001</v>
      </c>
      <c r="K20">
        <v>78.09</v>
      </c>
      <c r="L20" t="s">
        <v>3</v>
      </c>
      <c r="M20" t="s">
        <v>27</v>
      </c>
    </row>
    <row r="21" spans="1:13" x14ac:dyDescent="0.45">
      <c r="A21" t="s">
        <v>2</v>
      </c>
      <c r="B21" t="s">
        <v>143</v>
      </c>
      <c r="C21">
        <v>2035</v>
      </c>
      <c r="D21">
        <v>75</v>
      </c>
      <c r="E21">
        <v>192.17</v>
      </c>
      <c r="F21">
        <v>129.57</v>
      </c>
      <c r="G21">
        <v>290.7</v>
      </c>
      <c r="H21">
        <v>38.299999999999997</v>
      </c>
      <c r="I21">
        <v>2037.12</v>
      </c>
      <c r="J21">
        <v>85.89</v>
      </c>
      <c r="K21">
        <v>200.38</v>
      </c>
      <c r="L21" t="s">
        <v>3</v>
      </c>
      <c r="M21" t="s">
        <v>27</v>
      </c>
    </row>
    <row r="22" spans="1:13" x14ac:dyDescent="0.45">
      <c r="A22" t="s">
        <v>2</v>
      </c>
      <c r="B22" t="s">
        <v>143</v>
      </c>
      <c r="C22">
        <v>2040</v>
      </c>
      <c r="D22">
        <v>86</v>
      </c>
      <c r="E22">
        <v>244.81</v>
      </c>
      <c r="F22">
        <v>165.64</v>
      </c>
      <c r="G22">
        <v>360.13</v>
      </c>
      <c r="H22">
        <v>0</v>
      </c>
      <c r="I22">
        <v>2600</v>
      </c>
      <c r="J22">
        <v>107.85</v>
      </c>
      <c r="K22">
        <v>256.54000000000002</v>
      </c>
      <c r="L22" t="s">
        <v>3</v>
      </c>
      <c r="M22" t="s">
        <v>27</v>
      </c>
    </row>
    <row r="23" spans="1:13" x14ac:dyDescent="0.45">
      <c r="A23" t="s">
        <v>2</v>
      </c>
      <c r="B23" t="s">
        <v>143</v>
      </c>
      <c r="C23">
        <v>2045</v>
      </c>
      <c r="D23">
        <v>75</v>
      </c>
      <c r="E23">
        <v>293.27</v>
      </c>
      <c r="F23">
        <v>249.21</v>
      </c>
      <c r="G23">
        <v>189.2</v>
      </c>
      <c r="H23">
        <v>103.36</v>
      </c>
      <c r="I23">
        <v>1213.1199999999999</v>
      </c>
      <c r="J23">
        <v>162.19</v>
      </c>
      <c r="K23">
        <v>345.91</v>
      </c>
      <c r="L23" t="s">
        <v>3</v>
      </c>
      <c r="M23" t="s">
        <v>27</v>
      </c>
    </row>
    <row r="24" spans="1:13" x14ac:dyDescent="0.45">
      <c r="A24" t="s">
        <v>2</v>
      </c>
      <c r="B24" t="s">
        <v>143</v>
      </c>
      <c r="C24">
        <v>2050</v>
      </c>
      <c r="D24">
        <v>86</v>
      </c>
      <c r="E24">
        <v>309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143</v>
      </c>
      <c r="C25">
        <v>2020</v>
      </c>
      <c r="D25">
        <v>192</v>
      </c>
      <c r="E25">
        <v>2.99</v>
      </c>
      <c r="F25">
        <v>7.0000000000000007E-2</v>
      </c>
      <c r="G25">
        <v>11.26</v>
      </c>
      <c r="H25">
        <v>0</v>
      </c>
      <c r="I25">
        <v>119.01</v>
      </c>
      <c r="J25">
        <v>0</v>
      </c>
      <c r="K25">
        <v>0.28000000000000003</v>
      </c>
      <c r="L25" t="s">
        <v>6</v>
      </c>
      <c r="M25" t="s">
        <v>27</v>
      </c>
    </row>
    <row r="26" spans="1:13" x14ac:dyDescent="0.45">
      <c r="A26" t="s">
        <v>5</v>
      </c>
      <c r="B26" t="s">
        <v>143</v>
      </c>
      <c r="C26">
        <v>2025</v>
      </c>
      <c r="D26">
        <v>169</v>
      </c>
      <c r="E26">
        <v>33.67</v>
      </c>
      <c r="F26">
        <v>25.76</v>
      </c>
      <c r="G26">
        <v>35.909999999999997</v>
      </c>
      <c r="H26">
        <v>0</v>
      </c>
      <c r="I26">
        <v>166.89</v>
      </c>
      <c r="J26">
        <v>1.1100000000000001</v>
      </c>
      <c r="K26">
        <v>49.85</v>
      </c>
      <c r="L26" t="s">
        <v>6</v>
      </c>
      <c r="M26" t="s">
        <v>27</v>
      </c>
    </row>
    <row r="27" spans="1:13" x14ac:dyDescent="0.45">
      <c r="A27" t="s">
        <v>5</v>
      </c>
      <c r="B27" t="s">
        <v>143</v>
      </c>
      <c r="C27">
        <v>2030</v>
      </c>
      <c r="D27">
        <v>192</v>
      </c>
      <c r="E27">
        <v>49.15</v>
      </c>
      <c r="F27">
        <v>47.87</v>
      </c>
      <c r="G27">
        <v>43.93</v>
      </c>
      <c r="H27">
        <v>0</v>
      </c>
      <c r="I27">
        <v>216.75</v>
      </c>
      <c r="J27">
        <v>1.1100000000000001</v>
      </c>
      <c r="K27">
        <v>77.8</v>
      </c>
      <c r="L27" t="s">
        <v>6</v>
      </c>
      <c r="M27" t="s">
        <v>27</v>
      </c>
    </row>
    <row r="28" spans="1:13" x14ac:dyDescent="0.45">
      <c r="A28" t="s">
        <v>5</v>
      </c>
      <c r="B28" t="s">
        <v>143</v>
      </c>
      <c r="C28">
        <v>2035</v>
      </c>
      <c r="D28">
        <v>169</v>
      </c>
      <c r="E28">
        <v>108.32</v>
      </c>
      <c r="F28">
        <v>86.21</v>
      </c>
      <c r="G28">
        <v>85.51</v>
      </c>
      <c r="H28">
        <v>22.73</v>
      </c>
      <c r="I28">
        <v>960.63</v>
      </c>
      <c r="J28">
        <v>66.98</v>
      </c>
      <c r="K28">
        <v>132.18</v>
      </c>
      <c r="L28" t="s">
        <v>6</v>
      </c>
      <c r="M28" t="s">
        <v>27</v>
      </c>
    </row>
    <row r="29" spans="1:13" x14ac:dyDescent="0.45">
      <c r="A29" t="s">
        <v>5</v>
      </c>
      <c r="B29" t="s">
        <v>143</v>
      </c>
      <c r="C29">
        <v>2040</v>
      </c>
      <c r="D29">
        <v>192</v>
      </c>
      <c r="E29">
        <v>149.26</v>
      </c>
      <c r="F29">
        <v>123.26</v>
      </c>
      <c r="G29">
        <v>107.36</v>
      </c>
      <c r="H29">
        <v>35.04</v>
      </c>
      <c r="I29">
        <v>1226.04</v>
      </c>
      <c r="J29">
        <v>90.53</v>
      </c>
      <c r="K29">
        <v>179.1</v>
      </c>
      <c r="L29" t="s">
        <v>6</v>
      </c>
      <c r="M29" t="s">
        <v>27</v>
      </c>
    </row>
    <row r="30" spans="1:13" x14ac:dyDescent="0.45">
      <c r="A30" t="s">
        <v>5</v>
      </c>
      <c r="B30" t="s">
        <v>143</v>
      </c>
      <c r="C30">
        <v>2045</v>
      </c>
      <c r="D30">
        <v>169</v>
      </c>
      <c r="E30">
        <v>194.93</v>
      </c>
      <c r="F30">
        <v>172.36</v>
      </c>
      <c r="G30">
        <v>140.36000000000001</v>
      </c>
      <c r="H30">
        <v>44.72</v>
      </c>
      <c r="I30">
        <v>1564.8</v>
      </c>
      <c r="J30">
        <v>117.95</v>
      </c>
      <c r="K30">
        <v>229.77</v>
      </c>
      <c r="L30" t="s">
        <v>6</v>
      </c>
      <c r="M30" t="s">
        <v>27</v>
      </c>
    </row>
    <row r="31" spans="1:13" x14ac:dyDescent="0.45">
      <c r="A31" t="s">
        <v>5</v>
      </c>
      <c r="B31" t="s">
        <v>143</v>
      </c>
      <c r="C31">
        <v>2050</v>
      </c>
      <c r="D31">
        <v>192</v>
      </c>
      <c r="E31">
        <v>239.95</v>
      </c>
      <c r="F31">
        <v>209.45</v>
      </c>
      <c r="G31">
        <v>124.38</v>
      </c>
      <c r="H31">
        <v>50.41</v>
      </c>
      <c r="I31">
        <v>712.07</v>
      </c>
      <c r="J31">
        <v>147.49</v>
      </c>
      <c r="K31">
        <v>301.20999999999998</v>
      </c>
      <c r="L31" t="s">
        <v>6</v>
      </c>
      <c r="M31" t="s">
        <v>27</v>
      </c>
    </row>
    <row r="32" spans="1:13" x14ac:dyDescent="0.45">
      <c r="A32" t="s">
        <v>7</v>
      </c>
      <c r="B32" t="s">
        <v>143</v>
      </c>
      <c r="C32">
        <v>2020</v>
      </c>
      <c r="D32">
        <v>74</v>
      </c>
      <c r="E32">
        <v>1.04</v>
      </c>
      <c r="F32">
        <v>0</v>
      </c>
      <c r="G32">
        <v>3.17</v>
      </c>
      <c r="H32">
        <v>0</v>
      </c>
      <c r="I32">
        <v>14.45</v>
      </c>
      <c r="J32">
        <v>0</v>
      </c>
      <c r="K32">
        <v>7.0000000000000007E-2</v>
      </c>
      <c r="L32" t="s">
        <v>8</v>
      </c>
      <c r="M32" t="s">
        <v>27</v>
      </c>
    </row>
    <row r="33" spans="1:13" x14ac:dyDescent="0.45">
      <c r="A33" t="s">
        <v>7</v>
      </c>
      <c r="B33" t="s">
        <v>143</v>
      </c>
      <c r="C33">
        <v>2025</v>
      </c>
      <c r="D33">
        <v>68</v>
      </c>
      <c r="E33">
        <v>10.24</v>
      </c>
      <c r="F33">
        <v>0</v>
      </c>
      <c r="G33">
        <v>13.61</v>
      </c>
      <c r="H33">
        <v>0</v>
      </c>
      <c r="I33">
        <v>48.97</v>
      </c>
      <c r="J33">
        <v>0</v>
      </c>
      <c r="K33">
        <v>19.260000000000002</v>
      </c>
      <c r="L33" t="s">
        <v>8</v>
      </c>
      <c r="M33" t="s">
        <v>27</v>
      </c>
    </row>
    <row r="34" spans="1:13" x14ac:dyDescent="0.45">
      <c r="A34" t="s">
        <v>7</v>
      </c>
      <c r="B34" t="s">
        <v>143</v>
      </c>
      <c r="C34">
        <v>2030</v>
      </c>
      <c r="D34">
        <v>74</v>
      </c>
      <c r="E34">
        <v>21.03</v>
      </c>
      <c r="F34">
        <v>1.1100000000000001</v>
      </c>
      <c r="G34">
        <v>26.26</v>
      </c>
      <c r="H34">
        <v>0</v>
      </c>
      <c r="I34">
        <v>83.8</v>
      </c>
      <c r="J34">
        <v>0</v>
      </c>
      <c r="K34">
        <v>36.090000000000003</v>
      </c>
      <c r="L34" t="s">
        <v>8</v>
      </c>
      <c r="M34" t="s">
        <v>27</v>
      </c>
    </row>
    <row r="35" spans="1:13" x14ac:dyDescent="0.45">
      <c r="A35" t="s">
        <v>7</v>
      </c>
      <c r="B35" t="s">
        <v>143</v>
      </c>
      <c r="C35">
        <v>2035</v>
      </c>
      <c r="D35">
        <v>68</v>
      </c>
      <c r="E35">
        <v>61.38</v>
      </c>
      <c r="F35">
        <v>52.06</v>
      </c>
      <c r="G35">
        <v>29.56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143</v>
      </c>
      <c r="C36">
        <v>2040</v>
      </c>
      <c r="D36">
        <v>74</v>
      </c>
      <c r="E36">
        <v>86.23</v>
      </c>
      <c r="F36">
        <v>75.8</v>
      </c>
      <c r="G36">
        <v>43.14</v>
      </c>
      <c r="H36">
        <v>31.83</v>
      </c>
      <c r="I36">
        <v>281.18</v>
      </c>
      <c r="J36">
        <v>57.1</v>
      </c>
      <c r="K36">
        <v>106.01</v>
      </c>
      <c r="L36" t="s">
        <v>8</v>
      </c>
      <c r="M36" t="s">
        <v>27</v>
      </c>
    </row>
    <row r="37" spans="1:13" x14ac:dyDescent="0.45">
      <c r="A37" t="s">
        <v>7</v>
      </c>
      <c r="B37" t="s">
        <v>143</v>
      </c>
      <c r="C37">
        <v>2045</v>
      </c>
      <c r="D37">
        <v>68</v>
      </c>
      <c r="E37">
        <v>111.95</v>
      </c>
      <c r="F37">
        <v>94.56</v>
      </c>
      <c r="G37">
        <v>56.61</v>
      </c>
      <c r="H37">
        <v>42.44</v>
      </c>
      <c r="I37">
        <v>317.56</v>
      </c>
      <c r="J37">
        <v>72.430000000000007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143</v>
      </c>
      <c r="C38">
        <v>2050</v>
      </c>
      <c r="D38">
        <v>74</v>
      </c>
      <c r="E38">
        <v>132.12</v>
      </c>
      <c r="F38">
        <v>112.27</v>
      </c>
      <c r="G38">
        <v>60.03</v>
      </c>
      <c r="H38">
        <v>54.16</v>
      </c>
      <c r="I38">
        <v>331.7</v>
      </c>
      <c r="J38">
        <v>92.44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143</v>
      </c>
      <c r="C39">
        <v>2020</v>
      </c>
      <c r="D39">
        <v>56</v>
      </c>
      <c r="E39">
        <v>0.48</v>
      </c>
      <c r="F39">
        <v>0</v>
      </c>
      <c r="G39">
        <v>1.71</v>
      </c>
      <c r="H39">
        <v>0</v>
      </c>
      <c r="I39">
        <v>9.64</v>
      </c>
      <c r="J39">
        <v>0</v>
      </c>
      <c r="K39">
        <v>0.28000000000000003</v>
      </c>
      <c r="L39" t="s">
        <v>10</v>
      </c>
      <c r="M39" t="s">
        <v>27</v>
      </c>
    </row>
    <row r="40" spans="1:13" x14ac:dyDescent="0.45">
      <c r="A40" t="s">
        <v>9</v>
      </c>
      <c r="B40" t="s">
        <v>143</v>
      </c>
      <c r="C40">
        <v>2025</v>
      </c>
      <c r="D40">
        <v>51</v>
      </c>
      <c r="E40">
        <v>0.13</v>
      </c>
      <c r="F40">
        <v>0</v>
      </c>
      <c r="G40">
        <v>0.23</v>
      </c>
      <c r="H40">
        <v>0</v>
      </c>
      <c r="I40">
        <v>0.89</v>
      </c>
      <c r="J40">
        <v>0</v>
      </c>
      <c r="K40">
        <v>0.26</v>
      </c>
      <c r="L40" t="s">
        <v>10</v>
      </c>
      <c r="M40" t="s">
        <v>27</v>
      </c>
    </row>
    <row r="41" spans="1:13" x14ac:dyDescent="0.45">
      <c r="A41" t="s">
        <v>9</v>
      </c>
      <c r="B41" t="s">
        <v>143</v>
      </c>
      <c r="C41">
        <v>2030</v>
      </c>
      <c r="D41">
        <v>56</v>
      </c>
      <c r="E41">
        <v>4.5999999999999996</v>
      </c>
      <c r="F41">
        <v>0</v>
      </c>
      <c r="G41">
        <v>18.41</v>
      </c>
      <c r="H41">
        <v>0</v>
      </c>
      <c r="I41">
        <v>83.8</v>
      </c>
      <c r="J41">
        <v>0</v>
      </c>
      <c r="K41">
        <v>0.63</v>
      </c>
      <c r="L41" t="s">
        <v>10</v>
      </c>
      <c r="M41" t="s">
        <v>27</v>
      </c>
    </row>
    <row r="42" spans="1:13" x14ac:dyDescent="0.45">
      <c r="A42" t="s">
        <v>9</v>
      </c>
      <c r="B42" t="s">
        <v>143</v>
      </c>
      <c r="C42">
        <v>2035</v>
      </c>
      <c r="D42">
        <v>51</v>
      </c>
      <c r="E42">
        <v>0.51</v>
      </c>
      <c r="F42">
        <v>0</v>
      </c>
      <c r="G42">
        <v>0.62</v>
      </c>
      <c r="H42">
        <v>0</v>
      </c>
      <c r="I42">
        <v>1.66</v>
      </c>
      <c r="J42">
        <v>0</v>
      </c>
      <c r="K42">
        <v>1.06</v>
      </c>
      <c r="L42" t="s">
        <v>10</v>
      </c>
      <c r="M42" t="s">
        <v>27</v>
      </c>
    </row>
    <row r="43" spans="1:13" x14ac:dyDescent="0.45">
      <c r="A43" t="s">
        <v>9</v>
      </c>
      <c r="B43" t="s">
        <v>143</v>
      </c>
      <c r="C43">
        <v>2040</v>
      </c>
      <c r="D43">
        <v>56</v>
      </c>
      <c r="E43">
        <v>0.72</v>
      </c>
      <c r="F43">
        <v>0</v>
      </c>
      <c r="G43">
        <v>0.91</v>
      </c>
      <c r="H43">
        <v>0</v>
      </c>
      <c r="I43">
        <v>3.16</v>
      </c>
      <c r="J43">
        <v>0</v>
      </c>
      <c r="K43">
        <v>1.54</v>
      </c>
      <c r="L43" t="s">
        <v>10</v>
      </c>
      <c r="M43" t="s">
        <v>27</v>
      </c>
    </row>
    <row r="44" spans="1:13" x14ac:dyDescent="0.45">
      <c r="A44" t="s">
        <v>9</v>
      </c>
      <c r="B44" t="s">
        <v>143</v>
      </c>
      <c r="C44">
        <v>2045</v>
      </c>
      <c r="D44">
        <v>51</v>
      </c>
      <c r="E44">
        <v>1.07</v>
      </c>
      <c r="F44">
        <v>0</v>
      </c>
      <c r="G44">
        <v>1.31</v>
      </c>
      <c r="H44">
        <v>0</v>
      </c>
      <c r="I44">
        <v>5.27</v>
      </c>
      <c r="J44">
        <v>0</v>
      </c>
      <c r="K44">
        <v>2.08</v>
      </c>
      <c r="L44" t="s">
        <v>10</v>
      </c>
      <c r="M44" t="s">
        <v>27</v>
      </c>
    </row>
    <row r="45" spans="1:13" x14ac:dyDescent="0.45">
      <c r="A45" t="s">
        <v>9</v>
      </c>
      <c r="B45" t="s">
        <v>143</v>
      </c>
      <c r="C45">
        <v>2050</v>
      </c>
      <c r="D45">
        <v>56</v>
      </c>
      <c r="E45">
        <v>1.22</v>
      </c>
      <c r="F45">
        <v>0</v>
      </c>
      <c r="G45">
        <v>1.56</v>
      </c>
      <c r="H45">
        <v>0</v>
      </c>
      <c r="I45">
        <v>5.21</v>
      </c>
      <c r="J45">
        <v>0</v>
      </c>
      <c r="K45">
        <v>2.68</v>
      </c>
      <c r="L45" t="s">
        <v>10</v>
      </c>
      <c r="M45" t="s">
        <v>27</v>
      </c>
    </row>
    <row r="46" spans="1:13" x14ac:dyDescent="0.45">
      <c r="A46" t="s">
        <v>0</v>
      </c>
      <c r="B46" t="s">
        <v>143</v>
      </c>
      <c r="C46">
        <v>2020</v>
      </c>
      <c r="D46">
        <v>64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143</v>
      </c>
      <c r="C47">
        <v>2025</v>
      </c>
      <c r="D47">
        <v>64</v>
      </c>
      <c r="E47">
        <v>1.23</v>
      </c>
      <c r="F47">
        <v>1.27</v>
      </c>
      <c r="G47">
        <v>0.24</v>
      </c>
      <c r="H47">
        <v>0.44</v>
      </c>
      <c r="I47">
        <v>1.7</v>
      </c>
      <c r="J47">
        <v>1.2</v>
      </c>
      <c r="K47">
        <v>1.35</v>
      </c>
      <c r="L47" t="s">
        <v>1</v>
      </c>
      <c r="M47" t="s">
        <v>11</v>
      </c>
    </row>
    <row r="48" spans="1:13" x14ac:dyDescent="0.45">
      <c r="A48" t="s">
        <v>0</v>
      </c>
      <c r="B48" t="s">
        <v>143</v>
      </c>
      <c r="C48">
        <v>2030</v>
      </c>
      <c r="D48">
        <v>64</v>
      </c>
      <c r="E48">
        <v>1.72</v>
      </c>
      <c r="F48">
        <v>1.75</v>
      </c>
      <c r="G48">
        <v>0.4</v>
      </c>
      <c r="H48">
        <v>0.57999999999999996</v>
      </c>
      <c r="I48">
        <v>2.82</v>
      </c>
      <c r="J48">
        <v>1.59</v>
      </c>
      <c r="K48">
        <v>1.94</v>
      </c>
      <c r="L48" t="s">
        <v>1</v>
      </c>
      <c r="M48" t="s">
        <v>11</v>
      </c>
    </row>
    <row r="49" spans="1:13" x14ac:dyDescent="0.45">
      <c r="A49" t="s">
        <v>0</v>
      </c>
      <c r="B49" t="s">
        <v>143</v>
      </c>
      <c r="C49">
        <v>2035</v>
      </c>
      <c r="D49">
        <v>64</v>
      </c>
      <c r="E49">
        <v>2.44</v>
      </c>
      <c r="F49">
        <v>2.4700000000000002</v>
      </c>
      <c r="G49">
        <v>0.59</v>
      </c>
      <c r="H49">
        <v>0.9</v>
      </c>
      <c r="I49">
        <v>3.85</v>
      </c>
      <c r="J49">
        <v>2.21</v>
      </c>
      <c r="K49">
        <v>2.82</v>
      </c>
      <c r="L49" t="s">
        <v>1</v>
      </c>
      <c r="M49" t="s">
        <v>11</v>
      </c>
    </row>
    <row r="50" spans="1:13" x14ac:dyDescent="0.45">
      <c r="A50" t="s">
        <v>0</v>
      </c>
      <c r="B50" t="s">
        <v>143</v>
      </c>
      <c r="C50">
        <v>2040</v>
      </c>
      <c r="D50">
        <v>64</v>
      </c>
      <c r="E50">
        <v>3.36</v>
      </c>
      <c r="F50">
        <v>3.48</v>
      </c>
      <c r="G50">
        <v>0.86</v>
      </c>
      <c r="H50">
        <v>1.29</v>
      </c>
      <c r="I50">
        <v>4.6399999999999997</v>
      </c>
      <c r="J50">
        <v>2.97</v>
      </c>
      <c r="K50">
        <v>4.0199999999999996</v>
      </c>
      <c r="L50" t="s">
        <v>1</v>
      </c>
      <c r="M50" t="s">
        <v>11</v>
      </c>
    </row>
    <row r="51" spans="1:13" x14ac:dyDescent="0.45">
      <c r="A51" t="s">
        <v>0</v>
      </c>
      <c r="B51" t="s">
        <v>143</v>
      </c>
      <c r="C51">
        <v>2045</v>
      </c>
      <c r="D51">
        <v>64</v>
      </c>
      <c r="E51">
        <v>4.3600000000000003</v>
      </c>
      <c r="F51">
        <v>4.42</v>
      </c>
      <c r="G51">
        <v>1.18</v>
      </c>
      <c r="H51">
        <v>1.77</v>
      </c>
      <c r="I51">
        <v>6.77</v>
      </c>
      <c r="J51">
        <v>3.69</v>
      </c>
      <c r="K51">
        <v>5.37</v>
      </c>
      <c r="L51" t="s">
        <v>1</v>
      </c>
      <c r="M51" t="s">
        <v>11</v>
      </c>
    </row>
    <row r="52" spans="1:13" x14ac:dyDescent="0.45">
      <c r="A52" t="s">
        <v>0</v>
      </c>
      <c r="B52" t="s">
        <v>143</v>
      </c>
      <c r="C52">
        <v>2050</v>
      </c>
      <c r="D52">
        <v>64</v>
      </c>
      <c r="E52">
        <v>5.28</v>
      </c>
      <c r="F52">
        <v>5.26</v>
      </c>
      <c r="G52">
        <v>1.49</v>
      </c>
      <c r="H52">
        <v>2.2000000000000002</v>
      </c>
      <c r="I52">
        <v>8.86</v>
      </c>
      <c r="J52">
        <v>4.32</v>
      </c>
      <c r="K52">
        <v>6.44</v>
      </c>
      <c r="L52" t="s">
        <v>1</v>
      </c>
      <c r="M52" t="s">
        <v>11</v>
      </c>
    </row>
    <row r="53" spans="1:13" x14ac:dyDescent="0.45">
      <c r="A53" t="s">
        <v>2</v>
      </c>
      <c r="B53" t="s">
        <v>143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143</v>
      </c>
      <c r="C54">
        <v>2025</v>
      </c>
      <c r="D54">
        <v>89</v>
      </c>
      <c r="E54">
        <v>1.3</v>
      </c>
      <c r="F54">
        <v>1.29</v>
      </c>
      <c r="G54">
        <v>0.09</v>
      </c>
      <c r="H54">
        <v>1.08</v>
      </c>
      <c r="I54">
        <v>1.64</v>
      </c>
      <c r="J54">
        <v>1.24</v>
      </c>
      <c r="K54">
        <v>1.36</v>
      </c>
      <c r="L54" t="s">
        <v>3</v>
      </c>
      <c r="M54" t="s">
        <v>11</v>
      </c>
    </row>
    <row r="55" spans="1:13" x14ac:dyDescent="0.45">
      <c r="A55" t="s">
        <v>2</v>
      </c>
      <c r="B55" t="s">
        <v>143</v>
      </c>
      <c r="C55">
        <v>2030</v>
      </c>
      <c r="D55">
        <v>100</v>
      </c>
      <c r="E55">
        <v>1.73</v>
      </c>
      <c r="F55">
        <v>1.71</v>
      </c>
      <c r="G55">
        <v>0.21</v>
      </c>
      <c r="H55">
        <v>1.24</v>
      </c>
      <c r="I55">
        <v>2.23</v>
      </c>
      <c r="J55">
        <v>1.57</v>
      </c>
      <c r="K55">
        <v>1.85</v>
      </c>
      <c r="L55" t="s">
        <v>3</v>
      </c>
      <c r="M55" t="s">
        <v>11</v>
      </c>
    </row>
    <row r="56" spans="1:13" x14ac:dyDescent="0.45">
      <c r="A56" t="s">
        <v>2</v>
      </c>
      <c r="B56" t="s">
        <v>143</v>
      </c>
      <c r="C56">
        <v>2035</v>
      </c>
      <c r="D56">
        <v>89</v>
      </c>
      <c r="E56">
        <v>2.19</v>
      </c>
      <c r="F56">
        <v>2.1800000000000002</v>
      </c>
      <c r="G56">
        <v>0.37</v>
      </c>
      <c r="H56">
        <v>0.79</v>
      </c>
      <c r="I56">
        <v>3.04</v>
      </c>
      <c r="J56">
        <v>2.02</v>
      </c>
      <c r="K56">
        <v>2.37</v>
      </c>
      <c r="L56" t="s">
        <v>3</v>
      </c>
      <c r="M56" t="s">
        <v>11</v>
      </c>
    </row>
    <row r="57" spans="1:13" x14ac:dyDescent="0.45">
      <c r="A57" t="s">
        <v>2</v>
      </c>
      <c r="B57" t="s">
        <v>143</v>
      </c>
      <c r="C57">
        <v>2040</v>
      </c>
      <c r="D57">
        <v>100</v>
      </c>
      <c r="E57">
        <v>2.94</v>
      </c>
      <c r="F57">
        <v>2.97</v>
      </c>
      <c r="G57">
        <v>0.59</v>
      </c>
      <c r="H57">
        <v>1.1200000000000001</v>
      </c>
      <c r="I57">
        <v>4.3600000000000003</v>
      </c>
      <c r="J57">
        <v>2.6</v>
      </c>
      <c r="K57">
        <v>3.29</v>
      </c>
      <c r="L57" t="s">
        <v>3</v>
      </c>
      <c r="M57" t="s">
        <v>11</v>
      </c>
    </row>
    <row r="58" spans="1:13" x14ac:dyDescent="0.45">
      <c r="A58" t="s">
        <v>2</v>
      </c>
      <c r="B58" t="s">
        <v>143</v>
      </c>
      <c r="C58">
        <v>2045</v>
      </c>
      <c r="D58">
        <v>89</v>
      </c>
      <c r="E58">
        <v>3.86</v>
      </c>
      <c r="F58">
        <v>3.89</v>
      </c>
      <c r="G58">
        <v>1.01</v>
      </c>
      <c r="H58">
        <v>1.69</v>
      </c>
      <c r="I58">
        <v>6.44</v>
      </c>
      <c r="J58">
        <v>3.28</v>
      </c>
      <c r="K58">
        <v>4.5</v>
      </c>
      <c r="L58" t="s">
        <v>3</v>
      </c>
      <c r="M58" t="s">
        <v>11</v>
      </c>
    </row>
    <row r="59" spans="1:13" x14ac:dyDescent="0.45">
      <c r="A59" t="s">
        <v>2</v>
      </c>
      <c r="B59" t="s">
        <v>143</v>
      </c>
      <c r="C59">
        <v>2050</v>
      </c>
      <c r="D59">
        <v>100</v>
      </c>
      <c r="E59">
        <v>4.84</v>
      </c>
      <c r="F59">
        <v>4.76</v>
      </c>
      <c r="G59">
        <v>1.32</v>
      </c>
      <c r="H59">
        <v>2.1</v>
      </c>
      <c r="I59">
        <v>8.59</v>
      </c>
      <c r="J59">
        <v>4.12</v>
      </c>
      <c r="K59">
        <v>5.93</v>
      </c>
      <c r="L59" t="s">
        <v>3</v>
      </c>
      <c r="M59" t="s">
        <v>11</v>
      </c>
    </row>
    <row r="60" spans="1:13" x14ac:dyDescent="0.45">
      <c r="A60" t="s">
        <v>5</v>
      </c>
      <c r="B60" t="s">
        <v>143</v>
      </c>
      <c r="C60">
        <v>2020</v>
      </c>
      <c r="D60">
        <v>233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143</v>
      </c>
      <c r="C61">
        <v>2025</v>
      </c>
      <c r="D61">
        <v>210</v>
      </c>
      <c r="E61">
        <v>1.27</v>
      </c>
      <c r="F61">
        <v>1.3</v>
      </c>
      <c r="G61">
        <v>0.19</v>
      </c>
      <c r="H61">
        <v>0.47</v>
      </c>
      <c r="I61">
        <v>1.91</v>
      </c>
      <c r="J61">
        <v>1.23</v>
      </c>
      <c r="K61">
        <v>1.39</v>
      </c>
      <c r="L61" t="s">
        <v>6</v>
      </c>
      <c r="M61" t="s">
        <v>11</v>
      </c>
    </row>
    <row r="62" spans="1:13" x14ac:dyDescent="0.45">
      <c r="A62" t="s">
        <v>5</v>
      </c>
      <c r="B62" t="s">
        <v>143</v>
      </c>
      <c r="C62">
        <v>2030</v>
      </c>
      <c r="D62">
        <v>233</v>
      </c>
      <c r="E62">
        <v>1.66</v>
      </c>
      <c r="F62">
        <v>1.62</v>
      </c>
      <c r="G62">
        <v>0.35</v>
      </c>
      <c r="H62">
        <v>0.63</v>
      </c>
      <c r="I62">
        <v>2.48</v>
      </c>
      <c r="J62">
        <v>1.54</v>
      </c>
      <c r="K62">
        <v>1.95</v>
      </c>
      <c r="L62" t="s">
        <v>6</v>
      </c>
      <c r="M62" t="s">
        <v>11</v>
      </c>
    </row>
    <row r="63" spans="1:13" x14ac:dyDescent="0.45">
      <c r="A63" t="s">
        <v>5</v>
      </c>
      <c r="B63" t="s">
        <v>143</v>
      </c>
      <c r="C63">
        <v>2035</v>
      </c>
      <c r="D63">
        <v>210</v>
      </c>
      <c r="E63">
        <v>2.09</v>
      </c>
      <c r="F63">
        <v>2.12</v>
      </c>
      <c r="G63">
        <v>0.63</v>
      </c>
      <c r="H63">
        <v>0.79</v>
      </c>
      <c r="I63">
        <v>3.83</v>
      </c>
      <c r="J63">
        <v>1.81</v>
      </c>
      <c r="K63">
        <v>2.6</v>
      </c>
      <c r="L63" t="s">
        <v>6</v>
      </c>
      <c r="M63" t="s">
        <v>11</v>
      </c>
    </row>
    <row r="64" spans="1:13" x14ac:dyDescent="0.45">
      <c r="A64" t="s">
        <v>5</v>
      </c>
      <c r="B64" t="s">
        <v>143</v>
      </c>
      <c r="C64">
        <v>2040</v>
      </c>
      <c r="D64">
        <v>233</v>
      </c>
      <c r="E64">
        <v>2.67</v>
      </c>
      <c r="F64">
        <v>2.64</v>
      </c>
      <c r="G64">
        <v>0.85</v>
      </c>
      <c r="H64">
        <v>1.1200000000000001</v>
      </c>
      <c r="I64">
        <v>5.49</v>
      </c>
      <c r="J64">
        <v>2.12</v>
      </c>
      <c r="K64">
        <v>3.37</v>
      </c>
      <c r="L64" t="s">
        <v>6</v>
      </c>
      <c r="M64" t="s">
        <v>11</v>
      </c>
    </row>
    <row r="65" spans="1:13" x14ac:dyDescent="0.45">
      <c r="A65" t="s">
        <v>5</v>
      </c>
      <c r="B65" t="s">
        <v>143</v>
      </c>
      <c r="C65">
        <v>2045</v>
      </c>
      <c r="D65">
        <v>210</v>
      </c>
      <c r="E65">
        <v>3.56</v>
      </c>
      <c r="F65">
        <v>3.43</v>
      </c>
      <c r="G65">
        <v>1.21</v>
      </c>
      <c r="H65">
        <v>1.56</v>
      </c>
      <c r="I65">
        <v>7.37</v>
      </c>
      <c r="J65">
        <v>2.57</v>
      </c>
      <c r="K65">
        <v>4.71</v>
      </c>
      <c r="L65" t="s">
        <v>6</v>
      </c>
      <c r="M65" t="s">
        <v>11</v>
      </c>
    </row>
    <row r="66" spans="1:13" x14ac:dyDescent="0.45">
      <c r="A66" t="s">
        <v>5</v>
      </c>
      <c r="B66" t="s">
        <v>143</v>
      </c>
      <c r="C66">
        <v>2050</v>
      </c>
      <c r="D66">
        <v>233</v>
      </c>
      <c r="E66">
        <v>4.2300000000000004</v>
      </c>
      <c r="F66">
        <v>4.1100000000000003</v>
      </c>
      <c r="G66">
        <v>1.55</v>
      </c>
      <c r="H66">
        <v>1.78</v>
      </c>
      <c r="I66">
        <v>9.17</v>
      </c>
      <c r="J66">
        <v>2.85</v>
      </c>
      <c r="K66">
        <v>5.74</v>
      </c>
      <c r="L66" t="s">
        <v>6</v>
      </c>
      <c r="M66" t="s">
        <v>11</v>
      </c>
    </row>
    <row r="67" spans="1:13" x14ac:dyDescent="0.45">
      <c r="A67" t="s">
        <v>7</v>
      </c>
      <c r="B67" t="s">
        <v>143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143</v>
      </c>
      <c r="C68">
        <v>2025</v>
      </c>
      <c r="D68">
        <v>96</v>
      </c>
      <c r="E68">
        <v>1.24</v>
      </c>
      <c r="F68">
        <v>1.25</v>
      </c>
      <c r="G68">
        <v>0.13</v>
      </c>
      <c r="H68">
        <v>0.78</v>
      </c>
      <c r="I68">
        <v>1.49</v>
      </c>
      <c r="J68">
        <v>1.2</v>
      </c>
      <c r="K68">
        <v>1.32</v>
      </c>
      <c r="L68" t="s">
        <v>8</v>
      </c>
      <c r="M68" t="s">
        <v>11</v>
      </c>
    </row>
    <row r="69" spans="1:13" x14ac:dyDescent="0.45">
      <c r="A69" t="s">
        <v>7</v>
      </c>
      <c r="B69" t="s">
        <v>143</v>
      </c>
      <c r="C69">
        <v>2030</v>
      </c>
      <c r="D69">
        <v>102</v>
      </c>
      <c r="E69">
        <v>1.52</v>
      </c>
      <c r="F69">
        <v>1.56</v>
      </c>
      <c r="G69">
        <v>0.28000000000000003</v>
      </c>
      <c r="H69">
        <v>0.73</v>
      </c>
      <c r="I69">
        <v>2.1</v>
      </c>
      <c r="J69">
        <v>1.29</v>
      </c>
      <c r="K69">
        <v>1.7</v>
      </c>
      <c r="L69" t="s">
        <v>8</v>
      </c>
      <c r="M69" t="s">
        <v>11</v>
      </c>
    </row>
    <row r="70" spans="1:13" x14ac:dyDescent="0.45">
      <c r="A70" t="s">
        <v>7</v>
      </c>
      <c r="B70" t="s">
        <v>143</v>
      </c>
      <c r="C70">
        <v>2035</v>
      </c>
      <c r="D70">
        <v>96</v>
      </c>
      <c r="E70">
        <v>1.8</v>
      </c>
      <c r="F70">
        <v>1.88</v>
      </c>
      <c r="G70">
        <v>0.5</v>
      </c>
      <c r="H70">
        <v>0.93</v>
      </c>
      <c r="I70">
        <v>2.82</v>
      </c>
      <c r="J70">
        <v>1.31</v>
      </c>
      <c r="K70">
        <v>2.13</v>
      </c>
      <c r="L70" t="s">
        <v>8</v>
      </c>
      <c r="M70" t="s">
        <v>11</v>
      </c>
    </row>
    <row r="71" spans="1:13" x14ac:dyDescent="0.45">
      <c r="A71" t="s">
        <v>7</v>
      </c>
      <c r="B71" t="s">
        <v>143</v>
      </c>
      <c r="C71">
        <v>2040</v>
      </c>
      <c r="D71">
        <v>102</v>
      </c>
      <c r="E71">
        <v>2.19</v>
      </c>
      <c r="F71">
        <v>2.1800000000000002</v>
      </c>
      <c r="G71">
        <v>0.66</v>
      </c>
      <c r="H71">
        <v>1.19</v>
      </c>
      <c r="I71">
        <v>3.66</v>
      </c>
      <c r="J71">
        <v>1.58</v>
      </c>
      <c r="K71">
        <v>2.6</v>
      </c>
      <c r="L71" t="s">
        <v>8</v>
      </c>
      <c r="M71" t="s">
        <v>11</v>
      </c>
    </row>
    <row r="72" spans="1:13" x14ac:dyDescent="0.45">
      <c r="A72" t="s">
        <v>7</v>
      </c>
      <c r="B72" t="s">
        <v>143</v>
      </c>
      <c r="C72">
        <v>2045</v>
      </c>
      <c r="D72">
        <v>96</v>
      </c>
      <c r="E72">
        <v>2.69</v>
      </c>
      <c r="F72">
        <v>2.56</v>
      </c>
      <c r="G72">
        <v>0.9</v>
      </c>
      <c r="H72">
        <v>1.41</v>
      </c>
      <c r="I72">
        <v>4.6900000000000004</v>
      </c>
      <c r="J72">
        <v>1.73</v>
      </c>
      <c r="K72">
        <v>3.18</v>
      </c>
      <c r="L72" t="s">
        <v>8</v>
      </c>
      <c r="M72" t="s">
        <v>11</v>
      </c>
    </row>
    <row r="73" spans="1:13" x14ac:dyDescent="0.45">
      <c r="A73" t="s">
        <v>7</v>
      </c>
      <c r="B73" t="s">
        <v>143</v>
      </c>
      <c r="C73">
        <v>2050</v>
      </c>
      <c r="D73">
        <v>102</v>
      </c>
      <c r="E73">
        <v>3.23</v>
      </c>
      <c r="F73">
        <v>2.86</v>
      </c>
      <c r="G73">
        <v>1.2</v>
      </c>
      <c r="H73">
        <v>1.43</v>
      </c>
      <c r="I73">
        <v>5.94</v>
      </c>
      <c r="J73">
        <v>2.09</v>
      </c>
      <c r="K73">
        <v>3.82</v>
      </c>
      <c r="L73" t="s">
        <v>8</v>
      </c>
      <c r="M73" t="s">
        <v>11</v>
      </c>
    </row>
    <row r="74" spans="1:13" x14ac:dyDescent="0.45">
      <c r="A74" t="s">
        <v>9</v>
      </c>
      <c r="B74" t="s">
        <v>143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143</v>
      </c>
      <c r="C75">
        <v>2025</v>
      </c>
      <c r="D75">
        <v>56</v>
      </c>
      <c r="E75">
        <v>1.4</v>
      </c>
      <c r="F75">
        <v>1.4</v>
      </c>
      <c r="G75">
        <v>0.17</v>
      </c>
      <c r="H75">
        <v>1.05</v>
      </c>
      <c r="I75">
        <v>2.35</v>
      </c>
      <c r="J75">
        <v>1.35</v>
      </c>
      <c r="K75">
        <v>1.44</v>
      </c>
      <c r="L75" t="s">
        <v>10</v>
      </c>
      <c r="M75" t="s">
        <v>11</v>
      </c>
    </row>
    <row r="76" spans="1:13" x14ac:dyDescent="0.45">
      <c r="A76" t="s">
        <v>9</v>
      </c>
      <c r="B76" t="s">
        <v>143</v>
      </c>
      <c r="C76">
        <v>2030</v>
      </c>
      <c r="D76">
        <v>61</v>
      </c>
      <c r="E76">
        <v>1.84</v>
      </c>
      <c r="F76">
        <v>1.85</v>
      </c>
      <c r="G76">
        <v>0.26</v>
      </c>
      <c r="H76">
        <v>1.22</v>
      </c>
      <c r="I76">
        <v>2.5099999999999998</v>
      </c>
      <c r="J76">
        <v>1.71</v>
      </c>
      <c r="K76">
        <v>2.0499999999999998</v>
      </c>
      <c r="L76" t="s">
        <v>10</v>
      </c>
      <c r="M76" t="s">
        <v>11</v>
      </c>
    </row>
    <row r="77" spans="1:13" x14ac:dyDescent="0.45">
      <c r="A77" t="s">
        <v>9</v>
      </c>
      <c r="B77" t="s">
        <v>143</v>
      </c>
      <c r="C77">
        <v>2035</v>
      </c>
      <c r="D77">
        <v>56</v>
      </c>
      <c r="E77">
        <v>2.39</v>
      </c>
      <c r="F77">
        <v>2.46</v>
      </c>
      <c r="G77">
        <v>0.41</v>
      </c>
      <c r="H77">
        <v>1.39</v>
      </c>
      <c r="I77">
        <v>3.42</v>
      </c>
      <c r="J77">
        <v>2.2200000000000002</v>
      </c>
      <c r="K77">
        <v>2.66</v>
      </c>
      <c r="L77" t="s">
        <v>10</v>
      </c>
      <c r="M77" t="s">
        <v>11</v>
      </c>
    </row>
    <row r="78" spans="1:13" x14ac:dyDescent="0.45">
      <c r="A78" t="s">
        <v>9</v>
      </c>
      <c r="B78" t="s">
        <v>143</v>
      </c>
      <c r="C78">
        <v>2040</v>
      </c>
      <c r="D78">
        <v>61</v>
      </c>
      <c r="E78">
        <v>2.89</v>
      </c>
      <c r="F78">
        <v>3.01</v>
      </c>
      <c r="G78">
        <v>0.59</v>
      </c>
      <c r="H78">
        <v>1.6</v>
      </c>
      <c r="I78">
        <v>4.5</v>
      </c>
      <c r="J78">
        <v>2.61</v>
      </c>
      <c r="K78">
        <v>3.26</v>
      </c>
      <c r="L78" t="s">
        <v>10</v>
      </c>
      <c r="M78" t="s">
        <v>11</v>
      </c>
    </row>
    <row r="79" spans="1:13" x14ac:dyDescent="0.45">
      <c r="A79" t="s">
        <v>9</v>
      </c>
      <c r="B79" t="s">
        <v>143</v>
      </c>
      <c r="C79">
        <v>2045</v>
      </c>
      <c r="D79">
        <v>56</v>
      </c>
      <c r="E79">
        <v>3.57</v>
      </c>
      <c r="F79">
        <v>3.7</v>
      </c>
      <c r="G79">
        <v>0.78</v>
      </c>
      <c r="H79">
        <v>1.83</v>
      </c>
      <c r="I79">
        <v>5.76</v>
      </c>
      <c r="J79">
        <v>3.26</v>
      </c>
      <c r="K79">
        <v>4.05</v>
      </c>
      <c r="L79" t="s">
        <v>10</v>
      </c>
      <c r="M79" t="s">
        <v>11</v>
      </c>
    </row>
    <row r="80" spans="1:13" x14ac:dyDescent="0.45">
      <c r="A80" t="s">
        <v>9</v>
      </c>
      <c r="B80" t="s">
        <v>143</v>
      </c>
      <c r="C80">
        <v>2050</v>
      </c>
      <c r="D80">
        <v>61</v>
      </c>
      <c r="E80">
        <v>4.13</v>
      </c>
      <c r="F80">
        <v>4.29</v>
      </c>
      <c r="G80">
        <v>1.05</v>
      </c>
      <c r="H80">
        <v>2.08</v>
      </c>
      <c r="I80">
        <v>7.25</v>
      </c>
      <c r="J80">
        <v>3.56</v>
      </c>
      <c r="K80">
        <v>4.87</v>
      </c>
      <c r="L80" t="s">
        <v>10</v>
      </c>
      <c r="M80" t="s">
        <v>11</v>
      </c>
    </row>
    <row r="81" spans="1:13" x14ac:dyDescent="0.45">
      <c r="A81" t="s">
        <v>0</v>
      </c>
      <c r="B81" t="s">
        <v>143</v>
      </c>
      <c r="C81">
        <v>2020</v>
      </c>
      <c r="D81">
        <v>59</v>
      </c>
      <c r="E81">
        <v>0</v>
      </c>
      <c r="F81">
        <v>0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143</v>
      </c>
      <c r="C82">
        <v>2025</v>
      </c>
      <c r="D82">
        <v>59</v>
      </c>
      <c r="E82">
        <v>0</v>
      </c>
      <c r="F82">
        <v>0</v>
      </c>
      <c r="G82">
        <v>0</v>
      </c>
      <c r="H82">
        <v>0</v>
      </c>
      <c r="I82">
        <v>0.01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143</v>
      </c>
      <c r="C83">
        <v>2030</v>
      </c>
      <c r="D83">
        <v>59</v>
      </c>
      <c r="E83">
        <v>0</v>
      </c>
      <c r="F83">
        <v>0</v>
      </c>
      <c r="G83">
        <v>0</v>
      </c>
      <c r="H83">
        <v>0</v>
      </c>
      <c r="I83">
        <v>0.02</v>
      </c>
      <c r="J83">
        <v>0</v>
      </c>
      <c r="K83">
        <v>0.01</v>
      </c>
      <c r="L83" t="s">
        <v>1</v>
      </c>
      <c r="M83" t="s">
        <v>15</v>
      </c>
    </row>
    <row r="84" spans="1:13" x14ac:dyDescent="0.45">
      <c r="A84" t="s">
        <v>0</v>
      </c>
      <c r="B84" t="s">
        <v>143</v>
      </c>
      <c r="C84">
        <v>2035</v>
      </c>
      <c r="D84">
        <v>59</v>
      </c>
      <c r="E84">
        <v>0.01</v>
      </c>
      <c r="F84">
        <v>0.01</v>
      </c>
      <c r="G84">
        <v>0.01</v>
      </c>
      <c r="H84">
        <v>0</v>
      </c>
      <c r="I84">
        <v>0.06</v>
      </c>
      <c r="J84">
        <v>0.01</v>
      </c>
      <c r="K84">
        <v>0.02</v>
      </c>
      <c r="L84" t="s">
        <v>1</v>
      </c>
      <c r="M84" t="s">
        <v>15</v>
      </c>
    </row>
    <row r="85" spans="1:13" x14ac:dyDescent="0.45">
      <c r="A85" t="s">
        <v>0</v>
      </c>
      <c r="B85" t="s">
        <v>143</v>
      </c>
      <c r="C85">
        <v>2040</v>
      </c>
      <c r="D85">
        <v>59</v>
      </c>
      <c r="E85">
        <v>0.02</v>
      </c>
      <c r="F85">
        <v>0.02</v>
      </c>
      <c r="G85">
        <v>0.02</v>
      </c>
      <c r="H85">
        <v>0</v>
      </c>
      <c r="I85">
        <v>7.0000000000000007E-2</v>
      </c>
      <c r="J85">
        <v>0.01</v>
      </c>
      <c r="K85">
        <v>0.04</v>
      </c>
      <c r="L85" t="s">
        <v>1</v>
      </c>
      <c r="M85" t="s">
        <v>15</v>
      </c>
    </row>
    <row r="86" spans="1:13" x14ac:dyDescent="0.45">
      <c r="A86" t="s">
        <v>0</v>
      </c>
      <c r="B86" t="s">
        <v>143</v>
      </c>
      <c r="C86">
        <v>2045</v>
      </c>
      <c r="D86">
        <v>59</v>
      </c>
      <c r="E86">
        <v>0.03</v>
      </c>
      <c r="F86">
        <v>0.03</v>
      </c>
      <c r="G86">
        <v>0.02</v>
      </c>
      <c r="H86">
        <v>0</v>
      </c>
      <c r="I86">
        <v>7.0000000000000007E-2</v>
      </c>
      <c r="J86">
        <v>0.02</v>
      </c>
      <c r="K86">
        <v>0.05</v>
      </c>
      <c r="L86" t="s">
        <v>1</v>
      </c>
      <c r="M86" t="s">
        <v>15</v>
      </c>
    </row>
    <row r="87" spans="1:13" x14ac:dyDescent="0.45">
      <c r="A87" t="s">
        <v>0</v>
      </c>
      <c r="B87" t="s">
        <v>143</v>
      </c>
      <c r="C87">
        <v>2050</v>
      </c>
      <c r="D87">
        <v>59</v>
      </c>
      <c r="E87">
        <v>0.04</v>
      </c>
      <c r="F87">
        <v>0.03</v>
      </c>
      <c r="G87">
        <v>0.03</v>
      </c>
      <c r="H87">
        <v>0</v>
      </c>
      <c r="I87">
        <v>0.15</v>
      </c>
      <c r="J87">
        <v>0.02</v>
      </c>
      <c r="K87">
        <v>0.05</v>
      </c>
      <c r="L87" t="s">
        <v>1</v>
      </c>
      <c r="M87" t="s">
        <v>15</v>
      </c>
    </row>
    <row r="88" spans="1:13" x14ac:dyDescent="0.45">
      <c r="A88" t="s">
        <v>2</v>
      </c>
      <c r="B88" t="s">
        <v>143</v>
      </c>
      <c r="C88">
        <v>2020</v>
      </c>
      <c r="D88">
        <v>100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0.01</v>
      </c>
      <c r="L88" t="s">
        <v>3</v>
      </c>
      <c r="M88" t="s">
        <v>15</v>
      </c>
    </row>
    <row r="89" spans="1:13" x14ac:dyDescent="0.45">
      <c r="A89" t="s">
        <v>2</v>
      </c>
      <c r="B89" t="s">
        <v>143</v>
      </c>
      <c r="C89">
        <v>2025</v>
      </c>
      <c r="D89">
        <v>89</v>
      </c>
      <c r="E89">
        <v>0</v>
      </c>
      <c r="F89">
        <v>0</v>
      </c>
      <c r="G89">
        <v>0</v>
      </c>
      <c r="H89">
        <v>0</v>
      </c>
      <c r="I89">
        <v>0.01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143</v>
      </c>
      <c r="C90">
        <v>2030</v>
      </c>
      <c r="D90">
        <v>100</v>
      </c>
      <c r="E90">
        <v>0</v>
      </c>
      <c r="F90">
        <v>0</v>
      </c>
      <c r="G90">
        <v>0</v>
      </c>
      <c r="H90">
        <v>0</v>
      </c>
      <c r="I90">
        <v>0.02</v>
      </c>
      <c r="J90">
        <v>0</v>
      </c>
      <c r="K90">
        <v>0.01</v>
      </c>
      <c r="L90" t="s">
        <v>3</v>
      </c>
      <c r="M90" t="s">
        <v>15</v>
      </c>
    </row>
    <row r="91" spans="1:13" x14ac:dyDescent="0.45">
      <c r="A91" t="s">
        <v>2</v>
      </c>
      <c r="B91" t="s">
        <v>143</v>
      </c>
      <c r="C91">
        <v>2035</v>
      </c>
      <c r="D91">
        <v>89</v>
      </c>
      <c r="E91">
        <v>0.01</v>
      </c>
      <c r="F91">
        <v>0.01</v>
      </c>
      <c r="G91">
        <v>0.01</v>
      </c>
      <c r="H91">
        <v>0</v>
      </c>
      <c r="I91">
        <v>0.06</v>
      </c>
      <c r="J91">
        <v>0</v>
      </c>
      <c r="K91">
        <v>0.02</v>
      </c>
      <c r="L91" t="s">
        <v>3</v>
      </c>
      <c r="M91" t="s">
        <v>15</v>
      </c>
    </row>
    <row r="92" spans="1:13" x14ac:dyDescent="0.45">
      <c r="A92" t="s">
        <v>2</v>
      </c>
      <c r="B92" t="s">
        <v>143</v>
      </c>
      <c r="C92">
        <v>2040</v>
      </c>
      <c r="D92">
        <v>100</v>
      </c>
      <c r="E92">
        <v>0.03</v>
      </c>
      <c r="F92">
        <v>0.02</v>
      </c>
      <c r="G92">
        <v>0.03</v>
      </c>
      <c r="H92">
        <v>0</v>
      </c>
      <c r="I92">
        <v>0.15</v>
      </c>
      <c r="J92">
        <v>0.01</v>
      </c>
      <c r="K92">
        <v>0.04</v>
      </c>
      <c r="L92" t="s">
        <v>3</v>
      </c>
      <c r="M92" t="s">
        <v>15</v>
      </c>
    </row>
    <row r="93" spans="1:13" x14ac:dyDescent="0.45">
      <c r="A93" t="s">
        <v>2</v>
      </c>
      <c r="B93" t="s">
        <v>143</v>
      </c>
      <c r="C93">
        <v>2045</v>
      </c>
      <c r="D93">
        <v>89</v>
      </c>
      <c r="E93">
        <v>0.04</v>
      </c>
      <c r="F93">
        <v>0.02</v>
      </c>
      <c r="G93">
        <v>0.05</v>
      </c>
      <c r="H93">
        <v>0</v>
      </c>
      <c r="I93">
        <v>0.26</v>
      </c>
      <c r="J93">
        <v>0.01</v>
      </c>
      <c r="K93">
        <v>7.0000000000000007E-2</v>
      </c>
      <c r="L93" t="s">
        <v>3</v>
      </c>
      <c r="M93" t="s">
        <v>15</v>
      </c>
    </row>
    <row r="94" spans="1:13" x14ac:dyDescent="0.45">
      <c r="A94" t="s">
        <v>2</v>
      </c>
      <c r="B94" t="s">
        <v>143</v>
      </c>
      <c r="C94">
        <v>2050</v>
      </c>
      <c r="D94">
        <v>100</v>
      </c>
      <c r="E94">
        <v>7.0000000000000007E-2</v>
      </c>
      <c r="F94">
        <v>0.04</v>
      </c>
      <c r="G94">
        <v>7.0000000000000007E-2</v>
      </c>
      <c r="H94">
        <v>0</v>
      </c>
      <c r="I94">
        <v>0.33</v>
      </c>
      <c r="J94">
        <v>0.02</v>
      </c>
      <c r="K94">
        <v>0.1</v>
      </c>
      <c r="L94" t="s">
        <v>3</v>
      </c>
      <c r="M94" t="s">
        <v>15</v>
      </c>
    </row>
    <row r="95" spans="1:13" x14ac:dyDescent="0.45">
      <c r="A95" t="s">
        <v>5</v>
      </c>
      <c r="B95" t="s">
        <v>143</v>
      </c>
      <c r="C95">
        <v>2020</v>
      </c>
      <c r="D95">
        <v>221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143</v>
      </c>
      <c r="C96">
        <v>2025</v>
      </c>
      <c r="D96">
        <v>208</v>
      </c>
      <c r="E96">
        <v>0</v>
      </c>
      <c r="F96">
        <v>0</v>
      </c>
      <c r="G96">
        <v>0</v>
      </c>
      <c r="H96">
        <v>0</v>
      </c>
      <c r="I96">
        <v>0.01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143</v>
      </c>
      <c r="C97">
        <v>2030</v>
      </c>
      <c r="D97">
        <v>221</v>
      </c>
      <c r="E97">
        <v>0</v>
      </c>
      <c r="F97">
        <v>0</v>
      </c>
      <c r="G97">
        <v>0</v>
      </c>
      <c r="H97">
        <v>0</v>
      </c>
      <c r="I97">
        <v>0.02</v>
      </c>
      <c r="J97">
        <v>0</v>
      </c>
      <c r="K97">
        <v>0.01</v>
      </c>
      <c r="L97" t="s">
        <v>6</v>
      </c>
      <c r="M97" t="s">
        <v>15</v>
      </c>
    </row>
    <row r="98" spans="1:13" x14ac:dyDescent="0.45">
      <c r="A98" t="s">
        <v>5</v>
      </c>
      <c r="B98" t="s">
        <v>143</v>
      </c>
      <c r="C98">
        <v>2035</v>
      </c>
      <c r="D98">
        <v>208</v>
      </c>
      <c r="E98">
        <v>0.01</v>
      </c>
      <c r="F98">
        <v>0.01</v>
      </c>
      <c r="G98">
        <v>0.01</v>
      </c>
      <c r="H98">
        <v>0</v>
      </c>
      <c r="I98">
        <v>0.06</v>
      </c>
      <c r="J98">
        <v>0</v>
      </c>
      <c r="K98">
        <v>0.02</v>
      </c>
      <c r="L98" t="s">
        <v>6</v>
      </c>
      <c r="M98" t="s">
        <v>15</v>
      </c>
    </row>
    <row r="99" spans="1:13" x14ac:dyDescent="0.45">
      <c r="A99" t="s">
        <v>5</v>
      </c>
      <c r="B99" t="s">
        <v>143</v>
      </c>
      <c r="C99">
        <v>2040</v>
      </c>
      <c r="D99">
        <v>221</v>
      </c>
      <c r="E99">
        <v>0.02</v>
      </c>
      <c r="F99">
        <v>0.02</v>
      </c>
      <c r="G99">
        <v>0.02</v>
      </c>
      <c r="H99">
        <v>0</v>
      </c>
      <c r="I99">
        <v>0.11</v>
      </c>
      <c r="J99">
        <v>0.01</v>
      </c>
      <c r="K99">
        <v>0.04</v>
      </c>
      <c r="L99" t="s">
        <v>6</v>
      </c>
      <c r="M99" t="s">
        <v>15</v>
      </c>
    </row>
    <row r="100" spans="1:13" x14ac:dyDescent="0.45">
      <c r="A100" t="s">
        <v>5</v>
      </c>
      <c r="B100" t="s">
        <v>143</v>
      </c>
      <c r="C100">
        <v>2045</v>
      </c>
      <c r="D100">
        <v>208</v>
      </c>
      <c r="E100">
        <v>0.03</v>
      </c>
      <c r="F100">
        <v>0.02</v>
      </c>
      <c r="G100">
        <v>0.03</v>
      </c>
      <c r="H100">
        <v>0</v>
      </c>
      <c r="I100">
        <v>0.34</v>
      </c>
      <c r="J100">
        <v>0.01</v>
      </c>
      <c r="K100">
        <v>0.04</v>
      </c>
      <c r="L100" t="s">
        <v>6</v>
      </c>
      <c r="M100" t="s">
        <v>15</v>
      </c>
    </row>
    <row r="101" spans="1:13" x14ac:dyDescent="0.45">
      <c r="A101" t="s">
        <v>5</v>
      </c>
      <c r="B101" t="s">
        <v>143</v>
      </c>
      <c r="C101">
        <v>2050</v>
      </c>
      <c r="D101">
        <v>221</v>
      </c>
      <c r="E101">
        <v>0.05</v>
      </c>
      <c r="F101">
        <v>0.03</v>
      </c>
      <c r="G101">
        <v>0.05</v>
      </c>
      <c r="H101">
        <v>0</v>
      </c>
      <c r="I101">
        <v>0.38</v>
      </c>
      <c r="J101">
        <v>0.01</v>
      </c>
      <c r="K101">
        <v>0.08</v>
      </c>
      <c r="L101" t="s">
        <v>6</v>
      </c>
      <c r="M101" t="s">
        <v>15</v>
      </c>
    </row>
    <row r="102" spans="1:13" x14ac:dyDescent="0.45">
      <c r="A102" t="s">
        <v>7</v>
      </c>
      <c r="B102" t="s">
        <v>143</v>
      </c>
      <c r="C102">
        <v>2020</v>
      </c>
      <c r="D102">
        <v>94</v>
      </c>
      <c r="E102">
        <v>0</v>
      </c>
      <c r="F102">
        <v>0</v>
      </c>
      <c r="G102">
        <v>0</v>
      </c>
      <c r="H102">
        <v>0</v>
      </c>
      <c r="I102">
        <v>0.01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143</v>
      </c>
      <c r="C103">
        <v>2025</v>
      </c>
      <c r="D103">
        <v>94</v>
      </c>
      <c r="E103">
        <v>0</v>
      </c>
      <c r="F103">
        <v>0</v>
      </c>
      <c r="G103">
        <v>0</v>
      </c>
      <c r="H103">
        <v>0</v>
      </c>
      <c r="I103">
        <v>0.01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143</v>
      </c>
      <c r="C104">
        <v>2030</v>
      </c>
      <c r="D104">
        <v>94</v>
      </c>
      <c r="E104">
        <v>0</v>
      </c>
      <c r="F104">
        <v>0</v>
      </c>
      <c r="G104">
        <v>0</v>
      </c>
      <c r="H104">
        <v>0</v>
      </c>
      <c r="I104">
        <v>0.01</v>
      </c>
      <c r="J104">
        <v>0</v>
      </c>
      <c r="K104">
        <v>0</v>
      </c>
      <c r="L104" t="s">
        <v>8</v>
      </c>
      <c r="M104" t="s">
        <v>15</v>
      </c>
    </row>
    <row r="105" spans="1:13" x14ac:dyDescent="0.45">
      <c r="A105" t="s">
        <v>7</v>
      </c>
      <c r="B105" t="s">
        <v>143</v>
      </c>
      <c r="C105">
        <v>2035</v>
      </c>
      <c r="D105">
        <v>94</v>
      </c>
      <c r="E105">
        <v>0</v>
      </c>
      <c r="F105">
        <v>0</v>
      </c>
      <c r="G105">
        <v>0.01</v>
      </c>
      <c r="H105">
        <v>0</v>
      </c>
      <c r="I105">
        <v>0.02</v>
      </c>
      <c r="J105">
        <v>0</v>
      </c>
      <c r="K105">
        <v>0.01</v>
      </c>
      <c r="L105" t="s">
        <v>8</v>
      </c>
      <c r="M105" t="s">
        <v>15</v>
      </c>
    </row>
    <row r="106" spans="1:13" x14ac:dyDescent="0.45">
      <c r="A106" t="s">
        <v>7</v>
      </c>
      <c r="B106" t="s">
        <v>143</v>
      </c>
      <c r="C106">
        <v>2040</v>
      </c>
      <c r="D106">
        <v>94</v>
      </c>
      <c r="E106">
        <v>0.01</v>
      </c>
      <c r="F106">
        <v>0</v>
      </c>
      <c r="G106">
        <v>0.01</v>
      </c>
      <c r="H106">
        <v>0</v>
      </c>
      <c r="I106">
        <v>0.05</v>
      </c>
      <c r="J106">
        <v>0</v>
      </c>
      <c r="K106">
        <v>0.02</v>
      </c>
      <c r="L106" t="s">
        <v>8</v>
      </c>
      <c r="M106" t="s">
        <v>15</v>
      </c>
    </row>
    <row r="107" spans="1:13" x14ac:dyDescent="0.45">
      <c r="A107" t="s">
        <v>7</v>
      </c>
      <c r="B107" t="s">
        <v>143</v>
      </c>
      <c r="C107">
        <v>2045</v>
      </c>
      <c r="D107">
        <v>94</v>
      </c>
      <c r="E107">
        <v>0.01</v>
      </c>
      <c r="F107">
        <v>0.01</v>
      </c>
      <c r="G107">
        <v>0.02</v>
      </c>
      <c r="H107">
        <v>0</v>
      </c>
      <c r="I107">
        <v>0.08</v>
      </c>
      <c r="J107">
        <v>0</v>
      </c>
      <c r="K107">
        <v>0.03</v>
      </c>
      <c r="L107" t="s">
        <v>8</v>
      </c>
      <c r="M107" t="s">
        <v>15</v>
      </c>
    </row>
    <row r="108" spans="1:13" x14ac:dyDescent="0.45">
      <c r="A108" t="s">
        <v>7</v>
      </c>
      <c r="B108" t="s">
        <v>143</v>
      </c>
      <c r="C108">
        <v>2050</v>
      </c>
      <c r="D108">
        <v>94</v>
      </c>
      <c r="E108">
        <v>0.02</v>
      </c>
      <c r="F108">
        <v>0.01</v>
      </c>
      <c r="G108">
        <v>0.03</v>
      </c>
      <c r="H108">
        <v>0</v>
      </c>
      <c r="I108">
        <v>0.11</v>
      </c>
      <c r="J108">
        <v>0</v>
      </c>
      <c r="K108">
        <v>0.05</v>
      </c>
      <c r="L108" t="s">
        <v>8</v>
      </c>
      <c r="M108" t="s">
        <v>15</v>
      </c>
    </row>
    <row r="109" spans="1:13" x14ac:dyDescent="0.45">
      <c r="A109" t="s">
        <v>9</v>
      </c>
      <c r="B109" t="s">
        <v>143</v>
      </c>
      <c r="C109">
        <v>2020</v>
      </c>
      <c r="D109">
        <v>59</v>
      </c>
      <c r="E109">
        <v>0</v>
      </c>
      <c r="F109">
        <v>0.01</v>
      </c>
      <c r="G109">
        <v>0</v>
      </c>
      <c r="H109">
        <v>0</v>
      </c>
      <c r="I109">
        <v>0.01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143</v>
      </c>
      <c r="C110">
        <v>2025</v>
      </c>
      <c r="D110">
        <v>54</v>
      </c>
      <c r="E110">
        <v>0</v>
      </c>
      <c r="F110">
        <v>0</v>
      </c>
      <c r="G110">
        <v>0</v>
      </c>
      <c r="H110">
        <v>0</v>
      </c>
      <c r="I110">
        <v>0.01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143</v>
      </c>
      <c r="C111">
        <v>2030</v>
      </c>
      <c r="D111">
        <v>59</v>
      </c>
      <c r="E111">
        <v>0.01</v>
      </c>
      <c r="F111">
        <v>0.01</v>
      </c>
      <c r="G111">
        <v>0.01</v>
      </c>
      <c r="H111">
        <v>0</v>
      </c>
      <c r="I111">
        <v>0.02</v>
      </c>
      <c r="J111">
        <v>0</v>
      </c>
      <c r="K111">
        <v>0.01</v>
      </c>
      <c r="L111" t="s">
        <v>10</v>
      </c>
      <c r="M111" t="s">
        <v>15</v>
      </c>
    </row>
    <row r="112" spans="1:13" x14ac:dyDescent="0.45">
      <c r="A112" t="s">
        <v>9</v>
      </c>
      <c r="B112" t="s">
        <v>143</v>
      </c>
      <c r="C112">
        <v>2035</v>
      </c>
      <c r="D112">
        <v>54</v>
      </c>
      <c r="E112">
        <v>0.01</v>
      </c>
      <c r="F112">
        <v>0.01</v>
      </c>
      <c r="G112">
        <v>0.01</v>
      </c>
      <c r="H112">
        <v>0</v>
      </c>
      <c r="I112">
        <v>0.02</v>
      </c>
      <c r="J112">
        <v>0</v>
      </c>
      <c r="K112">
        <v>0.01</v>
      </c>
      <c r="L112" t="s">
        <v>10</v>
      </c>
      <c r="M112" t="s">
        <v>15</v>
      </c>
    </row>
    <row r="113" spans="1:13" x14ac:dyDescent="0.45">
      <c r="A113" t="s">
        <v>9</v>
      </c>
      <c r="B113" t="s">
        <v>143</v>
      </c>
      <c r="C113">
        <v>2040</v>
      </c>
      <c r="D113">
        <v>59</v>
      </c>
      <c r="E113">
        <v>0.01</v>
      </c>
      <c r="F113">
        <v>0.02</v>
      </c>
      <c r="G113">
        <v>0.01</v>
      </c>
      <c r="H113">
        <v>0</v>
      </c>
      <c r="I113">
        <v>0.04</v>
      </c>
      <c r="J113">
        <v>0</v>
      </c>
      <c r="K113">
        <v>0.02</v>
      </c>
      <c r="L113" t="s">
        <v>10</v>
      </c>
      <c r="M113" t="s">
        <v>15</v>
      </c>
    </row>
    <row r="114" spans="1:13" x14ac:dyDescent="0.45">
      <c r="A114" t="s">
        <v>9</v>
      </c>
      <c r="B114" t="s">
        <v>143</v>
      </c>
      <c r="C114">
        <v>2045</v>
      </c>
      <c r="D114">
        <v>54</v>
      </c>
      <c r="E114">
        <v>0.02</v>
      </c>
      <c r="F114">
        <v>0.02</v>
      </c>
      <c r="G114">
        <v>0.01</v>
      </c>
      <c r="H114">
        <v>0</v>
      </c>
      <c r="I114">
        <v>0.04</v>
      </c>
      <c r="J114">
        <v>0</v>
      </c>
      <c r="K114">
        <v>0.03</v>
      </c>
      <c r="L114" t="s">
        <v>10</v>
      </c>
      <c r="M114" t="s">
        <v>15</v>
      </c>
    </row>
    <row r="115" spans="1:13" x14ac:dyDescent="0.45">
      <c r="A115" t="s">
        <v>9</v>
      </c>
      <c r="B115" t="s">
        <v>143</v>
      </c>
      <c r="C115">
        <v>2050</v>
      </c>
      <c r="D115">
        <v>59</v>
      </c>
      <c r="E115">
        <v>0.02</v>
      </c>
      <c r="F115">
        <v>0.03</v>
      </c>
      <c r="G115">
        <v>0.02</v>
      </c>
      <c r="H115">
        <v>0</v>
      </c>
      <c r="I115">
        <v>0.05</v>
      </c>
      <c r="J115">
        <v>0</v>
      </c>
      <c r="K115">
        <v>0.03</v>
      </c>
      <c r="L115" t="s">
        <v>10</v>
      </c>
      <c r="M115" t="s">
        <v>15</v>
      </c>
    </row>
    <row r="116" spans="1:13" x14ac:dyDescent="0.45">
      <c r="A116" t="s">
        <v>0</v>
      </c>
      <c r="B116" t="s">
        <v>143</v>
      </c>
      <c r="C116">
        <v>2020</v>
      </c>
      <c r="D116">
        <v>64</v>
      </c>
      <c r="E116">
        <v>0.52</v>
      </c>
      <c r="F116">
        <v>0.53</v>
      </c>
      <c r="G116">
        <v>7.0000000000000007E-2</v>
      </c>
      <c r="H116">
        <v>0.41</v>
      </c>
      <c r="I116">
        <v>0.64</v>
      </c>
      <c r="J116">
        <v>0.49</v>
      </c>
      <c r="K116">
        <v>0.56999999999999995</v>
      </c>
      <c r="L116" t="s">
        <v>1</v>
      </c>
      <c r="M116" t="s">
        <v>18</v>
      </c>
    </row>
    <row r="117" spans="1:13" x14ac:dyDescent="0.45">
      <c r="A117" t="s">
        <v>0</v>
      </c>
      <c r="B117" t="s">
        <v>143</v>
      </c>
      <c r="C117">
        <v>2025</v>
      </c>
      <c r="D117">
        <v>64</v>
      </c>
      <c r="E117">
        <v>0.48</v>
      </c>
      <c r="F117">
        <v>0.5</v>
      </c>
      <c r="G117">
        <v>0.11</v>
      </c>
      <c r="H117">
        <v>0.16</v>
      </c>
      <c r="I117">
        <v>0.63</v>
      </c>
      <c r="J117">
        <v>0.47</v>
      </c>
      <c r="K117">
        <v>0.54</v>
      </c>
      <c r="L117" t="s">
        <v>1</v>
      </c>
      <c r="M117" t="s">
        <v>18</v>
      </c>
    </row>
    <row r="118" spans="1:13" x14ac:dyDescent="0.45">
      <c r="A118" t="s">
        <v>0</v>
      </c>
      <c r="B118" t="s">
        <v>143</v>
      </c>
      <c r="C118">
        <v>2030</v>
      </c>
      <c r="D118">
        <v>64</v>
      </c>
      <c r="E118">
        <v>0.48</v>
      </c>
      <c r="F118">
        <v>0.51</v>
      </c>
      <c r="G118">
        <v>0.12</v>
      </c>
      <c r="H118">
        <v>0.15</v>
      </c>
      <c r="I118">
        <v>0.68</v>
      </c>
      <c r="J118">
        <v>0.48</v>
      </c>
      <c r="K118">
        <v>0.52</v>
      </c>
      <c r="L118" t="s">
        <v>1</v>
      </c>
      <c r="M118" t="s">
        <v>18</v>
      </c>
    </row>
    <row r="119" spans="1:13" x14ac:dyDescent="0.45">
      <c r="A119" t="s">
        <v>0</v>
      </c>
      <c r="B119" t="s">
        <v>143</v>
      </c>
      <c r="C119">
        <v>2035</v>
      </c>
      <c r="D119">
        <v>64</v>
      </c>
      <c r="E119">
        <v>0.49</v>
      </c>
      <c r="F119">
        <v>0.5</v>
      </c>
      <c r="G119">
        <v>0.12</v>
      </c>
      <c r="H119">
        <v>0.15</v>
      </c>
      <c r="I119">
        <v>0.7</v>
      </c>
      <c r="J119">
        <v>0.46</v>
      </c>
      <c r="K119">
        <v>0.52</v>
      </c>
      <c r="L119" t="s">
        <v>1</v>
      </c>
      <c r="M119" t="s">
        <v>18</v>
      </c>
    </row>
    <row r="120" spans="1:13" x14ac:dyDescent="0.45">
      <c r="A120" t="s">
        <v>0</v>
      </c>
      <c r="B120" t="s">
        <v>143</v>
      </c>
      <c r="C120">
        <v>2040</v>
      </c>
      <c r="D120">
        <v>64</v>
      </c>
      <c r="E120">
        <v>0.49</v>
      </c>
      <c r="F120">
        <v>0.52</v>
      </c>
      <c r="G120">
        <v>0.12</v>
      </c>
      <c r="H120">
        <v>0.15</v>
      </c>
      <c r="I120">
        <v>0.7</v>
      </c>
      <c r="J120">
        <v>0.45</v>
      </c>
      <c r="K120">
        <v>0.53</v>
      </c>
      <c r="L120" t="s">
        <v>1</v>
      </c>
      <c r="M120" t="s">
        <v>18</v>
      </c>
    </row>
    <row r="121" spans="1:13" x14ac:dyDescent="0.45">
      <c r="A121" t="s">
        <v>0</v>
      </c>
      <c r="B121" t="s">
        <v>143</v>
      </c>
      <c r="C121">
        <v>2045</v>
      </c>
      <c r="D121">
        <v>64</v>
      </c>
      <c r="E121">
        <v>0.49</v>
      </c>
      <c r="F121">
        <v>0.54</v>
      </c>
      <c r="G121">
        <v>0.13</v>
      </c>
      <c r="H121">
        <v>0.15</v>
      </c>
      <c r="I121">
        <v>0.7</v>
      </c>
      <c r="J121">
        <v>0.46</v>
      </c>
      <c r="K121">
        <v>0.55000000000000004</v>
      </c>
      <c r="L121" t="s">
        <v>1</v>
      </c>
      <c r="M121" t="s">
        <v>18</v>
      </c>
    </row>
    <row r="122" spans="1:13" x14ac:dyDescent="0.45">
      <c r="A122" t="s">
        <v>0</v>
      </c>
      <c r="B122" t="s">
        <v>143</v>
      </c>
      <c r="C122">
        <v>2050</v>
      </c>
      <c r="D122">
        <v>64</v>
      </c>
      <c r="E122">
        <v>0.5</v>
      </c>
      <c r="F122">
        <v>0.55000000000000004</v>
      </c>
      <c r="G122">
        <v>0.13</v>
      </c>
      <c r="H122">
        <v>0.14000000000000001</v>
      </c>
      <c r="I122">
        <v>0.71</v>
      </c>
      <c r="J122">
        <v>0.47</v>
      </c>
      <c r="K122">
        <v>0.56999999999999995</v>
      </c>
      <c r="L122" t="s">
        <v>1</v>
      </c>
      <c r="M122" t="s">
        <v>18</v>
      </c>
    </row>
    <row r="123" spans="1:13" x14ac:dyDescent="0.45">
      <c r="A123" t="s">
        <v>2</v>
      </c>
      <c r="B123" t="s">
        <v>143</v>
      </c>
      <c r="C123">
        <v>2020</v>
      </c>
      <c r="D123">
        <v>100</v>
      </c>
      <c r="E123">
        <v>0.49</v>
      </c>
      <c r="F123">
        <v>0.5</v>
      </c>
      <c r="G123">
        <v>0.08</v>
      </c>
      <c r="H123">
        <v>0.38</v>
      </c>
      <c r="I123">
        <v>0.64</v>
      </c>
      <c r="J123">
        <v>0.41</v>
      </c>
      <c r="K123">
        <v>0.54</v>
      </c>
      <c r="L123" t="s">
        <v>3</v>
      </c>
      <c r="M123" t="s">
        <v>18</v>
      </c>
    </row>
    <row r="124" spans="1:13" x14ac:dyDescent="0.45">
      <c r="A124" t="s">
        <v>2</v>
      </c>
      <c r="B124" t="s">
        <v>143</v>
      </c>
      <c r="C124">
        <v>2025</v>
      </c>
      <c r="D124">
        <v>89</v>
      </c>
      <c r="E124">
        <v>0.48</v>
      </c>
      <c r="F124">
        <v>0.49</v>
      </c>
      <c r="G124">
        <v>0.08</v>
      </c>
      <c r="H124">
        <v>0.36</v>
      </c>
      <c r="I124">
        <v>0.62</v>
      </c>
      <c r="J124">
        <v>0.4</v>
      </c>
      <c r="K124">
        <v>0.54</v>
      </c>
      <c r="L124" t="s">
        <v>3</v>
      </c>
      <c r="M124" t="s">
        <v>18</v>
      </c>
    </row>
    <row r="125" spans="1:13" x14ac:dyDescent="0.45">
      <c r="A125" t="s">
        <v>2</v>
      </c>
      <c r="B125" t="s">
        <v>143</v>
      </c>
      <c r="C125">
        <v>2030</v>
      </c>
      <c r="D125">
        <v>100</v>
      </c>
      <c r="E125">
        <v>0.47</v>
      </c>
      <c r="F125">
        <v>0.47</v>
      </c>
      <c r="G125">
        <v>0.08</v>
      </c>
      <c r="H125">
        <v>0.36</v>
      </c>
      <c r="I125">
        <v>0.68</v>
      </c>
      <c r="J125">
        <v>0.39</v>
      </c>
      <c r="K125">
        <v>0.52</v>
      </c>
      <c r="L125" t="s">
        <v>3</v>
      </c>
      <c r="M125" t="s">
        <v>18</v>
      </c>
    </row>
    <row r="126" spans="1:13" x14ac:dyDescent="0.45">
      <c r="A126" t="s">
        <v>2</v>
      </c>
      <c r="B126" t="s">
        <v>143</v>
      </c>
      <c r="C126">
        <v>2035</v>
      </c>
      <c r="D126">
        <v>89</v>
      </c>
      <c r="E126">
        <v>0.48</v>
      </c>
      <c r="F126">
        <v>0.48</v>
      </c>
      <c r="G126">
        <v>7.0000000000000007E-2</v>
      </c>
      <c r="H126">
        <v>0.15</v>
      </c>
      <c r="I126">
        <v>0.69</v>
      </c>
      <c r="J126">
        <v>0.44</v>
      </c>
      <c r="K126">
        <v>0.51</v>
      </c>
      <c r="L126" t="s">
        <v>3</v>
      </c>
      <c r="M126" t="s">
        <v>18</v>
      </c>
    </row>
    <row r="127" spans="1:13" x14ac:dyDescent="0.45">
      <c r="A127" t="s">
        <v>2</v>
      </c>
      <c r="B127" t="s">
        <v>143</v>
      </c>
      <c r="C127">
        <v>2040</v>
      </c>
      <c r="D127">
        <v>100</v>
      </c>
      <c r="E127">
        <v>0.47</v>
      </c>
      <c r="F127">
        <v>0.48</v>
      </c>
      <c r="G127">
        <v>0.08</v>
      </c>
      <c r="H127">
        <v>0.15</v>
      </c>
      <c r="I127">
        <v>0.68</v>
      </c>
      <c r="J127">
        <v>0.42</v>
      </c>
      <c r="K127">
        <v>0.51</v>
      </c>
      <c r="L127" t="s">
        <v>3</v>
      </c>
      <c r="M127" t="s">
        <v>18</v>
      </c>
    </row>
    <row r="128" spans="1:13" x14ac:dyDescent="0.45">
      <c r="A128" t="s">
        <v>2</v>
      </c>
      <c r="B128" t="s">
        <v>143</v>
      </c>
      <c r="C128">
        <v>2045</v>
      </c>
      <c r="D128">
        <v>89</v>
      </c>
      <c r="E128">
        <v>0.48</v>
      </c>
      <c r="F128">
        <v>0.48</v>
      </c>
      <c r="G128">
        <v>0.08</v>
      </c>
      <c r="H128">
        <v>0.15</v>
      </c>
      <c r="I128">
        <v>0.68</v>
      </c>
      <c r="J128">
        <v>0.43</v>
      </c>
      <c r="K128">
        <v>0.54</v>
      </c>
      <c r="L128" t="s">
        <v>3</v>
      </c>
      <c r="M128" t="s">
        <v>18</v>
      </c>
    </row>
    <row r="129" spans="1:13" x14ac:dyDescent="0.45">
      <c r="A129" t="s">
        <v>2</v>
      </c>
      <c r="B129" t="s">
        <v>143</v>
      </c>
      <c r="C129">
        <v>2050</v>
      </c>
      <c r="D129">
        <v>100</v>
      </c>
      <c r="E129">
        <v>0.48</v>
      </c>
      <c r="F129">
        <v>0.49</v>
      </c>
      <c r="G129">
        <v>0.08</v>
      </c>
      <c r="H129">
        <v>0.15</v>
      </c>
      <c r="I129">
        <v>0.69</v>
      </c>
      <c r="J129">
        <v>0.44</v>
      </c>
      <c r="K129">
        <v>0.54</v>
      </c>
      <c r="L129" t="s">
        <v>3</v>
      </c>
      <c r="M129" t="s">
        <v>18</v>
      </c>
    </row>
    <row r="130" spans="1:13" x14ac:dyDescent="0.45">
      <c r="A130" t="s">
        <v>5</v>
      </c>
      <c r="B130" t="s">
        <v>143</v>
      </c>
      <c r="C130">
        <v>2020</v>
      </c>
      <c r="D130">
        <v>233</v>
      </c>
      <c r="E130">
        <v>0.48</v>
      </c>
      <c r="F130">
        <v>0.49</v>
      </c>
      <c r="G130">
        <v>7.0000000000000007E-2</v>
      </c>
      <c r="H130">
        <v>0.38</v>
      </c>
      <c r="I130">
        <v>0.67</v>
      </c>
      <c r="J130">
        <v>0.41</v>
      </c>
      <c r="K130">
        <v>0.53</v>
      </c>
      <c r="L130" t="s">
        <v>6</v>
      </c>
      <c r="M130" t="s">
        <v>18</v>
      </c>
    </row>
    <row r="131" spans="1:13" x14ac:dyDescent="0.45">
      <c r="A131" t="s">
        <v>5</v>
      </c>
      <c r="B131" t="s">
        <v>143</v>
      </c>
      <c r="C131">
        <v>2025</v>
      </c>
      <c r="D131">
        <v>210</v>
      </c>
      <c r="E131">
        <v>0.45</v>
      </c>
      <c r="F131">
        <v>0.49</v>
      </c>
      <c r="G131">
        <v>0.1</v>
      </c>
      <c r="H131">
        <v>0.16</v>
      </c>
      <c r="I131">
        <v>0.67</v>
      </c>
      <c r="J131">
        <v>0.39</v>
      </c>
      <c r="K131">
        <v>0.5</v>
      </c>
      <c r="L131" t="s">
        <v>6</v>
      </c>
      <c r="M131" t="s">
        <v>18</v>
      </c>
    </row>
    <row r="132" spans="1:13" x14ac:dyDescent="0.45">
      <c r="A132" t="s">
        <v>5</v>
      </c>
      <c r="B132" t="s">
        <v>143</v>
      </c>
      <c r="C132">
        <v>2030</v>
      </c>
      <c r="D132">
        <v>233</v>
      </c>
      <c r="E132">
        <v>0.45</v>
      </c>
      <c r="F132">
        <v>0.46</v>
      </c>
      <c r="G132">
        <v>0.11</v>
      </c>
      <c r="H132">
        <v>0.15</v>
      </c>
      <c r="I132">
        <v>0.68</v>
      </c>
      <c r="J132">
        <v>0.39</v>
      </c>
      <c r="K132">
        <v>0.52</v>
      </c>
      <c r="L132" t="s">
        <v>6</v>
      </c>
      <c r="M132" t="s">
        <v>18</v>
      </c>
    </row>
    <row r="133" spans="1:13" x14ac:dyDescent="0.45">
      <c r="A133" t="s">
        <v>5</v>
      </c>
      <c r="B133" t="s">
        <v>143</v>
      </c>
      <c r="C133">
        <v>2035</v>
      </c>
      <c r="D133">
        <v>210</v>
      </c>
      <c r="E133">
        <v>0.44</v>
      </c>
      <c r="F133">
        <v>0.48</v>
      </c>
      <c r="G133">
        <v>0.14000000000000001</v>
      </c>
      <c r="H133">
        <v>0.15</v>
      </c>
      <c r="I133">
        <v>0.74</v>
      </c>
      <c r="J133">
        <v>0.39</v>
      </c>
      <c r="K133">
        <v>0.52</v>
      </c>
      <c r="L133" t="s">
        <v>6</v>
      </c>
      <c r="M133" t="s">
        <v>18</v>
      </c>
    </row>
    <row r="134" spans="1:13" x14ac:dyDescent="0.45">
      <c r="A134" t="s">
        <v>5</v>
      </c>
      <c r="B134" t="s">
        <v>143</v>
      </c>
      <c r="C134">
        <v>2040</v>
      </c>
      <c r="D134">
        <v>233</v>
      </c>
      <c r="E134">
        <v>0.44</v>
      </c>
      <c r="F134">
        <v>0.46</v>
      </c>
      <c r="G134">
        <v>0.14000000000000001</v>
      </c>
      <c r="H134">
        <v>0.15</v>
      </c>
      <c r="I134">
        <v>0.73</v>
      </c>
      <c r="J134">
        <v>0.4</v>
      </c>
      <c r="K134">
        <v>0.53</v>
      </c>
      <c r="L134" t="s">
        <v>6</v>
      </c>
      <c r="M134" t="s">
        <v>18</v>
      </c>
    </row>
    <row r="135" spans="1:13" x14ac:dyDescent="0.45">
      <c r="A135" t="s">
        <v>5</v>
      </c>
      <c r="B135" t="s">
        <v>143</v>
      </c>
      <c r="C135">
        <v>2045</v>
      </c>
      <c r="D135">
        <v>210</v>
      </c>
      <c r="E135">
        <v>0.45</v>
      </c>
      <c r="F135">
        <v>0.48</v>
      </c>
      <c r="G135">
        <v>0.15</v>
      </c>
      <c r="H135">
        <v>0.14000000000000001</v>
      </c>
      <c r="I135">
        <v>0.71</v>
      </c>
      <c r="J135">
        <v>0.4</v>
      </c>
      <c r="K135">
        <v>0.54</v>
      </c>
      <c r="L135" t="s">
        <v>6</v>
      </c>
      <c r="M135" t="s">
        <v>18</v>
      </c>
    </row>
    <row r="136" spans="1:13" x14ac:dyDescent="0.45">
      <c r="A136" t="s">
        <v>5</v>
      </c>
      <c r="B136" t="s">
        <v>143</v>
      </c>
      <c r="C136">
        <v>2050</v>
      </c>
      <c r="D136">
        <v>233</v>
      </c>
      <c r="E136">
        <v>0.46</v>
      </c>
      <c r="F136">
        <v>0.47</v>
      </c>
      <c r="G136">
        <v>0.15</v>
      </c>
      <c r="H136">
        <v>0.14000000000000001</v>
      </c>
      <c r="I136">
        <v>0.73</v>
      </c>
      <c r="J136">
        <v>0.4</v>
      </c>
      <c r="K136">
        <v>0.55000000000000004</v>
      </c>
      <c r="L136" t="s">
        <v>6</v>
      </c>
      <c r="M136" t="s">
        <v>18</v>
      </c>
    </row>
    <row r="137" spans="1:13" x14ac:dyDescent="0.45">
      <c r="A137" t="s">
        <v>7</v>
      </c>
      <c r="B137" t="s">
        <v>143</v>
      </c>
      <c r="C137">
        <v>2020</v>
      </c>
      <c r="D137">
        <v>102</v>
      </c>
      <c r="E137">
        <v>0.47</v>
      </c>
      <c r="F137">
        <v>0.47</v>
      </c>
      <c r="G137">
        <v>7.0000000000000007E-2</v>
      </c>
      <c r="H137">
        <v>0.41</v>
      </c>
      <c r="I137">
        <v>0.6</v>
      </c>
      <c r="J137">
        <v>0.41</v>
      </c>
      <c r="K137">
        <v>0.53</v>
      </c>
      <c r="L137" t="s">
        <v>8</v>
      </c>
      <c r="M137" t="s">
        <v>18</v>
      </c>
    </row>
    <row r="138" spans="1:13" x14ac:dyDescent="0.45">
      <c r="A138" t="s">
        <v>7</v>
      </c>
      <c r="B138" t="s">
        <v>143</v>
      </c>
      <c r="C138">
        <v>2025</v>
      </c>
      <c r="D138">
        <v>96</v>
      </c>
      <c r="E138">
        <v>0.44</v>
      </c>
      <c r="F138">
        <v>0.46</v>
      </c>
      <c r="G138">
        <v>0.1</v>
      </c>
      <c r="H138">
        <v>0.16</v>
      </c>
      <c r="I138">
        <v>0.6</v>
      </c>
      <c r="J138">
        <v>0.39</v>
      </c>
      <c r="K138">
        <v>0.5</v>
      </c>
      <c r="L138" t="s">
        <v>8</v>
      </c>
      <c r="M138" t="s">
        <v>18</v>
      </c>
    </row>
    <row r="139" spans="1:13" x14ac:dyDescent="0.45">
      <c r="A139" t="s">
        <v>7</v>
      </c>
      <c r="B139" t="s">
        <v>143</v>
      </c>
      <c r="C139">
        <v>2030</v>
      </c>
      <c r="D139">
        <v>102</v>
      </c>
      <c r="E139">
        <v>0.42</v>
      </c>
      <c r="F139">
        <v>0.41</v>
      </c>
      <c r="G139">
        <v>0.09</v>
      </c>
      <c r="H139">
        <v>0.15</v>
      </c>
      <c r="I139">
        <v>0.63</v>
      </c>
      <c r="J139">
        <v>0.39</v>
      </c>
      <c r="K139">
        <v>0.47</v>
      </c>
      <c r="L139" t="s">
        <v>8</v>
      </c>
      <c r="M139" t="s">
        <v>18</v>
      </c>
    </row>
    <row r="140" spans="1:13" x14ac:dyDescent="0.45">
      <c r="A140" t="s">
        <v>7</v>
      </c>
      <c r="B140" t="s">
        <v>143</v>
      </c>
      <c r="C140">
        <v>2035</v>
      </c>
      <c r="D140">
        <v>96</v>
      </c>
      <c r="E140">
        <v>0.41</v>
      </c>
      <c r="F140">
        <v>0.44</v>
      </c>
      <c r="G140">
        <v>0.13</v>
      </c>
      <c r="H140">
        <v>0.15</v>
      </c>
      <c r="I140">
        <v>0.63</v>
      </c>
      <c r="J140">
        <v>0.38</v>
      </c>
      <c r="K140">
        <v>0.47</v>
      </c>
      <c r="L140" t="s">
        <v>8</v>
      </c>
      <c r="M140" t="s">
        <v>18</v>
      </c>
    </row>
    <row r="141" spans="1:13" x14ac:dyDescent="0.45">
      <c r="A141" t="s">
        <v>7</v>
      </c>
      <c r="B141" t="s">
        <v>143</v>
      </c>
      <c r="C141">
        <v>2040</v>
      </c>
      <c r="D141">
        <v>102</v>
      </c>
      <c r="E141">
        <v>0.41</v>
      </c>
      <c r="F141">
        <v>0.42</v>
      </c>
      <c r="G141">
        <v>0.13</v>
      </c>
      <c r="H141">
        <v>0.15</v>
      </c>
      <c r="I141">
        <v>0.69</v>
      </c>
      <c r="J141">
        <v>0.39</v>
      </c>
      <c r="K141">
        <v>0.45</v>
      </c>
      <c r="L141" t="s">
        <v>8</v>
      </c>
      <c r="M141" t="s">
        <v>18</v>
      </c>
    </row>
    <row r="142" spans="1:13" x14ac:dyDescent="0.45">
      <c r="A142" t="s">
        <v>7</v>
      </c>
      <c r="B142" t="s">
        <v>143</v>
      </c>
      <c r="C142">
        <v>2045</v>
      </c>
      <c r="D142">
        <v>96</v>
      </c>
      <c r="E142">
        <v>0.41</v>
      </c>
      <c r="F142">
        <v>0.42</v>
      </c>
      <c r="G142">
        <v>0.13</v>
      </c>
      <c r="H142">
        <v>0.15</v>
      </c>
      <c r="I142">
        <v>0.68</v>
      </c>
      <c r="J142">
        <v>0.38</v>
      </c>
      <c r="K142">
        <v>0.45</v>
      </c>
      <c r="L142" t="s">
        <v>8</v>
      </c>
      <c r="M142" t="s">
        <v>18</v>
      </c>
    </row>
    <row r="143" spans="1:13" x14ac:dyDescent="0.45">
      <c r="A143" t="s">
        <v>7</v>
      </c>
      <c r="B143" t="s">
        <v>143</v>
      </c>
      <c r="C143">
        <v>2050</v>
      </c>
      <c r="D143">
        <v>102</v>
      </c>
      <c r="E143">
        <v>0.41</v>
      </c>
      <c r="F143">
        <v>0.43</v>
      </c>
      <c r="G143">
        <v>0.13</v>
      </c>
      <c r="H143">
        <v>0.15</v>
      </c>
      <c r="I143">
        <v>0.68</v>
      </c>
      <c r="J143">
        <v>0.38</v>
      </c>
      <c r="K143">
        <v>0.47</v>
      </c>
      <c r="L143" t="s">
        <v>8</v>
      </c>
      <c r="M143" t="s">
        <v>18</v>
      </c>
    </row>
    <row r="144" spans="1:13" x14ac:dyDescent="0.45">
      <c r="A144" t="s">
        <v>9</v>
      </c>
      <c r="B144" t="s">
        <v>143</v>
      </c>
      <c r="C144">
        <v>2020</v>
      </c>
      <c r="D144">
        <v>61</v>
      </c>
      <c r="E144">
        <v>0.52</v>
      </c>
      <c r="F144">
        <v>0.53</v>
      </c>
      <c r="G144">
        <v>7.0000000000000007E-2</v>
      </c>
      <c r="H144">
        <v>0.4</v>
      </c>
      <c r="I144">
        <v>0.65</v>
      </c>
      <c r="J144">
        <v>0.47</v>
      </c>
      <c r="K144">
        <v>0.57999999999999996</v>
      </c>
      <c r="L144" t="s">
        <v>10</v>
      </c>
      <c r="M144" t="s">
        <v>18</v>
      </c>
    </row>
    <row r="145" spans="1:13" x14ac:dyDescent="0.45">
      <c r="A145" t="s">
        <v>9</v>
      </c>
      <c r="B145" t="s">
        <v>143</v>
      </c>
      <c r="C145">
        <v>2025</v>
      </c>
      <c r="D145">
        <v>56</v>
      </c>
      <c r="E145">
        <v>0.51</v>
      </c>
      <c r="F145">
        <v>0.5</v>
      </c>
      <c r="G145">
        <v>7.0000000000000007E-2</v>
      </c>
      <c r="H145">
        <v>0.37</v>
      </c>
      <c r="I145">
        <v>0.71</v>
      </c>
      <c r="J145">
        <v>0.47</v>
      </c>
      <c r="K145">
        <v>0.55000000000000004</v>
      </c>
      <c r="L145" t="s">
        <v>10</v>
      </c>
      <c r="M145" t="s">
        <v>18</v>
      </c>
    </row>
    <row r="146" spans="1:13" x14ac:dyDescent="0.45">
      <c r="A146" t="s">
        <v>9</v>
      </c>
      <c r="B146" t="s">
        <v>143</v>
      </c>
      <c r="C146">
        <v>2030</v>
      </c>
      <c r="D146">
        <v>61</v>
      </c>
      <c r="E146">
        <v>0.49</v>
      </c>
      <c r="F146">
        <v>0.52</v>
      </c>
      <c r="G146">
        <v>0.06</v>
      </c>
      <c r="H146">
        <v>0.36</v>
      </c>
      <c r="I146">
        <v>0.64</v>
      </c>
      <c r="J146">
        <v>0.45</v>
      </c>
      <c r="K146">
        <v>0.53</v>
      </c>
      <c r="L146" t="s">
        <v>10</v>
      </c>
      <c r="M146" t="s">
        <v>18</v>
      </c>
    </row>
    <row r="147" spans="1:13" x14ac:dyDescent="0.45">
      <c r="A147" t="s">
        <v>9</v>
      </c>
      <c r="B147" t="s">
        <v>143</v>
      </c>
      <c r="C147">
        <v>2035</v>
      </c>
      <c r="D147">
        <v>56</v>
      </c>
      <c r="E147">
        <v>0.49</v>
      </c>
      <c r="F147">
        <v>0.5</v>
      </c>
      <c r="G147">
        <v>0.06</v>
      </c>
      <c r="H147">
        <v>0.37</v>
      </c>
      <c r="I147">
        <v>0.63</v>
      </c>
      <c r="J147">
        <v>0.45</v>
      </c>
      <c r="K147">
        <v>0.52</v>
      </c>
      <c r="L147" t="s">
        <v>10</v>
      </c>
      <c r="M147" t="s">
        <v>18</v>
      </c>
    </row>
    <row r="148" spans="1:13" x14ac:dyDescent="0.45">
      <c r="A148" t="s">
        <v>9</v>
      </c>
      <c r="B148" t="s">
        <v>143</v>
      </c>
      <c r="C148">
        <v>2040</v>
      </c>
      <c r="D148">
        <v>61</v>
      </c>
      <c r="E148">
        <v>0.47</v>
      </c>
      <c r="F148">
        <v>0.47</v>
      </c>
      <c r="G148">
        <v>0.06</v>
      </c>
      <c r="H148">
        <v>0.37</v>
      </c>
      <c r="I148">
        <v>0.64</v>
      </c>
      <c r="J148">
        <v>0.43</v>
      </c>
      <c r="K148">
        <v>0.51</v>
      </c>
      <c r="L148" t="s">
        <v>10</v>
      </c>
      <c r="M148" t="s">
        <v>18</v>
      </c>
    </row>
    <row r="149" spans="1:13" x14ac:dyDescent="0.45">
      <c r="A149" t="s">
        <v>9</v>
      </c>
      <c r="B149" t="s">
        <v>143</v>
      </c>
      <c r="C149">
        <v>2045</v>
      </c>
      <c r="D149">
        <v>56</v>
      </c>
      <c r="E149">
        <v>0.47</v>
      </c>
      <c r="F149">
        <v>0.47</v>
      </c>
      <c r="G149">
        <v>0.06</v>
      </c>
      <c r="H149">
        <v>0.35</v>
      </c>
      <c r="I149">
        <v>0.64</v>
      </c>
      <c r="J149">
        <v>0.43</v>
      </c>
      <c r="K149">
        <v>0.51</v>
      </c>
      <c r="L149" t="s">
        <v>10</v>
      </c>
      <c r="M149" t="s">
        <v>18</v>
      </c>
    </row>
    <row r="150" spans="1:13" x14ac:dyDescent="0.45">
      <c r="A150" t="s">
        <v>9</v>
      </c>
      <c r="B150" t="s">
        <v>143</v>
      </c>
      <c r="C150">
        <v>2050</v>
      </c>
      <c r="D150">
        <v>61</v>
      </c>
      <c r="E150">
        <v>0.46</v>
      </c>
      <c r="F150">
        <v>0.45</v>
      </c>
      <c r="G150">
        <v>0.06</v>
      </c>
      <c r="H150">
        <v>0.34</v>
      </c>
      <c r="I150">
        <v>0.64</v>
      </c>
      <c r="J150">
        <v>0.41</v>
      </c>
      <c r="K150">
        <v>0.51</v>
      </c>
      <c r="L150" t="s">
        <v>10</v>
      </c>
      <c r="M150" t="s">
        <v>18</v>
      </c>
    </row>
    <row r="151" spans="1:13" x14ac:dyDescent="0.45">
      <c r="A151" t="s">
        <v>0</v>
      </c>
      <c r="B151" t="s">
        <v>143</v>
      </c>
      <c r="C151">
        <v>2020</v>
      </c>
      <c r="D151">
        <v>64</v>
      </c>
      <c r="E151">
        <v>0.44</v>
      </c>
      <c r="F151">
        <v>0.46</v>
      </c>
      <c r="G151">
        <v>0.08</v>
      </c>
      <c r="H151">
        <v>0.33</v>
      </c>
      <c r="I151">
        <v>0.57999999999999996</v>
      </c>
      <c r="J151">
        <v>0.38</v>
      </c>
      <c r="K151">
        <v>0.46</v>
      </c>
      <c r="L151" t="s">
        <v>1</v>
      </c>
      <c r="M151" t="s">
        <v>21</v>
      </c>
    </row>
    <row r="152" spans="1:13" x14ac:dyDescent="0.45">
      <c r="A152" t="s">
        <v>0</v>
      </c>
      <c r="B152" t="s">
        <v>143</v>
      </c>
      <c r="C152">
        <v>2025</v>
      </c>
      <c r="D152">
        <v>64</v>
      </c>
      <c r="E152">
        <v>0.46</v>
      </c>
      <c r="F152">
        <v>0.47</v>
      </c>
      <c r="G152">
        <v>7.0000000000000007E-2</v>
      </c>
      <c r="H152">
        <v>0.28000000000000003</v>
      </c>
      <c r="I152">
        <v>0.62</v>
      </c>
      <c r="J152">
        <v>0.43</v>
      </c>
      <c r="K152">
        <v>0.49</v>
      </c>
      <c r="L152" t="s">
        <v>1</v>
      </c>
      <c r="M152" t="s">
        <v>21</v>
      </c>
    </row>
    <row r="153" spans="1:13" x14ac:dyDescent="0.45">
      <c r="A153" t="s">
        <v>0</v>
      </c>
      <c r="B153" t="s">
        <v>143</v>
      </c>
      <c r="C153">
        <v>2030</v>
      </c>
      <c r="D153">
        <v>64</v>
      </c>
      <c r="E153">
        <v>0.44</v>
      </c>
      <c r="F153">
        <v>0.44</v>
      </c>
      <c r="G153">
        <v>7.0000000000000007E-2</v>
      </c>
      <c r="H153">
        <v>0.25</v>
      </c>
      <c r="I153">
        <v>0.57999999999999996</v>
      </c>
      <c r="J153">
        <v>0.42</v>
      </c>
      <c r="K153">
        <v>0.47</v>
      </c>
      <c r="L153" t="s">
        <v>1</v>
      </c>
      <c r="M153" t="s">
        <v>21</v>
      </c>
    </row>
    <row r="154" spans="1:13" x14ac:dyDescent="0.45">
      <c r="A154" t="s">
        <v>0</v>
      </c>
      <c r="B154" t="s">
        <v>143</v>
      </c>
      <c r="C154">
        <v>2035</v>
      </c>
      <c r="D154">
        <v>64</v>
      </c>
      <c r="E154">
        <v>0.43</v>
      </c>
      <c r="F154">
        <v>0.44</v>
      </c>
      <c r="G154">
        <v>7.0000000000000007E-2</v>
      </c>
      <c r="H154">
        <v>0.22</v>
      </c>
      <c r="I154">
        <v>0.55000000000000004</v>
      </c>
      <c r="J154">
        <v>0.42</v>
      </c>
      <c r="K154">
        <v>0.46</v>
      </c>
      <c r="L154" t="s">
        <v>1</v>
      </c>
      <c r="M154" t="s">
        <v>21</v>
      </c>
    </row>
    <row r="155" spans="1:13" x14ac:dyDescent="0.45">
      <c r="A155" t="s">
        <v>0</v>
      </c>
      <c r="B155" t="s">
        <v>143</v>
      </c>
      <c r="C155">
        <v>2040</v>
      </c>
      <c r="D155">
        <v>64</v>
      </c>
      <c r="E155">
        <v>0.41</v>
      </c>
      <c r="F155">
        <v>0.42</v>
      </c>
      <c r="G155">
        <v>7.0000000000000007E-2</v>
      </c>
      <c r="H155">
        <v>0.21</v>
      </c>
      <c r="I155">
        <v>0.52</v>
      </c>
      <c r="J155">
        <v>0.39</v>
      </c>
      <c r="K155">
        <v>0.46</v>
      </c>
      <c r="L155" t="s">
        <v>1</v>
      </c>
      <c r="M155" t="s">
        <v>21</v>
      </c>
    </row>
    <row r="156" spans="1:13" x14ac:dyDescent="0.45">
      <c r="A156" t="s">
        <v>0</v>
      </c>
      <c r="B156" t="s">
        <v>143</v>
      </c>
      <c r="C156">
        <v>2045</v>
      </c>
      <c r="D156">
        <v>64</v>
      </c>
      <c r="E156">
        <v>0.39</v>
      </c>
      <c r="F156">
        <v>0.39</v>
      </c>
      <c r="G156">
        <v>7.0000000000000007E-2</v>
      </c>
      <c r="H156">
        <v>0.21</v>
      </c>
      <c r="I156">
        <v>0.53</v>
      </c>
      <c r="J156">
        <v>0.36</v>
      </c>
      <c r="K156">
        <v>0.43</v>
      </c>
      <c r="L156" t="s">
        <v>1</v>
      </c>
      <c r="M156" t="s">
        <v>21</v>
      </c>
    </row>
    <row r="157" spans="1:13" x14ac:dyDescent="0.45">
      <c r="A157" t="s">
        <v>0</v>
      </c>
      <c r="B157" t="s">
        <v>143</v>
      </c>
      <c r="C157">
        <v>2050</v>
      </c>
      <c r="D157">
        <v>64</v>
      </c>
      <c r="E157">
        <v>0.38</v>
      </c>
      <c r="F157">
        <v>0.38</v>
      </c>
      <c r="G157">
        <v>7.0000000000000007E-2</v>
      </c>
      <c r="H157">
        <v>0.19</v>
      </c>
      <c r="I157">
        <v>0.54</v>
      </c>
      <c r="J157">
        <v>0.34</v>
      </c>
      <c r="K157">
        <v>0.42</v>
      </c>
      <c r="L157" t="s">
        <v>1</v>
      </c>
      <c r="M157" t="s">
        <v>21</v>
      </c>
    </row>
    <row r="158" spans="1:13" x14ac:dyDescent="0.45">
      <c r="A158" t="s">
        <v>2</v>
      </c>
      <c r="B158" t="s">
        <v>143</v>
      </c>
      <c r="C158">
        <v>2020</v>
      </c>
      <c r="D158">
        <v>97</v>
      </c>
      <c r="E158">
        <v>0.46</v>
      </c>
      <c r="F158">
        <v>0.46</v>
      </c>
      <c r="G158">
        <v>0.1</v>
      </c>
      <c r="H158">
        <v>0.33</v>
      </c>
      <c r="I158">
        <v>0.61</v>
      </c>
      <c r="J158">
        <v>0.38</v>
      </c>
      <c r="K158">
        <v>0.57999999999999996</v>
      </c>
      <c r="L158" t="s">
        <v>3</v>
      </c>
      <c r="M158" t="s">
        <v>21</v>
      </c>
    </row>
    <row r="159" spans="1:13" x14ac:dyDescent="0.45">
      <c r="A159" t="s">
        <v>2</v>
      </c>
      <c r="B159" t="s">
        <v>143</v>
      </c>
      <c r="C159">
        <v>2025</v>
      </c>
      <c r="D159">
        <v>86</v>
      </c>
      <c r="E159">
        <v>0.46</v>
      </c>
      <c r="F159">
        <v>0.47</v>
      </c>
      <c r="G159">
        <v>0.1</v>
      </c>
      <c r="H159">
        <v>0.31</v>
      </c>
      <c r="I159">
        <v>0.62</v>
      </c>
      <c r="J159">
        <v>0.39</v>
      </c>
      <c r="K159">
        <v>0.56999999999999995</v>
      </c>
      <c r="L159" t="s">
        <v>3</v>
      </c>
      <c r="M159" t="s">
        <v>21</v>
      </c>
    </row>
    <row r="160" spans="1:13" x14ac:dyDescent="0.45">
      <c r="A160" t="s">
        <v>2</v>
      </c>
      <c r="B160" t="s">
        <v>143</v>
      </c>
      <c r="C160">
        <v>2030</v>
      </c>
      <c r="D160">
        <v>97</v>
      </c>
      <c r="E160">
        <v>0.47</v>
      </c>
      <c r="F160">
        <v>0.45</v>
      </c>
      <c r="G160">
        <v>0.09</v>
      </c>
      <c r="H160">
        <v>0.25</v>
      </c>
      <c r="I160">
        <v>0.62</v>
      </c>
      <c r="J160">
        <v>0.41</v>
      </c>
      <c r="K160">
        <v>0.56000000000000005</v>
      </c>
      <c r="L160" t="s">
        <v>3</v>
      </c>
      <c r="M160" t="s">
        <v>21</v>
      </c>
    </row>
    <row r="161" spans="1:13" x14ac:dyDescent="0.45">
      <c r="A161" t="s">
        <v>2</v>
      </c>
      <c r="B161" t="s">
        <v>143</v>
      </c>
      <c r="C161">
        <v>2035</v>
      </c>
      <c r="D161">
        <v>86</v>
      </c>
      <c r="E161">
        <v>0.44</v>
      </c>
      <c r="F161">
        <v>0.44</v>
      </c>
      <c r="G161">
        <v>0.08</v>
      </c>
      <c r="H161">
        <v>0.23</v>
      </c>
      <c r="I161">
        <v>0.6</v>
      </c>
      <c r="J161">
        <v>0.41</v>
      </c>
      <c r="K161">
        <v>0.5</v>
      </c>
      <c r="L161" t="s">
        <v>3</v>
      </c>
      <c r="M161" t="s">
        <v>21</v>
      </c>
    </row>
    <row r="162" spans="1:13" x14ac:dyDescent="0.45">
      <c r="A162" t="s">
        <v>2</v>
      </c>
      <c r="B162" t="s">
        <v>143</v>
      </c>
      <c r="C162">
        <v>2040</v>
      </c>
      <c r="D162">
        <v>97</v>
      </c>
      <c r="E162">
        <v>0.43</v>
      </c>
      <c r="F162">
        <v>0.45</v>
      </c>
      <c r="G162">
        <v>7.0000000000000007E-2</v>
      </c>
      <c r="H162">
        <v>0.24</v>
      </c>
      <c r="I162">
        <v>0.55000000000000004</v>
      </c>
      <c r="J162">
        <v>0.41</v>
      </c>
      <c r="K162">
        <v>0.49</v>
      </c>
      <c r="L162" t="s">
        <v>3</v>
      </c>
      <c r="M162" t="s">
        <v>21</v>
      </c>
    </row>
    <row r="163" spans="1:13" x14ac:dyDescent="0.45">
      <c r="A163" t="s">
        <v>2</v>
      </c>
      <c r="B163" t="s">
        <v>143</v>
      </c>
      <c r="C163">
        <v>2045</v>
      </c>
      <c r="D163">
        <v>86</v>
      </c>
      <c r="E163">
        <v>0.41</v>
      </c>
      <c r="F163">
        <v>0.43</v>
      </c>
      <c r="G163">
        <v>7.0000000000000007E-2</v>
      </c>
      <c r="H163">
        <v>0.24</v>
      </c>
      <c r="I163">
        <v>0.52</v>
      </c>
      <c r="J163">
        <v>0.39</v>
      </c>
      <c r="K163">
        <v>0.45</v>
      </c>
      <c r="L163" t="s">
        <v>3</v>
      </c>
      <c r="M163" t="s">
        <v>21</v>
      </c>
    </row>
    <row r="164" spans="1:13" x14ac:dyDescent="0.45">
      <c r="A164" t="s">
        <v>2</v>
      </c>
      <c r="B164" t="s">
        <v>143</v>
      </c>
      <c r="C164">
        <v>2050</v>
      </c>
      <c r="D164">
        <v>97</v>
      </c>
      <c r="E164">
        <v>0.4</v>
      </c>
      <c r="F164">
        <v>0.41</v>
      </c>
      <c r="G164">
        <v>0.06</v>
      </c>
      <c r="H164">
        <v>0.21</v>
      </c>
      <c r="I164">
        <v>0.5</v>
      </c>
      <c r="J164">
        <v>0.37</v>
      </c>
      <c r="K164">
        <v>0.44</v>
      </c>
      <c r="L164" t="s">
        <v>3</v>
      </c>
      <c r="M164" t="s">
        <v>21</v>
      </c>
    </row>
    <row r="165" spans="1:13" x14ac:dyDescent="0.45">
      <c r="A165" t="s">
        <v>5</v>
      </c>
      <c r="B165" t="s">
        <v>143</v>
      </c>
      <c r="C165">
        <v>2020</v>
      </c>
      <c r="D165">
        <v>233</v>
      </c>
      <c r="E165">
        <v>0.45</v>
      </c>
      <c r="F165">
        <v>0.46</v>
      </c>
      <c r="G165">
        <v>0.09</v>
      </c>
      <c r="H165">
        <v>0.31</v>
      </c>
      <c r="I165">
        <v>0.61</v>
      </c>
      <c r="J165">
        <v>0.36</v>
      </c>
      <c r="K165">
        <v>0.52</v>
      </c>
      <c r="L165" t="s">
        <v>6</v>
      </c>
      <c r="M165" t="s">
        <v>21</v>
      </c>
    </row>
    <row r="166" spans="1:13" x14ac:dyDescent="0.45">
      <c r="A166" t="s">
        <v>5</v>
      </c>
      <c r="B166" t="s">
        <v>143</v>
      </c>
      <c r="C166">
        <v>2025</v>
      </c>
      <c r="D166">
        <v>210</v>
      </c>
      <c r="E166">
        <v>0.46</v>
      </c>
      <c r="F166">
        <v>0.47</v>
      </c>
      <c r="G166">
        <v>0.09</v>
      </c>
      <c r="H166">
        <v>0.25</v>
      </c>
      <c r="I166">
        <v>0.62</v>
      </c>
      <c r="J166">
        <v>0.39</v>
      </c>
      <c r="K166">
        <v>0.51</v>
      </c>
      <c r="L166" t="s">
        <v>6</v>
      </c>
      <c r="M166" t="s">
        <v>21</v>
      </c>
    </row>
    <row r="167" spans="1:13" x14ac:dyDescent="0.45">
      <c r="A167" t="s">
        <v>5</v>
      </c>
      <c r="B167" t="s">
        <v>143</v>
      </c>
      <c r="C167">
        <v>2030</v>
      </c>
      <c r="D167">
        <v>233</v>
      </c>
      <c r="E167">
        <v>0.47</v>
      </c>
      <c r="F167">
        <v>0.45</v>
      </c>
      <c r="G167">
        <v>0.09</v>
      </c>
      <c r="H167">
        <v>0.25</v>
      </c>
      <c r="I167">
        <v>0.62</v>
      </c>
      <c r="J167">
        <v>0.44</v>
      </c>
      <c r="K167">
        <v>0.55000000000000004</v>
      </c>
      <c r="L167" t="s">
        <v>6</v>
      </c>
      <c r="M167" t="s">
        <v>21</v>
      </c>
    </row>
    <row r="168" spans="1:13" x14ac:dyDescent="0.45">
      <c r="A168" t="s">
        <v>5</v>
      </c>
      <c r="B168" t="s">
        <v>143</v>
      </c>
      <c r="C168">
        <v>2035</v>
      </c>
      <c r="D168">
        <v>210</v>
      </c>
      <c r="E168">
        <v>0.45</v>
      </c>
      <c r="F168">
        <v>0.45</v>
      </c>
      <c r="G168">
        <v>0.08</v>
      </c>
      <c r="H168">
        <v>0.19</v>
      </c>
      <c r="I168">
        <v>0.6</v>
      </c>
      <c r="J168">
        <v>0.43</v>
      </c>
      <c r="K168">
        <v>0.51</v>
      </c>
      <c r="L168" t="s">
        <v>6</v>
      </c>
      <c r="M168" t="s">
        <v>21</v>
      </c>
    </row>
    <row r="169" spans="1:13" x14ac:dyDescent="0.45">
      <c r="A169" t="s">
        <v>5</v>
      </c>
      <c r="B169" t="s">
        <v>143</v>
      </c>
      <c r="C169">
        <v>2040</v>
      </c>
      <c r="D169">
        <v>233</v>
      </c>
      <c r="E169">
        <v>0.45</v>
      </c>
      <c r="F169">
        <v>0.47</v>
      </c>
      <c r="G169">
        <v>0.08</v>
      </c>
      <c r="H169">
        <v>0.21</v>
      </c>
      <c r="I169">
        <v>0.57999999999999996</v>
      </c>
      <c r="J169">
        <v>0.42</v>
      </c>
      <c r="K169">
        <v>0.51</v>
      </c>
      <c r="L169" t="s">
        <v>6</v>
      </c>
      <c r="M169" t="s">
        <v>21</v>
      </c>
    </row>
    <row r="170" spans="1:13" x14ac:dyDescent="0.45">
      <c r="A170" t="s">
        <v>5</v>
      </c>
      <c r="B170" t="s">
        <v>143</v>
      </c>
      <c r="C170">
        <v>2045</v>
      </c>
      <c r="D170">
        <v>210</v>
      </c>
      <c r="E170">
        <v>0.42</v>
      </c>
      <c r="F170">
        <v>0.44</v>
      </c>
      <c r="G170">
        <v>0.08</v>
      </c>
      <c r="H170">
        <v>0.22</v>
      </c>
      <c r="I170">
        <v>0.56999999999999995</v>
      </c>
      <c r="J170">
        <v>0.4</v>
      </c>
      <c r="K170">
        <v>0.47</v>
      </c>
      <c r="L170" t="s">
        <v>6</v>
      </c>
      <c r="M170" t="s">
        <v>21</v>
      </c>
    </row>
    <row r="171" spans="1:13" x14ac:dyDescent="0.45">
      <c r="A171" t="s">
        <v>5</v>
      </c>
      <c r="B171" t="s">
        <v>143</v>
      </c>
      <c r="C171">
        <v>2050</v>
      </c>
      <c r="D171">
        <v>233</v>
      </c>
      <c r="E171">
        <v>0.42</v>
      </c>
      <c r="F171">
        <v>0.44</v>
      </c>
      <c r="G171">
        <v>0.09</v>
      </c>
      <c r="H171">
        <v>0.2</v>
      </c>
      <c r="I171">
        <v>0.56000000000000005</v>
      </c>
      <c r="J171">
        <v>0.38</v>
      </c>
      <c r="K171">
        <v>0.47</v>
      </c>
      <c r="L171" t="s">
        <v>6</v>
      </c>
      <c r="M171" t="s">
        <v>21</v>
      </c>
    </row>
    <row r="172" spans="1:13" x14ac:dyDescent="0.45">
      <c r="A172" t="s">
        <v>7</v>
      </c>
      <c r="B172" t="s">
        <v>143</v>
      </c>
      <c r="C172">
        <v>2020</v>
      </c>
      <c r="D172">
        <v>102</v>
      </c>
      <c r="E172">
        <v>0.44</v>
      </c>
      <c r="F172">
        <v>0.4</v>
      </c>
      <c r="G172">
        <v>0.1</v>
      </c>
      <c r="H172">
        <v>0.34</v>
      </c>
      <c r="I172">
        <v>0.57999999999999996</v>
      </c>
      <c r="J172">
        <v>0.34</v>
      </c>
      <c r="K172">
        <v>0.56999999999999995</v>
      </c>
      <c r="L172" t="s">
        <v>8</v>
      </c>
      <c r="M172" t="s">
        <v>21</v>
      </c>
    </row>
    <row r="173" spans="1:13" x14ac:dyDescent="0.45">
      <c r="A173" t="s">
        <v>7</v>
      </c>
      <c r="B173" t="s">
        <v>143</v>
      </c>
      <c r="C173">
        <v>2025</v>
      </c>
      <c r="D173">
        <v>96</v>
      </c>
      <c r="E173">
        <v>0.47</v>
      </c>
      <c r="F173">
        <v>0.46</v>
      </c>
      <c r="G173">
        <v>0.1</v>
      </c>
      <c r="H173">
        <v>0.33</v>
      </c>
      <c r="I173">
        <v>0.62</v>
      </c>
      <c r="J173">
        <v>0.39</v>
      </c>
      <c r="K173">
        <v>0.6</v>
      </c>
      <c r="L173" t="s">
        <v>8</v>
      </c>
      <c r="M173" t="s">
        <v>21</v>
      </c>
    </row>
    <row r="174" spans="1:13" x14ac:dyDescent="0.45">
      <c r="A174" t="s">
        <v>7</v>
      </c>
      <c r="B174" t="s">
        <v>143</v>
      </c>
      <c r="C174">
        <v>2030</v>
      </c>
      <c r="D174">
        <v>102</v>
      </c>
      <c r="E174">
        <v>0.48</v>
      </c>
      <c r="F174">
        <v>0.46</v>
      </c>
      <c r="G174">
        <v>0.1</v>
      </c>
      <c r="H174">
        <v>0.31</v>
      </c>
      <c r="I174">
        <v>0.62</v>
      </c>
      <c r="J174">
        <v>0.42</v>
      </c>
      <c r="K174">
        <v>0.59</v>
      </c>
      <c r="L174" t="s">
        <v>8</v>
      </c>
      <c r="M174" t="s">
        <v>21</v>
      </c>
    </row>
    <row r="175" spans="1:13" x14ac:dyDescent="0.45">
      <c r="A175" t="s">
        <v>7</v>
      </c>
      <c r="B175" t="s">
        <v>143</v>
      </c>
      <c r="C175">
        <v>2035</v>
      </c>
      <c r="D175">
        <v>96</v>
      </c>
      <c r="E175">
        <v>0.47</v>
      </c>
      <c r="F175">
        <v>0.46</v>
      </c>
      <c r="G175">
        <v>0.09</v>
      </c>
      <c r="H175">
        <v>0.3</v>
      </c>
      <c r="I175">
        <v>0.6</v>
      </c>
      <c r="J175">
        <v>0.42</v>
      </c>
      <c r="K175">
        <v>0.56000000000000005</v>
      </c>
      <c r="L175" t="s">
        <v>8</v>
      </c>
      <c r="M175" t="s">
        <v>21</v>
      </c>
    </row>
    <row r="176" spans="1:13" x14ac:dyDescent="0.45">
      <c r="A176" t="s">
        <v>7</v>
      </c>
      <c r="B176" t="s">
        <v>143</v>
      </c>
      <c r="C176">
        <v>2040</v>
      </c>
      <c r="D176">
        <v>102</v>
      </c>
      <c r="E176">
        <v>0.47</v>
      </c>
      <c r="F176">
        <v>0.48</v>
      </c>
      <c r="G176">
        <v>0.08</v>
      </c>
      <c r="H176">
        <v>0.25</v>
      </c>
      <c r="I176">
        <v>0.56999999999999995</v>
      </c>
      <c r="J176">
        <v>0.44</v>
      </c>
      <c r="K176">
        <v>0.54</v>
      </c>
      <c r="L176" t="s">
        <v>8</v>
      </c>
      <c r="M176" t="s">
        <v>21</v>
      </c>
    </row>
    <row r="177" spans="1:13" x14ac:dyDescent="0.45">
      <c r="A177" t="s">
        <v>7</v>
      </c>
      <c r="B177" t="s">
        <v>143</v>
      </c>
      <c r="C177">
        <v>2045</v>
      </c>
      <c r="D177">
        <v>96</v>
      </c>
      <c r="E177">
        <v>0.46</v>
      </c>
      <c r="F177">
        <v>0.48</v>
      </c>
      <c r="G177">
        <v>0.08</v>
      </c>
      <c r="H177">
        <v>0.24</v>
      </c>
      <c r="I177">
        <v>0.55000000000000004</v>
      </c>
      <c r="J177">
        <v>0.45</v>
      </c>
      <c r="K177">
        <v>0.51</v>
      </c>
      <c r="L177" t="s">
        <v>8</v>
      </c>
      <c r="M177" t="s">
        <v>21</v>
      </c>
    </row>
    <row r="178" spans="1:13" x14ac:dyDescent="0.45">
      <c r="A178" t="s">
        <v>7</v>
      </c>
      <c r="B178" t="s">
        <v>143</v>
      </c>
      <c r="C178">
        <v>2050</v>
      </c>
      <c r="D178">
        <v>102</v>
      </c>
      <c r="E178">
        <v>0.45</v>
      </c>
      <c r="F178">
        <v>0.47</v>
      </c>
      <c r="G178">
        <v>0.08</v>
      </c>
      <c r="H178">
        <v>0.24</v>
      </c>
      <c r="I178">
        <v>0.55000000000000004</v>
      </c>
      <c r="J178">
        <v>0.44</v>
      </c>
      <c r="K178">
        <v>0.51</v>
      </c>
      <c r="L178" t="s">
        <v>8</v>
      </c>
      <c r="M178" t="s">
        <v>21</v>
      </c>
    </row>
    <row r="179" spans="1:13" x14ac:dyDescent="0.45">
      <c r="A179" t="s">
        <v>9</v>
      </c>
      <c r="B179" t="s">
        <v>143</v>
      </c>
      <c r="C179">
        <v>2020</v>
      </c>
      <c r="D179">
        <v>57</v>
      </c>
      <c r="E179">
        <v>0.43</v>
      </c>
      <c r="F179">
        <v>0.45</v>
      </c>
      <c r="G179">
        <v>7.0000000000000007E-2</v>
      </c>
      <c r="H179">
        <v>0.33</v>
      </c>
      <c r="I179">
        <v>0.57999999999999996</v>
      </c>
      <c r="J179">
        <v>0.38</v>
      </c>
      <c r="K179">
        <v>0.46</v>
      </c>
      <c r="L179" t="s">
        <v>10</v>
      </c>
      <c r="M179" t="s">
        <v>21</v>
      </c>
    </row>
    <row r="180" spans="1:13" x14ac:dyDescent="0.45">
      <c r="A180" t="s">
        <v>9</v>
      </c>
      <c r="B180" t="s">
        <v>143</v>
      </c>
      <c r="C180">
        <v>2025</v>
      </c>
      <c r="D180">
        <v>52</v>
      </c>
      <c r="E180">
        <v>0.44</v>
      </c>
      <c r="F180">
        <v>0.45</v>
      </c>
      <c r="G180">
        <v>0.08</v>
      </c>
      <c r="H180">
        <v>0.22</v>
      </c>
      <c r="I180">
        <v>0.62</v>
      </c>
      <c r="J180">
        <v>0.4</v>
      </c>
      <c r="K180">
        <v>0.47</v>
      </c>
      <c r="L180" t="s">
        <v>10</v>
      </c>
      <c r="M180" t="s">
        <v>21</v>
      </c>
    </row>
    <row r="181" spans="1:13" x14ac:dyDescent="0.45">
      <c r="A181" t="s">
        <v>9</v>
      </c>
      <c r="B181" t="s">
        <v>143</v>
      </c>
      <c r="C181">
        <v>2030</v>
      </c>
      <c r="D181">
        <v>57</v>
      </c>
      <c r="E181">
        <v>0.45</v>
      </c>
      <c r="F181">
        <v>0.44</v>
      </c>
      <c r="G181">
        <v>0.08</v>
      </c>
      <c r="H181">
        <v>0.33</v>
      </c>
      <c r="I181">
        <v>0.62</v>
      </c>
      <c r="J181">
        <v>0.42</v>
      </c>
      <c r="K181">
        <v>0.49</v>
      </c>
      <c r="L181" t="s">
        <v>10</v>
      </c>
      <c r="M181" t="s">
        <v>21</v>
      </c>
    </row>
    <row r="182" spans="1:13" x14ac:dyDescent="0.45">
      <c r="A182" t="s">
        <v>9</v>
      </c>
      <c r="B182" t="s">
        <v>143</v>
      </c>
      <c r="C182">
        <v>2035</v>
      </c>
      <c r="D182">
        <v>52</v>
      </c>
      <c r="E182">
        <v>0.45</v>
      </c>
      <c r="F182">
        <v>0.44</v>
      </c>
      <c r="G182">
        <v>0.08</v>
      </c>
      <c r="H182">
        <v>0.3</v>
      </c>
      <c r="I182">
        <v>0.61</v>
      </c>
      <c r="J182">
        <v>0.42</v>
      </c>
      <c r="K182">
        <v>0.48</v>
      </c>
      <c r="L182" t="s">
        <v>10</v>
      </c>
      <c r="M182" t="s">
        <v>21</v>
      </c>
    </row>
    <row r="183" spans="1:13" x14ac:dyDescent="0.45">
      <c r="A183" t="s">
        <v>9</v>
      </c>
      <c r="B183" t="s">
        <v>143</v>
      </c>
      <c r="C183">
        <v>2040</v>
      </c>
      <c r="D183">
        <v>57</v>
      </c>
      <c r="E183">
        <v>0.46</v>
      </c>
      <c r="F183">
        <v>0.45</v>
      </c>
      <c r="G183">
        <v>0.08</v>
      </c>
      <c r="H183">
        <v>0.28000000000000003</v>
      </c>
      <c r="I183">
        <v>0.61</v>
      </c>
      <c r="J183">
        <v>0.44</v>
      </c>
      <c r="K183">
        <v>0.52</v>
      </c>
      <c r="L183" t="s">
        <v>10</v>
      </c>
      <c r="M183" t="s">
        <v>21</v>
      </c>
    </row>
    <row r="184" spans="1:13" x14ac:dyDescent="0.45">
      <c r="A184" t="s">
        <v>9</v>
      </c>
      <c r="B184" t="s">
        <v>143</v>
      </c>
      <c r="C184">
        <v>2045</v>
      </c>
      <c r="D184">
        <v>52</v>
      </c>
      <c r="E184">
        <v>0.45</v>
      </c>
      <c r="F184">
        <v>0.46</v>
      </c>
      <c r="G184">
        <v>0.08</v>
      </c>
      <c r="H184">
        <v>0.28999999999999998</v>
      </c>
      <c r="I184">
        <v>0.62</v>
      </c>
      <c r="J184">
        <v>0.43</v>
      </c>
      <c r="K184">
        <v>0.49</v>
      </c>
      <c r="L184" t="s">
        <v>10</v>
      </c>
      <c r="M184" t="s">
        <v>21</v>
      </c>
    </row>
    <row r="185" spans="1:13" x14ac:dyDescent="0.45">
      <c r="A185" t="s">
        <v>9</v>
      </c>
      <c r="B185" t="s">
        <v>143</v>
      </c>
      <c r="C185">
        <v>2050</v>
      </c>
      <c r="D185">
        <v>57</v>
      </c>
      <c r="E185">
        <v>0.46</v>
      </c>
      <c r="F185">
        <v>0.47</v>
      </c>
      <c r="G185">
        <v>0.08</v>
      </c>
      <c r="H185">
        <v>0.28999999999999998</v>
      </c>
      <c r="I185">
        <v>0.63</v>
      </c>
      <c r="J185">
        <v>0.43</v>
      </c>
      <c r="K185">
        <v>0.53</v>
      </c>
      <c r="L185" t="s">
        <v>10</v>
      </c>
      <c r="M185" t="s">
        <v>21</v>
      </c>
    </row>
    <row r="186" spans="1:13" x14ac:dyDescent="0.45">
      <c r="A186" t="s">
        <v>0</v>
      </c>
      <c r="B186" t="s">
        <v>143</v>
      </c>
      <c r="C186">
        <v>2020</v>
      </c>
      <c r="D186">
        <v>57</v>
      </c>
      <c r="E186">
        <v>0.02</v>
      </c>
      <c r="F186">
        <v>0.02</v>
      </c>
      <c r="G186">
        <v>0</v>
      </c>
      <c r="H186">
        <v>0.01</v>
      </c>
      <c r="I186">
        <v>0.04</v>
      </c>
      <c r="J186">
        <v>0.02</v>
      </c>
      <c r="K186">
        <v>0.02</v>
      </c>
      <c r="L186" t="s">
        <v>1</v>
      </c>
      <c r="M186" t="s">
        <v>23</v>
      </c>
    </row>
    <row r="187" spans="1:13" x14ac:dyDescent="0.45">
      <c r="A187" t="s">
        <v>0</v>
      </c>
      <c r="B187" t="s">
        <v>143</v>
      </c>
      <c r="C187">
        <v>2025</v>
      </c>
      <c r="D187">
        <v>57</v>
      </c>
      <c r="E187">
        <v>0.03</v>
      </c>
      <c r="F187">
        <v>0.03</v>
      </c>
      <c r="G187">
        <v>0.01</v>
      </c>
      <c r="H187">
        <v>0.01</v>
      </c>
      <c r="I187">
        <v>0.06</v>
      </c>
      <c r="J187">
        <v>0.03</v>
      </c>
      <c r="K187">
        <v>0.03</v>
      </c>
      <c r="L187" t="s">
        <v>1</v>
      </c>
      <c r="M187" t="s">
        <v>23</v>
      </c>
    </row>
    <row r="188" spans="1:13" x14ac:dyDescent="0.45">
      <c r="A188" t="s">
        <v>0</v>
      </c>
      <c r="B188" t="s">
        <v>143</v>
      </c>
      <c r="C188">
        <v>2030</v>
      </c>
      <c r="D188">
        <v>57</v>
      </c>
      <c r="E188">
        <v>0.04</v>
      </c>
      <c r="F188">
        <v>0.04</v>
      </c>
      <c r="G188">
        <v>0.01</v>
      </c>
      <c r="H188">
        <v>0.01</v>
      </c>
      <c r="I188">
        <v>0.08</v>
      </c>
      <c r="J188">
        <v>0.04</v>
      </c>
      <c r="K188">
        <v>0.05</v>
      </c>
      <c r="L188" t="s">
        <v>1</v>
      </c>
      <c r="M188" t="s">
        <v>23</v>
      </c>
    </row>
    <row r="189" spans="1:13" x14ac:dyDescent="0.45">
      <c r="A189" t="s">
        <v>0</v>
      </c>
      <c r="B189" t="s">
        <v>143</v>
      </c>
      <c r="C189">
        <v>2035</v>
      </c>
      <c r="D189">
        <v>57</v>
      </c>
      <c r="E189">
        <v>0.06</v>
      </c>
      <c r="F189">
        <v>0.06</v>
      </c>
      <c r="G189">
        <v>0.01</v>
      </c>
      <c r="H189">
        <v>0.03</v>
      </c>
      <c r="I189">
        <v>0.09</v>
      </c>
      <c r="J189">
        <v>0.05</v>
      </c>
      <c r="K189">
        <v>0.06</v>
      </c>
      <c r="L189" t="s">
        <v>1</v>
      </c>
      <c r="M189" t="s">
        <v>23</v>
      </c>
    </row>
    <row r="190" spans="1:13" x14ac:dyDescent="0.45">
      <c r="A190" t="s">
        <v>0</v>
      </c>
      <c r="B190" t="s">
        <v>143</v>
      </c>
      <c r="C190">
        <v>2040</v>
      </c>
      <c r="D190">
        <v>57</v>
      </c>
      <c r="E190">
        <v>7.0000000000000007E-2</v>
      </c>
      <c r="F190">
        <v>0.06</v>
      </c>
      <c r="G190">
        <v>0.02</v>
      </c>
      <c r="H190">
        <v>0.04</v>
      </c>
      <c r="I190">
        <v>0.13</v>
      </c>
      <c r="J190">
        <v>0.06</v>
      </c>
      <c r="K190">
        <v>0.08</v>
      </c>
      <c r="L190" t="s">
        <v>1</v>
      </c>
      <c r="M190" t="s">
        <v>23</v>
      </c>
    </row>
    <row r="191" spans="1:13" x14ac:dyDescent="0.45">
      <c r="A191" t="s">
        <v>0</v>
      </c>
      <c r="B191" t="s">
        <v>143</v>
      </c>
      <c r="C191">
        <v>2045</v>
      </c>
      <c r="D191">
        <v>57</v>
      </c>
      <c r="E191">
        <v>0.08</v>
      </c>
      <c r="F191">
        <v>7.0000000000000007E-2</v>
      </c>
      <c r="G191">
        <v>0.03</v>
      </c>
      <c r="H191">
        <v>0.04</v>
      </c>
      <c r="I191">
        <v>0.15</v>
      </c>
      <c r="J191">
        <v>7.0000000000000007E-2</v>
      </c>
      <c r="K191">
        <v>0.11</v>
      </c>
      <c r="L191" t="s">
        <v>1</v>
      </c>
      <c r="M191" t="s">
        <v>23</v>
      </c>
    </row>
    <row r="192" spans="1:13" x14ac:dyDescent="0.45">
      <c r="A192" t="s">
        <v>0</v>
      </c>
      <c r="B192" t="s">
        <v>143</v>
      </c>
      <c r="C192">
        <v>2050</v>
      </c>
      <c r="D192">
        <v>57</v>
      </c>
      <c r="E192">
        <v>0.09</v>
      </c>
      <c r="F192">
        <v>0.08</v>
      </c>
      <c r="G192">
        <v>0.03</v>
      </c>
      <c r="H192">
        <v>0.04</v>
      </c>
      <c r="I192">
        <v>0.17</v>
      </c>
      <c r="J192">
        <v>7.0000000000000007E-2</v>
      </c>
      <c r="K192">
        <v>0.1</v>
      </c>
      <c r="L192" t="s">
        <v>1</v>
      </c>
      <c r="M192" t="s">
        <v>23</v>
      </c>
    </row>
    <row r="193" spans="1:13" x14ac:dyDescent="0.45">
      <c r="A193" t="s">
        <v>2</v>
      </c>
      <c r="B193" t="s">
        <v>143</v>
      </c>
      <c r="C193">
        <v>2020</v>
      </c>
      <c r="D193">
        <v>89</v>
      </c>
      <c r="E193">
        <v>0.02</v>
      </c>
      <c r="F193">
        <v>0.02</v>
      </c>
      <c r="G193">
        <v>0.01</v>
      </c>
      <c r="H193">
        <v>0.01</v>
      </c>
      <c r="I193">
        <v>0.04</v>
      </c>
      <c r="J193">
        <v>0.02</v>
      </c>
      <c r="K193">
        <v>0.02</v>
      </c>
      <c r="L193" t="s">
        <v>3</v>
      </c>
      <c r="M193" t="s">
        <v>23</v>
      </c>
    </row>
    <row r="194" spans="1:13" x14ac:dyDescent="0.45">
      <c r="A194" t="s">
        <v>2</v>
      </c>
      <c r="B194" t="s">
        <v>143</v>
      </c>
      <c r="C194">
        <v>2025</v>
      </c>
      <c r="D194">
        <v>89</v>
      </c>
      <c r="E194">
        <v>0.03</v>
      </c>
      <c r="F194">
        <v>0.03</v>
      </c>
      <c r="G194">
        <v>0.01</v>
      </c>
      <c r="H194">
        <v>0.01</v>
      </c>
      <c r="I194">
        <v>0.06</v>
      </c>
      <c r="J194">
        <v>0.02</v>
      </c>
      <c r="K194">
        <v>0.03</v>
      </c>
      <c r="L194" t="s">
        <v>3</v>
      </c>
      <c r="M194" t="s">
        <v>23</v>
      </c>
    </row>
    <row r="195" spans="1:13" x14ac:dyDescent="0.45">
      <c r="A195" t="s">
        <v>2</v>
      </c>
      <c r="B195" t="s">
        <v>143</v>
      </c>
      <c r="C195">
        <v>2030</v>
      </c>
      <c r="D195">
        <v>89</v>
      </c>
      <c r="E195">
        <v>0.04</v>
      </c>
      <c r="F195">
        <v>0.04</v>
      </c>
      <c r="G195">
        <v>0.02</v>
      </c>
      <c r="H195">
        <v>0.01</v>
      </c>
      <c r="I195">
        <v>0.09</v>
      </c>
      <c r="J195">
        <v>0.03</v>
      </c>
      <c r="K195">
        <v>0.05</v>
      </c>
      <c r="L195" t="s">
        <v>3</v>
      </c>
      <c r="M195" t="s">
        <v>23</v>
      </c>
    </row>
    <row r="196" spans="1:13" x14ac:dyDescent="0.45">
      <c r="A196" t="s">
        <v>2</v>
      </c>
      <c r="B196" t="s">
        <v>143</v>
      </c>
      <c r="C196">
        <v>2035</v>
      </c>
      <c r="D196">
        <v>89</v>
      </c>
      <c r="E196">
        <v>0.05</v>
      </c>
      <c r="F196">
        <v>0.05</v>
      </c>
      <c r="G196">
        <v>0.03</v>
      </c>
      <c r="H196">
        <v>0.01</v>
      </c>
      <c r="I196">
        <v>0.12</v>
      </c>
      <c r="J196">
        <v>0.03</v>
      </c>
      <c r="K196">
        <v>7.0000000000000007E-2</v>
      </c>
      <c r="L196" t="s">
        <v>3</v>
      </c>
      <c r="M196" t="s">
        <v>23</v>
      </c>
    </row>
    <row r="197" spans="1:13" x14ac:dyDescent="0.45">
      <c r="A197" t="s">
        <v>2</v>
      </c>
      <c r="B197" t="s">
        <v>143</v>
      </c>
      <c r="C197">
        <v>2040</v>
      </c>
      <c r="D197">
        <v>89</v>
      </c>
      <c r="E197">
        <v>0.06</v>
      </c>
      <c r="F197">
        <v>0.06</v>
      </c>
      <c r="G197">
        <v>0.03</v>
      </c>
      <c r="H197">
        <v>0.01</v>
      </c>
      <c r="I197">
        <v>0.12</v>
      </c>
      <c r="J197">
        <v>0.04</v>
      </c>
      <c r="K197">
        <v>0.09</v>
      </c>
      <c r="L197" t="s">
        <v>3</v>
      </c>
      <c r="M197" t="s">
        <v>23</v>
      </c>
    </row>
    <row r="198" spans="1:13" x14ac:dyDescent="0.45">
      <c r="A198" t="s">
        <v>2</v>
      </c>
      <c r="B198" t="s">
        <v>143</v>
      </c>
      <c r="C198">
        <v>2045</v>
      </c>
      <c r="D198">
        <v>89</v>
      </c>
      <c r="E198">
        <v>0.08</v>
      </c>
      <c r="F198">
        <v>0.08</v>
      </c>
      <c r="G198">
        <v>0.03</v>
      </c>
      <c r="H198">
        <v>0.01</v>
      </c>
      <c r="I198">
        <v>0.15</v>
      </c>
      <c r="J198">
        <v>0.05</v>
      </c>
      <c r="K198">
        <v>0.11</v>
      </c>
      <c r="L198" t="s">
        <v>3</v>
      </c>
      <c r="M198" t="s">
        <v>23</v>
      </c>
    </row>
    <row r="199" spans="1:13" x14ac:dyDescent="0.45">
      <c r="A199" t="s">
        <v>2</v>
      </c>
      <c r="B199" t="s">
        <v>143</v>
      </c>
      <c r="C199">
        <v>2050</v>
      </c>
      <c r="D199">
        <v>89</v>
      </c>
      <c r="E199">
        <v>0.08</v>
      </c>
      <c r="F199">
        <v>0.08</v>
      </c>
      <c r="G199">
        <v>0.03</v>
      </c>
      <c r="H199">
        <v>0.01</v>
      </c>
      <c r="I199">
        <v>0.15</v>
      </c>
      <c r="J199">
        <v>7.0000000000000007E-2</v>
      </c>
      <c r="K199">
        <v>0.11</v>
      </c>
      <c r="L199" t="s">
        <v>3</v>
      </c>
      <c r="M199" t="s">
        <v>23</v>
      </c>
    </row>
    <row r="200" spans="1:13" x14ac:dyDescent="0.45">
      <c r="A200" t="s">
        <v>5</v>
      </c>
      <c r="B200" t="s">
        <v>143</v>
      </c>
      <c r="C200">
        <v>2020</v>
      </c>
      <c r="D200">
        <v>233</v>
      </c>
      <c r="E200">
        <v>0.02</v>
      </c>
      <c r="F200">
        <v>0.02</v>
      </c>
      <c r="G200">
        <v>0</v>
      </c>
      <c r="H200">
        <v>0.01</v>
      </c>
      <c r="I200">
        <v>0.03</v>
      </c>
      <c r="J200">
        <v>0.01</v>
      </c>
      <c r="K200">
        <v>0.02</v>
      </c>
      <c r="L200" t="s">
        <v>6</v>
      </c>
      <c r="M200" t="s">
        <v>23</v>
      </c>
    </row>
    <row r="201" spans="1:13" x14ac:dyDescent="0.45">
      <c r="A201" t="s">
        <v>5</v>
      </c>
      <c r="B201" t="s">
        <v>143</v>
      </c>
      <c r="C201">
        <v>2025</v>
      </c>
      <c r="D201">
        <v>210</v>
      </c>
      <c r="E201">
        <v>0.02</v>
      </c>
      <c r="F201">
        <v>0.02</v>
      </c>
      <c r="G201">
        <v>0.01</v>
      </c>
      <c r="H201">
        <v>0</v>
      </c>
      <c r="I201">
        <v>0.04</v>
      </c>
      <c r="J201">
        <v>0.02</v>
      </c>
      <c r="K201">
        <v>0.03</v>
      </c>
      <c r="L201" t="s">
        <v>6</v>
      </c>
      <c r="M201" t="s">
        <v>23</v>
      </c>
    </row>
    <row r="202" spans="1:13" x14ac:dyDescent="0.45">
      <c r="A202" t="s">
        <v>5</v>
      </c>
      <c r="B202" t="s">
        <v>143</v>
      </c>
      <c r="C202">
        <v>2030</v>
      </c>
      <c r="D202">
        <v>233</v>
      </c>
      <c r="E202">
        <v>0.03</v>
      </c>
      <c r="F202">
        <v>0.03</v>
      </c>
      <c r="G202">
        <v>0.01</v>
      </c>
      <c r="H202">
        <v>0</v>
      </c>
      <c r="I202">
        <v>0.06</v>
      </c>
      <c r="J202">
        <v>0.02</v>
      </c>
      <c r="K202">
        <v>0.04</v>
      </c>
      <c r="L202" t="s">
        <v>6</v>
      </c>
      <c r="M202" t="s">
        <v>23</v>
      </c>
    </row>
    <row r="203" spans="1:13" x14ac:dyDescent="0.45">
      <c r="A203" t="s">
        <v>5</v>
      </c>
      <c r="B203" t="s">
        <v>143</v>
      </c>
      <c r="C203">
        <v>2035</v>
      </c>
      <c r="D203">
        <v>210</v>
      </c>
      <c r="E203">
        <v>0.04</v>
      </c>
      <c r="F203">
        <v>0.04</v>
      </c>
      <c r="G203">
        <v>0.02</v>
      </c>
      <c r="H203">
        <v>0</v>
      </c>
      <c r="I203">
        <v>0.08</v>
      </c>
      <c r="J203">
        <v>0.03</v>
      </c>
      <c r="K203">
        <v>0.05</v>
      </c>
      <c r="L203" t="s">
        <v>6</v>
      </c>
      <c r="M203" t="s">
        <v>23</v>
      </c>
    </row>
    <row r="204" spans="1:13" x14ac:dyDescent="0.45">
      <c r="A204" t="s">
        <v>5</v>
      </c>
      <c r="B204" t="s">
        <v>143</v>
      </c>
      <c r="C204">
        <v>2040</v>
      </c>
      <c r="D204">
        <v>233</v>
      </c>
      <c r="E204">
        <v>0.05</v>
      </c>
      <c r="F204">
        <v>0.05</v>
      </c>
      <c r="G204">
        <v>0.03</v>
      </c>
      <c r="H204">
        <v>0</v>
      </c>
      <c r="I204">
        <v>0.14000000000000001</v>
      </c>
      <c r="J204">
        <v>0.03</v>
      </c>
      <c r="K204">
        <v>0.06</v>
      </c>
      <c r="L204" t="s">
        <v>6</v>
      </c>
      <c r="M204" t="s">
        <v>23</v>
      </c>
    </row>
    <row r="205" spans="1:13" x14ac:dyDescent="0.45">
      <c r="A205" t="s">
        <v>5</v>
      </c>
      <c r="B205" t="s">
        <v>143</v>
      </c>
      <c r="C205">
        <v>2045</v>
      </c>
      <c r="D205">
        <v>210</v>
      </c>
      <c r="E205">
        <v>0.06</v>
      </c>
      <c r="F205">
        <v>0.06</v>
      </c>
      <c r="G205">
        <v>0.04</v>
      </c>
      <c r="H205">
        <v>0</v>
      </c>
      <c r="I205">
        <v>0.18</v>
      </c>
      <c r="J205">
        <v>0.04</v>
      </c>
      <c r="K205">
        <v>7.0000000000000007E-2</v>
      </c>
      <c r="L205" t="s">
        <v>6</v>
      </c>
      <c r="M205" t="s">
        <v>23</v>
      </c>
    </row>
    <row r="206" spans="1:13" x14ac:dyDescent="0.45">
      <c r="A206" t="s">
        <v>5</v>
      </c>
      <c r="B206" t="s">
        <v>143</v>
      </c>
      <c r="C206">
        <v>2050</v>
      </c>
      <c r="D206">
        <v>233</v>
      </c>
      <c r="E206">
        <v>7.0000000000000007E-2</v>
      </c>
      <c r="F206">
        <v>0.06</v>
      </c>
      <c r="G206">
        <v>0.05</v>
      </c>
      <c r="H206">
        <v>0</v>
      </c>
      <c r="I206">
        <v>0.21</v>
      </c>
      <c r="J206">
        <v>0.04</v>
      </c>
      <c r="K206">
        <v>0.1</v>
      </c>
      <c r="L206" t="s">
        <v>6</v>
      </c>
      <c r="M206" t="s">
        <v>23</v>
      </c>
    </row>
    <row r="207" spans="1:13" x14ac:dyDescent="0.45">
      <c r="A207" t="s">
        <v>7</v>
      </c>
      <c r="B207" t="s">
        <v>143</v>
      </c>
      <c r="C207">
        <v>2020</v>
      </c>
      <c r="D207">
        <v>102</v>
      </c>
      <c r="E207">
        <v>0.02</v>
      </c>
      <c r="F207">
        <v>0.02</v>
      </c>
      <c r="G207">
        <v>0.01</v>
      </c>
      <c r="H207">
        <v>0.01</v>
      </c>
      <c r="I207">
        <v>0.03</v>
      </c>
      <c r="J207">
        <v>0.01</v>
      </c>
      <c r="K207">
        <v>0.02</v>
      </c>
      <c r="L207" t="s">
        <v>8</v>
      </c>
      <c r="M207" t="s">
        <v>23</v>
      </c>
    </row>
    <row r="208" spans="1:13" x14ac:dyDescent="0.45">
      <c r="A208" t="s">
        <v>7</v>
      </c>
      <c r="B208" t="s">
        <v>143</v>
      </c>
      <c r="C208">
        <v>2025</v>
      </c>
      <c r="D208">
        <v>96</v>
      </c>
      <c r="E208">
        <v>0.02</v>
      </c>
      <c r="F208">
        <v>0.02</v>
      </c>
      <c r="G208">
        <v>0.01</v>
      </c>
      <c r="H208">
        <v>0.01</v>
      </c>
      <c r="I208">
        <v>0.04</v>
      </c>
      <c r="J208">
        <v>0.02</v>
      </c>
      <c r="K208">
        <v>0.02</v>
      </c>
      <c r="L208" t="s">
        <v>8</v>
      </c>
      <c r="M208" t="s">
        <v>23</v>
      </c>
    </row>
    <row r="209" spans="1:13" x14ac:dyDescent="0.45">
      <c r="A209" t="s">
        <v>7</v>
      </c>
      <c r="B209" t="s">
        <v>143</v>
      </c>
      <c r="C209">
        <v>2030</v>
      </c>
      <c r="D209">
        <v>102</v>
      </c>
      <c r="E209">
        <v>0.02</v>
      </c>
      <c r="F209">
        <v>0.02</v>
      </c>
      <c r="G209">
        <v>0.01</v>
      </c>
      <c r="H209">
        <v>0.01</v>
      </c>
      <c r="I209">
        <v>0.05</v>
      </c>
      <c r="J209">
        <v>0.02</v>
      </c>
      <c r="K209">
        <v>0.03</v>
      </c>
      <c r="L209" t="s">
        <v>8</v>
      </c>
      <c r="M209" t="s">
        <v>23</v>
      </c>
    </row>
    <row r="210" spans="1:13" x14ac:dyDescent="0.45">
      <c r="A210" t="s">
        <v>7</v>
      </c>
      <c r="B210" t="s">
        <v>143</v>
      </c>
      <c r="C210">
        <v>2035</v>
      </c>
      <c r="D210">
        <v>96</v>
      </c>
      <c r="E210">
        <v>0.03</v>
      </c>
      <c r="F210">
        <v>0.03</v>
      </c>
      <c r="G210">
        <v>0.01</v>
      </c>
      <c r="H210">
        <v>0.01</v>
      </c>
      <c r="I210">
        <v>0.06</v>
      </c>
      <c r="J210">
        <v>0.02</v>
      </c>
      <c r="K210">
        <v>0.04</v>
      </c>
      <c r="L210" t="s">
        <v>8</v>
      </c>
      <c r="M210" t="s">
        <v>23</v>
      </c>
    </row>
    <row r="211" spans="1:13" x14ac:dyDescent="0.45">
      <c r="A211" t="s">
        <v>7</v>
      </c>
      <c r="B211" t="s">
        <v>143</v>
      </c>
      <c r="C211">
        <v>2040</v>
      </c>
      <c r="D211">
        <v>102</v>
      </c>
      <c r="E211">
        <v>0.04</v>
      </c>
      <c r="F211">
        <v>0.04</v>
      </c>
      <c r="G211">
        <v>0.02</v>
      </c>
      <c r="H211">
        <v>0.01</v>
      </c>
      <c r="I211">
        <v>0.08</v>
      </c>
      <c r="J211">
        <v>0.02</v>
      </c>
      <c r="K211">
        <v>0.05</v>
      </c>
      <c r="L211" t="s">
        <v>8</v>
      </c>
      <c r="M211" t="s">
        <v>23</v>
      </c>
    </row>
    <row r="212" spans="1:13" x14ac:dyDescent="0.45">
      <c r="A212" t="s">
        <v>7</v>
      </c>
      <c r="B212" t="s">
        <v>143</v>
      </c>
      <c r="C212">
        <v>2045</v>
      </c>
      <c r="D212">
        <v>96</v>
      </c>
      <c r="E212">
        <v>0.05</v>
      </c>
      <c r="F212">
        <v>0.04</v>
      </c>
      <c r="G212">
        <v>0.03</v>
      </c>
      <c r="H212">
        <v>0.01</v>
      </c>
      <c r="I212">
        <v>0.12</v>
      </c>
      <c r="J212">
        <v>0.03</v>
      </c>
      <c r="K212">
        <v>0.08</v>
      </c>
      <c r="L212" t="s">
        <v>8</v>
      </c>
      <c r="M212" t="s">
        <v>23</v>
      </c>
    </row>
    <row r="213" spans="1:13" x14ac:dyDescent="0.45">
      <c r="A213" t="s">
        <v>7</v>
      </c>
      <c r="B213" t="s">
        <v>143</v>
      </c>
      <c r="C213">
        <v>2050</v>
      </c>
      <c r="D213">
        <v>102</v>
      </c>
      <c r="E213">
        <v>0.06</v>
      </c>
      <c r="F213">
        <v>0.05</v>
      </c>
      <c r="G213">
        <v>0.05</v>
      </c>
      <c r="H213">
        <v>0.01</v>
      </c>
      <c r="I213">
        <v>0.17</v>
      </c>
      <c r="J213">
        <v>0.02</v>
      </c>
      <c r="K213">
        <v>0.1</v>
      </c>
      <c r="L213" t="s">
        <v>8</v>
      </c>
      <c r="M213" t="s">
        <v>23</v>
      </c>
    </row>
    <row r="214" spans="1:13" x14ac:dyDescent="0.45">
      <c r="A214" t="s">
        <v>9</v>
      </c>
      <c r="B214" t="s">
        <v>143</v>
      </c>
      <c r="C214">
        <v>2020</v>
      </c>
      <c r="D214">
        <v>61</v>
      </c>
      <c r="E214">
        <v>0.02</v>
      </c>
      <c r="F214">
        <v>0.02</v>
      </c>
      <c r="G214">
        <v>0.01</v>
      </c>
      <c r="H214">
        <v>0.01</v>
      </c>
      <c r="I214">
        <v>0.03</v>
      </c>
      <c r="J214">
        <v>0.02</v>
      </c>
      <c r="K214">
        <v>0.02</v>
      </c>
      <c r="L214" t="s">
        <v>10</v>
      </c>
      <c r="M214" t="s">
        <v>23</v>
      </c>
    </row>
    <row r="215" spans="1:13" x14ac:dyDescent="0.45">
      <c r="A215" t="s">
        <v>9</v>
      </c>
      <c r="B215" t="s">
        <v>143</v>
      </c>
      <c r="C215">
        <v>2025</v>
      </c>
      <c r="D215">
        <v>56</v>
      </c>
      <c r="E215">
        <v>0.03</v>
      </c>
      <c r="F215">
        <v>0.03</v>
      </c>
      <c r="G215">
        <v>0.01</v>
      </c>
      <c r="H215">
        <v>0</v>
      </c>
      <c r="I215">
        <v>0.04</v>
      </c>
      <c r="J215">
        <v>0.02</v>
      </c>
      <c r="K215">
        <v>0.03</v>
      </c>
      <c r="L215" t="s">
        <v>10</v>
      </c>
      <c r="M215" t="s">
        <v>23</v>
      </c>
    </row>
    <row r="216" spans="1:13" x14ac:dyDescent="0.45">
      <c r="A216" t="s">
        <v>9</v>
      </c>
      <c r="B216" t="s">
        <v>143</v>
      </c>
      <c r="C216">
        <v>2030</v>
      </c>
      <c r="D216">
        <v>61</v>
      </c>
      <c r="E216">
        <v>0.03</v>
      </c>
      <c r="F216">
        <v>0.03</v>
      </c>
      <c r="G216">
        <v>0.01</v>
      </c>
      <c r="H216">
        <v>0</v>
      </c>
      <c r="I216">
        <v>0.05</v>
      </c>
      <c r="J216">
        <v>0.02</v>
      </c>
      <c r="K216">
        <v>0.04</v>
      </c>
      <c r="L216" t="s">
        <v>10</v>
      </c>
      <c r="M216" t="s">
        <v>23</v>
      </c>
    </row>
    <row r="217" spans="1:13" x14ac:dyDescent="0.45">
      <c r="A217" t="s">
        <v>9</v>
      </c>
      <c r="B217" t="s">
        <v>143</v>
      </c>
      <c r="C217">
        <v>2035</v>
      </c>
      <c r="D217">
        <v>56</v>
      </c>
      <c r="E217">
        <v>0.04</v>
      </c>
      <c r="F217">
        <v>0.04</v>
      </c>
      <c r="G217">
        <v>0.01</v>
      </c>
      <c r="H217">
        <v>0</v>
      </c>
      <c r="I217">
        <v>0.06</v>
      </c>
      <c r="J217">
        <v>0.02</v>
      </c>
      <c r="K217">
        <v>0.04</v>
      </c>
      <c r="L217" t="s">
        <v>10</v>
      </c>
      <c r="M217" t="s">
        <v>23</v>
      </c>
    </row>
    <row r="218" spans="1:13" x14ac:dyDescent="0.45">
      <c r="A218" t="s">
        <v>9</v>
      </c>
      <c r="B218" t="s">
        <v>143</v>
      </c>
      <c r="C218">
        <v>2040</v>
      </c>
      <c r="D218">
        <v>61</v>
      </c>
      <c r="E218">
        <v>0.04</v>
      </c>
      <c r="F218">
        <v>0.04</v>
      </c>
      <c r="G218">
        <v>0.02</v>
      </c>
      <c r="H218">
        <v>0</v>
      </c>
      <c r="I218">
        <v>7.0000000000000007E-2</v>
      </c>
      <c r="J218">
        <v>0.02</v>
      </c>
      <c r="K218">
        <v>0.05</v>
      </c>
      <c r="L218" t="s">
        <v>10</v>
      </c>
      <c r="M218" t="s">
        <v>23</v>
      </c>
    </row>
    <row r="219" spans="1:13" x14ac:dyDescent="0.45">
      <c r="A219" t="s">
        <v>9</v>
      </c>
      <c r="B219" t="s">
        <v>143</v>
      </c>
      <c r="C219">
        <v>2045</v>
      </c>
      <c r="D219">
        <v>56</v>
      </c>
      <c r="E219">
        <v>0.05</v>
      </c>
      <c r="F219">
        <v>0.05</v>
      </c>
      <c r="G219">
        <v>0.02</v>
      </c>
      <c r="H219">
        <v>0</v>
      </c>
      <c r="I219">
        <v>0.11</v>
      </c>
      <c r="J219">
        <v>0.03</v>
      </c>
      <c r="K219">
        <v>0.06</v>
      </c>
      <c r="L219" t="s">
        <v>10</v>
      </c>
      <c r="M219" t="s">
        <v>23</v>
      </c>
    </row>
    <row r="220" spans="1:13" x14ac:dyDescent="0.45">
      <c r="A220" t="s">
        <v>9</v>
      </c>
      <c r="B220" t="s">
        <v>143</v>
      </c>
      <c r="C220">
        <v>2050</v>
      </c>
      <c r="D220">
        <v>61</v>
      </c>
      <c r="E220">
        <v>0.05</v>
      </c>
      <c r="F220">
        <v>0.05</v>
      </c>
      <c r="G220">
        <v>0.03</v>
      </c>
      <c r="H220">
        <v>0</v>
      </c>
      <c r="I220">
        <v>0.14000000000000001</v>
      </c>
      <c r="J220">
        <v>0.03</v>
      </c>
      <c r="K220">
        <v>7.0000000000000007E-2</v>
      </c>
      <c r="L220" t="s">
        <v>10</v>
      </c>
      <c r="M220" t="s">
        <v>23</v>
      </c>
    </row>
    <row r="221" spans="1:13" x14ac:dyDescent="0.45">
      <c r="A221" t="s">
        <v>0</v>
      </c>
      <c r="B221" t="s">
        <v>143</v>
      </c>
      <c r="C221">
        <v>2020</v>
      </c>
      <c r="D221">
        <v>45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143</v>
      </c>
      <c r="C222">
        <v>2025</v>
      </c>
      <c r="D222">
        <v>45</v>
      </c>
      <c r="E222">
        <v>2.23</v>
      </c>
      <c r="F222">
        <v>2.14</v>
      </c>
      <c r="G222">
        <v>1.03</v>
      </c>
      <c r="H222">
        <v>0</v>
      </c>
      <c r="I222">
        <v>6.07</v>
      </c>
      <c r="J222">
        <v>1.52</v>
      </c>
      <c r="K222">
        <v>2.5</v>
      </c>
      <c r="L222" t="s">
        <v>1</v>
      </c>
      <c r="M222" t="s">
        <v>70</v>
      </c>
    </row>
    <row r="223" spans="1:13" x14ac:dyDescent="0.45">
      <c r="A223" t="s">
        <v>0</v>
      </c>
      <c r="B223" t="s">
        <v>143</v>
      </c>
      <c r="C223">
        <v>2030</v>
      </c>
      <c r="D223">
        <v>45</v>
      </c>
      <c r="E223">
        <v>2.96</v>
      </c>
      <c r="F223">
        <v>2.77</v>
      </c>
      <c r="G223">
        <v>1.58</v>
      </c>
      <c r="H223">
        <v>0</v>
      </c>
      <c r="I223">
        <v>9.2200000000000006</v>
      </c>
      <c r="J223">
        <v>1.98</v>
      </c>
      <c r="K223">
        <v>3.32</v>
      </c>
      <c r="L223" t="s">
        <v>1</v>
      </c>
      <c r="M223" t="s">
        <v>70</v>
      </c>
    </row>
    <row r="224" spans="1:13" x14ac:dyDescent="0.45">
      <c r="A224" t="s">
        <v>0</v>
      </c>
      <c r="B224" t="s">
        <v>143</v>
      </c>
      <c r="C224">
        <v>2035</v>
      </c>
      <c r="D224">
        <v>45</v>
      </c>
      <c r="E224">
        <v>3.63</v>
      </c>
      <c r="F224">
        <v>2.73</v>
      </c>
      <c r="G224">
        <v>2.11</v>
      </c>
      <c r="H224">
        <v>0</v>
      </c>
      <c r="I224">
        <v>11.11</v>
      </c>
      <c r="J224">
        <v>2.2400000000000002</v>
      </c>
      <c r="K224">
        <v>4.99</v>
      </c>
      <c r="L224" t="s">
        <v>1</v>
      </c>
      <c r="M224" t="s">
        <v>70</v>
      </c>
    </row>
    <row r="225" spans="1:13" x14ac:dyDescent="0.45">
      <c r="A225" t="s">
        <v>0</v>
      </c>
      <c r="B225" t="s">
        <v>143</v>
      </c>
      <c r="C225">
        <v>2040</v>
      </c>
      <c r="D225">
        <v>45</v>
      </c>
      <c r="E225">
        <v>4.87</v>
      </c>
      <c r="F225">
        <v>3.81</v>
      </c>
      <c r="G225">
        <v>2.5299999999999998</v>
      </c>
      <c r="H225">
        <v>0</v>
      </c>
      <c r="I225">
        <v>13.06</v>
      </c>
      <c r="J225">
        <v>3.14</v>
      </c>
      <c r="K225">
        <v>6.54</v>
      </c>
      <c r="L225" t="s">
        <v>1</v>
      </c>
      <c r="M225" t="s">
        <v>70</v>
      </c>
    </row>
    <row r="226" spans="1:13" x14ac:dyDescent="0.45">
      <c r="A226" t="s">
        <v>0</v>
      </c>
      <c r="B226" t="s">
        <v>143</v>
      </c>
      <c r="C226">
        <v>2045</v>
      </c>
      <c r="D226">
        <v>45</v>
      </c>
      <c r="E226">
        <v>5.81</v>
      </c>
      <c r="F226">
        <v>4.6100000000000003</v>
      </c>
      <c r="G226">
        <v>2.97</v>
      </c>
      <c r="H226">
        <v>0</v>
      </c>
      <c r="I226">
        <v>15.77</v>
      </c>
      <c r="J226">
        <v>4.04</v>
      </c>
      <c r="K226">
        <v>7.53</v>
      </c>
      <c r="L226" t="s">
        <v>1</v>
      </c>
      <c r="M226" t="s">
        <v>70</v>
      </c>
    </row>
    <row r="227" spans="1:13" x14ac:dyDescent="0.45">
      <c r="A227" t="s">
        <v>0</v>
      </c>
      <c r="B227" t="s">
        <v>143</v>
      </c>
      <c r="C227">
        <v>2050</v>
      </c>
      <c r="D227">
        <v>45</v>
      </c>
      <c r="E227">
        <v>6.59</v>
      </c>
      <c r="F227">
        <v>5.65</v>
      </c>
      <c r="G227">
        <v>3.2</v>
      </c>
      <c r="H227">
        <v>0</v>
      </c>
      <c r="I227">
        <v>16.96</v>
      </c>
      <c r="J227">
        <v>4.62</v>
      </c>
      <c r="K227">
        <v>8.3800000000000008</v>
      </c>
      <c r="L227" t="s">
        <v>1</v>
      </c>
      <c r="M227" t="s">
        <v>70</v>
      </c>
    </row>
    <row r="228" spans="1:13" x14ac:dyDescent="0.45">
      <c r="A228" t="s">
        <v>2</v>
      </c>
      <c r="B228" t="s">
        <v>143</v>
      </c>
      <c r="C228">
        <v>2020</v>
      </c>
      <c r="D228">
        <v>44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143</v>
      </c>
      <c r="C229">
        <v>2025</v>
      </c>
      <c r="D229">
        <v>44</v>
      </c>
      <c r="E229">
        <v>1.35</v>
      </c>
      <c r="F229">
        <v>1.1499999999999999</v>
      </c>
      <c r="G229">
        <v>0.43</v>
      </c>
      <c r="H229">
        <v>0.94</v>
      </c>
      <c r="I229">
        <v>2.6</v>
      </c>
      <c r="J229">
        <v>1.07</v>
      </c>
      <c r="K229">
        <v>1.54</v>
      </c>
      <c r="L229" t="s">
        <v>3</v>
      </c>
      <c r="M229" t="s">
        <v>70</v>
      </c>
    </row>
    <row r="230" spans="1:13" x14ac:dyDescent="0.45">
      <c r="A230" t="s">
        <v>2</v>
      </c>
      <c r="B230" t="s">
        <v>143</v>
      </c>
      <c r="C230">
        <v>2030</v>
      </c>
      <c r="D230">
        <v>44</v>
      </c>
      <c r="E230">
        <v>1.54</v>
      </c>
      <c r="F230">
        <v>1.5</v>
      </c>
      <c r="G230">
        <v>0.4</v>
      </c>
      <c r="H230">
        <v>1.05</v>
      </c>
      <c r="I230">
        <v>2.5099999999999998</v>
      </c>
      <c r="J230">
        <v>1.1499999999999999</v>
      </c>
      <c r="K230">
        <v>1.71</v>
      </c>
      <c r="L230" t="s">
        <v>3</v>
      </c>
      <c r="M230" t="s">
        <v>70</v>
      </c>
    </row>
    <row r="231" spans="1:13" x14ac:dyDescent="0.45">
      <c r="A231" t="s">
        <v>2</v>
      </c>
      <c r="B231" t="s">
        <v>143</v>
      </c>
      <c r="C231">
        <v>2035</v>
      </c>
      <c r="D231">
        <v>44</v>
      </c>
      <c r="E231">
        <v>2.5499999999999998</v>
      </c>
      <c r="F231">
        <v>1.99</v>
      </c>
      <c r="G231">
        <v>1.89</v>
      </c>
      <c r="H231">
        <v>1.05</v>
      </c>
      <c r="I231">
        <v>10.54</v>
      </c>
      <c r="J231">
        <v>1.69</v>
      </c>
      <c r="K231">
        <v>2.4700000000000002</v>
      </c>
      <c r="L231" t="s">
        <v>3</v>
      </c>
      <c r="M231" t="s">
        <v>70</v>
      </c>
    </row>
    <row r="232" spans="1:13" x14ac:dyDescent="0.45">
      <c r="A232" t="s">
        <v>2</v>
      </c>
      <c r="B232" t="s">
        <v>143</v>
      </c>
      <c r="C232">
        <v>2040</v>
      </c>
      <c r="D232">
        <v>44</v>
      </c>
      <c r="E232">
        <v>3.78</v>
      </c>
      <c r="F232">
        <v>2.67</v>
      </c>
      <c r="G232">
        <v>3.93</v>
      </c>
      <c r="H232">
        <v>1.04</v>
      </c>
      <c r="I232">
        <v>21.51</v>
      </c>
      <c r="J232">
        <v>2</v>
      </c>
      <c r="K232">
        <v>3.43</v>
      </c>
      <c r="L232" t="s">
        <v>3</v>
      </c>
      <c r="M232" t="s">
        <v>70</v>
      </c>
    </row>
    <row r="233" spans="1:13" x14ac:dyDescent="0.45">
      <c r="A233" t="s">
        <v>2</v>
      </c>
      <c r="B233" t="s">
        <v>143</v>
      </c>
      <c r="C233">
        <v>2045</v>
      </c>
      <c r="D233">
        <v>44</v>
      </c>
      <c r="E233">
        <v>3.74</v>
      </c>
      <c r="F233">
        <v>3.22</v>
      </c>
      <c r="G233">
        <v>2.35</v>
      </c>
      <c r="H233">
        <v>1.1000000000000001</v>
      </c>
      <c r="I233">
        <v>12.52</v>
      </c>
      <c r="J233">
        <v>2.2599999999999998</v>
      </c>
      <c r="K233">
        <v>4</v>
      </c>
      <c r="L233" t="s">
        <v>3</v>
      </c>
      <c r="M233" t="s">
        <v>70</v>
      </c>
    </row>
    <row r="234" spans="1:13" x14ac:dyDescent="0.45">
      <c r="A234" t="s">
        <v>2</v>
      </c>
      <c r="B234" t="s">
        <v>143</v>
      </c>
      <c r="C234">
        <v>2050</v>
      </c>
      <c r="D234">
        <v>44</v>
      </c>
      <c r="E234">
        <v>3.71</v>
      </c>
      <c r="F234">
        <v>3.61</v>
      </c>
      <c r="G234">
        <v>1.66</v>
      </c>
      <c r="H234">
        <v>1.2</v>
      </c>
      <c r="I234">
        <v>11.67</v>
      </c>
      <c r="J234">
        <v>2.58</v>
      </c>
      <c r="K234">
        <v>4.2300000000000004</v>
      </c>
      <c r="L234" t="s">
        <v>3</v>
      </c>
      <c r="M234" t="s">
        <v>70</v>
      </c>
    </row>
    <row r="235" spans="1:13" x14ac:dyDescent="0.45">
      <c r="A235" t="s">
        <v>5</v>
      </c>
      <c r="B235" t="s">
        <v>143</v>
      </c>
      <c r="C235">
        <v>2020</v>
      </c>
      <c r="D235">
        <v>111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143</v>
      </c>
      <c r="C236">
        <v>2025</v>
      </c>
      <c r="D236">
        <v>111</v>
      </c>
      <c r="E236">
        <v>1.52</v>
      </c>
      <c r="F236">
        <v>1.42</v>
      </c>
      <c r="G236">
        <v>0.54</v>
      </c>
      <c r="H236">
        <v>0</v>
      </c>
      <c r="I236">
        <v>3.37</v>
      </c>
      <c r="J236">
        <v>1.1499999999999999</v>
      </c>
      <c r="K236">
        <v>1.67</v>
      </c>
      <c r="L236" t="s">
        <v>6</v>
      </c>
      <c r="M236" t="s">
        <v>70</v>
      </c>
    </row>
    <row r="237" spans="1:13" x14ac:dyDescent="0.45">
      <c r="A237" t="s">
        <v>5</v>
      </c>
      <c r="B237" t="s">
        <v>143</v>
      </c>
      <c r="C237">
        <v>2030</v>
      </c>
      <c r="D237">
        <v>111</v>
      </c>
      <c r="E237">
        <v>1.83</v>
      </c>
      <c r="F237">
        <v>1.79</v>
      </c>
      <c r="G237">
        <v>0.73</v>
      </c>
      <c r="H237">
        <v>0</v>
      </c>
      <c r="I237">
        <v>4.87</v>
      </c>
      <c r="J237">
        <v>1.32</v>
      </c>
      <c r="K237">
        <v>2.0499999999999998</v>
      </c>
      <c r="L237" t="s">
        <v>6</v>
      </c>
      <c r="M237" t="s">
        <v>70</v>
      </c>
    </row>
    <row r="238" spans="1:13" x14ac:dyDescent="0.45">
      <c r="A238" t="s">
        <v>5</v>
      </c>
      <c r="B238" t="s">
        <v>143</v>
      </c>
      <c r="C238">
        <v>2035</v>
      </c>
      <c r="D238">
        <v>111</v>
      </c>
      <c r="E238">
        <v>2.4500000000000002</v>
      </c>
      <c r="F238">
        <v>2.0299999999999998</v>
      </c>
      <c r="G238">
        <v>1.1100000000000001</v>
      </c>
      <c r="H238">
        <v>0</v>
      </c>
      <c r="I238">
        <v>7.68</v>
      </c>
      <c r="J238">
        <v>1.79</v>
      </c>
      <c r="K238">
        <v>2.94</v>
      </c>
      <c r="L238" t="s">
        <v>6</v>
      </c>
      <c r="M238" t="s">
        <v>70</v>
      </c>
    </row>
    <row r="239" spans="1:13" x14ac:dyDescent="0.45">
      <c r="A239" t="s">
        <v>5</v>
      </c>
      <c r="B239" t="s">
        <v>143</v>
      </c>
      <c r="C239">
        <v>2040</v>
      </c>
      <c r="D239">
        <v>111</v>
      </c>
      <c r="E239">
        <v>3.16</v>
      </c>
      <c r="F239">
        <v>2.67</v>
      </c>
      <c r="G239">
        <v>1.55</v>
      </c>
      <c r="H239">
        <v>0</v>
      </c>
      <c r="I239">
        <v>10.29</v>
      </c>
      <c r="J239">
        <v>2.25</v>
      </c>
      <c r="K239">
        <v>3.88</v>
      </c>
      <c r="L239" t="s">
        <v>6</v>
      </c>
      <c r="M239" t="s">
        <v>70</v>
      </c>
    </row>
    <row r="240" spans="1:13" x14ac:dyDescent="0.45">
      <c r="A240" t="s">
        <v>5</v>
      </c>
      <c r="B240" t="s">
        <v>143</v>
      </c>
      <c r="C240">
        <v>2045</v>
      </c>
      <c r="D240">
        <v>111</v>
      </c>
      <c r="E240">
        <v>3.65</v>
      </c>
      <c r="F240">
        <v>3.08</v>
      </c>
      <c r="G240">
        <v>1.99</v>
      </c>
      <c r="H240">
        <v>0</v>
      </c>
      <c r="I240">
        <v>13.07</v>
      </c>
      <c r="J240">
        <v>2.34</v>
      </c>
      <c r="K240">
        <v>4.58</v>
      </c>
      <c r="L240" t="s">
        <v>6</v>
      </c>
      <c r="M240" t="s">
        <v>70</v>
      </c>
    </row>
    <row r="241" spans="1:13" x14ac:dyDescent="0.45">
      <c r="A241" t="s">
        <v>5</v>
      </c>
      <c r="B241" t="s">
        <v>143</v>
      </c>
      <c r="C241">
        <v>2050</v>
      </c>
      <c r="D241">
        <v>111</v>
      </c>
      <c r="E241">
        <v>4.08</v>
      </c>
      <c r="F241">
        <v>3.63</v>
      </c>
      <c r="G241">
        <v>2.11</v>
      </c>
      <c r="H241">
        <v>0</v>
      </c>
      <c r="I241">
        <v>11.07</v>
      </c>
      <c r="J241">
        <v>2.6</v>
      </c>
      <c r="K241">
        <v>5.3</v>
      </c>
      <c r="L241" t="s">
        <v>6</v>
      </c>
      <c r="M241" t="s">
        <v>70</v>
      </c>
    </row>
    <row r="242" spans="1:13" x14ac:dyDescent="0.45">
      <c r="A242" t="s">
        <v>7</v>
      </c>
      <c r="B242" t="s">
        <v>143</v>
      </c>
      <c r="C242">
        <v>2020</v>
      </c>
      <c r="D242">
        <v>30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143</v>
      </c>
      <c r="C243">
        <v>2025</v>
      </c>
      <c r="D243">
        <v>30</v>
      </c>
      <c r="E243">
        <v>1.26</v>
      </c>
      <c r="F243">
        <v>1.18</v>
      </c>
      <c r="G243">
        <v>0.26</v>
      </c>
      <c r="H243">
        <v>1.02</v>
      </c>
      <c r="I243">
        <v>1.9</v>
      </c>
      <c r="J243">
        <v>1.04</v>
      </c>
      <c r="K243">
        <v>1.33</v>
      </c>
      <c r="L243" t="s">
        <v>8</v>
      </c>
      <c r="M243" t="s">
        <v>70</v>
      </c>
    </row>
    <row r="244" spans="1:13" x14ac:dyDescent="0.45">
      <c r="A244" t="s">
        <v>7</v>
      </c>
      <c r="B244" t="s">
        <v>143</v>
      </c>
      <c r="C244">
        <v>2030</v>
      </c>
      <c r="D244">
        <v>30</v>
      </c>
      <c r="E244">
        <v>1.51</v>
      </c>
      <c r="F244">
        <v>1.49</v>
      </c>
      <c r="G244">
        <v>0.44</v>
      </c>
      <c r="H244">
        <v>1.01</v>
      </c>
      <c r="I244">
        <v>2.52</v>
      </c>
      <c r="J244">
        <v>1.08</v>
      </c>
      <c r="K244">
        <v>1.67</v>
      </c>
      <c r="L244" t="s">
        <v>8</v>
      </c>
      <c r="M244" t="s">
        <v>70</v>
      </c>
    </row>
    <row r="245" spans="1:13" x14ac:dyDescent="0.45">
      <c r="A245" t="s">
        <v>7</v>
      </c>
      <c r="B245" t="s">
        <v>143</v>
      </c>
      <c r="C245">
        <v>2035</v>
      </c>
      <c r="D245">
        <v>30</v>
      </c>
      <c r="E245">
        <v>2.0499999999999998</v>
      </c>
      <c r="F245">
        <v>2.13</v>
      </c>
      <c r="G245">
        <v>0.51</v>
      </c>
      <c r="H245">
        <v>0.84</v>
      </c>
      <c r="I245">
        <v>2.99</v>
      </c>
      <c r="J245">
        <v>1.53</v>
      </c>
      <c r="K245">
        <v>2.4</v>
      </c>
      <c r="L245" t="s">
        <v>8</v>
      </c>
      <c r="M245" t="s">
        <v>70</v>
      </c>
    </row>
    <row r="246" spans="1:13" x14ac:dyDescent="0.45">
      <c r="A246" t="s">
        <v>7</v>
      </c>
      <c r="B246" t="s">
        <v>143</v>
      </c>
      <c r="C246">
        <v>2040</v>
      </c>
      <c r="D246">
        <v>30</v>
      </c>
      <c r="E246">
        <v>2.59</v>
      </c>
      <c r="F246">
        <v>2.69</v>
      </c>
      <c r="G246">
        <v>0.65</v>
      </c>
      <c r="H246">
        <v>0.95</v>
      </c>
      <c r="I246">
        <v>3.73</v>
      </c>
      <c r="J246">
        <v>2</v>
      </c>
      <c r="K246">
        <v>3.02</v>
      </c>
      <c r="L246" t="s">
        <v>8</v>
      </c>
      <c r="M246" t="s">
        <v>70</v>
      </c>
    </row>
    <row r="247" spans="1:13" x14ac:dyDescent="0.45">
      <c r="A247" t="s">
        <v>7</v>
      </c>
      <c r="B247" t="s">
        <v>143</v>
      </c>
      <c r="C247">
        <v>2045</v>
      </c>
      <c r="D247">
        <v>30</v>
      </c>
      <c r="E247">
        <v>2.85</v>
      </c>
      <c r="F247">
        <v>2.92</v>
      </c>
      <c r="G247">
        <v>0.87</v>
      </c>
      <c r="H247">
        <v>0.93</v>
      </c>
      <c r="I247">
        <v>4.22</v>
      </c>
      <c r="J247">
        <v>2</v>
      </c>
      <c r="K247">
        <v>3.51</v>
      </c>
      <c r="L247" t="s">
        <v>8</v>
      </c>
      <c r="M247" t="s">
        <v>70</v>
      </c>
    </row>
    <row r="248" spans="1:13" x14ac:dyDescent="0.45">
      <c r="A248" t="s">
        <v>7</v>
      </c>
      <c r="B248" t="s">
        <v>143</v>
      </c>
      <c r="C248">
        <v>2050</v>
      </c>
      <c r="D248">
        <v>30</v>
      </c>
      <c r="E248">
        <v>3.04</v>
      </c>
      <c r="F248">
        <v>3.07</v>
      </c>
      <c r="G248">
        <v>0.98</v>
      </c>
      <c r="H248">
        <v>0.92</v>
      </c>
      <c r="I248">
        <v>4.6100000000000003</v>
      </c>
      <c r="J248">
        <v>2.08</v>
      </c>
      <c r="K248">
        <v>3.76</v>
      </c>
      <c r="L248" t="s">
        <v>8</v>
      </c>
      <c r="M248" t="s">
        <v>70</v>
      </c>
    </row>
    <row r="249" spans="1:13" x14ac:dyDescent="0.45">
      <c r="A249" t="s">
        <v>9</v>
      </c>
      <c r="B249" t="s">
        <v>143</v>
      </c>
      <c r="C249">
        <v>2020</v>
      </c>
      <c r="D249">
        <v>39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143</v>
      </c>
      <c r="C250">
        <v>2025</v>
      </c>
      <c r="D250">
        <v>39</v>
      </c>
      <c r="E250">
        <v>1.1299999999999999</v>
      </c>
      <c r="F250">
        <v>1.1100000000000001</v>
      </c>
      <c r="G250">
        <v>0.18</v>
      </c>
      <c r="H250">
        <v>0.94</v>
      </c>
      <c r="I250">
        <v>2.04</v>
      </c>
      <c r="J250">
        <v>1.04</v>
      </c>
      <c r="K250">
        <v>1.2</v>
      </c>
      <c r="L250" t="s">
        <v>10</v>
      </c>
      <c r="M250" t="s">
        <v>70</v>
      </c>
    </row>
    <row r="251" spans="1:13" x14ac:dyDescent="0.45">
      <c r="A251" t="s">
        <v>9</v>
      </c>
      <c r="B251" t="s">
        <v>143</v>
      </c>
      <c r="C251">
        <v>2030</v>
      </c>
      <c r="D251">
        <v>39</v>
      </c>
      <c r="E251">
        <v>1.26</v>
      </c>
      <c r="F251">
        <v>1.21</v>
      </c>
      <c r="G251">
        <v>0.18</v>
      </c>
      <c r="H251">
        <v>0.99</v>
      </c>
      <c r="I251">
        <v>1.55</v>
      </c>
      <c r="J251">
        <v>1.1000000000000001</v>
      </c>
      <c r="K251">
        <v>1.45</v>
      </c>
      <c r="L251" t="s">
        <v>10</v>
      </c>
      <c r="M251" t="s">
        <v>70</v>
      </c>
    </row>
    <row r="252" spans="1:13" x14ac:dyDescent="0.45">
      <c r="A252" t="s">
        <v>9</v>
      </c>
      <c r="B252" t="s">
        <v>143</v>
      </c>
      <c r="C252">
        <v>2035</v>
      </c>
      <c r="D252">
        <v>39</v>
      </c>
      <c r="E252">
        <v>1.2</v>
      </c>
      <c r="F252">
        <v>1.1599999999999999</v>
      </c>
      <c r="G252">
        <v>0.15</v>
      </c>
      <c r="H252">
        <v>0.99</v>
      </c>
      <c r="I252">
        <v>1.57</v>
      </c>
      <c r="J252">
        <v>1.08</v>
      </c>
      <c r="K252">
        <v>1.25</v>
      </c>
      <c r="L252" t="s">
        <v>10</v>
      </c>
      <c r="M252" t="s">
        <v>70</v>
      </c>
    </row>
    <row r="253" spans="1:13" x14ac:dyDescent="0.45">
      <c r="A253" t="s">
        <v>9</v>
      </c>
      <c r="B253" t="s">
        <v>143</v>
      </c>
      <c r="C253">
        <v>2040</v>
      </c>
      <c r="D253">
        <v>39</v>
      </c>
      <c r="E253">
        <v>1.38</v>
      </c>
      <c r="F253">
        <v>1.36</v>
      </c>
      <c r="G253">
        <v>0.2</v>
      </c>
      <c r="H253">
        <v>1.01</v>
      </c>
      <c r="I253">
        <v>1.69</v>
      </c>
      <c r="J253">
        <v>1.24</v>
      </c>
      <c r="K253">
        <v>1.55</v>
      </c>
      <c r="L253" t="s">
        <v>10</v>
      </c>
      <c r="M253" t="s">
        <v>70</v>
      </c>
    </row>
    <row r="254" spans="1:13" x14ac:dyDescent="0.45">
      <c r="A254" t="s">
        <v>9</v>
      </c>
      <c r="B254" t="s">
        <v>143</v>
      </c>
      <c r="C254">
        <v>2045</v>
      </c>
      <c r="D254">
        <v>39</v>
      </c>
      <c r="E254">
        <v>1.37</v>
      </c>
      <c r="F254">
        <v>1.4</v>
      </c>
      <c r="G254">
        <v>0.17</v>
      </c>
      <c r="H254">
        <v>1.02</v>
      </c>
      <c r="I254">
        <v>1.82</v>
      </c>
      <c r="J254">
        <v>1.3</v>
      </c>
      <c r="K254">
        <v>1.45</v>
      </c>
      <c r="L254" t="s">
        <v>10</v>
      </c>
      <c r="M254" t="s">
        <v>70</v>
      </c>
    </row>
    <row r="255" spans="1:13" x14ac:dyDescent="0.45">
      <c r="A255" t="s">
        <v>9</v>
      </c>
      <c r="B255" t="s">
        <v>143</v>
      </c>
      <c r="C255">
        <v>2050</v>
      </c>
      <c r="D255">
        <v>39</v>
      </c>
      <c r="E255">
        <v>1.42</v>
      </c>
      <c r="F255">
        <v>1.44</v>
      </c>
      <c r="G255">
        <v>0.18</v>
      </c>
      <c r="H255">
        <v>1.05</v>
      </c>
      <c r="I255">
        <v>1.82</v>
      </c>
      <c r="J255">
        <v>1.33</v>
      </c>
      <c r="K255">
        <v>1.51</v>
      </c>
      <c r="L255" t="s">
        <v>10</v>
      </c>
      <c r="M255" t="s">
        <v>70</v>
      </c>
    </row>
    <row r="256" spans="1:13" x14ac:dyDescent="0.45">
      <c r="A256" t="s">
        <v>0</v>
      </c>
      <c r="B256" t="s">
        <v>143</v>
      </c>
      <c r="C256">
        <v>2020</v>
      </c>
      <c r="D256">
        <v>50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143</v>
      </c>
      <c r="C257">
        <v>2025</v>
      </c>
      <c r="D257">
        <v>50</v>
      </c>
      <c r="E257">
        <v>2.36</v>
      </c>
      <c r="F257">
        <v>2.37</v>
      </c>
      <c r="G257">
        <v>1.03</v>
      </c>
      <c r="H257">
        <v>0</v>
      </c>
      <c r="I257">
        <v>6.42</v>
      </c>
      <c r="J257">
        <v>1.71</v>
      </c>
      <c r="K257">
        <v>2.98</v>
      </c>
      <c r="L257" t="s">
        <v>1</v>
      </c>
      <c r="M257" t="s">
        <v>71</v>
      </c>
    </row>
    <row r="258" spans="1:13" x14ac:dyDescent="0.45">
      <c r="A258" t="s">
        <v>0</v>
      </c>
      <c r="B258" t="s">
        <v>143</v>
      </c>
      <c r="C258">
        <v>2030</v>
      </c>
      <c r="D258">
        <v>50</v>
      </c>
      <c r="E258">
        <v>3.31</v>
      </c>
      <c r="F258">
        <v>3.29</v>
      </c>
      <c r="G258">
        <v>2.06</v>
      </c>
      <c r="H258">
        <v>0</v>
      </c>
      <c r="I258">
        <v>10.89</v>
      </c>
      <c r="J258">
        <v>2.06</v>
      </c>
      <c r="K258">
        <v>4.4000000000000004</v>
      </c>
      <c r="L258" t="s">
        <v>1</v>
      </c>
      <c r="M258" t="s">
        <v>71</v>
      </c>
    </row>
    <row r="259" spans="1:13" x14ac:dyDescent="0.45">
      <c r="A259" t="s">
        <v>0</v>
      </c>
      <c r="B259" t="s">
        <v>143</v>
      </c>
      <c r="C259">
        <v>2035</v>
      </c>
      <c r="D259">
        <v>50</v>
      </c>
      <c r="E259">
        <v>3.68</v>
      </c>
      <c r="F259">
        <v>3.77</v>
      </c>
      <c r="G259">
        <v>2.23</v>
      </c>
      <c r="H259">
        <v>0</v>
      </c>
      <c r="I259">
        <v>11.3</v>
      </c>
      <c r="J259">
        <v>2.19</v>
      </c>
      <c r="K259">
        <v>4.7699999999999996</v>
      </c>
      <c r="L259" t="s">
        <v>1</v>
      </c>
      <c r="M259" t="s">
        <v>71</v>
      </c>
    </row>
    <row r="260" spans="1:13" x14ac:dyDescent="0.45">
      <c r="A260" t="s">
        <v>0</v>
      </c>
      <c r="B260" t="s">
        <v>143</v>
      </c>
      <c r="C260">
        <v>2040</v>
      </c>
      <c r="D260">
        <v>50</v>
      </c>
      <c r="E260">
        <v>4.74</v>
      </c>
      <c r="F260">
        <v>5.03</v>
      </c>
      <c r="G260">
        <v>2.58</v>
      </c>
      <c r="H260">
        <v>-0.45</v>
      </c>
      <c r="I260">
        <v>13.07</v>
      </c>
      <c r="J260">
        <v>3</v>
      </c>
      <c r="K260">
        <v>6.25</v>
      </c>
      <c r="L260" t="s">
        <v>1</v>
      </c>
      <c r="M260" t="s">
        <v>71</v>
      </c>
    </row>
    <row r="261" spans="1:13" x14ac:dyDescent="0.45">
      <c r="A261" t="s">
        <v>0</v>
      </c>
      <c r="B261" t="s">
        <v>143</v>
      </c>
      <c r="C261">
        <v>2045</v>
      </c>
      <c r="D261">
        <v>50</v>
      </c>
      <c r="E261">
        <v>5.42</v>
      </c>
      <c r="F261">
        <v>6.05</v>
      </c>
      <c r="G261">
        <v>3.2</v>
      </c>
      <c r="H261">
        <v>-0.1</v>
      </c>
      <c r="I261">
        <v>10.42</v>
      </c>
      <c r="J261">
        <v>3.34</v>
      </c>
      <c r="K261">
        <v>7.43</v>
      </c>
      <c r="L261" t="s">
        <v>1</v>
      </c>
      <c r="M261" t="s">
        <v>71</v>
      </c>
    </row>
    <row r="262" spans="1:13" x14ac:dyDescent="0.45">
      <c r="A262" t="s">
        <v>0</v>
      </c>
      <c r="B262" t="s">
        <v>143</v>
      </c>
      <c r="C262">
        <v>2050</v>
      </c>
      <c r="D262">
        <v>50</v>
      </c>
      <c r="E262">
        <v>6.11</v>
      </c>
      <c r="F262">
        <v>6.72</v>
      </c>
      <c r="G262">
        <v>3.76</v>
      </c>
      <c r="H262">
        <v>-0.59</v>
      </c>
      <c r="I262">
        <v>13.46</v>
      </c>
      <c r="J262">
        <v>3.59</v>
      </c>
      <c r="K262">
        <v>9.06</v>
      </c>
      <c r="L262" t="s">
        <v>1</v>
      </c>
      <c r="M262" t="s">
        <v>71</v>
      </c>
    </row>
    <row r="263" spans="1:13" x14ac:dyDescent="0.45">
      <c r="A263" t="s">
        <v>2</v>
      </c>
      <c r="B263" t="s">
        <v>143</v>
      </c>
      <c r="C263">
        <v>2020</v>
      </c>
      <c r="D263">
        <v>63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143</v>
      </c>
      <c r="C264">
        <v>2025</v>
      </c>
      <c r="D264">
        <v>52</v>
      </c>
      <c r="E264">
        <v>1.76</v>
      </c>
      <c r="F264">
        <v>1.52</v>
      </c>
      <c r="G264">
        <v>0.67</v>
      </c>
      <c r="H264">
        <v>0.84</v>
      </c>
      <c r="I264">
        <v>3.31</v>
      </c>
      <c r="J264">
        <v>1.22</v>
      </c>
      <c r="K264">
        <v>2.33</v>
      </c>
      <c r="L264" t="s">
        <v>3</v>
      </c>
      <c r="M264" t="s">
        <v>71</v>
      </c>
    </row>
    <row r="265" spans="1:13" x14ac:dyDescent="0.45">
      <c r="A265" t="s">
        <v>2</v>
      </c>
      <c r="B265" t="s">
        <v>143</v>
      </c>
      <c r="C265">
        <v>2030</v>
      </c>
      <c r="D265">
        <v>63</v>
      </c>
      <c r="E265">
        <v>2.25</v>
      </c>
      <c r="F265">
        <v>1.56</v>
      </c>
      <c r="G265">
        <v>1.48</v>
      </c>
      <c r="H265">
        <v>0.77</v>
      </c>
      <c r="I265">
        <v>7.31</v>
      </c>
      <c r="J265">
        <v>1.22</v>
      </c>
      <c r="K265">
        <v>2.97</v>
      </c>
      <c r="L265" t="s">
        <v>3</v>
      </c>
      <c r="M265" t="s">
        <v>71</v>
      </c>
    </row>
    <row r="266" spans="1:13" x14ac:dyDescent="0.45">
      <c r="A266" t="s">
        <v>2</v>
      </c>
      <c r="B266" t="s">
        <v>143</v>
      </c>
      <c r="C266">
        <v>2035</v>
      </c>
      <c r="D266">
        <v>52</v>
      </c>
      <c r="E266">
        <v>3.34</v>
      </c>
      <c r="F266">
        <v>2.0699999999999998</v>
      </c>
      <c r="G266">
        <v>4.8600000000000003</v>
      </c>
      <c r="H266">
        <v>0.82</v>
      </c>
      <c r="I266">
        <v>27.06</v>
      </c>
      <c r="J266">
        <v>1.39</v>
      </c>
      <c r="K266">
        <v>3.72</v>
      </c>
      <c r="L266" t="s">
        <v>3</v>
      </c>
      <c r="M266" t="s">
        <v>71</v>
      </c>
    </row>
    <row r="267" spans="1:13" x14ac:dyDescent="0.45">
      <c r="A267" t="s">
        <v>2</v>
      </c>
      <c r="B267" t="s">
        <v>143</v>
      </c>
      <c r="C267">
        <v>2040</v>
      </c>
      <c r="D267">
        <v>63</v>
      </c>
      <c r="E267">
        <v>4.5</v>
      </c>
      <c r="F267">
        <v>2.76</v>
      </c>
      <c r="G267">
        <v>5.69</v>
      </c>
      <c r="H267">
        <v>0.17</v>
      </c>
      <c r="I267">
        <v>33.44</v>
      </c>
      <c r="J267">
        <v>1.65</v>
      </c>
      <c r="K267">
        <v>5.24</v>
      </c>
      <c r="L267" t="s">
        <v>3</v>
      </c>
      <c r="M267" t="s">
        <v>71</v>
      </c>
    </row>
    <row r="268" spans="1:13" x14ac:dyDescent="0.45">
      <c r="A268" t="s">
        <v>2</v>
      </c>
      <c r="B268" t="s">
        <v>143</v>
      </c>
      <c r="C268">
        <v>2045</v>
      </c>
      <c r="D268">
        <v>52</v>
      </c>
      <c r="E268">
        <v>3.81</v>
      </c>
      <c r="F268">
        <v>2.83</v>
      </c>
      <c r="G268">
        <v>3.36</v>
      </c>
      <c r="H268">
        <v>0.15</v>
      </c>
      <c r="I268">
        <v>17.12</v>
      </c>
      <c r="J268">
        <v>1.62</v>
      </c>
      <c r="K268">
        <v>5.29</v>
      </c>
      <c r="L268" t="s">
        <v>3</v>
      </c>
      <c r="M268" t="s">
        <v>71</v>
      </c>
    </row>
    <row r="269" spans="1:13" x14ac:dyDescent="0.45">
      <c r="A269" t="s">
        <v>2</v>
      </c>
      <c r="B269" t="s">
        <v>143</v>
      </c>
      <c r="C269">
        <v>2050</v>
      </c>
      <c r="D269">
        <v>63</v>
      </c>
      <c r="E269">
        <v>3.87</v>
      </c>
      <c r="F269">
        <v>1.9</v>
      </c>
      <c r="G269">
        <v>3.5</v>
      </c>
      <c r="H269">
        <v>-0.6</v>
      </c>
      <c r="I269">
        <v>13.46</v>
      </c>
      <c r="J269">
        <v>1.36</v>
      </c>
      <c r="K269">
        <v>6.5</v>
      </c>
      <c r="L269" t="s">
        <v>3</v>
      </c>
      <c r="M269" t="s">
        <v>71</v>
      </c>
    </row>
    <row r="270" spans="1:13" x14ac:dyDescent="0.45">
      <c r="A270" t="s">
        <v>5</v>
      </c>
      <c r="B270" t="s">
        <v>143</v>
      </c>
      <c r="C270">
        <v>2020</v>
      </c>
      <c r="D270">
        <v>163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143</v>
      </c>
      <c r="C271">
        <v>2025</v>
      </c>
      <c r="D271">
        <v>160</v>
      </c>
      <c r="E271">
        <v>1.75</v>
      </c>
      <c r="F271">
        <v>1.56</v>
      </c>
      <c r="G271">
        <v>0.61</v>
      </c>
      <c r="H271">
        <v>0</v>
      </c>
      <c r="I271">
        <v>3.37</v>
      </c>
      <c r="J271">
        <v>1.2</v>
      </c>
      <c r="K271">
        <v>2.33</v>
      </c>
      <c r="L271" t="s">
        <v>6</v>
      </c>
      <c r="M271" t="s">
        <v>71</v>
      </c>
    </row>
    <row r="272" spans="1:13" x14ac:dyDescent="0.45">
      <c r="A272" t="s">
        <v>5</v>
      </c>
      <c r="B272" t="s">
        <v>143</v>
      </c>
      <c r="C272">
        <v>2030</v>
      </c>
      <c r="D272">
        <v>163</v>
      </c>
      <c r="E272">
        <v>2.1</v>
      </c>
      <c r="F272">
        <v>1.72</v>
      </c>
      <c r="G272">
        <v>1.01</v>
      </c>
      <c r="H272">
        <v>0</v>
      </c>
      <c r="I272">
        <v>4.49</v>
      </c>
      <c r="J272">
        <v>1.25</v>
      </c>
      <c r="K272">
        <v>2.97</v>
      </c>
      <c r="L272" t="s">
        <v>6</v>
      </c>
      <c r="M272" t="s">
        <v>71</v>
      </c>
    </row>
    <row r="273" spans="1:13" x14ac:dyDescent="0.45">
      <c r="A273" t="s">
        <v>5</v>
      </c>
      <c r="B273" t="s">
        <v>143</v>
      </c>
      <c r="C273">
        <v>2035</v>
      </c>
      <c r="D273">
        <v>160</v>
      </c>
      <c r="E273">
        <v>2.36</v>
      </c>
      <c r="F273">
        <v>2.2000000000000002</v>
      </c>
      <c r="G273">
        <v>1.21</v>
      </c>
      <c r="H273">
        <v>0</v>
      </c>
      <c r="I273">
        <v>12.48</v>
      </c>
      <c r="J273">
        <v>1.62</v>
      </c>
      <c r="K273">
        <v>2.9</v>
      </c>
      <c r="L273" t="s">
        <v>6</v>
      </c>
      <c r="M273" t="s">
        <v>71</v>
      </c>
    </row>
    <row r="274" spans="1:13" x14ac:dyDescent="0.45">
      <c r="A274" t="s">
        <v>5</v>
      </c>
      <c r="B274" t="s">
        <v>143</v>
      </c>
      <c r="C274">
        <v>2040</v>
      </c>
      <c r="D274">
        <v>163</v>
      </c>
      <c r="E274">
        <v>2.88</v>
      </c>
      <c r="F274">
        <v>2.63</v>
      </c>
      <c r="G274">
        <v>1.57</v>
      </c>
      <c r="H274">
        <v>0</v>
      </c>
      <c r="I274">
        <v>15.35</v>
      </c>
      <c r="J274">
        <v>1.75</v>
      </c>
      <c r="K274">
        <v>3.83</v>
      </c>
      <c r="L274" t="s">
        <v>6</v>
      </c>
      <c r="M274" t="s">
        <v>71</v>
      </c>
    </row>
    <row r="275" spans="1:13" x14ac:dyDescent="0.45">
      <c r="A275" t="s">
        <v>5</v>
      </c>
      <c r="B275" t="s">
        <v>143</v>
      </c>
      <c r="C275">
        <v>2045</v>
      </c>
      <c r="D275">
        <v>160</v>
      </c>
      <c r="E275">
        <v>3.33</v>
      </c>
      <c r="F275">
        <v>3.12</v>
      </c>
      <c r="G275">
        <v>1.67</v>
      </c>
      <c r="H275">
        <v>0</v>
      </c>
      <c r="I275">
        <v>14.5</v>
      </c>
      <c r="J275">
        <v>2.2000000000000002</v>
      </c>
      <c r="K275">
        <v>4.47</v>
      </c>
      <c r="L275" t="s">
        <v>6</v>
      </c>
      <c r="M275" t="s">
        <v>71</v>
      </c>
    </row>
    <row r="276" spans="1:13" x14ac:dyDescent="0.45">
      <c r="A276" t="s">
        <v>5</v>
      </c>
      <c r="B276" t="s">
        <v>143</v>
      </c>
      <c r="C276">
        <v>2050</v>
      </c>
      <c r="D276">
        <v>163</v>
      </c>
      <c r="E276">
        <v>3.55</v>
      </c>
      <c r="F276">
        <v>3.13</v>
      </c>
      <c r="G276">
        <v>1.9</v>
      </c>
      <c r="H276">
        <v>-0.12</v>
      </c>
      <c r="I276">
        <v>10.67</v>
      </c>
      <c r="J276">
        <v>1.85</v>
      </c>
      <c r="K276">
        <v>5.29</v>
      </c>
      <c r="L276" t="s">
        <v>6</v>
      </c>
      <c r="M276" t="s">
        <v>71</v>
      </c>
    </row>
    <row r="277" spans="1:13" x14ac:dyDescent="0.45">
      <c r="A277" t="s">
        <v>7</v>
      </c>
      <c r="B277" t="s">
        <v>143</v>
      </c>
      <c r="C277">
        <v>2020</v>
      </c>
      <c r="D277">
        <v>51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143</v>
      </c>
      <c r="C278">
        <v>2025</v>
      </c>
      <c r="D278">
        <v>51</v>
      </c>
      <c r="E278">
        <v>1.31</v>
      </c>
      <c r="F278">
        <v>1.29</v>
      </c>
      <c r="G278">
        <v>0.17</v>
      </c>
      <c r="H278">
        <v>1.01</v>
      </c>
      <c r="I278">
        <v>1.56</v>
      </c>
      <c r="J278">
        <v>1.1100000000000001</v>
      </c>
      <c r="K278">
        <v>1.46</v>
      </c>
      <c r="L278" t="s">
        <v>8</v>
      </c>
      <c r="M278" t="s">
        <v>71</v>
      </c>
    </row>
    <row r="279" spans="1:13" x14ac:dyDescent="0.45">
      <c r="A279" t="s">
        <v>7</v>
      </c>
      <c r="B279" t="s">
        <v>143</v>
      </c>
      <c r="C279">
        <v>2030</v>
      </c>
      <c r="D279">
        <v>51</v>
      </c>
      <c r="E279">
        <v>1.35</v>
      </c>
      <c r="F279">
        <v>1.3</v>
      </c>
      <c r="G279">
        <v>0.18</v>
      </c>
      <c r="H279">
        <v>1</v>
      </c>
      <c r="I279">
        <v>1.64</v>
      </c>
      <c r="J279">
        <v>1.19</v>
      </c>
      <c r="K279">
        <v>1.54</v>
      </c>
      <c r="L279" t="s">
        <v>8</v>
      </c>
      <c r="M279" t="s">
        <v>71</v>
      </c>
    </row>
    <row r="280" spans="1:13" x14ac:dyDescent="0.45">
      <c r="A280" t="s">
        <v>7</v>
      </c>
      <c r="B280" t="s">
        <v>143</v>
      </c>
      <c r="C280">
        <v>2035</v>
      </c>
      <c r="D280">
        <v>51</v>
      </c>
      <c r="E280">
        <v>1.56</v>
      </c>
      <c r="F280">
        <v>1.57</v>
      </c>
      <c r="G280">
        <v>0.16</v>
      </c>
      <c r="H280">
        <v>1.01</v>
      </c>
      <c r="I280">
        <v>1.92</v>
      </c>
      <c r="J280">
        <v>1.44</v>
      </c>
      <c r="K280">
        <v>1.66</v>
      </c>
      <c r="L280" t="s">
        <v>8</v>
      </c>
      <c r="M280" t="s">
        <v>71</v>
      </c>
    </row>
    <row r="281" spans="1:13" x14ac:dyDescent="0.45">
      <c r="A281" t="s">
        <v>7</v>
      </c>
      <c r="B281" t="s">
        <v>143</v>
      </c>
      <c r="C281">
        <v>2040</v>
      </c>
      <c r="D281">
        <v>51</v>
      </c>
      <c r="E281">
        <v>1.7</v>
      </c>
      <c r="F281">
        <v>1.71</v>
      </c>
      <c r="G281">
        <v>0.28000000000000003</v>
      </c>
      <c r="H281">
        <v>0.99</v>
      </c>
      <c r="I281">
        <v>2.74</v>
      </c>
      <c r="J281">
        <v>1.51</v>
      </c>
      <c r="K281">
        <v>1.84</v>
      </c>
      <c r="L281" t="s">
        <v>8</v>
      </c>
      <c r="M281" t="s">
        <v>71</v>
      </c>
    </row>
    <row r="282" spans="1:13" x14ac:dyDescent="0.45">
      <c r="A282" t="s">
        <v>7</v>
      </c>
      <c r="B282" t="s">
        <v>143</v>
      </c>
      <c r="C282">
        <v>2045</v>
      </c>
      <c r="D282">
        <v>51</v>
      </c>
      <c r="E282">
        <v>1.99</v>
      </c>
      <c r="F282">
        <v>1.99</v>
      </c>
      <c r="G282">
        <v>0.33</v>
      </c>
      <c r="H282">
        <v>0.99</v>
      </c>
      <c r="I282">
        <v>3.11</v>
      </c>
      <c r="J282">
        <v>1.85</v>
      </c>
      <c r="K282">
        <v>2.16</v>
      </c>
      <c r="L282" t="s">
        <v>8</v>
      </c>
      <c r="M282" t="s">
        <v>71</v>
      </c>
    </row>
    <row r="283" spans="1:13" x14ac:dyDescent="0.45">
      <c r="A283" t="s">
        <v>7</v>
      </c>
      <c r="B283" t="s">
        <v>143</v>
      </c>
      <c r="C283">
        <v>2050</v>
      </c>
      <c r="D283">
        <v>51</v>
      </c>
      <c r="E283">
        <v>2.12</v>
      </c>
      <c r="F283">
        <v>2.13</v>
      </c>
      <c r="G283">
        <v>0.37</v>
      </c>
      <c r="H283">
        <v>0.92</v>
      </c>
      <c r="I283">
        <v>3.42</v>
      </c>
      <c r="J283">
        <v>1.94</v>
      </c>
      <c r="K283">
        <v>2.2799999999999998</v>
      </c>
      <c r="L283" t="s">
        <v>8</v>
      </c>
      <c r="M283" t="s">
        <v>71</v>
      </c>
    </row>
    <row r="284" spans="1:13" x14ac:dyDescent="0.45">
      <c r="A284" t="s">
        <v>9</v>
      </c>
      <c r="B284" t="s">
        <v>143</v>
      </c>
      <c r="C284">
        <v>2020</v>
      </c>
      <c r="D284">
        <v>40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143</v>
      </c>
      <c r="C285">
        <v>2025</v>
      </c>
      <c r="D285">
        <v>40</v>
      </c>
      <c r="E285">
        <v>1.55</v>
      </c>
      <c r="F285">
        <v>1.43</v>
      </c>
      <c r="G285">
        <v>0.54</v>
      </c>
      <c r="H285">
        <v>0.78</v>
      </c>
      <c r="I285">
        <v>2.58</v>
      </c>
      <c r="J285">
        <v>1.08</v>
      </c>
      <c r="K285">
        <v>2.1800000000000002</v>
      </c>
      <c r="L285" t="s">
        <v>10</v>
      </c>
      <c r="M285" t="s">
        <v>71</v>
      </c>
    </row>
    <row r="286" spans="1:13" x14ac:dyDescent="0.45">
      <c r="A286" t="s">
        <v>9</v>
      </c>
      <c r="B286" t="s">
        <v>143</v>
      </c>
      <c r="C286">
        <v>2030</v>
      </c>
      <c r="D286">
        <v>40</v>
      </c>
      <c r="E286">
        <v>1.78</v>
      </c>
      <c r="F286">
        <v>1.58</v>
      </c>
      <c r="G286">
        <v>0.8</v>
      </c>
      <c r="H286">
        <v>0.71</v>
      </c>
      <c r="I286">
        <v>3.51</v>
      </c>
      <c r="J286">
        <v>1.1399999999999999</v>
      </c>
      <c r="K286">
        <v>2.74</v>
      </c>
      <c r="L286" t="s">
        <v>10</v>
      </c>
      <c r="M286" t="s">
        <v>71</v>
      </c>
    </row>
    <row r="287" spans="1:13" x14ac:dyDescent="0.45">
      <c r="A287" t="s">
        <v>9</v>
      </c>
      <c r="B287" t="s">
        <v>143</v>
      </c>
      <c r="C287">
        <v>2035</v>
      </c>
      <c r="D287">
        <v>40</v>
      </c>
      <c r="E287">
        <v>1.59</v>
      </c>
      <c r="F287">
        <v>1.53</v>
      </c>
      <c r="G287">
        <v>0.49</v>
      </c>
      <c r="H287">
        <v>0.96</v>
      </c>
      <c r="I287">
        <v>2.5299999999999998</v>
      </c>
      <c r="J287">
        <v>1.2</v>
      </c>
      <c r="K287">
        <v>2.08</v>
      </c>
      <c r="L287" t="s">
        <v>10</v>
      </c>
      <c r="M287" t="s">
        <v>71</v>
      </c>
    </row>
    <row r="288" spans="1:13" x14ac:dyDescent="0.45">
      <c r="A288" t="s">
        <v>9</v>
      </c>
      <c r="B288" t="s">
        <v>143</v>
      </c>
      <c r="C288">
        <v>2040</v>
      </c>
      <c r="D288">
        <v>40</v>
      </c>
      <c r="E288">
        <v>1.86</v>
      </c>
      <c r="F288">
        <v>1.74</v>
      </c>
      <c r="G288">
        <v>0.78</v>
      </c>
      <c r="H288">
        <v>0.79</v>
      </c>
      <c r="I288">
        <v>3.55</v>
      </c>
      <c r="J288">
        <v>1.27</v>
      </c>
      <c r="K288">
        <v>2.71</v>
      </c>
      <c r="L288" t="s">
        <v>10</v>
      </c>
      <c r="M288" t="s">
        <v>71</v>
      </c>
    </row>
    <row r="289" spans="1:13" x14ac:dyDescent="0.45">
      <c r="A289" t="s">
        <v>9</v>
      </c>
      <c r="B289" t="s">
        <v>143</v>
      </c>
      <c r="C289">
        <v>2045</v>
      </c>
      <c r="D289">
        <v>40</v>
      </c>
      <c r="E289">
        <v>1.99</v>
      </c>
      <c r="F289">
        <v>1.94</v>
      </c>
      <c r="G289">
        <v>0.86</v>
      </c>
      <c r="H289">
        <v>0.97</v>
      </c>
      <c r="I289">
        <v>3.71</v>
      </c>
      <c r="J289">
        <v>1.3</v>
      </c>
      <c r="K289">
        <v>3</v>
      </c>
      <c r="L289" t="s">
        <v>10</v>
      </c>
      <c r="M289" t="s">
        <v>71</v>
      </c>
    </row>
    <row r="290" spans="1:13" x14ac:dyDescent="0.45">
      <c r="A290" t="s">
        <v>9</v>
      </c>
      <c r="B290" t="s">
        <v>143</v>
      </c>
      <c r="C290">
        <v>2050</v>
      </c>
      <c r="D290">
        <v>40</v>
      </c>
      <c r="E290">
        <v>2.2599999999999998</v>
      </c>
      <c r="F290">
        <v>2.2000000000000002</v>
      </c>
      <c r="G290">
        <v>1.08</v>
      </c>
      <c r="H290">
        <v>0.98</v>
      </c>
      <c r="I290">
        <v>4.5599999999999996</v>
      </c>
      <c r="J290">
        <v>1.32</v>
      </c>
      <c r="K290">
        <v>3.41</v>
      </c>
      <c r="L290" t="s">
        <v>10</v>
      </c>
      <c r="M290" t="s">
        <v>71</v>
      </c>
    </row>
    <row r="291" spans="1:13" x14ac:dyDescent="0.45">
      <c r="A291" t="s">
        <v>0</v>
      </c>
      <c r="B291" t="s">
        <v>143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143</v>
      </c>
      <c r="C292">
        <v>2025</v>
      </c>
      <c r="D292">
        <v>20</v>
      </c>
      <c r="E292">
        <v>7</v>
      </c>
      <c r="F292">
        <v>5.18</v>
      </c>
      <c r="G292">
        <v>4.6399999999999997</v>
      </c>
      <c r="H292">
        <v>0</v>
      </c>
      <c r="I292">
        <v>21.59</v>
      </c>
      <c r="J292">
        <v>4.9400000000000004</v>
      </c>
      <c r="K292">
        <v>8.6199999999999992</v>
      </c>
      <c r="L292" t="s">
        <v>1</v>
      </c>
      <c r="M292" t="s">
        <v>72</v>
      </c>
    </row>
    <row r="293" spans="1:13" x14ac:dyDescent="0.45">
      <c r="A293" t="s">
        <v>0</v>
      </c>
      <c r="B293" t="s">
        <v>143</v>
      </c>
      <c r="C293">
        <v>2030</v>
      </c>
      <c r="D293">
        <v>20</v>
      </c>
      <c r="E293">
        <v>10.56</v>
      </c>
      <c r="F293">
        <v>7.86</v>
      </c>
      <c r="G293">
        <v>7.93</v>
      </c>
      <c r="H293">
        <v>0</v>
      </c>
      <c r="I293">
        <v>34.33</v>
      </c>
      <c r="J293">
        <v>6.34</v>
      </c>
      <c r="K293">
        <v>13.59</v>
      </c>
      <c r="L293" t="s">
        <v>1</v>
      </c>
      <c r="M293" t="s">
        <v>72</v>
      </c>
    </row>
    <row r="294" spans="1:13" x14ac:dyDescent="0.45">
      <c r="A294" t="s">
        <v>0</v>
      </c>
      <c r="B294" t="s">
        <v>143</v>
      </c>
      <c r="C294">
        <v>2035</v>
      </c>
      <c r="D294">
        <v>20</v>
      </c>
      <c r="E294">
        <v>13.65</v>
      </c>
      <c r="F294">
        <v>14.58</v>
      </c>
      <c r="G294">
        <v>9.81</v>
      </c>
      <c r="H294">
        <v>0</v>
      </c>
      <c r="I294">
        <v>41.96</v>
      </c>
      <c r="J294">
        <v>6.9</v>
      </c>
      <c r="K294">
        <v>15.21</v>
      </c>
      <c r="L294" t="s">
        <v>1</v>
      </c>
      <c r="M294" t="s">
        <v>72</v>
      </c>
    </row>
    <row r="295" spans="1:13" x14ac:dyDescent="0.45">
      <c r="A295" t="s">
        <v>0</v>
      </c>
      <c r="B295" t="s">
        <v>143</v>
      </c>
      <c r="C295">
        <v>2040</v>
      </c>
      <c r="D295">
        <v>20</v>
      </c>
      <c r="E295">
        <v>17.12</v>
      </c>
      <c r="F295">
        <v>20.22</v>
      </c>
      <c r="G295">
        <v>12.45</v>
      </c>
      <c r="H295">
        <v>0</v>
      </c>
      <c r="I295">
        <v>49.9</v>
      </c>
      <c r="J295">
        <v>6.08</v>
      </c>
      <c r="K295">
        <v>20.46</v>
      </c>
      <c r="L295" t="s">
        <v>1</v>
      </c>
      <c r="M295" t="s">
        <v>72</v>
      </c>
    </row>
    <row r="296" spans="1:13" x14ac:dyDescent="0.45">
      <c r="A296" t="s">
        <v>0</v>
      </c>
      <c r="B296" t="s">
        <v>143</v>
      </c>
      <c r="C296">
        <v>2045</v>
      </c>
      <c r="D296">
        <v>20</v>
      </c>
      <c r="E296">
        <v>20.11</v>
      </c>
      <c r="F296">
        <v>25.33</v>
      </c>
      <c r="G296">
        <v>15.69</v>
      </c>
      <c r="H296">
        <v>0</v>
      </c>
      <c r="I296">
        <v>60.92</v>
      </c>
      <c r="J296">
        <v>5.27</v>
      </c>
      <c r="K296">
        <v>25.4</v>
      </c>
      <c r="L296" t="s">
        <v>1</v>
      </c>
      <c r="M296" t="s">
        <v>72</v>
      </c>
    </row>
    <row r="297" spans="1:13" x14ac:dyDescent="0.45">
      <c r="A297" t="s">
        <v>0</v>
      </c>
      <c r="B297" t="s">
        <v>143</v>
      </c>
      <c r="C297">
        <v>2050</v>
      </c>
      <c r="D297">
        <v>20</v>
      </c>
      <c r="E297">
        <v>22.31</v>
      </c>
      <c r="F297">
        <v>27.99</v>
      </c>
      <c r="G297">
        <v>17.39</v>
      </c>
      <c r="H297">
        <v>0</v>
      </c>
      <c r="I297">
        <v>65.709999999999994</v>
      </c>
      <c r="J297">
        <v>5.44</v>
      </c>
      <c r="K297">
        <v>29.49</v>
      </c>
      <c r="L297" t="s">
        <v>1</v>
      </c>
      <c r="M297" t="s">
        <v>72</v>
      </c>
    </row>
    <row r="298" spans="1:13" x14ac:dyDescent="0.45">
      <c r="A298" t="s">
        <v>2</v>
      </c>
      <c r="B298" t="s">
        <v>143</v>
      </c>
      <c r="C298">
        <v>2020</v>
      </c>
      <c r="D298">
        <v>17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143</v>
      </c>
      <c r="C299">
        <v>2025</v>
      </c>
      <c r="D299">
        <v>17</v>
      </c>
      <c r="E299">
        <v>2.06</v>
      </c>
      <c r="F299">
        <v>1.0900000000000001</v>
      </c>
      <c r="G299">
        <v>1.57</v>
      </c>
      <c r="H299">
        <v>0.79</v>
      </c>
      <c r="I299">
        <v>5.69</v>
      </c>
      <c r="J299">
        <v>0.81</v>
      </c>
      <c r="K299">
        <v>2.6</v>
      </c>
      <c r="L299" t="s">
        <v>3</v>
      </c>
      <c r="M299" t="s">
        <v>72</v>
      </c>
    </row>
    <row r="300" spans="1:13" x14ac:dyDescent="0.45">
      <c r="A300" t="s">
        <v>2</v>
      </c>
      <c r="B300" t="s">
        <v>143</v>
      </c>
      <c r="C300">
        <v>2030</v>
      </c>
      <c r="D300">
        <v>17</v>
      </c>
      <c r="E300">
        <v>2.4900000000000002</v>
      </c>
      <c r="F300">
        <v>1.59</v>
      </c>
      <c r="G300">
        <v>1.3</v>
      </c>
      <c r="H300">
        <v>1.27</v>
      </c>
      <c r="I300">
        <v>4.63</v>
      </c>
      <c r="J300">
        <v>1.28</v>
      </c>
      <c r="K300">
        <v>3.2</v>
      </c>
      <c r="L300" t="s">
        <v>3</v>
      </c>
      <c r="M300" t="s">
        <v>72</v>
      </c>
    </row>
    <row r="301" spans="1:13" x14ac:dyDescent="0.45">
      <c r="A301" t="s">
        <v>2</v>
      </c>
      <c r="B301" t="s">
        <v>143</v>
      </c>
      <c r="C301">
        <v>2035</v>
      </c>
      <c r="D301">
        <v>17</v>
      </c>
      <c r="E301">
        <v>4.99</v>
      </c>
      <c r="F301">
        <v>4</v>
      </c>
      <c r="G301">
        <v>2.37</v>
      </c>
      <c r="H301">
        <v>3.31</v>
      </c>
      <c r="I301">
        <v>11.1</v>
      </c>
      <c r="J301">
        <v>3.48</v>
      </c>
      <c r="K301">
        <v>5.42</v>
      </c>
      <c r="L301" t="s">
        <v>3</v>
      </c>
      <c r="M301" t="s">
        <v>72</v>
      </c>
    </row>
    <row r="302" spans="1:13" x14ac:dyDescent="0.45">
      <c r="A302" t="s">
        <v>2</v>
      </c>
      <c r="B302" t="s">
        <v>143</v>
      </c>
      <c r="C302">
        <v>2040</v>
      </c>
      <c r="D302">
        <v>17</v>
      </c>
      <c r="E302">
        <v>8.17</v>
      </c>
      <c r="F302">
        <v>5.17</v>
      </c>
      <c r="G302">
        <v>6.6</v>
      </c>
      <c r="H302">
        <v>4.1399999999999997</v>
      </c>
      <c r="I302">
        <v>28.78</v>
      </c>
      <c r="J302">
        <v>4.92</v>
      </c>
      <c r="K302">
        <v>6.27</v>
      </c>
      <c r="L302" t="s">
        <v>3</v>
      </c>
      <c r="M302" t="s">
        <v>72</v>
      </c>
    </row>
    <row r="303" spans="1:13" x14ac:dyDescent="0.45">
      <c r="A303" t="s">
        <v>2</v>
      </c>
      <c r="B303" t="s">
        <v>143</v>
      </c>
      <c r="C303">
        <v>2045</v>
      </c>
      <c r="D303">
        <v>17</v>
      </c>
      <c r="E303">
        <v>7.36</v>
      </c>
      <c r="F303">
        <v>5.28</v>
      </c>
      <c r="G303">
        <v>5.26</v>
      </c>
      <c r="H303">
        <v>3.93</v>
      </c>
      <c r="I303">
        <v>24.7</v>
      </c>
      <c r="J303">
        <v>4.88</v>
      </c>
      <c r="K303">
        <v>5.79</v>
      </c>
      <c r="L303" t="s">
        <v>3</v>
      </c>
      <c r="M303" t="s">
        <v>72</v>
      </c>
    </row>
    <row r="304" spans="1:13" x14ac:dyDescent="0.45">
      <c r="A304" t="s">
        <v>2</v>
      </c>
      <c r="B304" t="s">
        <v>143</v>
      </c>
      <c r="C304">
        <v>2050</v>
      </c>
      <c r="D304">
        <v>17</v>
      </c>
      <c r="E304">
        <v>5.43</v>
      </c>
      <c r="F304">
        <v>5.13</v>
      </c>
      <c r="G304">
        <v>1.0900000000000001</v>
      </c>
      <c r="H304">
        <v>4.33</v>
      </c>
      <c r="I304">
        <v>8.52</v>
      </c>
      <c r="J304">
        <v>4.68</v>
      </c>
      <c r="K304">
        <v>5.92</v>
      </c>
      <c r="L304" t="s">
        <v>3</v>
      </c>
      <c r="M304" t="s">
        <v>72</v>
      </c>
    </row>
    <row r="305" spans="1:13" x14ac:dyDescent="0.45">
      <c r="A305" t="s">
        <v>5</v>
      </c>
      <c r="B305" t="s">
        <v>143</v>
      </c>
      <c r="C305">
        <v>2020</v>
      </c>
      <c r="D305">
        <v>69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143</v>
      </c>
      <c r="C306">
        <v>2025</v>
      </c>
      <c r="D306">
        <v>69</v>
      </c>
      <c r="E306">
        <v>2.54</v>
      </c>
      <c r="F306">
        <v>1.54</v>
      </c>
      <c r="G306">
        <v>2.2599999999999998</v>
      </c>
      <c r="H306">
        <v>0.79</v>
      </c>
      <c r="I306">
        <v>10.56</v>
      </c>
      <c r="J306">
        <v>1.06</v>
      </c>
      <c r="K306">
        <v>2.85</v>
      </c>
      <c r="L306" t="s">
        <v>6</v>
      </c>
      <c r="M306" t="s">
        <v>72</v>
      </c>
    </row>
    <row r="307" spans="1:13" x14ac:dyDescent="0.45">
      <c r="A307" t="s">
        <v>5</v>
      </c>
      <c r="B307" t="s">
        <v>143</v>
      </c>
      <c r="C307">
        <v>2030</v>
      </c>
      <c r="D307">
        <v>69</v>
      </c>
      <c r="E307">
        <v>3.47</v>
      </c>
      <c r="F307">
        <v>1.59</v>
      </c>
      <c r="G307">
        <v>3.56</v>
      </c>
      <c r="H307">
        <v>1.1100000000000001</v>
      </c>
      <c r="I307">
        <v>16.579999999999998</v>
      </c>
      <c r="J307">
        <v>1.27</v>
      </c>
      <c r="K307">
        <v>3.82</v>
      </c>
      <c r="L307" t="s">
        <v>6</v>
      </c>
      <c r="M307" t="s">
        <v>72</v>
      </c>
    </row>
    <row r="308" spans="1:13" x14ac:dyDescent="0.45">
      <c r="A308" t="s">
        <v>5</v>
      </c>
      <c r="B308" t="s">
        <v>143</v>
      </c>
      <c r="C308">
        <v>2035</v>
      </c>
      <c r="D308">
        <v>69</v>
      </c>
      <c r="E308">
        <v>7.26</v>
      </c>
      <c r="F308">
        <v>4.45</v>
      </c>
      <c r="G308">
        <v>4.84</v>
      </c>
      <c r="H308">
        <v>2.37</v>
      </c>
      <c r="I308">
        <v>21.77</v>
      </c>
      <c r="J308">
        <v>3.17</v>
      </c>
      <c r="K308">
        <v>11.02</v>
      </c>
      <c r="L308" t="s">
        <v>6</v>
      </c>
      <c r="M308" t="s">
        <v>72</v>
      </c>
    </row>
    <row r="309" spans="1:13" x14ac:dyDescent="0.45">
      <c r="A309" t="s">
        <v>5</v>
      </c>
      <c r="B309" t="s">
        <v>143</v>
      </c>
      <c r="C309">
        <v>2040</v>
      </c>
      <c r="D309">
        <v>69</v>
      </c>
      <c r="E309">
        <v>9.98</v>
      </c>
      <c r="F309">
        <v>5.15</v>
      </c>
      <c r="G309">
        <v>7.12</v>
      </c>
      <c r="H309">
        <v>2.69</v>
      </c>
      <c r="I309">
        <v>26.5</v>
      </c>
      <c r="J309">
        <v>4.09</v>
      </c>
      <c r="K309">
        <v>15.35</v>
      </c>
      <c r="L309" t="s">
        <v>6</v>
      </c>
      <c r="M309" t="s">
        <v>72</v>
      </c>
    </row>
    <row r="310" spans="1:13" x14ac:dyDescent="0.45">
      <c r="A310" t="s">
        <v>5</v>
      </c>
      <c r="B310" t="s">
        <v>143</v>
      </c>
      <c r="C310">
        <v>2045</v>
      </c>
      <c r="D310">
        <v>69</v>
      </c>
      <c r="E310">
        <v>11.56</v>
      </c>
      <c r="F310">
        <v>4.71</v>
      </c>
      <c r="G310">
        <v>9.2100000000000009</v>
      </c>
      <c r="H310">
        <v>2.72</v>
      </c>
      <c r="I310">
        <v>33.770000000000003</v>
      </c>
      <c r="J310">
        <v>3.76</v>
      </c>
      <c r="K310">
        <v>18.260000000000002</v>
      </c>
      <c r="L310" t="s">
        <v>6</v>
      </c>
      <c r="M310" t="s">
        <v>72</v>
      </c>
    </row>
    <row r="311" spans="1:13" x14ac:dyDescent="0.45">
      <c r="A311" t="s">
        <v>5</v>
      </c>
      <c r="B311" t="s">
        <v>143</v>
      </c>
      <c r="C311">
        <v>2050</v>
      </c>
      <c r="D311">
        <v>69</v>
      </c>
      <c r="E311">
        <v>12.7</v>
      </c>
      <c r="F311">
        <v>4.33</v>
      </c>
      <c r="G311">
        <v>11.07</v>
      </c>
      <c r="H311">
        <v>2.89</v>
      </c>
      <c r="I311">
        <v>41.53</v>
      </c>
      <c r="J311">
        <v>3.68</v>
      </c>
      <c r="K311">
        <v>20.41</v>
      </c>
      <c r="L311" t="s">
        <v>6</v>
      </c>
      <c r="M311" t="s">
        <v>72</v>
      </c>
    </row>
    <row r="312" spans="1:13" x14ac:dyDescent="0.45">
      <c r="A312" t="s">
        <v>7</v>
      </c>
      <c r="B312" t="s">
        <v>143</v>
      </c>
      <c r="C312">
        <v>2020</v>
      </c>
      <c r="D312">
        <v>27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143</v>
      </c>
      <c r="C313">
        <v>2025</v>
      </c>
      <c r="D313">
        <v>27</v>
      </c>
      <c r="E313">
        <v>1.79</v>
      </c>
      <c r="F313">
        <v>1.23</v>
      </c>
      <c r="G313">
        <v>1.18</v>
      </c>
      <c r="H313">
        <v>0.81</v>
      </c>
      <c r="I313">
        <v>4.5599999999999996</v>
      </c>
      <c r="J313">
        <v>1.06</v>
      </c>
      <c r="K313">
        <v>1.8</v>
      </c>
      <c r="L313" t="s">
        <v>8</v>
      </c>
      <c r="M313" t="s">
        <v>72</v>
      </c>
    </row>
    <row r="314" spans="1:13" x14ac:dyDescent="0.45">
      <c r="A314" t="s">
        <v>7</v>
      </c>
      <c r="B314" t="s">
        <v>143</v>
      </c>
      <c r="C314">
        <v>2030</v>
      </c>
      <c r="D314">
        <v>27</v>
      </c>
      <c r="E314">
        <v>2.63</v>
      </c>
      <c r="F314">
        <v>1.85</v>
      </c>
      <c r="G314">
        <v>1.94</v>
      </c>
      <c r="H314">
        <v>1.1100000000000001</v>
      </c>
      <c r="I314">
        <v>6.99</v>
      </c>
      <c r="J314">
        <v>1.1100000000000001</v>
      </c>
      <c r="K314">
        <v>3.55</v>
      </c>
      <c r="L314" t="s">
        <v>8</v>
      </c>
      <c r="M314" t="s">
        <v>72</v>
      </c>
    </row>
    <row r="315" spans="1:13" x14ac:dyDescent="0.45">
      <c r="A315" t="s">
        <v>7</v>
      </c>
      <c r="B315" t="s">
        <v>143</v>
      </c>
      <c r="C315">
        <v>2035</v>
      </c>
      <c r="D315">
        <v>27</v>
      </c>
      <c r="E315">
        <v>5.18</v>
      </c>
      <c r="F315">
        <v>5.34</v>
      </c>
      <c r="G315">
        <v>2.13</v>
      </c>
      <c r="H315">
        <v>1.85</v>
      </c>
      <c r="I315">
        <v>8.82</v>
      </c>
      <c r="J315">
        <v>3</v>
      </c>
      <c r="K315">
        <v>6.72</v>
      </c>
      <c r="L315" t="s">
        <v>8</v>
      </c>
      <c r="M315" t="s">
        <v>72</v>
      </c>
    </row>
    <row r="316" spans="1:13" x14ac:dyDescent="0.45">
      <c r="A316" t="s">
        <v>7</v>
      </c>
      <c r="B316" t="s">
        <v>143</v>
      </c>
      <c r="C316">
        <v>2040</v>
      </c>
      <c r="D316">
        <v>27</v>
      </c>
      <c r="E316">
        <v>7.16</v>
      </c>
      <c r="F316">
        <v>7.95</v>
      </c>
      <c r="G316">
        <v>3.11</v>
      </c>
      <c r="H316">
        <v>2.0499999999999998</v>
      </c>
      <c r="I316">
        <v>13.8</v>
      </c>
      <c r="J316">
        <v>5.88</v>
      </c>
      <c r="K316">
        <v>9.5299999999999994</v>
      </c>
      <c r="L316" t="s">
        <v>8</v>
      </c>
      <c r="M316" t="s">
        <v>72</v>
      </c>
    </row>
    <row r="317" spans="1:13" x14ac:dyDescent="0.45">
      <c r="A317" t="s">
        <v>7</v>
      </c>
      <c r="B317" t="s">
        <v>143</v>
      </c>
      <c r="C317">
        <v>2045</v>
      </c>
      <c r="D317">
        <v>27</v>
      </c>
      <c r="E317">
        <v>8.4700000000000006</v>
      </c>
      <c r="F317">
        <v>9.73</v>
      </c>
      <c r="G317">
        <v>3.99</v>
      </c>
      <c r="H317">
        <v>2.0699999999999998</v>
      </c>
      <c r="I317">
        <v>16.75</v>
      </c>
      <c r="J317">
        <v>5.78</v>
      </c>
      <c r="K317">
        <v>11.61</v>
      </c>
      <c r="L317" t="s">
        <v>8</v>
      </c>
      <c r="M317" t="s">
        <v>72</v>
      </c>
    </row>
    <row r="318" spans="1:13" x14ac:dyDescent="0.45">
      <c r="A318" t="s">
        <v>7</v>
      </c>
      <c r="B318" t="s">
        <v>143</v>
      </c>
      <c r="C318">
        <v>2050</v>
      </c>
      <c r="D318">
        <v>27</v>
      </c>
      <c r="E318">
        <v>8.9700000000000006</v>
      </c>
      <c r="F318">
        <v>10.54</v>
      </c>
      <c r="G318">
        <v>4.3600000000000003</v>
      </c>
      <c r="H318">
        <v>2.44</v>
      </c>
      <c r="I318">
        <v>15.1</v>
      </c>
      <c r="J318">
        <v>5.28</v>
      </c>
      <c r="K318">
        <v>12.67</v>
      </c>
      <c r="L318" t="s">
        <v>8</v>
      </c>
      <c r="M318" t="s">
        <v>72</v>
      </c>
    </row>
    <row r="319" spans="1:13" x14ac:dyDescent="0.45">
      <c r="A319" t="s">
        <v>9</v>
      </c>
      <c r="B319" t="s">
        <v>143</v>
      </c>
      <c r="C319">
        <v>2020</v>
      </c>
      <c r="D319">
        <v>14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143</v>
      </c>
      <c r="C320">
        <v>2025</v>
      </c>
      <c r="D320">
        <v>14</v>
      </c>
      <c r="E320">
        <v>1.06</v>
      </c>
      <c r="F320">
        <v>1.07</v>
      </c>
      <c r="G320">
        <v>7.0000000000000007E-2</v>
      </c>
      <c r="H320">
        <v>0.91</v>
      </c>
      <c r="I320">
        <v>1.2</v>
      </c>
      <c r="J320">
        <v>1.06</v>
      </c>
      <c r="K320">
        <v>1.07</v>
      </c>
      <c r="L320" t="s">
        <v>10</v>
      </c>
      <c r="M320" t="s">
        <v>72</v>
      </c>
    </row>
    <row r="321" spans="1:13" x14ac:dyDescent="0.45">
      <c r="A321" t="s">
        <v>9</v>
      </c>
      <c r="B321" t="s">
        <v>143</v>
      </c>
      <c r="C321">
        <v>2030</v>
      </c>
      <c r="D321">
        <v>14</v>
      </c>
      <c r="E321">
        <v>1.22</v>
      </c>
      <c r="F321">
        <v>1.17</v>
      </c>
      <c r="G321">
        <v>0.14000000000000001</v>
      </c>
      <c r="H321">
        <v>1.1100000000000001</v>
      </c>
      <c r="I321">
        <v>1.62</v>
      </c>
      <c r="J321">
        <v>1.1299999999999999</v>
      </c>
      <c r="K321">
        <v>1.23</v>
      </c>
      <c r="L321" t="s">
        <v>10</v>
      </c>
      <c r="M321" t="s">
        <v>72</v>
      </c>
    </row>
    <row r="322" spans="1:13" x14ac:dyDescent="0.45">
      <c r="A322" t="s">
        <v>9</v>
      </c>
      <c r="B322" t="s">
        <v>143</v>
      </c>
      <c r="C322">
        <v>2035</v>
      </c>
      <c r="D322">
        <v>14</v>
      </c>
      <c r="E322">
        <v>1.25</v>
      </c>
      <c r="F322">
        <v>1.21</v>
      </c>
      <c r="G322">
        <v>0.14000000000000001</v>
      </c>
      <c r="H322">
        <v>1.1100000000000001</v>
      </c>
      <c r="I322">
        <v>1.65</v>
      </c>
      <c r="J322">
        <v>1.17</v>
      </c>
      <c r="K322">
        <v>1.31</v>
      </c>
      <c r="L322" t="s">
        <v>10</v>
      </c>
      <c r="M322" t="s">
        <v>72</v>
      </c>
    </row>
    <row r="323" spans="1:13" x14ac:dyDescent="0.45">
      <c r="A323" t="s">
        <v>9</v>
      </c>
      <c r="B323" t="s">
        <v>143</v>
      </c>
      <c r="C323">
        <v>2040</v>
      </c>
      <c r="D323">
        <v>14</v>
      </c>
      <c r="E323">
        <v>1.39</v>
      </c>
      <c r="F323">
        <v>1.37</v>
      </c>
      <c r="G323">
        <v>0.2</v>
      </c>
      <c r="H323">
        <v>1.2</v>
      </c>
      <c r="I323">
        <v>1.79</v>
      </c>
      <c r="J323">
        <v>1.22</v>
      </c>
      <c r="K323">
        <v>1.44</v>
      </c>
      <c r="L323" t="s">
        <v>10</v>
      </c>
      <c r="M323" t="s">
        <v>72</v>
      </c>
    </row>
    <row r="324" spans="1:13" x14ac:dyDescent="0.45">
      <c r="A324" t="s">
        <v>9</v>
      </c>
      <c r="B324" t="s">
        <v>143</v>
      </c>
      <c r="C324">
        <v>2045</v>
      </c>
      <c r="D324">
        <v>14</v>
      </c>
      <c r="E324">
        <v>1.41</v>
      </c>
      <c r="F324">
        <v>1.33</v>
      </c>
      <c r="G324">
        <v>0.2</v>
      </c>
      <c r="H324">
        <v>1.2</v>
      </c>
      <c r="I324">
        <v>1.85</v>
      </c>
      <c r="J324">
        <v>1.26</v>
      </c>
      <c r="K324">
        <v>1.54</v>
      </c>
      <c r="L324" t="s">
        <v>10</v>
      </c>
      <c r="M324" t="s">
        <v>72</v>
      </c>
    </row>
    <row r="325" spans="1:13" x14ac:dyDescent="0.45">
      <c r="A325" t="s">
        <v>9</v>
      </c>
      <c r="B325" t="s">
        <v>143</v>
      </c>
      <c r="C325">
        <v>2050</v>
      </c>
      <c r="D325">
        <v>14</v>
      </c>
      <c r="E325">
        <v>1.48</v>
      </c>
      <c r="F325">
        <v>1.52</v>
      </c>
      <c r="G325">
        <v>0.21</v>
      </c>
      <c r="H325">
        <v>1.21</v>
      </c>
      <c r="I325">
        <v>1.92</v>
      </c>
      <c r="J325">
        <v>1.3</v>
      </c>
      <c r="K325">
        <v>1.61</v>
      </c>
      <c r="L325" t="s">
        <v>10</v>
      </c>
      <c r="M325" t="s">
        <v>72</v>
      </c>
    </row>
    <row r="326" spans="1:13" x14ac:dyDescent="0.45">
      <c r="A326" t="s">
        <v>0</v>
      </c>
      <c r="B326" t="s">
        <v>143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143</v>
      </c>
      <c r="C327">
        <v>2025</v>
      </c>
      <c r="D327">
        <v>7</v>
      </c>
      <c r="E327">
        <v>1.04</v>
      </c>
      <c r="F327">
        <v>1.05</v>
      </c>
      <c r="G327">
        <v>0.02</v>
      </c>
      <c r="H327">
        <v>1.01</v>
      </c>
      <c r="I327">
        <v>1.05</v>
      </c>
      <c r="J327">
        <v>1.02</v>
      </c>
      <c r="K327">
        <v>1.05</v>
      </c>
      <c r="L327" t="s">
        <v>1</v>
      </c>
      <c r="M327" t="s">
        <v>73</v>
      </c>
    </row>
    <row r="328" spans="1:13" x14ac:dyDescent="0.45">
      <c r="A328" t="s">
        <v>0</v>
      </c>
      <c r="B328" t="s">
        <v>143</v>
      </c>
      <c r="C328">
        <v>2030</v>
      </c>
      <c r="D328">
        <v>7</v>
      </c>
      <c r="E328">
        <v>1.07</v>
      </c>
      <c r="F328">
        <v>1.1000000000000001</v>
      </c>
      <c r="G328">
        <v>0.05</v>
      </c>
      <c r="H328">
        <v>0.96</v>
      </c>
      <c r="I328">
        <v>1.1000000000000001</v>
      </c>
      <c r="J328">
        <v>1.07</v>
      </c>
      <c r="K328">
        <v>1.1000000000000001</v>
      </c>
      <c r="L328" t="s">
        <v>1</v>
      </c>
      <c r="M328" t="s">
        <v>73</v>
      </c>
    </row>
    <row r="329" spans="1:13" x14ac:dyDescent="0.45">
      <c r="A329" t="s">
        <v>0</v>
      </c>
      <c r="B329" t="s">
        <v>143</v>
      </c>
      <c r="C329">
        <v>2035</v>
      </c>
      <c r="D329">
        <v>7</v>
      </c>
      <c r="E329">
        <v>1.0900000000000001</v>
      </c>
      <c r="F329">
        <v>1.1000000000000001</v>
      </c>
      <c r="G329">
        <v>7.0000000000000007E-2</v>
      </c>
      <c r="H329">
        <v>0.94</v>
      </c>
      <c r="I329">
        <v>1.1599999999999999</v>
      </c>
      <c r="J329">
        <v>1.07</v>
      </c>
      <c r="K329">
        <v>1.1299999999999999</v>
      </c>
      <c r="L329" t="s">
        <v>1</v>
      </c>
      <c r="M329" t="s">
        <v>73</v>
      </c>
    </row>
    <row r="330" spans="1:13" x14ac:dyDescent="0.45">
      <c r="A330" t="s">
        <v>0</v>
      </c>
      <c r="B330" t="s">
        <v>143</v>
      </c>
      <c r="C330">
        <v>2040</v>
      </c>
      <c r="D330">
        <v>7</v>
      </c>
      <c r="E330">
        <v>1.0900000000000001</v>
      </c>
      <c r="F330">
        <v>1.1000000000000001</v>
      </c>
      <c r="G330">
        <v>0.1</v>
      </c>
      <c r="H330">
        <v>0.91</v>
      </c>
      <c r="I330">
        <v>1.2</v>
      </c>
      <c r="J330">
        <v>1.06</v>
      </c>
      <c r="K330">
        <v>1.1499999999999999</v>
      </c>
      <c r="L330" t="s">
        <v>1</v>
      </c>
      <c r="M330" t="s">
        <v>73</v>
      </c>
    </row>
    <row r="331" spans="1:13" x14ac:dyDescent="0.45">
      <c r="A331" t="s">
        <v>0</v>
      </c>
      <c r="B331" t="s">
        <v>143</v>
      </c>
      <c r="C331">
        <v>2045</v>
      </c>
      <c r="D331">
        <v>7</v>
      </c>
      <c r="E331">
        <v>1.04</v>
      </c>
      <c r="F331">
        <v>1.06</v>
      </c>
      <c r="G331">
        <v>0.09</v>
      </c>
      <c r="H331">
        <v>0.87</v>
      </c>
      <c r="I331">
        <v>1.1399999999999999</v>
      </c>
      <c r="J331">
        <v>1.01</v>
      </c>
      <c r="K331">
        <v>1.1000000000000001</v>
      </c>
      <c r="L331" t="s">
        <v>1</v>
      </c>
      <c r="M331" t="s">
        <v>73</v>
      </c>
    </row>
    <row r="332" spans="1:13" x14ac:dyDescent="0.45">
      <c r="A332" t="s">
        <v>0</v>
      </c>
      <c r="B332" t="s">
        <v>143</v>
      </c>
      <c r="C332">
        <v>2050</v>
      </c>
      <c r="D332">
        <v>7</v>
      </c>
      <c r="E332">
        <v>1</v>
      </c>
      <c r="F332">
        <v>1.01</v>
      </c>
      <c r="G332">
        <v>0.1</v>
      </c>
      <c r="H332">
        <v>0.82</v>
      </c>
      <c r="I332">
        <v>1.1499999999999999</v>
      </c>
      <c r="J332">
        <v>0.97</v>
      </c>
      <c r="K332">
        <v>1.05</v>
      </c>
      <c r="L332" t="s">
        <v>1</v>
      </c>
      <c r="M332" t="s">
        <v>73</v>
      </c>
    </row>
    <row r="333" spans="1:13" x14ac:dyDescent="0.45">
      <c r="A333" t="s">
        <v>2</v>
      </c>
      <c r="B333" t="s">
        <v>143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143</v>
      </c>
      <c r="C334">
        <v>2025</v>
      </c>
      <c r="D334">
        <v>7</v>
      </c>
      <c r="E334">
        <v>1.03</v>
      </c>
      <c r="F334">
        <v>1.02</v>
      </c>
      <c r="G334">
        <v>0.02</v>
      </c>
      <c r="H334">
        <v>1.01</v>
      </c>
      <c r="I334">
        <v>1.05</v>
      </c>
      <c r="J334">
        <v>1.01</v>
      </c>
      <c r="K334">
        <v>1.05</v>
      </c>
      <c r="L334" t="s">
        <v>3</v>
      </c>
      <c r="M334" t="s">
        <v>73</v>
      </c>
    </row>
    <row r="335" spans="1:13" x14ac:dyDescent="0.45">
      <c r="A335" t="s">
        <v>2</v>
      </c>
      <c r="B335" t="s">
        <v>143</v>
      </c>
      <c r="C335">
        <v>2030</v>
      </c>
      <c r="D335">
        <v>7</v>
      </c>
      <c r="E335">
        <v>1.05</v>
      </c>
      <c r="F335">
        <v>1.07</v>
      </c>
      <c r="G335">
        <v>7.0000000000000007E-2</v>
      </c>
      <c r="H335">
        <v>0.96</v>
      </c>
      <c r="I335">
        <v>1.1000000000000001</v>
      </c>
      <c r="J335">
        <v>1.01</v>
      </c>
      <c r="K335">
        <v>1.1000000000000001</v>
      </c>
      <c r="L335" t="s">
        <v>3</v>
      </c>
      <c r="M335" t="s">
        <v>73</v>
      </c>
    </row>
    <row r="336" spans="1:13" x14ac:dyDescent="0.45">
      <c r="A336" t="s">
        <v>2</v>
      </c>
      <c r="B336" t="s">
        <v>143</v>
      </c>
      <c r="C336">
        <v>2035</v>
      </c>
      <c r="D336">
        <v>7</v>
      </c>
      <c r="E336">
        <v>1.06</v>
      </c>
      <c r="F336">
        <v>1.07</v>
      </c>
      <c r="G336">
        <v>0.08</v>
      </c>
      <c r="H336">
        <v>0.95</v>
      </c>
      <c r="I336">
        <v>1.1599999999999999</v>
      </c>
      <c r="J336">
        <v>1.01</v>
      </c>
      <c r="K336">
        <v>1.1100000000000001</v>
      </c>
      <c r="L336" t="s">
        <v>3</v>
      </c>
      <c r="M336" t="s">
        <v>73</v>
      </c>
    </row>
    <row r="337" spans="1:13" x14ac:dyDescent="0.45">
      <c r="A337" t="s">
        <v>2</v>
      </c>
      <c r="B337" t="s">
        <v>143</v>
      </c>
      <c r="C337">
        <v>2040</v>
      </c>
      <c r="D337">
        <v>7</v>
      </c>
      <c r="E337">
        <v>1.1000000000000001</v>
      </c>
      <c r="F337">
        <v>1.1000000000000001</v>
      </c>
      <c r="G337">
        <v>0.08</v>
      </c>
      <c r="H337">
        <v>0.98</v>
      </c>
      <c r="I337">
        <v>1.17</v>
      </c>
      <c r="J337">
        <v>1.05</v>
      </c>
      <c r="K337">
        <v>1.1599999999999999</v>
      </c>
      <c r="L337" t="s">
        <v>3</v>
      </c>
      <c r="M337" t="s">
        <v>73</v>
      </c>
    </row>
    <row r="338" spans="1:13" x14ac:dyDescent="0.45">
      <c r="A338" t="s">
        <v>2</v>
      </c>
      <c r="B338" t="s">
        <v>143</v>
      </c>
      <c r="C338">
        <v>2045</v>
      </c>
      <c r="D338">
        <v>7</v>
      </c>
      <c r="E338">
        <v>1.1299999999999999</v>
      </c>
      <c r="F338">
        <v>1.1399999999999999</v>
      </c>
      <c r="G338">
        <v>7.0000000000000007E-2</v>
      </c>
      <c r="H338">
        <v>1.03</v>
      </c>
      <c r="I338">
        <v>1.22</v>
      </c>
      <c r="J338">
        <v>1.0900000000000001</v>
      </c>
      <c r="K338">
        <v>1.18</v>
      </c>
      <c r="L338" t="s">
        <v>3</v>
      </c>
      <c r="M338" t="s">
        <v>73</v>
      </c>
    </row>
    <row r="339" spans="1:13" x14ac:dyDescent="0.45">
      <c r="A339" t="s">
        <v>2</v>
      </c>
      <c r="B339" t="s">
        <v>143</v>
      </c>
      <c r="C339">
        <v>2050</v>
      </c>
      <c r="D339">
        <v>7</v>
      </c>
      <c r="E339">
        <v>1.19</v>
      </c>
      <c r="F339">
        <v>1.2</v>
      </c>
      <c r="G339">
        <v>7.0000000000000007E-2</v>
      </c>
      <c r="H339">
        <v>1.08</v>
      </c>
      <c r="I339">
        <v>1.28</v>
      </c>
      <c r="J339">
        <v>1.1499999999999999</v>
      </c>
      <c r="K339">
        <v>1.24</v>
      </c>
      <c r="L339" t="s">
        <v>3</v>
      </c>
      <c r="M339" t="s">
        <v>73</v>
      </c>
    </row>
    <row r="340" spans="1:13" x14ac:dyDescent="0.45">
      <c r="A340" t="s">
        <v>5</v>
      </c>
      <c r="B340" t="s">
        <v>143</v>
      </c>
      <c r="C340">
        <v>2020</v>
      </c>
      <c r="D340">
        <v>15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143</v>
      </c>
      <c r="C341">
        <v>2025</v>
      </c>
      <c r="D341">
        <v>15</v>
      </c>
      <c r="E341">
        <v>1.06</v>
      </c>
      <c r="F341">
        <v>1.05</v>
      </c>
      <c r="G341">
        <v>0.04</v>
      </c>
      <c r="H341">
        <v>1.01</v>
      </c>
      <c r="I341">
        <v>1.1200000000000001</v>
      </c>
      <c r="J341">
        <v>1.04</v>
      </c>
      <c r="K341">
        <v>1.1100000000000001</v>
      </c>
      <c r="L341" t="s">
        <v>6</v>
      </c>
      <c r="M341" t="s">
        <v>73</v>
      </c>
    </row>
    <row r="342" spans="1:13" x14ac:dyDescent="0.45">
      <c r="A342" t="s">
        <v>5</v>
      </c>
      <c r="B342" t="s">
        <v>143</v>
      </c>
      <c r="C342">
        <v>2030</v>
      </c>
      <c r="D342">
        <v>15</v>
      </c>
      <c r="E342">
        <v>1.1000000000000001</v>
      </c>
      <c r="F342">
        <v>1.1000000000000001</v>
      </c>
      <c r="G342">
        <v>0.1</v>
      </c>
      <c r="H342">
        <v>0.96</v>
      </c>
      <c r="I342">
        <v>1.35</v>
      </c>
      <c r="J342">
        <v>1.07</v>
      </c>
      <c r="K342">
        <v>1.1299999999999999</v>
      </c>
      <c r="L342" t="s">
        <v>6</v>
      </c>
      <c r="M342" t="s">
        <v>73</v>
      </c>
    </row>
    <row r="343" spans="1:13" x14ac:dyDescent="0.45">
      <c r="A343" t="s">
        <v>5</v>
      </c>
      <c r="B343" t="s">
        <v>143</v>
      </c>
      <c r="C343">
        <v>2035</v>
      </c>
      <c r="D343">
        <v>15</v>
      </c>
      <c r="E343">
        <v>1.22</v>
      </c>
      <c r="F343">
        <v>1.1599999999999999</v>
      </c>
      <c r="G343">
        <v>0.23</v>
      </c>
      <c r="H343">
        <v>0.91</v>
      </c>
      <c r="I343">
        <v>1.71</v>
      </c>
      <c r="J343">
        <v>1.07</v>
      </c>
      <c r="K343">
        <v>1.39</v>
      </c>
      <c r="L343" t="s">
        <v>6</v>
      </c>
      <c r="M343" t="s">
        <v>73</v>
      </c>
    </row>
    <row r="344" spans="1:13" x14ac:dyDescent="0.45">
      <c r="A344" t="s">
        <v>5</v>
      </c>
      <c r="B344" t="s">
        <v>143</v>
      </c>
      <c r="C344">
        <v>2040</v>
      </c>
      <c r="D344">
        <v>15</v>
      </c>
      <c r="E344">
        <v>1.46</v>
      </c>
      <c r="F344">
        <v>1.17</v>
      </c>
      <c r="G344">
        <v>0.55000000000000004</v>
      </c>
      <c r="H344">
        <v>0.92</v>
      </c>
      <c r="I344">
        <v>2.5299999999999998</v>
      </c>
      <c r="J344">
        <v>1.08</v>
      </c>
      <c r="K344">
        <v>1.82</v>
      </c>
      <c r="L344" t="s">
        <v>6</v>
      </c>
      <c r="M344" t="s">
        <v>73</v>
      </c>
    </row>
    <row r="345" spans="1:13" x14ac:dyDescent="0.45">
      <c r="A345" t="s">
        <v>5</v>
      </c>
      <c r="B345" t="s">
        <v>143</v>
      </c>
      <c r="C345">
        <v>2045</v>
      </c>
      <c r="D345">
        <v>15</v>
      </c>
      <c r="E345">
        <v>1.85</v>
      </c>
      <c r="F345">
        <v>1.1599999999999999</v>
      </c>
      <c r="G345">
        <v>1.04</v>
      </c>
      <c r="H345">
        <v>0.97</v>
      </c>
      <c r="I345">
        <v>3.83</v>
      </c>
      <c r="J345">
        <v>1.08</v>
      </c>
      <c r="K345">
        <v>2.6</v>
      </c>
      <c r="L345" t="s">
        <v>6</v>
      </c>
      <c r="M345" t="s">
        <v>73</v>
      </c>
    </row>
    <row r="346" spans="1:13" x14ac:dyDescent="0.45">
      <c r="A346" t="s">
        <v>5</v>
      </c>
      <c r="B346" t="s">
        <v>143</v>
      </c>
      <c r="C346">
        <v>2050</v>
      </c>
      <c r="D346">
        <v>15</v>
      </c>
      <c r="E346">
        <v>2.2200000000000002</v>
      </c>
      <c r="F346">
        <v>1.22</v>
      </c>
      <c r="G346">
        <v>1.48</v>
      </c>
      <c r="H346">
        <v>1</v>
      </c>
      <c r="I346">
        <v>4.87</v>
      </c>
      <c r="J346">
        <v>1.06</v>
      </c>
      <c r="K346">
        <v>3.43</v>
      </c>
      <c r="L346" t="s">
        <v>6</v>
      </c>
      <c r="M346" t="s">
        <v>73</v>
      </c>
    </row>
    <row r="347" spans="1:13" x14ac:dyDescent="0.45">
      <c r="A347" t="s">
        <v>7</v>
      </c>
      <c r="B347" t="s">
        <v>143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143</v>
      </c>
      <c r="C348">
        <v>2025</v>
      </c>
      <c r="D348">
        <v>8</v>
      </c>
      <c r="E348">
        <v>1.0900000000000001</v>
      </c>
      <c r="F348">
        <v>1.0900000000000001</v>
      </c>
      <c r="G348">
        <v>0.01</v>
      </c>
      <c r="H348">
        <v>1.08</v>
      </c>
      <c r="I348">
        <v>1.1100000000000001</v>
      </c>
      <c r="J348">
        <v>1.08</v>
      </c>
      <c r="K348">
        <v>1.1000000000000001</v>
      </c>
      <c r="L348" t="s">
        <v>8</v>
      </c>
      <c r="M348" t="s">
        <v>73</v>
      </c>
    </row>
    <row r="349" spans="1:13" x14ac:dyDescent="0.45">
      <c r="A349" t="s">
        <v>7</v>
      </c>
      <c r="B349" t="s">
        <v>143</v>
      </c>
      <c r="C349">
        <v>2030</v>
      </c>
      <c r="D349">
        <v>8</v>
      </c>
      <c r="E349">
        <v>1.07</v>
      </c>
      <c r="F349">
        <v>1.06</v>
      </c>
      <c r="G349">
        <v>0.06</v>
      </c>
      <c r="H349">
        <v>1.02</v>
      </c>
      <c r="I349">
        <v>1.1399999999999999</v>
      </c>
      <c r="J349">
        <v>1.02</v>
      </c>
      <c r="K349">
        <v>1.1200000000000001</v>
      </c>
      <c r="L349" t="s">
        <v>8</v>
      </c>
      <c r="M349" t="s">
        <v>73</v>
      </c>
    </row>
    <row r="350" spans="1:13" x14ac:dyDescent="0.45">
      <c r="A350" t="s">
        <v>7</v>
      </c>
      <c r="B350" t="s">
        <v>143</v>
      </c>
      <c r="C350">
        <v>2035</v>
      </c>
      <c r="D350">
        <v>8</v>
      </c>
      <c r="E350">
        <v>1.1200000000000001</v>
      </c>
      <c r="F350">
        <v>1.1100000000000001</v>
      </c>
      <c r="G350">
        <v>0.08</v>
      </c>
      <c r="H350">
        <v>1.02</v>
      </c>
      <c r="I350">
        <v>1.22</v>
      </c>
      <c r="J350">
        <v>1.07</v>
      </c>
      <c r="K350">
        <v>1.18</v>
      </c>
      <c r="L350" t="s">
        <v>8</v>
      </c>
      <c r="M350" t="s">
        <v>73</v>
      </c>
    </row>
    <row r="351" spans="1:13" x14ac:dyDescent="0.45">
      <c r="A351" t="s">
        <v>7</v>
      </c>
      <c r="B351" t="s">
        <v>143</v>
      </c>
      <c r="C351">
        <v>2040</v>
      </c>
      <c r="D351">
        <v>8</v>
      </c>
      <c r="E351">
        <v>1.29</v>
      </c>
      <c r="F351">
        <v>1.26</v>
      </c>
      <c r="G351">
        <v>0.11</v>
      </c>
      <c r="H351">
        <v>1.1599999999999999</v>
      </c>
      <c r="I351">
        <v>1.45</v>
      </c>
      <c r="J351">
        <v>1.22</v>
      </c>
      <c r="K351">
        <v>1.37</v>
      </c>
      <c r="L351" t="s">
        <v>8</v>
      </c>
      <c r="M351" t="s">
        <v>73</v>
      </c>
    </row>
    <row r="352" spans="1:13" x14ac:dyDescent="0.45">
      <c r="A352" t="s">
        <v>7</v>
      </c>
      <c r="B352" t="s">
        <v>143</v>
      </c>
      <c r="C352">
        <v>2045</v>
      </c>
      <c r="D352">
        <v>8</v>
      </c>
      <c r="E352">
        <v>1.84</v>
      </c>
      <c r="F352">
        <v>1.91</v>
      </c>
      <c r="G352">
        <v>0.28999999999999998</v>
      </c>
      <c r="H352">
        <v>1.37</v>
      </c>
      <c r="I352">
        <v>2.15</v>
      </c>
      <c r="J352">
        <v>1.63</v>
      </c>
      <c r="K352">
        <v>2.06</v>
      </c>
      <c r="L352" t="s">
        <v>8</v>
      </c>
      <c r="M352" t="s">
        <v>73</v>
      </c>
    </row>
    <row r="353" spans="1:13" x14ac:dyDescent="0.45">
      <c r="A353" t="s">
        <v>7</v>
      </c>
      <c r="B353" t="s">
        <v>143</v>
      </c>
      <c r="C353">
        <v>2050</v>
      </c>
      <c r="D353">
        <v>8</v>
      </c>
      <c r="E353">
        <v>2.52</v>
      </c>
      <c r="F353">
        <v>2.5099999999999998</v>
      </c>
      <c r="G353">
        <v>0.26</v>
      </c>
      <c r="H353">
        <v>2.11</v>
      </c>
      <c r="I353">
        <v>2.92</v>
      </c>
      <c r="J353">
        <v>2.4</v>
      </c>
      <c r="K353">
        <v>2.64</v>
      </c>
      <c r="L353" t="s">
        <v>8</v>
      </c>
      <c r="M353" t="s">
        <v>73</v>
      </c>
    </row>
    <row r="354" spans="1:13" x14ac:dyDescent="0.45">
      <c r="A354" t="s">
        <v>9</v>
      </c>
      <c r="B354" t="s">
        <v>143</v>
      </c>
      <c r="C354">
        <v>2020</v>
      </c>
      <c r="D354">
        <v>6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143</v>
      </c>
      <c r="C355">
        <v>2025</v>
      </c>
      <c r="D355">
        <v>6</v>
      </c>
      <c r="E355">
        <v>1.06</v>
      </c>
      <c r="F355">
        <v>1.05</v>
      </c>
      <c r="G355">
        <v>0.02</v>
      </c>
      <c r="H355">
        <v>1.02</v>
      </c>
      <c r="I355">
        <v>1.08</v>
      </c>
      <c r="J355">
        <v>1.05</v>
      </c>
      <c r="K355">
        <v>1.07</v>
      </c>
      <c r="L355" t="s">
        <v>10</v>
      </c>
      <c r="M355" t="s">
        <v>73</v>
      </c>
    </row>
    <row r="356" spans="1:13" x14ac:dyDescent="0.45">
      <c r="A356" t="s">
        <v>9</v>
      </c>
      <c r="B356" t="s">
        <v>143</v>
      </c>
      <c r="C356">
        <v>2030</v>
      </c>
      <c r="D356">
        <v>6</v>
      </c>
      <c r="E356">
        <v>1.06</v>
      </c>
      <c r="F356">
        <v>1.06</v>
      </c>
      <c r="G356">
        <v>0.04</v>
      </c>
      <c r="H356">
        <v>1</v>
      </c>
      <c r="I356">
        <v>1.1000000000000001</v>
      </c>
      <c r="J356">
        <v>1.03</v>
      </c>
      <c r="K356">
        <v>1.08</v>
      </c>
      <c r="L356" t="s">
        <v>10</v>
      </c>
      <c r="M356" t="s">
        <v>73</v>
      </c>
    </row>
    <row r="357" spans="1:13" x14ac:dyDescent="0.45">
      <c r="A357" t="s">
        <v>9</v>
      </c>
      <c r="B357" t="s">
        <v>143</v>
      </c>
      <c r="C357">
        <v>2035</v>
      </c>
      <c r="D357">
        <v>6</v>
      </c>
      <c r="E357">
        <v>1.03</v>
      </c>
      <c r="F357">
        <v>1.04</v>
      </c>
      <c r="G357">
        <v>7.0000000000000007E-2</v>
      </c>
      <c r="H357">
        <v>0.94</v>
      </c>
      <c r="I357">
        <v>1.1000000000000001</v>
      </c>
      <c r="J357">
        <v>0.98</v>
      </c>
      <c r="K357">
        <v>1.08</v>
      </c>
      <c r="L357" t="s">
        <v>10</v>
      </c>
      <c r="M357" t="s">
        <v>73</v>
      </c>
    </row>
    <row r="358" spans="1:13" x14ac:dyDescent="0.45">
      <c r="A358" t="s">
        <v>9</v>
      </c>
      <c r="B358" t="s">
        <v>143</v>
      </c>
      <c r="C358">
        <v>2040</v>
      </c>
      <c r="D358">
        <v>6</v>
      </c>
      <c r="E358">
        <v>1.02</v>
      </c>
      <c r="F358">
        <v>1</v>
      </c>
      <c r="G358">
        <v>0.05</v>
      </c>
      <c r="H358">
        <v>0.98</v>
      </c>
      <c r="I358">
        <v>1.1100000000000001</v>
      </c>
      <c r="J358">
        <v>0.99</v>
      </c>
      <c r="K358">
        <v>1.02</v>
      </c>
      <c r="L358" t="s">
        <v>10</v>
      </c>
      <c r="M358" t="s">
        <v>73</v>
      </c>
    </row>
    <row r="359" spans="1:13" x14ac:dyDescent="0.45">
      <c r="A359" t="s">
        <v>9</v>
      </c>
      <c r="B359" t="s">
        <v>143</v>
      </c>
      <c r="C359">
        <v>2045</v>
      </c>
      <c r="D359">
        <v>6</v>
      </c>
      <c r="E359">
        <v>0.97</v>
      </c>
      <c r="F359">
        <v>0.95</v>
      </c>
      <c r="G359">
        <v>0.05</v>
      </c>
      <c r="H359">
        <v>0.93</v>
      </c>
      <c r="I359">
        <v>1.06</v>
      </c>
      <c r="J359">
        <v>0.93</v>
      </c>
      <c r="K359">
        <v>0.97</v>
      </c>
      <c r="L359" t="s">
        <v>10</v>
      </c>
      <c r="M359" t="s">
        <v>73</v>
      </c>
    </row>
    <row r="360" spans="1:13" x14ac:dyDescent="0.45">
      <c r="A360" t="s">
        <v>9</v>
      </c>
      <c r="B360" t="s">
        <v>143</v>
      </c>
      <c r="C360">
        <v>2050</v>
      </c>
      <c r="D360">
        <v>6</v>
      </c>
      <c r="E360">
        <v>0.94</v>
      </c>
      <c r="F360">
        <v>0.93</v>
      </c>
      <c r="G360">
        <v>0.04</v>
      </c>
      <c r="H360">
        <v>0.9</v>
      </c>
      <c r="I360">
        <v>1.01</v>
      </c>
      <c r="J360">
        <v>0.91</v>
      </c>
      <c r="K360">
        <v>0.96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AQ24"/>
  <sheetViews>
    <sheetView workbookViewId="0">
      <selection activeCell="H21" sqref="H21"/>
    </sheetView>
  </sheetViews>
  <sheetFormatPr defaultRowHeight="14.25" x14ac:dyDescent="0.45"/>
  <sheetData>
    <row r="10" spans="1:43" x14ac:dyDescent="0.45">
      <c r="A10" t="str">
        <f>IFERROR(Veda!D5,"ts_12t")</f>
        <v>ts_annual</v>
      </c>
      <c r="B10" s="15"/>
      <c r="C10" s="15" t="s">
        <v>422</v>
      </c>
      <c r="D10" t="s">
        <v>102</v>
      </c>
      <c r="F10" t="s">
        <v>422</v>
      </c>
      <c r="G10" t="s">
        <v>103</v>
      </c>
      <c r="I10" t="s">
        <v>422</v>
      </c>
      <c r="J10" t="s">
        <v>106</v>
      </c>
      <c r="L10" t="s">
        <v>422</v>
      </c>
      <c r="M10" t="s">
        <v>104</v>
      </c>
      <c r="O10" t="s">
        <v>422</v>
      </c>
      <c r="P10" t="s">
        <v>105</v>
      </c>
      <c r="R10" t="s">
        <v>422</v>
      </c>
      <c r="S10" t="s">
        <v>125</v>
      </c>
      <c r="U10" t="s">
        <v>422</v>
      </c>
      <c r="V10" t="s">
        <v>126</v>
      </c>
      <c r="X10" t="s">
        <v>422</v>
      </c>
      <c r="Y10" t="s">
        <v>127</v>
      </c>
      <c r="AA10" t="s">
        <v>422</v>
      </c>
      <c r="AB10" t="s">
        <v>128</v>
      </c>
      <c r="AD10" t="s">
        <v>422</v>
      </c>
      <c r="AE10" t="s">
        <v>129</v>
      </c>
      <c r="AG10" t="s">
        <v>422</v>
      </c>
      <c r="AH10" t="s">
        <v>130</v>
      </c>
      <c r="AJ10" t="s">
        <v>422</v>
      </c>
      <c r="AK10" t="s">
        <v>131</v>
      </c>
      <c r="AM10" t="s">
        <v>422</v>
      </c>
      <c r="AN10" t="s">
        <v>107</v>
      </c>
      <c r="AP10" t="s">
        <v>422</v>
      </c>
      <c r="AQ10" t="s">
        <v>132</v>
      </c>
    </row>
    <row r="11" spans="1:43" x14ac:dyDescent="0.45">
      <c r="B11" s="15"/>
      <c r="C11" s="15" t="s">
        <v>423</v>
      </c>
      <c r="D11" t="s">
        <v>424</v>
      </c>
      <c r="F11" t="s">
        <v>423</v>
      </c>
      <c r="G11" t="s">
        <v>797</v>
      </c>
      <c r="I11" t="s">
        <v>423</v>
      </c>
      <c r="J11" t="s">
        <v>1309</v>
      </c>
      <c r="L11" t="s">
        <v>423</v>
      </c>
      <c r="M11" t="s">
        <v>1960</v>
      </c>
      <c r="O11" t="s">
        <v>423</v>
      </c>
      <c r="P11" t="s">
        <v>2010</v>
      </c>
      <c r="R11" t="s">
        <v>423</v>
      </c>
      <c r="S11" t="s">
        <v>2013</v>
      </c>
      <c r="U11" t="s">
        <v>423</v>
      </c>
      <c r="V11" t="s">
        <v>2015</v>
      </c>
      <c r="X11" t="s">
        <v>423</v>
      </c>
      <c r="Y11" t="s">
        <v>2018</v>
      </c>
      <c r="AA11" t="s">
        <v>423</v>
      </c>
      <c r="AB11" t="s">
        <v>2020</v>
      </c>
      <c r="AD11" t="s">
        <v>423</v>
      </c>
      <c r="AE11" t="s">
        <v>2022</v>
      </c>
      <c r="AG11" t="s">
        <v>423</v>
      </c>
      <c r="AH11" t="s">
        <v>2024</v>
      </c>
      <c r="AJ11" t="s">
        <v>423</v>
      </c>
      <c r="AK11" t="s">
        <v>2026</v>
      </c>
      <c r="AM11" t="s">
        <v>423</v>
      </c>
      <c r="AN11" t="s">
        <v>2030</v>
      </c>
      <c r="AP11" t="s">
        <v>423</v>
      </c>
      <c r="AQ11" t="s">
        <v>2049</v>
      </c>
    </row>
    <row r="12" spans="1:43" x14ac:dyDescent="0.45">
      <c r="B12" s="15"/>
      <c r="C12" s="15" t="s">
        <v>425</v>
      </c>
      <c r="D12" t="s">
        <v>426</v>
      </c>
      <c r="F12" t="s">
        <v>425</v>
      </c>
      <c r="G12" t="s">
        <v>798</v>
      </c>
      <c r="I12" t="s">
        <v>425</v>
      </c>
      <c r="J12" t="s">
        <v>1310</v>
      </c>
      <c r="L12" t="s">
        <v>425</v>
      </c>
      <c r="M12" t="s">
        <v>1961</v>
      </c>
      <c r="O12" t="s">
        <v>425</v>
      </c>
      <c r="P12" t="s">
        <v>2011</v>
      </c>
      <c r="R12" t="s">
        <v>425</v>
      </c>
      <c r="S12" t="s">
        <v>2014</v>
      </c>
      <c r="U12" t="s">
        <v>425</v>
      </c>
      <c r="V12" t="s">
        <v>2016</v>
      </c>
      <c r="X12" t="s">
        <v>425</v>
      </c>
      <c r="Y12" t="s">
        <v>2019</v>
      </c>
      <c r="AA12" t="s">
        <v>425</v>
      </c>
      <c r="AB12" t="s">
        <v>2021</v>
      </c>
      <c r="AD12" t="s">
        <v>425</v>
      </c>
      <c r="AE12" t="s">
        <v>2023</v>
      </c>
      <c r="AG12" t="s">
        <v>425</v>
      </c>
      <c r="AH12" t="s">
        <v>2025</v>
      </c>
      <c r="AJ12" t="s">
        <v>425</v>
      </c>
      <c r="AK12" t="s">
        <v>2027</v>
      </c>
      <c r="AM12" t="s">
        <v>425</v>
      </c>
      <c r="AN12" t="s">
        <v>2030</v>
      </c>
      <c r="AP12" t="s">
        <v>425</v>
      </c>
      <c r="AQ12" t="s">
        <v>2050</v>
      </c>
    </row>
    <row r="17" spans="3:13" x14ac:dyDescent="0.45">
      <c r="I17" s="12">
        <v>0.75</v>
      </c>
      <c r="K17" s="2" t="s">
        <v>85</v>
      </c>
    </row>
    <row r="18" spans="3:13" ht="17.649999999999999" thickBot="1" x14ac:dyDescent="0.6">
      <c r="C18" s="13" t="s">
        <v>86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87</v>
      </c>
      <c r="D22" s="14" t="s">
        <v>88</v>
      </c>
      <c r="E22" s="14" t="s">
        <v>89</v>
      </c>
      <c r="F22" s="14" t="s">
        <v>90</v>
      </c>
      <c r="G22" s="14" t="s">
        <v>91</v>
      </c>
      <c r="H22" s="14" t="s">
        <v>92</v>
      </c>
      <c r="I22" s="14" t="s">
        <v>93</v>
      </c>
      <c r="J22" s="14" t="s">
        <v>94</v>
      </c>
      <c r="K22" s="14" t="s">
        <v>95</v>
      </c>
    </row>
    <row r="23" spans="3:13" x14ac:dyDescent="0.45">
      <c r="C23" t="s">
        <v>96</v>
      </c>
      <c r="D23" t="s">
        <v>97</v>
      </c>
      <c r="E23" t="str">
        <f>G23</f>
        <v>AuxStoIN</v>
      </c>
      <c r="F23" t="s">
        <v>98</v>
      </c>
      <c r="G23" t="s">
        <v>99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100</v>
      </c>
    </row>
    <row r="24" spans="3:13" x14ac:dyDescent="0.45">
      <c r="D24" t="s">
        <v>97</v>
      </c>
      <c r="E24" t="str">
        <f>G24</f>
        <v>AuxStoIN</v>
      </c>
      <c r="F24" t="s">
        <v>98</v>
      </c>
      <c r="G24" t="s">
        <v>99</v>
      </c>
      <c r="H24" t="str">
        <f>HLOOKUP($A$10,$D$10:$CU$12,2,FALSE)</f>
        <v>AllSaAllH</v>
      </c>
      <c r="I24">
        <f>-$I$17</f>
        <v>-0.75</v>
      </c>
      <c r="M24" t="s">
        <v>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BA670-707C-4B1E-8095-0D539FEEDC55}">
  <dimension ref="A9:AN35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102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122</v>
      </c>
      <c r="K10" t="s">
        <v>248</v>
      </c>
      <c r="L10" t="s">
        <v>30</v>
      </c>
      <c r="N10" t="s">
        <v>13</v>
      </c>
      <c r="O10" t="s">
        <v>122</v>
      </c>
      <c r="P10" t="s">
        <v>248</v>
      </c>
      <c r="Q10" t="s">
        <v>30</v>
      </c>
      <c r="S10" t="s">
        <v>13</v>
      </c>
      <c r="T10" t="s">
        <v>122</v>
      </c>
      <c r="U10" t="s">
        <v>248</v>
      </c>
      <c r="V10" t="s">
        <v>30</v>
      </c>
      <c r="X10" t="s">
        <v>421</v>
      </c>
      <c r="Y10" t="s">
        <v>248</v>
      </c>
      <c r="Z10" t="s">
        <v>122</v>
      </c>
      <c r="AA10" t="s">
        <v>13</v>
      </c>
      <c r="AC10" t="s">
        <v>13</v>
      </c>
      <c r="AD10" t="s">
        <v>122</v>
      </c>
      <c r="AE10" t="s">
        <v>248</v>
      </c>
      <c r="AG10" t="s">
        <v>13</v>
      </c>
      <c r="AH10" t="s">
        <v>122</v>
      </c>
      <c r="AI10" t="s">
        <v>427</v>
      </c>
      <c r="AK10" t="s">
        <v>47</v>
      </c>
      <c r="AL10" t="s">
        <v>122</v>
      </c>
      <c r="AM10" t="s">
        <v>428</v>
      </c>
      <c r="AN10" t="s">
        <v>429</v>
      </c>
    </row>
    <row r="11" spans="1:40" x14ac:dyDescent="0.45">
      <c r="A11" t="str">
        <f>IFERROR(IF(Veda!D5=A10,"ok","x"),"")</f>
        <v>x</v>
      </c>
      <c r="C11" t="s">
        <v>151</v>
      </c>
      <c r="D11" t="s">
        <v>152</v>
      </c>
      <c r="E11" t="s">
        <v>153</v>
      </c>
      <c r="F11" t="s">
        <v>154</v>
      </c>
      <c r="G11" t="s">
        <v>155</v>
      </c>
      <c r="I11" t="s">
        <v>249</v>
      </c>
      <c r="J11" t="s">
        <v>250</v>
      </c>
      <c r="K11">
        <v>0</v>
      </c>
      <c r="L11" t="s">
        <v>251</v>
      </c>
      <c r="N11" t="s">
        <v>419</v>
      </c>
      <c r="O11" t="s">
        <v>250</v>
      </c>
      <c r="P11">
        <v>1.7870835987201485E-2</v>
      </c>
      <c r="Q11" t="s">
        <v>251</v>
      </c>
      <c r="S11" t="s">
        <v>420</v>
      </c>
      <c r="T11" t="s">
        <v>250</v>
      </c>
      <c r="U11">
        <v>1.8804923305469411E-2</v>
      </c>
      <c r="V11" t="s">
        <v>251</v>
      </c>
      <c r="X11">
        <v>2.4771689497716895E-2</v>
      </c>
      <c r="Y11">
        <v>9.7827942553597048E-3</v>
      </c>
      <c r="Z11" t="s">
        <v>250</v>
      </c>
      <c r="AA11" t="s">
        <v>25</v>
      </c>
      <c r="AC11" t="s">
        <v>22</v>
      </c>
      <c r="AD11" t="s">
        <v>250</v>
      </c>
      <c r="AE11">
        <v>1.949452943339923E-2</v>
      </c>
      <c r="AG11" t="s">
        <v>97</v>
      </c>
      <c r="AH11" t="s">
        <v>250</v>
      </c>
      <c r="AI11">
        <v>0.10127753898572567</v>
      </c>
      <c r="AK11">
        <v>2020</v>
      </c>
      <c r="AL11" t="s">
        <v>151</v>
      </c>
      <c r="AM11">
        <v>0.2698110913113228</v>
      </c>
      <c r="AN11" t="s">
        <v>430</v>
      </c>
    </row>
    <row r="12" spans="1:40" x14ac:dyDescent="0.45">
      <c r="C12" t="s">
        <v>156</v>
      </c>
      <c r="D12" t="s">
        <v>155</v>
      </c>
      <c r="E12" t="s">
        <v>157</v>
      </c>
      <c r="F12" t="s">
        <v>158</v>
      </c>
      <c r="G12" t="s">
        <v>155</v>
      </c>
      <c r="I12" t="s">
        <v>249</v>
      </c>
      <c r="J12" t="s">
        <v>252</v>
      </c>
      <c r="K12">
        <v>1.5156644477423446E-3</v>
      </c>
      <c r="L12" t="s">
        <v>251</v>
      </c>
      <c r="N12" t="s">
        <v>419</v>
      </c>
      <c r="O12" t="s">
        <v>252</v>
      </c>
      <c r="P12">
        <v>1.9241151758176208E-3</v>
      </c>
      <c r="Q12" t="s">
        <v>251</v>
      </c>
      <c r="S12" t="s">
        <v>420</v>
      </c>
      <c r="T12" t="s">
        <v>252</v>
      </c>
      <c r="U12">
        <v>2.4994659436263973E-3</v>
      </c>
      <c r="V12" t="s">
        <v>251</v>
      </c>
      <c r="X12">
        <v>3.5388127853881279E-3</v>
      </c>
      <c r="Y12">
        <v>5.9087255218821738E-3</v>
      </c>
      <c r="Z12" t="s">
        <v>252</v>
      </c>
      <c r="AA12" t="s">
        <v>25</v>
      </c>
      <c r="AC12" t="s">
        <v>22</v>
      </c>
      <c r="AD12" t="s">
        <v>252</v>
      </c>
      <c r="AE12">
        <v>3.1657926352740033E-3</v>
      </c>
      <c r="AG12" t="s">
        <v>97</v>
      </c>
      <c r="AH12" t="s">
        <v>252</v>
      </c>
      <c r="AI12">
        <v>2.7713627671200891E-2</v>
      </c>
      <c r="AK12">
        <v>2020</v>
      </c>
      <c r="AL12" t="s">
        <v>156</v>
      </c>
      <c r="AM12">
        <v>0.28091924024938381</v>
      </c>
      <c r="AN12" t="s">
        <v>430</v>
      </c>
    </row>
    <row r="13" spans="1:40" x14ac:dyDescent="0.45">
      <c r="C13" t="s">
        <v>159</v>
      </c>
      <c r="D13" t="s">
        <v>160</v>
      </c>
      <c r="E13" t="s">
        <v>161</v>
      </c>
      <c r="F13" t="s">
        <v>162</v>
      </c>
      <c r="G13" t="s">
        <v>155</v>
      </c>
      <c r="I13" t="s">
        <v>249</v>
      </c>
      <c r="J13" t="s">
        <v>253</v>
      </c>
      <c r="K13">
        <v>6.0907786952883094E-3</v>
      </c>
      <c r="L13" t="s">
        <v>251</v>
      </c>
      <c r="N13" t="s">
        <v>419</v>
      </c>
      <c r="O13" t="s">
        <v>253</v>
      </c>
      <c r="P13">
        <v>1.3264422841106609E-3</v>
      </c>
      <c r="Q13" t="s">
        <v>251</v>
      </c>
      <c r="S13" t="s">
        <v>420</v>
      </c>
      <c r="T13" t="s">
        <v>253</v>
      </c>
      <c r="U13">
        <v>2.4236393429404191E-3</v>
      </c>
      <c r="V13" t="s">
        <v>251</v>
      </c>
      <c r="X13">
        <v>3.5388127853881279E-3</v>
      </c>
      <c r="Y13">
        <v>4.521459529788099E-3</v>
      </c>
      <c r="Z13" t="s">
        <v>253</v>
      </c>
      <c r="AA13" t="s">
        <v>25</v>
      </c>
      <c r="AC13" t="s">
        <v>22</v>
      </c>
      <c r="AD13" t="s">
        <v>253</v>
      </c>
      <c r="AE13">
        <v>3.2675077100406246E-3</v>
      </c>
      <c r="AG13" t="s">
        <v>97</v>
      </c>
      <c r="AH13" t="s">
        <v>253</v>
      </c>
      <c r="AI13">
        <v>5.3468428145687641E-2</v>
      </c>
      <c r="AK13">
        <v>2020</v>
      </c>
      <c r="AL13" t="s">
        <v>159</v>
      </c>
      <c r="AM13">
        <v>0.28179619937607281</v>
      </c>
      <c r="AN13" t="s">
        <v>430</v>
      </c>
    </row>
    <row r="14" spans="1:40" x14ac:dyDescent="0.45">
      <c r="C14" t="s">
        <v>163</v>
      </c>
      <c r="D14" t="s">
        <v>164</v>
      </c>
      <c r="E14" t="s">
        <v>165</v>
      </c>
      <c r="F14" t="s">
        <v>166</v>
      </c>
      <c r="G14" t="s">
        <v>155</v>
      </c>
      <c r="I14" t="s">
        <v>249</v>
      </c>
      <c r="J14" t="s">
        <v>254</v>
      </c>
      <c r="K14">
        <v>8.8262464634354994E-3</v>
      </c>
      <c r="L14" t="s">
        <v>251</v>
      </c>
      <c r="N14" t="s">
        <v>419</v>
      </c>
      <c r="O14" t="s">
        <v>254</v>
      </c>
      <c r="P14">
        <v>1.0431621995471597E-3</v>
      </c>
      <c r="Q14" t="s">
        <v>251</v>
      </c>
      <c r="S14" t="s">
        <v>420</v>
      </c>
      <c r="T14" t="s">
        <v>254</v>
      </c>
      <c r="U14">
        <v>2.3370906629166972E-3</v>
      </c>
      <c r="V14" t="s">
        <v>251</v>
      </c>
      <c r="X14">
        <v>3.5388127853881279E-3</v>
      </c>
      <c r="Y14">
        <v>4.4803553522445696E-3</v>
      </c>
      <c r="Z14" t="s">
        <v>254</v>
      </c>
      <c r="AA14" t="s">
        <v>25</v>
      </c>
      <c r="AC14" t="s">
        <v>22</v>
      </c>
      <c r="AD14" t="s">
        <v>254</v>
      </c>
      <c r="AE14">
        <v>3.312860856965701E-3</v>
      </c>
      <c r="AG14" t="s">
        <v>97</v>
      </c>
      <c r="AH14" t="s">
        <v>254</v>
      </c>
      <c r="AI14">
        <v>5.848083541293625E-2</v>
      </c>
      <c r="AK14">
        <v>2020</v>
      </c>
      <c r="AL14" t="s">
        <v>163</v>
      </c>
      <c r="AM14">
        <v>0.3265308588275096</v>
      </c>
      <c r="AN14" t="s">
        <v>430</v>
      </c>
    </row>
    <row r="15" spans="1:40" x14ac:dyDescent="0.45">
      <c r="C15" t="s">
        <v>167</v>
      </c>
      <c r="E15" t="s">
        <v>168</v>
      </c>
      <c r="G15" t="s">
        <v>155</v>
      </c>
      <c r="I15" t="s">
        <v>249</v>
      </c>
      <c r="J15" t="s">
        <v>255</v>
      </c>
      <c r="K15">
        <v>6.8054972448293893E-2</v>
      </c>
      <c r="L15" t="s">
        <v>251</v>
      </c>
      <c r="N15" t="s">
        <v>419</v>
      </c>
      <c r="O15" t="s">
        <v>255</v>
      </c>
      <c r="P15">
        <v>6.432084773477645E-3</v>
      </c>
      <c r="Q15" t="s">
        <v>251</v>
      </c>
      <c r="S15" t="s">
        <v>420</v>
      </c>
      <c r="T15" t="s">
        <v>255</v>
      </c>
      <c r="U15">
        <v>1.4185336142442046E-2</v>
      </c>
      <c r="V15" t="s">
        <v>251</v>
      </c>
      <c r="X15">
        <v>2.4771689497716895E-2</v>
      </c>
      <c r="Y15">
        <v>3.4650821669194247E-2</v>
      </c>
      <c r="Z15" t="s">
        <v>255</v>
      </c>
      <c r="AA15" t="s">
        <v>25</v>
      </c>
      <c r="AC15" t="s">
        <v>22</v>
      </c>
      <c r="AD15" t="s">
        <v>255</v>
      </c>
      <c r="AE15">
        <v>2.5061802859319558E-2</v>
      </c>
      <c r="AG15" t="s">
        <v>97</v>
      </c>
      <c r="AH15" t="s">
        <v>255</v>
      </c>
      <c r="AI15">
        <v>8.590995507981436E-2</v>
      </c>
      <c r="AK15">
        <v>2020</v>
      </c>
      <c r="AL15" t="s">
        <v>167</v>
      </c>
      <c r="AM15">
        <v>0.43263316916658479</v>
      </c>
      <c r="AN15" t="s">
        <v>430</v>
      </c>
    </row>
    <row r="16" spans="1:40" x14ac:dyDescent="0.45">
      <c r="C16" t="s">
        <v>169</v>
      </c>
      <c r="E16" t="s">
        <v>170</v>
      </c>
      <c r="G16" t="s">
        <v>155</v>
      </c>
      <c r="I16" t="s">
        <v>249</v>
      </c>
      <c r="J16" t="s">
        <v>256</v>
      </c>
      <c r="K16">
        <v>6.3045631172925004E-3</v>
      </c>
      <c r="L16" t="s">
        <v>251</v>
      </c>
      <c r="N16" t="s">
        <v>419</v>
      </c>
      <c r="O16" t="s">
        <v>256</v>
      </c>
      <c r="P16">
        <v>1.1229787319966876E-3</v>
      </c>
      <c r="Q16" t="s">
        <v>251</v>
      </c>
      <c r="S16" t="s">
        <v>420</v>
      </c>
      <c r="T16" t="s">
        <v>256</v>
      </c>
      <c r="U16">
        <v>2.2277816707203545E-3</v>
      </c>
      <c r="V16" t="s">
        <v>251</v>
      </c>
      <c r="X16">
        <v>3.5388127853881279E-3</v>
      </c>
      <c r="Y16">
        <v>6.8849497385409693E-3</v>
      </c>
      <c r="Z16" t="s">
        <v>256</v>
      </c>
      <c r="AA16" t="s">
        <v>25</v>
      </c>
      <c r="AC16" t="s">
        <v>22</v>
      </c>
      <c r="AD16" t="s">
        <v>256</v>
      </c>
      <c r="AE16">
        <v>2.0364327629016658E-3</v>
      </c>
      <c r="AG16" t="s">
        <v>97</v>
      </c>
      <c r="AH16" t="s">
        <v>256</v>
      </c>
      <c r="AI16">
        <v>0.13177806983731877</v>
      </c>
      <c r="AK16">
        <v>2020</v>
      </c>
      <c r="AL16" t="s">
        <v>169</v>
      </c>
      <c r="AM16">
        <v>0.53857957566091541</v>
      </c>
      <c r="AN16" t="s">
        <v>430</v>
      </c>
    </row>
    <row r="17" spans="3:40" x14ac:dyDescent="0.45">
      <c r="C17" t="s">
        <v>171</v>
      </c>
      <c r="E17" t="s">
        <v>172</v>
      </c>
      <c r="G17" t="s">
        <v>155</v>
      </c>
      <c r="I17" t="s">
        <v>249</v>
      </c>
      <c r="J17" t="s">
        <v>257</v>
      </c>
      <c r="K17">
        <v>1.9471601344935659E-3</v>
      </c>
      <c r="L17" t="s">
        <v>251</v>
      </c>
      <c r="N17" t="s">
        <v>419</v>
      </c>
      <c r="O17" t="s">
        <v>257</v>
      </c>
      <c r="P17">
        <v>1.7169265539782872E-3</v>
      </c>
      <c r="Q17" t="s">
        <v>251</v>
      </c>
      <c r="S17" t="s">
        <v>420</v>
      </c>
      <c r="T17" t="s">
        <v>257</v>
      </c>
      <c r="U17">
        <v>2.3637794363564149E-3</v>
      </c>
      <c r="V17" t="s">
        <v>251</v>
      </c>
      <c r="X17">
        <v>3.5388127853881279E-3</v>
      </c>
      <c r="Y17">
        <v>5.3435430806586613E-3</v>
      </c>
      <c r="Z17" t="s">
        <v>257</v>
      </c>
      <c r="AA17" t="s">
        <v>25</v>
      </c>
      <c r="AC17" t="s">
        <v>22</v>
      </c>
      <c r="AD17" t="s">
        <v>257</v>
      </c>
      <c r="AE17">
        <v>9.1182133949866144E-4</v>
      </c>
      <c r="AG17" t="s">
        <v>97</v>
      </c>
      <c r="AH17" t="s">
        <v>257</v>
      </c>
      <c r="AI17">
        <v>2.5642555722991123E-2</v>
      </c>
      <c r="AK17">
        <v>2020</v>
      </c>
      <c r="AL17" t="s">
        <v>171</v>
      </c>
      <c r="AM17">
        <v>0.55540744690304811</v>
      </c>
      <c r="AN17" t="s">
        <v>430</v>
      </c>
    </row>
    <row r="18" spans="3:40" x14ac:dyDescent="0.45">
      <c r="C18" t="s">
        <v>158</v>
      </c>
      <c r="E18" t="s">
        <v>173</v>
      </c>
      <c r="G18" t="s">
        <v>155</v>
      </c>
      <c r="I18" t="s">
        <v>249</v>
      </c>
      <c r="J18" t="s">
        <v>258</v>
      </c>
      <c r="K18">
        <v>0</v>
      </c>
      <c r="L18" t="s">
        <v>251</v>
      </c>
      <c r="N18" t="s">
        <v>419</v>
      </c>
      <c r="O18" t="s">
        <v>258</v>
      </c>
      <c r="P18">
        <v>1.4808898500501662E-2</v>
      </c>
      <c r="Q18" t="s">
        <v>251</v>
      </c>
      <c r="S18" t="s">
        <v>420</v>
      </c>
      <c r="T18" t="s">
        <v>258</v>
      </c>
      <c r="U18">
        <v>1.2894079630715663E-2</v>
      </c>
      <c r="V18" t="s">
        <v>251</v>
      </c>
      <c r="X18">
        <v>1.7694063926940638E-2</v>
      </c>
      <c r="Y18">
        <v>1.3358857701646654E-2</v>
      </c>
      <c r="Z18" t="s">
        <v>258</v>
      </c>
      <c r="AA18" t="s">
        <v>25</v>
      </c>
      <c r="AC18" t="s">
        <v>22</v>
      </c>
      <c r="AD18" t="s">
        <v>258</v>
      </c>
      <c r="AE18">
        <v>4.8624804450542597E-3</v>
      </c>
      <c r="AG18" t="s">
        <v>97</v>
      </c>
      <c r="AH18" t="s">
        <v>258</v>
      </c>
      <c r="AI18">
        <v>0.14420377925344408</v>
      </c>
      <c r="AK18">
        <v>2020</v>
      </c>
      <c r="AL18" t="s">
        <v>158</v>
      </c>
      <c r="AM18">
        <v>0.59107045138840164</v>
      </c>
      <c r="AN18" t="s">
        <v>430</v>
      </c>
    </row>
    <row r="19" spans="3:40" x14ac:dyDescent="0.45">
      <c r="C19" t="s">
        <v>162</v>
      </c>
      <c r="E19" t="s">
        <v>174</v>
      </c>
      <c r="G19" t="s">
        <v>155</v>
      </c>
      <c r="I19" t="s">
        <v>249</v>
      </c>
      <c r="J19" t="s">
        <v>259</v>
      </c>
      <c r="K19">
        <v>0</v>
      </c>
      <c r="L19" t="s">
        <v>251</v>
      </c>
      <c r="N19" t="s">
        <v>419</v>
      </c>
      <c r="O19" t="s">
        <v>259</v>
      </c>
      <c r="P19">
        <v>1.6839964131480336E-2</v>
      </c>
      <c r="Q19" t="s">
        <v>251</v>
      </c>
      <c r="S19" t="s">
        <v>420</v>
      </c>
      <c r="T19" t="s">
        <v>259</v>
      </c>
      <c r="U19">
        <v>1.4357734927052774E-2</v>
      </c>
      <c r="V19" t="s">
        <v>251</v>
      </c>
      <c r="X19">
        <v>2.2374429223744292E-2</v>
      </c>
      <c r="Y19">
        <v>8.8360722306474754E-3</v>
      </c>
      <c r="Z19" t="s">
        <v>259</v>
      </c>
      <c r="AA19" t="s">
        <v>25</v>
      </c>
      <c r="AC19" t="s">
        <v>22</v>
      </c>
      <c r="AD19" t="s">
        <v>259</v>
      </c>
      <c r="AE19">
        <v>1.7740078321897119E-2</v>
      </c>
      <c r="AG19" t="s">
        <v>97</v>
      </c>
      <c r="AH19" t="s">
        <v>259</v>
      </c>
      <c r="AI19">
        <v>0.14633377109330481</v>
      </c>
      <c r="AK19">
        <v>2020</v>
      </c>
      <c r="AL19" t="s">
        <v>162</v>
      </c>
      <c r="AM19">
        <v>0.61228311826397963</v>
      </c>
      <c r="AN19" t="s">
        <v>430</v>
      </c>
    </row>
    <row r="20" spans="3:40" x14ac:dyDescent="0.45">
      <c r="C20" t="s">
        <v>175</v>
      </c>
      <c r="E20" t="s">
        <v>176</v>
      </c>
      <c r="G20" t="s">
        <v>155</v>
      </c>
      <c r="I20" t="s">
        <v>249</v>
      </c>
      <c r="J20" t="s">
        <v>260</v>
      </c>
      <c r="K20">
        <v>1.3744729811050727E-3</v>
      </c>
      <c r="L20" t="s">
        <v>251</v>
      </c>
      <c r="N20" t="s">
        <v>419</v>
      </c>
      <c r="O20" t="s">
        <v>260</v>
      </c>
      <c r="P20">
        <v>1.675421865146762E-3</v>
      </c>
      <c r="Q20" t="s">
        <v>251</v>
      </c>
      <c r="S20" t="s">
        <v>420</v>
      </c>
      <c r="T20" t="s">
        <v>260</v>
      </c>
      <c r="U20">
        <v>2.0874895392113909E-3</v>
      </c>
      <c r="V20" t="s">
        <v>251</v>
      </c>
      <c r="X20">
        <v>3.1963470319634705E-3</v>
      </c>
      <c r="Y20">
        <v>5.3369133746032542E-3</v>
      </c>
      <c r="Z20" t="s">
        <v>260</v>
      </c>
      <c r="AA20" t="s">
        <v>25</v>
      </c>
      <c r="AC20" t="s">
        <v>22</v>
      </c>
      <c r="AD20" t="s">
        <v>260</v>
      </c>
      <c r="AE20">
        <v>3.0869304791650691E-3</v>
      </c>
      <c r="AG20" t="s">
        <v>97</v>
      </c>
      <c r="AH20" t="s">
        <v>260</v>
      </c>
      <c r="AI20">
        <v>5.0572918025461489E-2</v>
      </c>
      <c r="AK20">
        <v>2020</v>
      </c>
      <c r="AL20" t="s">
        <v>175</v>
      </c>
      <c r="AM20">
        <v>0.41918646255735309</v>
      </c>
      <c r="AN20" t="s">
        <v>430</v>
      </c>
    </row>
    <row r="21" spans="3:40" x14ac:dyDescent="0.45">
      <c r="C21" t="s">
        <v>166</v>
      </c>
      <c r="E21" t="s">
        <v>177</v>
      </c>
      <c r="G21" t="s">
        <v>155</v>
      </c>
      <c r="I21" t="s">
        <v>249</v>
      </c>
      <c r="J21" t="s">
        <v>261</v>
      </c>
      <c r="K21">
        <v>5.6351738993605004E-3</v>
      </c>
      <c r="L21" t="s">
        <v>251</v>
      </c>
      <c r="N21" t="s">
        <v>419</v>
      </c>
      <c r="O21" t="s">
        <v>261</v>
      </c>
      <c r="P21">
        <v>1.1556557148236276E-3</v>
      </c>
      <c r="Q21" t="s">
        <v>251</v>
      </c>
      <c r="S21" t="s">
        <v>420</v>
      </c>
      <c r="T21" t="s">
        <v>261</v>
      </c>
      <c r="U21">
        <v>2.0457665836738988E-3</v>
      </c>
      <c r="V21" t="s">
        <v>251</v>
      </c>
      <c r="X21">
        <v>3.1963470319634705E-3</v>
      </c>
      <c r="Y21">
        <v>4.0838989301311864E-3</v>
      </c>
      <c r="Z21" t="s">
        <v>261</v>
      </c>
      <c r="AA21" t="s">
        <v>25</v>
      </c>
      <c r="AC21" t="s">
        <v>22</v>
      </c>
      <c r="AD21" t="s">
        <v>261</v>
      </c>
      <c r="AE21">
        <v>3.1947187109781102E-3</v>
      </c>
      <c r="AG21" t="s">
        <v>97</v>
      </c>
      <c r="AH21" t="s">
        <v>261</v>
      </c>
      <c r="AI21">
        <v>4.3209447839231307E-2</v>
      </c>
      <c r="AK21">
        <v>2020</v>
      </c>
      <c r="AL21" t="s">
        <v>166</v>
      </c>
      <c r="AM21">
        <v>0.28001304915180508</v>
      </c>
      <c r="AN21" t="s">
        <v>430</v>
      </c>
    </row>
    <row r="22" spans="3:40" x14ac:dyDescent="0.45">
      <c r="C22" t="s">
        <v>178</v>
      </c>
      <c r="E22" t="s">
        <v>179</v>
      </c>
      <c r="G22" t="s">
        <v>155</v>
      </c>
      <c r="I22" t="s">
        <v>249</v>
      </c>
      <c r="J22" t="s">
        <v>262</v>
      </c>
      <c r="K22">
        <v>8.0353932514736996E-3</v>
      </c>
      <c r="L22" t="s">
        <v>251</v>
      </c>
      <c r="N22" t="s">
        <v>419</v>
      </c>
      <c r="O22" t="s">
        <v>262</v>
      </c>
      <c r="P22">
        <v>1.0616092047809685E-3</v>
      </c>
      <c r="Q22" t="s">
        <v>251</v>
      </c>
      <c r="S22" t="s">
        <v>420</v>
      </c>
      <c r="T22" t="s">
        <v>262</v>
      </c>
      <c r="U22">
        <v>1.9680906790904224E-3</v>
      </c>
      <c r="V22" t="s">
        <v>251</v>
      </c>
      <c r="X22">
        <v>3.1963470319634705E-3</v>
      </c>
      <c r="Y22">
        <v>4.0467725762209023E-3</v>
      </c>
      <c r="Z22" t="s">
        <v>262</v>
      </c>
      <c r="AA22" t="s">
        <v>25</v>
      </c>
      <c r="AC22" t="s">
        <v>22</v>
      </c>
      <c r="AD22" t="s">
        <v>262</v>
      </c>
      <c r="AE22">
        <v>3.2472558088544453E-3</v>
      </c>
      <c r="AG22" t="s">
        <v>97</v>
      </c>
      <c r="AH22" t="s">
        <v>262</v>
      </c>
      <c r="AI22">
        <v>5.3013612391023646E-2</v>
      </c>
      <c r="AK22">
        <v>2020</v>
      </c>
      <c r="AL22" t="s">
        <v>178</v>
      </c>
      <c r="AM22">
        <v>0.25899526208215817</v>
      </c>
      <c r="AN22" t="s">
        <v>430</v>
      </c>
    </row>
    <row r="23" spans="3:40" x14ac:dyDescent="0.45">
      <c r="E23" t="s">
        <v>180</v>
      </c>
      <c r="G23" t="s">
        <v>155</v>
      </c>
      <c r="I23" t="s">
        <v>249</v>
      </c>
      <c r="J23" t="s">
        <v>263</v>
      </c>
      <c r="K23">
        <v>6.2216285412588598E-2</v>
      </c>
      <c r="L23" t="s">
        <v>251</v>
      </c>
      <c r="N23" t="s">
        <v>419</v>
      </c>
      <c r="O23" t="s">
        <v>263</v>
      </c>
      <c r="P23">
        <v>8.1032721134406665E-3</v>
      </c>
      <c r="Q23" t="s">
        <v>251</v>
      </c>
      <c r="S23" t="s">
        <v>420</v>
      </c>
      <c r="T23" t="s">
        <v>263</v>
      </c>
      <c r="U23">
        <v>1.1931276034789457E-2</v>
      </c>
      <c r="V23" t="s">
        <v>251</v>
      </c>
      <c r="X23">
        <v>2.2374429223744292E-2</v>
      </c>
      <c r="Y23">
        <v>3.1297516346368993E-2</v>
      </c>
      <c r="Z23" t="s">
        <v>263</v>
      </c>
      <c r="AA23" t="s">
        <v>25</v>
      </c>
      <c r="AC23" t="s">
        <v>22</v>
      </c>
      <c r="AD23" t="s">
        <v>263</v>
      </c>
      <c r="AE23">
        <v>2.3621561585166231E-2</v>
      </c>
      <c r="AG23" t="s">
        <v>97</v>
      </c>
      <c r="AH23" t="s">
        <v>263</v>
      </c>
      <c r="AI23">
        <v>0.18724621409254349</v>
      </c>
      <c r="AK23">
        <v>2021</v>
      </c>
      <c r="AL23" t="s">
        <v>151</v>
      </c>
      <c r="AM23">
        <v>0.24537183889815969</v>
      </c>
      <c r="AN23" t="s">
        <v>430</v>
      </c>
    </row>
    <row r="24" spans="3:40" x14ac:dyDescent="0.45">
      <c r="E24" t="s">
        <v>181</v>
      </c>
      <c r="G24" t="s">
        <v>155</v>
      </c>
      <c r="I24" t="s">
        <v>249</v>
      </c>
      <c r="J24" t="s">
        <v>264</v>
      </c>
      <c r="K24">
        <v>5.8968813723748997E-3</v>
      </c>
      <c r="L24" t="s">
        <v>251</v>
      </c>
      <c r="N24" t="s">
        <v>419</v>
      </c>
      <c r="O24" t="s">
        <v>264</v>
      </c>
      <c r="P24">
        <v>1.5021228212447084E-3</v>
      </c>
      <c r="Q24" t="s">
        <v>251</v>
      </c>
      <c r="S24" t="s">
        <v>420</v>
      </c>
      <c r="T24" t="s">
        <v>264</v>
      </c>
      <c r="U24">
        <v>1.8782052620364214E-3</v>
      </c>
      <c r="V24" t="s">
        <v>251</v>
      </c>
      <c r="X24">
        <v>3.1963470319634705E-3</v>
      </c>
      <c r="Y24">
        <v>6.2186642799724884E-3</v>
      </c>
      <c r="Z24" t="s">
        <v>264</v>
      </c>
      <c r="AA24" t="s">
        <v>25</v>
      </c>
      <c r="AC24" t="s">
        <v>22</v>
      </c>
      <c r="AD24" t="s">
        <v>264</v>
      </c>
      <c r="AE24">
        <v>1.550549872097061E-3</v>
      </c>
      <c r="AG24" t="s">
        <v>97</v>
      </c>
      <c r="AH24" t="s">
        <v>264</v>
      </c>
      <c r="AI24">
        <v>3.8164786322408384E-2</v>
      </c>
      <c r="AK24">
        <v>2021</v>
      </c>
      <c r="AL24" t="s">
        <v>156</v>
      </c>
      <c r="AM24">
        <v>0.24748569799873779</v>
      </c>
      <c r="AN24" t="s">
        <v>430</v>
      </c>
    </row>
    <row r="25" spans="3:40" x14ac:dyDescent="0.45">
      <c r="E25" t="s">
        <v>182</v>
      </c>
      <c r="G25" t="s">
        <v>155</v>
      </c>
      <c r="I25" t="s">
        <v>249</v>
      </c>
      <c r="J25" t="s">
        <v>265</v>
      </c>
      <c r="K25">
        <v>2.5564716072675395E-3</v>
      </c>
      <c r="L25" t="s">
        <v>251</v>
      </c>
      <c r="N25" t="s">
        <v>419</v>
      </c>
      <c r="O25" t="s">
        <v>265</v>
      </c>
      <c r="P25">
        <v>1.9679905989127169E-3</v>
      </c>
      <c r="Q25" t="s">
        <v>251</v>
      </c>
      <c r="S25" t="s">
        <v>420</v>
      </c>
      <c r="T25" t="s">
        <v>265</v>
      </c>
      <c r="U25">
        <v>1.9764555667397491E-3</v>
      </c>
      <c r="V25" t="s">
        <v>251</v>
      </c>
      <c r="X25">
        <v>3.1963470319634705E-3</v>
      </c>
      <c r="Y25">
        <v>4.8264260083368555E-3</v>
      </c>
      <c r="Z25" t="s">
        <v>265</v>
      </c>
      <c r="AA25" t="s">
        <v>25</v>
      </c>
      <c r="AC25" t="s">
        <v>22</v>
      </c>
      <c r="AD25" t="s">
        <v>265</v>
      </c>
      <c r="AE25">
        <v>8.6897921041426216E-4</v>
      </c>
      <c r="AG25" t="s">
        <v>97</v>
      </c>
      <c r="AH25" t="s">
        <v>265</v>
      </c>
      <c r="AI25">
        <v>3.9400044323796291E-2</v>
      </c>
      <c r="AK25">
        <v>2021</v>
      </c>
      <c r="AL25" t="s">
        <v>159</v>
      </c>
      <c r="AM25">
        <v>0.25370413787713708</v>
      </c>
      <c r="AN25" t="s">
        <v>430</v>
      </c>
    </row>
    <row r="26" spans="3:40" x14ac:dyDescent="0.45">
      <c r="E26" t="s">
        <v>183</v>
      </c>
      <c r="G26" t="s">
        <v>155</v>
      </c>
      <c r="I26" t="s">
        <v>249</v>
      </c>
      <c r="J26" t="s">
        <v>266</v>
      </c>
      <c r="K26">
        <v>0</v>
      </c>
      <c r="L26" t="s">
        <v>251</v>
      </c>
      <c r="N26" t="s">
        <v>419</v>
      </c>
      <c r="O26" t="s">
        <v>266</v>
      </c>
      <c r="P26">
        <v>1.6202772410428563E-2</v>
      </c>
      <c r="Q26" t="s">
        <v>251</v>
      </c>
      <c r="S26" t="s">
        <v>420</v>
      </c>
      <c r="T26" t="s">
        <v>266</v>
      </c>
      <c r="U26">
        <v>1.0385168473129387E-2</v>
      </c>
      <c r="V26" t="s">
        <v>251</v>
      </c>
      <c r="X26">
        <v>1.5981735159817351E-2</v>
      </c>
      <c r="Y26">
        <v>1.2066065020842141E-2</v>
      </c>
      <c r="Z26" t="s">
        <v>266</v>
      </c>
      <c r="AA26" t="s">
        <v>25</v>
      </c>
      <c r="AC26" t="s">
        <v>22</v>
      </c>
      <c r="AD26" t="s">
        <v>266</v>
      </c>
      <c r="AE26">
        <v>4.1156959296003168E-3</v>
      </c>
      <c r="AG26" t="s">
        <v>97</v>
      </c>
      <c r="AH26" t="s">
        <v>266</v>
      </c>
      <c r="AI26">
        <v>0.15706424323730062</v>
      </c>
      <c r="AK26">
        <v>2021</v>
      </c>
      <c r="AL26" t="s">
        <v>163</v>
      </c>
      <c r="AM26">
        <v>0.25859816635789279</v>
      </c>
      <c r="AN26" t="s">
        <v>430</v>
      </c>
    </row>
    <row r="27" spans="3:40" x14ac:dyDescent="0.45">
      <c r="E27" t="s">
        <v>184</v>
      </c>
      <c r="G27" t="s">
        <v>155</v>
      </c>
      <c r="I27" t="s">
        <v>249</v>
      </c>
      <c r="J27" t="s">
        <v>267</v>
      </c>
      <c r="K27">
        <v>2.9312646605838719E-4</v>
      </c>
      <c r="L27" t="s">
        <v>251</v>
      </c>
      <c r="N27" t="s">
        <v>419</v>
      </c>
      <c r="O27" t="s">
        <v>267</v>
      </c>
      <c r="P27">
        <v>1.9345563279855673E-2</v>
      </c>
      <c r="Q27" t="s">
        <v>251</v>
      </c>
      <c r="S27" t="s">
        <v>420</v>
      </c>
      <c r="T27" t="s">
        <v>267</v>
      </c>
      <c r="U27">
        <v>1.6143224990212101E-2</v>
      </c>
      <c r="V27" t="s">
        <v>251</v>
      </c>
      <c r="X27">
        <v>2.4771689497716895E-2</v>
      </c>
      <c r="Y27">
        <v>9.7827942553597048E-3</v>
      </c>
      <c r="Z27" t="s">
        <v>267</v>
      </c>
      <c r="AA27" t="s">
        <v>25</v>
      </c>
      <c r="AC27" t="s">
        <v>22</v>
      </c>
      <c r="AD27" t="s">
        <v>267</v>
      </c>
      <c r="AE27">
        <v>2.4302320859487976E-2</v>
      </c>
      <c r="AG27" t="s">
        <v>97</v>
      </c>
      <c r="AH27" t="s">
        <v>267</v>
      </c>
      <c r="AI27">
        <v>0.14526265579127196</v>
      </c>
      <c r="AK27">
        <v>2021</v>
      </c>
      <c r="AL27" t="s">
        <v>167</v>
      </c>
      <c r="AM27">
        <v>0.35369172562486489</v>
      </c>
      <c r="AN27" t="s">
        <v>430</v>
      </c>
    </row>
    <row r="28" spans="3:40" x14ac:dyDescent="0.45">
      <c r="E28" t="s">
        <v>185</v>
      </c>
      <c r="G28" t="s">
        <v>155</v>
      </c>
      <c r="I28" t="s">
        <v>249</v>
      </c>
      <c r="J28" t="s">
        <v>268</v>
      </c>
      <c r="K28">
        <v>3.4677654736681939E-3</v>
      </c>
      <c r="L28" t="s">
        <v>251</v>
      </c>
      <c r="N28" t="s">
        <v>419</v>
      </c>
      <c r="O28" t="s">
        <v>268</v>
      </c>
      <c r="P28">
        <v>1.6352365781032144E-3</v>
      </c>
      <c r="Q28" t="s">
        <v>251</v>
      </c>
      <c r="S28" t="s">
        <v>420</v>
      </c>
      <c r="T28" t="s">
        <v>268</v>
      </c>
      <c r="U28">
        <v>2.0041009813787599E-3</v>
      </c>
      <c r="V28" t="s">
        <v>251</v>
      </c>
      <c r="X28">
        <v>3.5388127853881279E-3</v>
      </c>
      <c r="Y28">
        <v>5.9087255218821738E-3</v>
      </c>
      <c r="Z28" t="s">
        <v>268</v>
      </c>
      <c r="AA28" t="s">
        <v>25</v>
      </c>
      <c r="AC28" t="s">
        <v>22</v>
      </c>
      <c r="AD28" t="s">
        <v>268</v>
      </c>
      <c r="AE28">
        <v>4.2282817583791125E-3</v>
      </c>
      <c r="AG28" t="s">
        <v>97</v>
      </c>
      <c r="AH28" t="s">
        <v>268</v>
      </c>
      <c r="AI28">
        <v>4.2218000759207452E-2</v>
      </c>
      <c r="AK28">
        <v>2021</v>
      </c>
      <c r="AL28" t="s">
        <v>169</v>
      </c>
      <c r="AM28">
        <v>0.49671037005367918</v>
      </c>
      <c r="AN28" t="s">
        <v>430</v>
      </c>
    </row>
    <row r="29" spans="3:40" x14ac:dyDescent="0.45">
      <c r="E29" t="s">
        <v>186</v>
      </c>
      <c r="G29" t="s">
        <v>155</v>
      </c>
      <c r="I29" t="s">
        <v>249</v>
      </c>
      <c r="J29" t="s">
        <v>269</v>
      </c>
      <c r="K29">
        <v>7.2857682322527845E-3</v>
      </c>
      <c r="L29" t="s">
        <v>251</v>
      </c>
      <c r="N29" t="s">
        <v>419</v>
      </c>
      <c r="O29" t="s">
        <v>269</v>
      </c>
      <c r="P29">
        <v>1.1202547024485481E-3</v>
      </c>
      <c r="Q29" t="s">
        <v>251</v>
      </c>
      <c r="S29" t="s">
        <v>420</v>
      </c>
      <c r="T29" t="s">
        <v>269</v>
      </c>
      <c r="U29">
        <v>1.8781287612856272E-3</v>
      </c>
      <c r="V29" t="s">
        <v>251</v>
      </c>
      <c r="X29">
        <v>3.5388127853881279E-3</v>
      </c>
      <c r="Y29">
        <v>4.521459529788099E-3</v>
      </c>
      <c r="Z29" t="s">
        <v>269</v>
      </c>
      <c r="AA29" t="s">
        <v>25</v>
      </c>
      <c r="AC29" t="s">
        <v>22</v>
      </c>
      <c r="AD29" t="s">
        <v>269</v>
      </c>
      <c r="AE29">
        <v>4.485965889848227E-3</v>
      </c>
      <c r="AG29" t="s">
        <v>97</v>
      </c>
      <c r="AH29" t="s">
        <v>269</v>
      </c>
      <c r="AI29">
        <v>3.3345104619624921E-2</v>
      </c>
      <c r="AK29">
        <v>2021</v>
      </c>
      <c r="AL29" t="s">
        <v>171</v>
      </c>
      <c r="AM29">
        <v>0.57377934693164512</v>
      </c>
      <c r="AN29" t="s">
        <v>430</v>
      </c>
    </row>
    <row r="30" spans="3:40" x14ac:dyDescent="0.45">
      <c r="E30" t="s">
        <v>187</v>
      </c>
      <c r="G30" t="s">
        <v>155</v>
      </c>
      <c r="I30" t="s">
        <v>249</v>
      </c>
      <c r="J30" t="s">
        <v>270</v>
      </c>
      <c r="K30">
        <v>9.4148614109767995E-3</v>
      </c>
      <c r="L30" t="s">
        <v>251</v>
      </c>
      <c r="N30" t="s">
        <v>419</v>
      </c>
      <c r="O30" t="s">
        <v>270</v>
      </c>
      <c r="P30">
        <v>1.0053230087414301E-3</v>
      </c>
      <c r="Q30" t="s">
        <v>251</v>
      </c>
      <c r="S30" t="s">
        <v>420</v>
      </c>
      <c r="T30" t="s">
        <v>270</v>
      </c>
      <c r="U30">
        <v>1.7552643939331876E-3</v>
      </c>
      <c r="V30" t="s">
        <v>251</v>
      </c>
      <c r="X30">
        <v>3.5388127853881279E-3</v>
      </c>
      <c r="Y30">
        <v>4.4803553522445696E-3</v>
      </c>
      <c r="Z30" t="s">
        <v>270</v>
      </c>
      <c r="AA30" t="s">
        <v>25</v>
      </c>
      <c r="AC30" t="s">
        <v>22</v>
      </c>
      <c r="AD30" t="s">
        <v>270</v>
      </c>
      <c r="AE30">
        <v>4.6045679287228247E-3</v>
      </c>
      <c r="AG30" t="s">
        <v>97</v>
      </c>
      <c r="AH30" t="s">
        <v>270</v>
      </c>
      <c r="AI30">
        <v>2.2564439224357358E-2</v>
      </c>
      <c r="AK30">
        <v>2021</v>
      </c>
      <c r="AL30" t="s">
        <v>158</v>
      </c>
      <c r="AM30">
        <v>0.62492242342329907</v>
      </c>
      <c r="AN30" t="s">
        <v>430</v>
      </c>
    </row>
    <row r="31" spans="3:40" x14ac:dyDescent="0.45">
      <c r="E31" t="s">
        <v>188</v>
      </c>
      <c r="G31" t="s">
        <v>155</v>
      </c>
      <c r="I31" t="s">
        <v>249</v>
      </c>
      <c r="J31" t="s">
        <v>271</v>
      </c>
      <c r="K31">
        <v>7.16507697908111E-2</v>
      </c>
      <c r="L31" t="s">
        <v>251</v>
      </c>
      <c r="N31" t="s">
        <v>419</v>
      </c>
      <c r="O31" t="s">
        <v>271</v>
      </c>
      <c r="P31">
        <v>7.846475582240317E-3</v>
      </c>
      <c r="Q31" t="s">
        <v>251</v>
      </c>
      <c r="S31" t="s">
        <v>420</v>
      </c>
      <c r="T31" t="s">
        <v>271</v>
      </c>
      <c r="U31">
        <v>1.1697585227563988E-2</v>
      </c>
      <c r="V31" t="s">
        <v>251</v>
      </c>
      <c r="X31">
        <v>2.4771689497716895E-2</v>
      </c>
      <c r="Y31">
        <v>3.4650821669194247E-2</v>
      </c>
      <c r="Z31" t="s">
        <v>271</v>
      </c>
      <c r="AA31" t="s">
        <v>25</v>
      </c>
      <c r="AC31" t="s">
        <v>22</v>
      </c>
      <c r="AD31" t="s">
        <v>271</v>
      </c>
      <c r="AE31">
        <v>3.1498985220223361E-2</v>
      </c>
      <c r="AG31" t="s">
        <v>97</v>
      </c>
      <c r="AH31" t="s">
        <v>271</v>
      </c>
      <c r="AI31">
        <v>0.15398274646096599</v>
      </c>
      <c r="AK31">
        <v>2021</v>
      </c>
      <c r="AL31" t="s">
        <v>162</v>
      </c>
      <c r="AM31">
        <v>0.57271626051018953</v>
      </c>
      <c r="AN31" t="s">
        <v>430</v>
      </c>
    </row>
    <row r="32" spans="3:40" x14ac:dyDescent="0.45">
      <c r="E32" t="s">
        <v>189</v>
      </c>
      <c r="G32" t="s">
        <v>155</v>
      </c>
      <c r="I32" t="s">
        <v>249</v>
      </c>
      <c r="J32" t="s">
        <v>272</v>
      </c>
      <c r="K32">
        <v>7.0094705433080004E-3</v>
      </c>
      <c r="L32" t="s">
        <v>251</v>
      </c>
      <c r="N32" t="s">
        <v>419</v>
      </c>
      <c r="O32" t="s">
        <v>272</v>
      </c>
      <c r="P32">
        <v>1.7617574108067997E-3</v>
      </c>
      <c r="Q32" t="s">
        <v>251</v>
      </c>
      <c r="S32" t="s">
        <v>420</v>
      </c>
      <c r="T32" t="s">
        <v>272</v>
      </c>
      <c r="U32">
        <v>2.1600429705377054E-3</v>
      </c>
      <c r="V32" t="s">
        <v>251</v>
      </c>
      <c r="X32">
        <v>3.5388127853881279E-3</v>
      </c>
      <c r="Y32">
        <v>6.8849497385409693E-3</v>
      </c>
      <c r="Z32" t="s">
        <v>272</v>
      </c>
      <c r="AA32" t="s">
        <v>25</v>
      </c>
      <c r="AC32" t="s">
        <v>22</v>
      </c>
      <c r="AD32" t="s">
        <v>272</v>
      </c>
      <c r="AE32">
        <v>1.8909129029720201E-3</v>
      </c>
      <c r="AG32" t="s">
        <v>97</v>
      </c>
      <c r="AH32" t="s">
        <v>272</v>
      </c>
      <c r="AI32">
        <v>9.3662396235574263E-3</v>
      </c>
      <c r="AK32">
        <v>2021</v>
      </c>
      <c r="AL32" t="s">
        <v>175</v>
      </c>
      <c r="AM32">
        <v>0.48298602012623709</v>
      </c>
      <c r="AN32" t="s">
        <v>430</v>
      </c>
    </row>
    <row r="33" spans="5:40" x14ac:dyDescent="0.45">
      <c r="E33" t="s">
        <v>190</v>
      </c>
      <c r="G33" t="s">
        <v>155</v>
      </c>
      <c r="I33" t="s">
        <v>249</v>
      </c>
      <c r="J33" t="s">
        <v>273</v>
      </c>
      <c r="K33">
        <v>3.2517568683463165E-3</v>
      </c>
      <c r="L33" t="s">
        <v>251</v>
      </c>
      <c r="N33" t="s">
        <v>419</v>
      </c>
      <c r="O33" t="s">
        <v>273</v>
      </c>
      <c r="P33">
        <v>2.3440424715298353E-3</v>
      </c>
      <c r="Q33" t="s">
        <v>251</v>
      </c>
      <c r="S33" t="s">
        <v>420</v>
      </c>
      <c r="T33" t="s">
        <v>273</v>
      </c>
      <c r="U33">
        <v>2.2669641357076502E-3</v>
      </c>
      <c r="V33" t="s">
        <v>251</v>
      </c>
      <c r="X33">
        <v>3.5388127853881279E-3</v>
      </c>
      <c r="Y33">
        <v>5.3435430806586613E-3</v>
      </c>
      <c r="Z33" t="s">
        <v>273</v>
      </c>
      <c r="AA33" t="s">
        <v>25</v>
      </c>
      <c r="AC33" t="s">
        <v>22</v>
      </c>
      <c r="AD33" t="s">
        <v>273</v>
      </c>
      <c r="AE33">
        <v>1.3568416337343522E-3</v>
      </c>
      <c r="AG33" t="s">
        <v>97</v>
      </c>
      <c r="AH33" t="s">
        <v>273</v>
      </c>
      <c r="AI33">
        <v>0.20468904606086746</v>
      </c>
      <c r="AK33">
        <v>2021</v>
      </c>
      <c r="AL33" t="s">
        <v>166</v>
      </c>
      <c r="AM33">
        <v>0.3141180941522968</v>
      </c>
      <c r="AN33" t="s">
        <v>430</v>
      </c>
    </row>
    <row r="34" spans="5:40" x14ac:dyDescent="0.45">
      <c r="E34" t="s">
        <v>191</v>
      </c>
      <c r="G34" t="s">
        <v>155</v>
      </c>
      <c r="I34" t="s">
        <v>249</v>
      </c>
      <c r="J34" t="s">
        <v>274</v>
      </c>
      <c r="K34">
        <v>0</v>
      </c>
      <c r="L34" t="s">
        <v>251</v>
      </c>
      <c r="N34" t="s">
        <v>419</v>
      </c>
      <c r="O34" t="s">
        <v>274</v>
      </c>
      <c r="P34">
        <v>1.9002466882048097E-2</v>
      </c>
      <c r="Q34" t="s">
        <v>251</v>
      </c>
      <c r="S34" t="s">
        <v>420</v>
      </c>
      <c r="T34" t="s">
        <v>274</v>
      </c>
      <c r="U34">
        <v>1.1863639741341246E-2</v>
      </c>
      <c r="V34" t="s">
        <v>251</v>
      </c>
      <c r="X34">
        <v>1.7694063926940638E-2</v>
      </c>
      <c r="Y34">
        <v>1.3358857701646654E-2</v>
      </c>
      <c r="Z34" t="s">
        <v>274</v>
      </c>
      <c r="AA34" t="s">
        <v>25</v>
      </c>
      <c r="AC34" t="s">
        <v>22</v>
      </c>
      <c r="AD34" t="s">
        <v>274</v>
      </c>
      <c r="AE34">
        <v>7.0952003803463459E-3</v>
      </c>
      <c r="AG34" t="s">
        <v>97</v>
      </c>
      <c r="AH34" t="s">
        <v>274</v>
      </c>
      <c r="AI34">
        <v>0.24030876524921596</v>
      </c>
      <c r="AK34">
        <v>2021</v>
      </c>
      <c r="AL34" t="s">
        <v>178</v>
      </c>
      <c r="AM34">
        <v>0.2580139476938495</v>
      </c>
      <c r="AN34" t="s">
        <v>430</v>
      </c>
    </row>
    <row r="35" spans="5:40" x14ac:dyDescent="0.45">
      <c r="E35" t="s">
        <v>192</v>
      </c>
      <c r="G35" t="s">
        <v>160</v>
      </c>
      <c r="I35" t="s">
        <v>249</v>
      </c>
      <c r="J35" t="s">
        <v>275</v>
      </c>
      <c r="K35">
        <v>1.0360373361579407E-3</v>
      </c>
      <c r="L35" t="s">
        <v>251</v>
      </c>
      <c r="N35" t="s">
        <v>419</v>
      </c>
      <c r="O35" t="s">
        <v>275</v>
      </c>
      <c r="P35">
        <v>1.9485233150436806E-2</v>
      </c>
      <c r="Q35" t="s">
        <v>251</v>
      </c>
      <c r="S35" t="s">
        <v>420</v>
      </c>
      <c r="T35" t="s">
        <v>275</v>
      </c>
      <c r="U35">
        <v>1.7777663579304985E-2</v>
      </c>
      <c r="V35" t="s">
        <v>251</v>
      </c>
      <c r="X35">
        <v>2.3972602739726026E-2</v>
      </c>
      <c r="Y35">
        <v>9.4672202471222967E-3</v>
      </c>
      <c r="Z35" t="s">
        <v>275</v>
      </c>
      <c r="AA35" t="s">
        <v>25</v>
      </c>
      <c r="AC35" t="s">
        <v>22</v>
      </c>
      <c r="AD35" t="s">
        <v>275</v>
      </c>
      <c r="AE35">
        <v>2.9518305559343878E-2</v>
      </c>
      <c r="AG35" t="s">
        <v>97</v>
      </c>
      <c r="AH35" t="s">
        <v>275</v>
      </c>
      <c r="AI35">
        <v>0.16334421103227581</v>
      </c>
      <c r="AK35">
        <v>2022</v>
      </c>
      <c r="AL35" t="s">
        <v>151</v>
      </c>
      <c r="AM35">
        <v>0.22856863093367569</v>
      </c>
      <c r="AN35" t="s">
        <v>430</v>
      </c>
    </row>
    <row r="36" spans="5:40" x14ac:dyDescent="0.45">
      <c r="E36" t="s">
        <v>193</v>
      </c>
      <c r="G36" t="s">
        <v>160</v>
      </c>
      <c r="I36" t="s">
        <v>249</v>
      </c>
      <c r="J36" t="s">
        <v>276</v>
      </c>
      <c r="K36">
        <v>4.7521279065798E-3</v>
      </c>
      <c r="L36" t="s">
        <v>251</v>
      </c>
      <c r="N36" t="s">
        <v>419</v>
      </c>
      <c r="O36" t="s">
        <v>276</v>
      </c>
      <c r="P36">
        <v>1.3223677969484721E-3</v>
      </c>
      <c r="Q36" t="s">
        <v>251</v>
      </c>
      <c r="S36" t="s">
        <v>420</v>
      </c>
      <c r="T36" t="s">
        <v>276</v>
      </c>
      <c r="U36">
        <v>1.960563960703049E-3</v>
      </c>
      <c r="V36" t="s">
        <v>251</v>
      </c>
      <c r="X36">
        <v>3.4246575342465752E-3</v>
      </c>
      <c r="Y36">
        <v>5.7181214727892006E-3</v>
      </c>
      <c r="Z36" t="s">
        <v>276</v>
      </c>
      <c r="AA36" t="s">
        <v>25</v>
      </c>
      <c r="AC36" t="s">
        <v>22</v>
      </c>
      <c r="AD36" t="s">
        <v>276</v>
      </c>
      <c r="AE36">
        <v>5.1934961842249223E-3</v>
      </c>
      <c r="AG36" t="s">
        <v>97</v>
      </c>
      <c r="AH36" t="s">
        <v>276</v>
      </c>
      <c r="AI36">
        <v>3.5216654126259295E-2</v>
      </c>
      <c r="AK36">
        <v>2022</v>
      </c>
      <c r="AL36" t="s">
        <v>156</v>
      </c>
      <c r="AM36">
        <v>0.25211270446340328</v>
      </c>
      <c r="AN36" t="s">
        <v>430</v>
      </c>
    </row>
    <row r="37" spans="5:40" x14ac:dyDescent="0.45">
      <c r="E37" t="s">
        <v>194</v>
      </c>
      <c r="G37" t="s">
        <v>160</v>
      </c>
      <c r="I37" t="s">
        <v>249</v>
      </c>
      <c r="J37" t="s">
        <v>277</v>
      </c>
      <c r="K37">
        <v>7.4743577824974003E-3</v>
      </c>
      <c r="L37" t="s">
        <v>251</v>
      </c>
      <c r="N37" t="s">
        <v>419</v>
      </c>
      <c r="O37" t="s">
        <v>277</v>
      </c>
      <c r="P37">
        <v>1.1012807675443903E-3</v>
      </c>
      <c r="Q37" t="s">
        <v>251</v>
      </c>
      <c r="S37" t="s">
        <v>420</v>
      </c>
      <c r="T37" t="s">
        <v>277</v>
      </c>
      <c r="U37">
        <v>1.8117095019118666E-3</v>
      </c>
      <c r="V37" t="s">
        <v>251</v>
      </c>
      <c r="X37">
        <v>3.4246575342465752E-3</v>
      </c>
      <c r="Y37">
        <v>4.3756059965691279E-3</v>
      </c>
      <c r="Z37" t="s">
        <v>277</v>
      </c>
      <c r="AA37" t="s">
        <v>25</v>
      </c>
      <c r="AC37" t="s">
        <v>22</v>
      </c>
      <c r="AD37" t="s">
        <v>277</v>
      </c>
      <c r="AE37">
        <v>5.3258221542126722E-3</v>
      </c>
      <c r="AG37" t="s">
        <v>97</v>
      </c>
      <c r="AH37" t="s">
        <v>277</v>
      </c>
      <c r="AI37">
        <v>3.0311797291973974E-2</v>
      </c>
      <c r="AK37">
        <v>2022</v>
      </c>
      <c r="AL37" t="s">
        <v>159</v>
      </c>
      <c r="AM37">
        <v>0.3193698678799306</v>
      </c>
      <c r="AN37" t="s">
        <v>430</v>
      </c>
    </row>
    <row r="38" spans="5:40" x14ac:dyDescent="0.45">
      <c r="E38" t="s">
        <v>195</v>
      </c>
      <c r="G38" t="s">
        <v>160</v>
      </c>
      <c r="I38" t="s">
        <v>249</v>
      </c>
      <c r="J38" t="s">
        <v>278</v>
      </c>
      <c r="K38">
        <v>9.0619381609644001E-3</v>
      </c>
      <c r="L38" t="s">
        <v>251</v>
      </c>
      <c r="N38" t="s">
        <v>419</v>
      </c>
      <c r="O38" t="s">
        <v>278</v>
      </c>
      <c r="P38">
        <v>9.9556642823737593E-4</v>
      </c>
      <c r="Q38" t="s">
        <v>251</v>
      </c>
      <c r="S38" t="s">
        <v>420</v>
      </c>
      <c r="T38" t="s">
        <v>278</v>
      </c>
      <c r="U38">
        <v>1.6715865529542569E-3</v>
      </c>
      <c r="V38" t="s">
        <v>251</v>
      </c>
      <c r="X38">
        <v>3.4246575342465752E-3</v>
      </c>
      <c r="Y38">
        <v>4.3358277602366805E-3</v>
      </c>
      <c r="Z38" t="s">
        <v>278</v>
      </c>
      <c r="AA38" t="s">
        <v>25</v>
      </c>
      <c r="AC38" t="s">
        <v>22</v>
      </c>
      <c r="AD38" t="s">
        <v>278</v>
      </c>
      <c r="AE38">
        <v>5.3672123182696308E-3</v>
      </c>
      <c r="AG38" t="s">
        <v>97</v>
      </c>
      <c r="AH38" t="s">
        <v>278</v>
      </c>
      <c r="AI38">
        <v>2.5632939012395717E-2</v>
      </c>
      <c r="AK38">
        <v>2022</v>
      </c>
      <c r="AL38" t="s">
        <v>163</v>
      </c>
      <c r="AM38">
        <v>0.3594286789966587</v>
      </c>
      <c r="AN38" t="s">
        <v>430</v>
      </c>
    </row>
    <row r="39" spans="5:40" x14ac:dyDescent="0.45">
      <c r="E39" t="s">
        <v>196</v>
      </c>
      <c r="G39" t="s">
        <v>160</v>
      </c>
      <c r="I39" t="s">
        <v>249</v>
      </c>
      <c r="J39" t="s">
        <v>279</v>
      </c>
      <c r="K39">
        <v>6.8036515685839002E-2</v>
      </c>
      <c r="L39" t="s">
        <v>251</v>
      </c>
      <c r="N39" t="s">
        <v>419</v>
      </c>
      <c r="O39" t="s">
        <v>279</v>
      </c>
      <c r="P39">
        <v>9.4407612288413979E-3</v>
      </c>
      <c r="Q39" t="s">
        <v>251</v>
      </c>
      <c r="S39" t="s">
        <v>420</v>
      </c>
      <c r="T39" t="s">
        <v>279</v>
      </c>
      <c r="U39">
        <v>1.4296790910960555E-2</v>
      </c>
      <c r="V39" t="s">
        <v>251</v>
      </c>
      <c r="X39">
        <v>2.3972602739726026E-2</v>
      </c>
      <c r="Y39">
        <v>3.3533053228252493E-2</v>
      </c>
      <c r="Z39" t="s">
        <v>279</v>
      </c>
      <c r="AA39" t="s">
        <v>25</v>
      </c>
      <c r="AC39" t="s">
        <v>22</v>
      </c>
      <c r="AD39" t="s">
        <v>279</v>
      </c>
      <c r="AE39">
        <v>3.6374035294971817E-2</v>
      </c>
      <c r="AG39" t="s">
        <v>97</v>
      </c>
      <c r="AH39" t="s">
        <v>279</v>
      </c>
      <c r="AI39">
        <v>0.12107479110399866</v>
      </c>
      <c r="AK39">
        <v>2022</v>
      </c>
      <c r="AL39" t="s">
        <v>167</v>
      </c>
      <c r="AM39">
        <v>0.3851224877375633</v>
      </c>
      <c r="AN39" t="s">
        <v>430</v>
      </c>
    </row>
    <row r="40" spans="5:40" x14ac:dyDescent="0.45">
      <c r="E40" t="s">
        <v>197</v>
      </c>
      <c r="G40" t="s">
        <v>160</v>
      </c>
      <c r="I40" t="s">
        <v>249</v>
      </c>
      <c r="J40" t="s">
        <v>280</v>
      </c>
      <c r="K40">
        <v>6.2620054594643999E-3</v>
      </c>
      <c r="L40" t="s">
        <v>251</v>
      </c>
      <c r="N40" t="s">
        <v>419</v>
      </c>
      <c r="O40" t="s">
        <v>280</v>
      </c>
      <c r="P40">
        <v>2.7097780121235144E-3</v>
      </c>
      <c r="Q40" t="s">
        <v>251</v>
      </c>
      <c r="S40" t="s">
        <v>420</v>
      </c>
      <c r="T40" t="s">
        <v>280</v>
      </c>
      <c r="U40">
        <v>2.9540873951373016E-3</v>
      </c>
      <c r="V40" t="s">
        <v>251</v>
      </c>
      <c r="X40">
        <v>3.4246575342465752E-3</v>
      </c>
      <c r="Y40">
        <v>6.662854585684809E-3</v>
      </c>
      <c r="Z40" t="s">
        <v>280</v>
      </c>
      <c r="AA40" t="s">
        <v>25</v>
      </c>
      <c r="AC40" t="s">
        <v>22</v>
      </c>
      <c r="AD40" t="s">
        <v>280</v>
      </c>
      <c r="AE40">
        <v>2.7678320259506982E-3</v>
      </c>
      <c r="AG40" t="s">
        <v>97</v>
      </c>
      <c r="AH40" t="s">
        <v>280</v>
      </c>
      <c r="AI40">
        <v>8.6761717202879396E-2</v>
      </c>
      <c r="AK40">
        <v>2022</v>
      </c>
      <c r="AL40" t="s">
        <v>169</v>
      </c>
      <c r="AM40">
        <v>0.43060849922349292</v>
      </c>
      <c r="AN40" t="s">
        <v>430</v>
      </c>
    </row>
    <row r="41" spans="5:40" x14ac:dyDescent="0.45">
      <c r="E41" t="s">
        <v>198</v>
      </c>
      <c r="G41" t="s">
        <v>160</v>
      </c>
      <c r="I41" t="s">
        <v>249</v>
      </c>
      <c r="J41" t="s">
        <v>281</v>
      </c>
      <c r="K41">
        <v>3.5888896639685057E-3</v>
      </c>
      <c r="L41" t="s">
        <v>251</v>
      </c>
      <c r="N41" t="s">
        <v>419</v>
      </c>
      <c r="O41" t="s">
        <v>281</v>
      </c>
      <c r="P41">
        <v>3.2681817578805012E-3</v>
      </c>
      <c r="Q41" t="s">
        <v>251</v>
      </c>
      <c r="S41" t="s">
        <v>420</v>
      </c>
      <c r="T41" t="s">
        <v>281</v>
      </c>
      <c r="U41">
        <v>3.0913498080904936E-3</v>
      </c>
      <c r="V41" t="s">
        <v>251</v>
      </c>
      <c r="X41">
        <v>3.4246575342465752E-3</v>
      </c>
      <c r="Y41">
        <v>5.1711707232180593E-3</v>
      </c>
      <c r="Z41" t="s">
        <v>281</v>
      </c>
      <c r="AA41" t="s">
        <v>25</v>
      </c>
      <c r="AC41" t="s">
        <v>22</v>
      </c>
      <c r="AD41" t="s">
        <v>281</v>
      </c>
      <c r="AE41">
        <v>3.3043699929870768E-3</v>
      </c>
      <c r="AG41" t="s">
        <v>97</v>
      </c>
      <c r="AH41" t="s">
        <v>281</v>
      </c>
      <c r="AI41">
        <v>0.11709209908661999</v>
      </c>
      <c r="AK41">
        <v>2022</v>
      </c>
      <c r="AL41" t="s">
        <v>171</v>
      </c>
      <c r="AM41">
        <v>0.58949643171063837</v>
      </c>
      <c r="AN41" t="s">
        <v>430</v>
      </c>
    </row>
    <row r="42" spans="5:40" x14ac:dyDescent="0.45">
      <c r="E42" t="s">
        <v>199</v>
      </c>
      <c r="G42" t="s">
        <v>160</v>
      </c>
      <c r="I42" t="s">
        <v>249</v>
      </c>
      <c r="J42" t="s">
        <v>282</v>
      </c>
      <c r="K42">
        <v>2.4148579671858214E-4</v>
      </c>
      <c r="L42" t="s">
        <v>251</v>
      </c>
      <c r="N42" t="s">
        <v>419</v>
      </c>
      <c r="O42" t="s">
        <v>282</v>
      </c>
      <c r="P42">
        <v>2.094799313478261E-2</v>
      </c>
      <c r="Q42" t="s">
        <v>251</v>
      </c>
      <c r="S42" t="s">
        <v>420</v>
      </c>
      <c r="T42" t="s">
        <v>282</v>
      </c>
      <c r="U42">
        <v>1.53525731100944E-2</v>
      </c>
      <c r="V42" t="s">
        <v>251</v>
      </c>
      <c r="X42">
        <v>1.7123287671232876E-2</v>
      </c>
      <c r="Y42">
        <v>1.2927926808045149E-2</v>
      </c>
      <c r="Z42" t="s">
        <v>282</v>
      </c>
      <c r="AA42" t="s">
        <v>25</v>
      </c>
      <c r="AC42" t="s">
        <v>22</v>
      </c>
      <c r="AD42" t="s">
        <v>282</v>
      </c>
      <c r="AE42">
        <v>1.3764633323452066E-2</v>
      </c>
      <c r="AG42" t="s">
        <v>97</v>
      </c>
      <c r="AH42" t="s">
        <v>282</v>
      </c>
      <c r="AI42">
        <v>0.17218577644945188</v>
      </c>
      <c r="AK42">
        <v>2022</v>
      </c>
      <c r="AL42" t="s">
        <v>158</v>
      </c>
      <c r="AM42">
        <v>0.70961593638562115</v>
      </c>
      <c r="AN42" t="s">
        <v>430</v>
      </c>
    </row>
    <row r="43" spans="5:40" x14ac:dyDescent="0.45">
      <c r="E43" t="s">
        <v>200</v>
      </c>
      <c r="G43" t="s">
        <v>160</v>
      </c>
      <c r="I43" t="s">
        <v>249</v>
      </c>
      <c r="J43" t="s">
        <v>283</v>
      </c>
      <c r="K43">
        <v>1.7670272179208782E-3</v>
      </c>
      <c r="L43" t="s">
        <v>251</v>
      </c>
      <c r="N43" t="s">
        <v>419</v>
      </c>
      <c r="O43" t="s">
        <v>283</v>
      </c>
      <c r="P43">
        <v>3.7236251817725795E-2</v>
      </c>
      <c r="Q43" t="s">
        <v>251</v>
      </c>
      <c r="S43" t="s">
        <v>420</v>
      </c>
      <c r="T43" t="s">
        <v>283</v>
      </c>
      <c r="U43">
        <v>2.9348632349428468E-2</v>
      </c>
      <c r="V43" t="s">
        <v>251</v>
      </c>
      <c r="X43">
        <v>2.4771689497716895E-2</v>
      </c>
      <c r="Y43">
        <v>9.7827942553597048E-3</v>
      </c>
      <c r="Z43" t="s">
        <v>283</v>
      </c>
      <c r="AA43" t="s">
        <v>25</v>
      </c>
      <c r="AC43" t="s">
        <v>22</v>
      </c>
      <c r="AD43" t="s">
        <v>283</v>
      </c>
      <c r="AE43">
        <v>3.3825157257624083E-2</v>
      </c>
      <c r="AG43" t="s">
        <v>97</v>
      </c>
      <c r="AH43" t="s">
        <v>283</v>
      </c>
      <c r="AI43">
        <v>0.1040152179592515</v>
      </c>
      <c r="AK43">
        <v>2022</v>
      </c>
      <c r="AL43" t="s">
        <v>162</v>
      </c>
      <c r="AM43">
        <v>0.69297378700174128</v>
      </c>
      <c r="AN43" t="s">
        <v>430</v>
      </c>
    </row>
    <row r="44" spans="5:40" x14ac:dyDescent="0.45">
      <c r="E44" t="s">
        <v>201</v>
      </c>
      <c r="G44" t="s">
        <v>160</v>
      </c>
      <c r="I44" t="s">
        <v>249</v>
      </c>
      <c r="J44" t="s">
        <v>284</v>
      </c>
      <c r="K44">
        <v>5.2458382221451999E-3</v>
      </c>
      <c r="L44" t="s">
        <v>251</v>
      </c>
      <c r="N44" t="s">
        <v>419</v>
      </c>
      <c r="O44" t="s">
        <v>284</v>
      </c>
      <c r="P44">
        <v>4.2387441648916542E-3</v>
      </c>
      <c r="Q44" t="s">
        <v>251</v>
      </c>
      <c r="S44" t="s">
        <v>420</v>
      </c>
      <c r="T44" t="s">
        <v>284</v>
      </c>
      <c r="U44">
        <v>3.4891517956613686E-3</v>
      </c>
      <c r="V44" t="s">
        <v>251</v>
      </c>
      <c r="X44">
        <v>3.5388127853881279E-3</v>
      </c>
      <c r="Y44">
        <v>5.9087255218821738E-3</v>
      </c>
      <c r="Z44" t="s">
        <v>284</v>
      </c>
      <c r="AA44" t="s">
        <v>25</v>
      </c>
      <c r="AC44" t="s">
        <v>22</v>
      </c>
      <c r="AD44" t="s">
        <v>284</v>
      </c>
      <c r="AE44">
        <v>5.5871952887510202E-3</v>
      </c>
      <c r="AG44" t="s">
        <v>97</v>
      </c>
      <c r="AH44" t="s">
        <v>284</v>
      </c>
      <c r="AI44">
        <v>1.4636729188804765E-2</v>
      </c>
      <c r="AK44">
        <v>2022</v>
      </c>
      <c r="AL44" t="s">
        <v>175</v>
      </c>
      <c r="AM44">
        <v>0.49755662126035521</v>
      </c>
      <c r="AN44" t="s">
        <v>430</v>
      </c>
    </row>
    <row r="45" spans="5:40" x14ac:dyDescent="0.45">
      <c r="E45" t="s">
        <v>202</v>
      </c>
      <c r="G45" t="s">
        <v>160</v>
      </c>
      <c r="I45" t="s">
        <v>249</v>
      </c>
      <c r="J45" t="s">
        <v>285</v>
      </c>
      <c r="K45">
        <v>7.5897915349617999E-3</v>
      </c>
      <c r="L45" t="s">
        <v>251</v>
      </c>
      <c r="N45" t="s">
        <v>419</v>
      </c>
      <c r="O45" t="s">
        <v>285</v>
      </c>
      <c r="P45">
        <v>4.0921748354808231E-3</v>
      </c>
      <c r="Q45" t="s">
        <v>251</v>
      </c>
      <c r="S45" t="s">
        <v>420</v>
      </c>
      <c r="T45" t="s">
        <v>285</v>
      </c>
      <c r="U45">
        <v>3.3611029397469078E-3</v>
      </c>
      <c r="V45" t="s">
        <v>251</v>
      </c>
      <c r="X45">
        <v>3.5388127853881279E-3</v>
      </c>
      <c r="Y45">
        <v>4.521459529788099E-3</v>
      </c>
      <c r="Z45" t="s">
        <v>285</v>
      </c>
      <c r="AA45" t="s">
        <v>25</v>
      </c>
      <c r="AC45" t="s">
        <v>22</v>
      </c>
      <c r="AD45" t="s">
        <v>285</v>
      </c>
      <c r="AE45">
        <v>5.6468327773550814E-3</v>
      </c>
      <c r="AG45" t="s">
        <v>97</v>
      </c>
      <c r="AH45" t="s">
        <v>285</v>
      </c>
      <c r="AI45">
        <v>2.0453277369397727E-2</v>
      </c>
      <c r="AK45">
        <v>2022</v>
      </c>
      <c r="AL45" t="s">
        <v>166</v>
      </c>
      <c r="AM45">
        <v>0.32030919102075389</v>
      </c>
      <c r="AN45" t="s">
        <v>430</v>
      </c>
    </row>
    <row r="46" spans="5:40" x14ac:dyDescent="0.45">
      <c r="E46" t="s">
        <v>203</v>
      </c>
      <c r="G46" t="s">
        <v>160</v>
      </c>
      <c r="I46" t="s">
        <v>249</v>
      </c>
      <c r="J46" t="s">
        <v>286</v>
      </c>
      <c r="K46">
        <v>9.0460724211776991E-3</v>
      </c>
      <c r="L46" t="s">
        <v>251</v>
      </c>
      <c r="N46" t="s">
        <v>419</v>
      </c>
      <c r="O46" t="s">
        <v>286</v>
      </c>
      <c r="P46">
        <v>3.8324308091180056E-3</v>
      </c>
      <c r="Q46" t="s">
        <v>251</v>
      </c>
      <c r="S46" t="s">
        <v>420</v>
      </c>
      <c r="T46" t="s">
        <v>286</v>
      </c>
      <c r="U46">
        <v>3.2647690971758453E-3</v>
      </c>
      <c r="V46" t="s">
        <v>251</v>
      </c>
      <c r="X46">
        <v>3.5388127853881279E-3</v>
      </c>
      <c r="Y46">
        <v>4.4803553522445696E-3</v>
      </c>
      <c r="Z46" t="s">
        <v>286</v>
      </c>
      <c r="AA46" t="s">
        <v>25</v>
      </c>
      <c r="AC46" t="s">
        <v>22</v>
      </c>
      <c r="AD46" t="s">
        <v>286</v>
      </c>
      <c r="AE46">
        <v>5.6501261642986165E-3</v>
      </c>
      <c r="AG46" t="s">
        <v>97</v>
      </c>
      <c r="AH46" t="s">
        <v>286</v>
      </c>
      <c r="AI46">
        <v>2.0099445039484021E-2</v>
      </c>
      <c r="AK46">
        <v>2022</v>
      </c>
      <c r="AL46" t="s">
        <v>178</v>
      </c>
      <c r="AM46">
        <v>0.26614155656660882</v>
      </c>
      <c r="AN46" t="s">
        <v>430</v>
      </c>
    </row>
    <row r="47" spans="5:40" x14ac:dyDescent="0.45">
      <c r="E47" t="s">
        <v>204</v>
      </c>
      <c r="G47" t="s">
        <v>160</v>
      </c>
      <c r="I47" t="s">
        <v>249</v>
      </c>
      <c r="J47" t="s">
        <v>287</v>
      </c>
      <c r="K47">
        <v>6.9126430957336601E-2</v>
      </c>
      <c r="L47" t="s">
        <v>251</v>
      </c>
      <c r="N47" t="s">
        <v>419</v>
      </c>
      <c r="O47" t="s">
        <v>287</v>
      </c>
      <c r="P47">
        <v>2.6125279419162487E-2</v>
      </c>
      <c r="Q47" t="s">
        <v>251</v>
      </c>
      <c r="S47" t="s">
        <v>420</v>
      </c>
      <c r="T47" t="s">
        <v>287</v>
      </c>
      <c r="U47">
        <v>2.5254302203101108E-2</v>
      </c>
      <c r="V47" t="s">
        <v>251</v>
      </c>
      <c r="X47">
        <v>2.4771689497716895E-2</v>
      </c>
      <c r="Y47">
        <v>3.4650821669194247E-2</v>
      </c>
      <c r="Z47" t="s">
        <v>287</v>
      </c>
      <c r="AA47" t="s">
        <v>25</v>
      </c>
      <c r="AC47" t="s">
        <v>22</v>
      </c>
      <c r="AD47" t="s">
        <v>287</v>
      </c>
      <c r="AE47">
        <v>3.9399790668033244E-2</v>
      </c>
      <c r="AG47" t="s">
        <v>97</v>
      </c>
      <c r="AH47" t="s">
        <v>287</v>
      </c>
      <c r="AI47">
        <v>0.10001642084856233</v>
      </c>
      <c r="AK47">
        <v>2025</v>
      </c>
      <c r="AL47" t="s">
        <v>151</v>
      </c>
      <c r="AM47">
        <v>0.2868</v>
      </c>
      <c r="AN47" t="s">
        <v>430</v>
      </c>
    </row>
    <row r="48" spans="5:40" x14ac:dyDescent="0.45">
      <c r="E48" t="s">
        <v>205</v>
      </c>
      <c r="G48" t="s">
        <v>160</v>
      </c>
      <c r="I48" t="s">
        <v>249</v>
      </c>
      <c r="J48" t="s">
        <v>288</v>
      </c>
      <c r="K48">
        <v>6.5701923297423002E-3</v>
      </c>
      <c r="L48" t="s">
        <v>251</v>
      </c>
      <c r="N48" t="s">
        <v>419</v>
      </c>
      <c r="O48" t="s">
        <v>288</v>
      </c>
      <c r="P48">
        <v>4.8149886541700802E-3</v>
      </c>
      <c r="Q48" t="s">
        <v>251</v>
      </c>
      <c r="S48" t="s">
        <v>420</v>
      </c>
      <c r="T48" t="s">
        <v>288</v>
      </c>
      <c r="U48">
        <v>4.2979088187685942E-3</v>
      </c>
      <c r="V48" t="s">
        <v>251</v>
      </c>
      <c r="X48">
        <v>3.5388127853881279E-3</v>
      </c>
      <c r="Y48">
        <v>6.8849497385409693E-3</v>
      </c>
      <c r="Z48" t="s">
        <v>288</v>
      </c>
      <c r="AA48" t="s">
        <v>25</v>
      </c>
      <c r="AC48" t="s">
        <v>22</v>
      </c>
      <c r="AD48" t="s">
        <v>288</v>
      </c>
      <c r="AE48">
        <v>3.3592112224946164E-3</v>
      </c>
      <c r="AG48" t="s">
        <v>97</v>
      </c>
      <c r="AH48" t="s">
        <v>288</v>
      </c>
      <c r="AI48">
        <v>6.6396748992021193E-2</v>
      </c>
      <c r="AK48">
        <v>2025</v>
      </c>
      <c r="AL48" t="s">
        <v>156</v>
      </c>
      <c r="AM48">
        <v>0.30309999999999998</v>
      </c>
      <c r="AN48" t="s">
        <v>430</v>
      </c>
    </row>
    <row r="49" spans="5:40" x14ac:dyDescent="0.45">
      <c r="E49" t="s">
        <v>206</v>
      </c>
      <c r="G49" t="s">
        <v>160</v>
      </c>
      <c r="I49" t="s">
        <v>249</v>
      </c>
      <c r="J49" t="s">
        <v>289</v>
      </c>
      <c r="K49">
        <v>4.1435965591736E-3</v>
      </c>
      <c r="L49" t="s">
        <v>251</v>
      </c>
      <c r="N49" t="s">
        <v>419</v>
      </c>
      <c r="O49" t="s">
        <v>289</v>
      </c>
      <c r="P49">
        <v>5.3617249337066892E-3</v>
      </c>
      <c r="Q49" t="s">
        <v>251</v>
      </c>
      <c r="S49" t="s">
        <v>420</v>
      </c>
      <c r="T49" t="s">
        <v>289</v>
      </c>
      <c r="U49">
        <v>4.4146090696289371E-3</v>
      </c>
      <c r="V49" t="s">
        <v>251</v>
      </c>
      <c r="X49">
        <v>3.5388127853881279E-3</v>
      </c>
      <c r="Y49">
        <v>5.3435430806586613E-3</v>
      </c>
      <c r="Z49" t="s">
        <v>289</v>
      </c>
      <c r="AA49" t="s">
        <v>25</v>
      </c>
      <c r="AC49" t="s">
        <v>22</v>
      </c>
      <c r="AD49" t="s">
        <v>289</v>
      </c>
      <c r="AE49">
        <v>4.2578200946471779E-3</v>
      </c>
      <c r="AG49" t="s">
        <v>97</v>
      </c>
      <c r="AH49" t="s">
        <v>289</v>
      </c>
      <c r="AI49">
        <v>1.1548995400689321E-2</v>
      </c>
      <c r="AK49">
        <v>2025</v>
      </c>
      <c r="AL49" t="s">
        <v>159</v>
      </c>
      <c r="AM49">
        <v>0.30990000000000001</v>
      </c>
      <c r="AN49" t="s">
        <v>430</v>
      </c>
    </row>
    <row r="50" spans="5:40" x14ac:dyDescent="0.45">
      <c r="E50" t="s">
        <v>207</v>
      </c>
      <c r="G50" t="s">
        <v>160</v>
      </c>
      <c r="I50" t="s">
        <v>249</v>
      </c>
      <c r="J50" t="s">
        <v>290</v>
      </c>
      <c r="K50">
        <v>1.3839106225692888E-3</v>
      </c>
      <c r="L50" t="s">
        <v>251</v>
      </c>
      <c r="N50" t="s">
        <v>419</v>
      </c>
      <c r="O50" t="s">
        <v>290</v>
      </c>
      <c r="P50">
        <v>3.2494265535174399E-2</v>
      </c>
      <c r="Q50" t="s">
        <v>251</v>
      </c>
      <c r="S50" t="s">
        <v>420</v>
      </c>
      <c r="T50" t="s">
        <v>290</v>
      </c>
      <c r="U50">
        <v>2.2685903009714705E-2</v>
      </c>
      <c r="V50" t="s">
        <v>251</v>
      </c>
      <c r="X50">
        <v>1.7694063926940638E-2</v>
      </c>
      <c r="Y50">
        <v>1.3358857701646654E-2</v>
      </c>
      <c r="Z50" t="s">
        <v>290</v>
      </c>
      <c r="AA50" t="s">
        <v>25</v>
      </c>
      <c r="AC50" t="s">
        <v>22</v>
      </c>
      <c r="AD50" t="s">
        <v>290</v>
      </c>
      <c r="AE50">
        <v>1.8839022245917787E-2</v>
      </c>
      <c r="AG50" t="s">
        <v>97</v>
      </c>
      <c r="AH50" t="s">
        <v>290</v>
      </c>
      <c r="AI50">
        <v>5.7926789216266483E-2</v>
      </c>
      <c r="AK50">
        <v>2025</v>
      </c>
      <c r="AL50" t="s">
        <v>163</v>
      </c>
      <c r="AM50">
        <v>0.3392</v>
      </c>
      <c r="AN50" t="s">
        <v>430</v>
      </c>
    </row>
    <row r="51" spans="5:40" x14ac:dyDescent="0.45">
      <c r="E51" t="s">
        <v>208</v>
      </c>
      <c r="G51" t="s">
        <v>160</v>
      </c>
      <c r="I51" t="s">
        <v>249</v>
      </c>
      <c r="J51" t="s">
        <v>291</v>
      </c>
      <c r="K51">
        <v>1.0436857710503405E-3</v>
      </c>
      <c r="L51" t="s">
        <v>251</v>
      </c>
      <c r="N51" t="s">
        <v>419</v>
      </c>
      <c r="O51" t="s">
        <v>291</v>
      </c>
      <c r="P51">
        <v>3.944773700764715E-2</v>
      </c>
      <c r="Q51" t="s">
        <v>251</v>
      </c>
      <c r="S51" t="s">
        <v>420</v>
      </c>
      <c r="T51" t="s">
        <v>291</v>
      </c>
      <c r="U51">
        <v>3.9975692726160098E-2</v>
      </c>
      <c r="V51" t="s">
        <v>251</v>
      </c>
      <c r="X51">
        <v>2.3972602739726026E-2</v>
      </c>
      <c r="Y51">
        <v>9.4672202471222967E-3</v>
      </c>
      <c r="Z51" t="s">
        <v>291</v>
      </c>
      <c r="AA51" t="s">
        <v>25</v>
      </c>
      <c r="AC51" t="s">
        <v>22</v>
      </c>
      <c r="AD51" t="s">
        <v>291</v>
      </c>
      <c r="AE51">
        <v>3.1367388069247076E-2</v>
      </c>
      <c r="AG51" t="s">
        <v>97</v>
      </c>
      <c r="AH51" t="s">
        <v>291</v>
      </c>
      <c r="AI51">
        <v>0.12654517842613111</v>
      </c>
      <c r="AK51">
        <v>2025</v>
      </c>
      <c r="AL51" t="s">
        <v>167</v>
      </c>
      <c r="AM51">
        <v>0.43769999999999998</v>
      </c>
      <c r="AN51" t="s">
        <v>430</v>
      </c>
    </row>
    <row r="52" spans="5:40" x14ac:dyDescent="0.45">
      <c r="E52" t="s">
        <v>209</v>
      </c>
      <c r="G52" t="s">
        <v>160</v>
      </c>
      <c r="I52" t="s">
        <v>249</v>
      </c>
      <c r="J52" t="s">
        <v>292</v>
      </c>
      <c r="K52">
        <v>3.1266623424225292E-3</v>
      </c>
      <c r="L52" t="s">
        <v>251</v>
      </c>
      <c r="N52" t="s">
        <v>419</v>
      </c>
      <c r="O52" t="s">
        <v>292</v>
      </c>
      <c r="P52">
        <v>5.278470963195548E-3</v>
      </c>
      <c r="Q52" t="s">
        <v>251</v>
      </c>
      <c r="S52" t="s">
        <v>420</v>
      </c>
      <c r="T52" t="s">
        <v>292</v>
      </c>
      <c r="U52">
        <v>5.1765481631041842E-3</v>
      </c>
      <c r="V52" t="s">
        <v>251</v>
      </c>
      <c r="X52">
        <v>3.4246575342465752E-3</v>
      </c>
      <c r="Y52">
        <v>5.7181214727892006E-3</v>
      </c>
      <c r="Z52" t="s">
        <v>292</v>
      </c>
      <c r="AA52" t="s">
        <v>25</v>
      </c>
      <c r="AC52" t="s">
        <v>22</v>
      </c>
      <c r="AD52" t="s">
        <v>292</v>
      </c>
      <c r="AE52">
        <v>5.0324410226670127E-3</v>
      </c>
      <c r="AG52" t="s">
        <v>97</v>
      </c>
      <c r="AH52" t="s">
        <v>292</v>
      </c>
      <c r="AI52">
        <v>5.4623288193452524E-2</v>
      </c>
      <c r="AK52">
        <v>2025</v>
      </c>
      <c r="AL52" t="s">
        <v>169</v>
      </c>
      <c r="AM52">
        <v>0.49469999999999997</v>
      </c>
      <c r="AN52" t="s">
        <v>430</v>
      </c>
    </row>
    <row r="53" spans="5:40" x14ac:dyDescent="0.45">
      <c r="E53" t="s">
        <v>210</v>
      </c>
      <c r="G53" t="s">
        <v>160</v>
      </c>
      <c r="I53" t="s">
        <v>249</v>
      </c>
      <c r="J53" t="s">
        <v>293</v>
      </c>
      <c r="K53">
        <v>5.0750441322154997E-3</v>
      </c>
      <c r="L53" t="s">
        <v>251</v>
      </c>
      <c r="N53" t="s">
        <v>419</v>
      </c>
      <c r="O53" t="s">
        <v>293</v>
      </c>
      <c r="P53">
        <v>6.1018272305427643E-3</v>
      </c>
      <c r="Q53" t="s">
        <v>251</v>
      </c>
      <c r="S53" t="s">
        <v>420</v>
      </c>
      <c r="T53" t="s">
        <v>293</v>
      </c>
      <c r="U53">
        <v>5.1174221310656444E-3</v>
      </c>
      <c r="V53" t="s">
        <v>251</v>
      </c>
      <c r="X53">
        <v>3.4246575342465752E-3</v>
      </c>
      <c r="Y53">
        <v>4.3756059965691279E-3</v>
      </c>
      <c r="Z53" t="s">
        <v>293</v>
      </c>
      <c r="AA53" t="s">
        <v>25</v>
      </c>
      <c r="AC53" t="s">
        <v>22</v>
      </c>
      <c r="AD53" t="s">
        <v>293</v>
      </c>
      <c r="AE53">
        <v>5.0825125368809503E-3</v>
      </c>
      <c r="AG53" t="s">
        <v>97</v>
      </c>
      <c r="AH53" t="s">
        <v>293</v>
      </c>
      <c r="AI53">
        <v>4.8634603784541763E-2</v>
      </c>
      <c r="AK53">
        <v>2025</v>
      </c>
      <c r="AL53" t="s">
        <v>171</v>
      </c>
      <c r="AM53">
        <v>0.67</v>
      </c>
      <c r="AN53" t="s">
        <v>430</v>
      </c>
    </row>
    <row r="54" spans="5:40" x14ac:dyDescent="0.45">
      <c r="E54" t="s">
        <v>211</v>
      </c>
      <c r="G54" t="s">
        <v>160</v>
      </c>
      <c r="I54" t="s">
        <v>249</v>
      </c>
      <c r="J54" t="s">
        <v>294</v>
      </c>
      <c r="K54">
        <v>6.5019753804751003E-3</v>
      </c>
      <c r="L54" t="s">
        <v>251</v>
      </c>
      <c r="N54" t="s">
        <v>419</v>
      </c>
      <c r="O54" t="s">
        <v>294</v>
      </c>
      <c r="P54">
        <v>6.3253143755274271E-3</v>
      </c>
      <c r="Q54" t="s">
        <v>251</v>
      </c>
      <c r="S54" t="s">
        <v>420</v>
      </c>
      <c r="T54" t="s">
        <v>294</v>
      </c>
      <c r="U54">
        <v>5.1175180867328723E-3</v>
      </c>
      <c r="V54" t="s">
        <v>251</v>
      </c>
      <c r="X54">
        <v>3.4246575342465752E-3</v>
      </c>
      <c r="Y54">
        <v>4.3358277602366805E-3</v>
      </c>
      <c r="Z54" t="s">
        <v>294</v>
      </c>
      <c r="AA54" t="s">
        <v>25</v>
      </c>
      <c r="AC54" t="s">
        <v>22</v>
      </c>
      <c r="AD54" t="s">
        <v>294</v>
      </c>
      <c r="AE54">
        <v>5.0888608855968742E-3</v>
      </c>
      <c r="AG54" t="s">
        <v>97</v>
      </c>
      <c r="AH54" t="s">
        <v>294</v>
      </c>
      <c r="AI54">
        <v>4.7880179351180274E-2</v>
      </c>
      <c r="AK54">
        <v>2025</v>
      </c>
      <c r="AL54" t="s">
        <v>158</v>
      </c>
      <c r="AM54">
        <v>0.70209999999999995</v>
      </c>
      <c r="AN54" t="s">
        <v>430</v>
      </c>
    </row>
    <row r="55" spans="5:40" x14ac:dyDescent="0.45">
      <c r="E55" t="s">
        <v>212</v>
      </c>
      <c r="G55" t="s">
        <v>160</v>
      </c>
      <c r="I55" t="s">
        <v>249</v>
      </c>
      <c r="J55" t="s">
        <v>295</v>
      </c>
      <c r="K55">
        <v>5.2408395071258398E-2</v>
      </c>
      <c r="L55" t="s">
        <v>251</v>
      </c>
      <c r="N55" t="s">
        <v>419</v>
      </c>
      <c r="O55" t="s">
        <v>295</v>
      </c>
      <c r="P55">
        <v>4.4149492272705773E-2</v>
      </c>
      <c r="Q55" t="s">
        <v>251</v>
      </c>
      <c r="S55" t="s">
        <v>420</v>
      </c>
      <c r="T55" t="s">
        <v>295</v>
      </c>
      <c r="U55">
        <v>3.8365477548783382E-2</v>
      </c>
      <c r="V55" t="s">
        <v>251</v>
      </c>
      <c r="X55">
        <v>2.3972602739726026E-2</v>
      </c>
      <c r="Y55">
        <v>3.3533053228252493E-2</v>
      </c>
      <c r="Z55" t="s">
        <v>295</v>
      </c>
      <c r="AA55" t="s">
        <v>25</v>
      </c>
      <c r="AC55" t="s">
        <v>22</v>
      </c>
      <c r="AD55" t="s">
        <v>295</v>
      </c>
      <c r="AE55">
        <v>3.6083706461427875E-2</v>
      </c>
      <c r="AG55" t="s">
        <v>97</v>
      </c>
      <c r="AH55" t="s">
        <v>295</v>
      </c>
      <c r="AI55">
        <v>0.12780921466955442</v>
      </c>
      <c r="AK55">
        <v>2025</v>
      </c>
      <c r="AL55" t="s">
        <v>162</v>
      </c>
      <c r="AM55">
        <v>0.76329999999999998</v>
      </c>
      <c r="AN55" t="s">
        <v>430</v>
      </c>
    </row>
    <row r="56" spans="5:40" x14ac:dyDescent="0.45">
      <c r="E56" t="s">
        <v>213</v>
      </c>
      <c r="G56" t="s">
        <v>160</v>
      </c>
      <c r="I56" t="s">
        <v>249</v>
      </c>
      <c r="J56" t="s">
        <v>296</v>
      </c>
      <c r="K56">
        <v>4.2724821694190831E-3</v>
      </c>
      <c r="L56" t="s">
        <v>251</v>
      </c>
      <c r="N56" t="s">
        <v>419</v>
      </c>
      <c r="O56" t="s">
        <v>296</v>
      </c>
      <c r="P56">
        <v>6.3009483613797098E-3</v>
      </c>
      <c r="Q56" t="s">
        <v>251</v>
      </c>
      <c r="S56" t="s">
        <v>420</v>
      </c>
      <c r="T56" t="s">
        <v>296</v>
      </c>
      <c r="U56">
        <v>5.8747546722316092E-3</v>
      </c>
      <c r="V56" t="s">
        <v>251</v>
      </c>
      <c r="X56">
        <v>3.4246575342465752E-3</v>
      </c>
      <c r="Y56">
        <v>6.662854585684809E-3</v>
      </c>
      <c r="Z56" t="s">
        <v>296</v>
      </c>
      <c r="AA56" t="s">
        <v>25</v>
      </c>
      <c r="AC56" t="s">
        <v>22</v>
      </c>
      <c r="AD56" t="s">
        <v>296</v>
      </c>
      <c r="AE56">
        <v>3.1423811851982193E-3</v>
      </c>
      <c r="AG56" t="s">
        <v>97</v>
      </c>
      <c r="AH56" t="s">
        <v>296</v>
      </c>
      <c r="AI56">
        <v>8.9423036891613572E-2</v>
      </c>
      <c r="AK56">
        <v>2025</v>
      </c>
      <c r="AL56" t="s">
        <v>175</v>
      </c>
      <c r="AM56">
        <v>0.5343</v>
      </c>
      <c r="AN56" t="s">
        <v>430</v>
      </c>
    </row>
    <row r="57" spans="5:40" x14ac:dyDescent="0.45">
      <c r="E57" t="s">
        <v>214</v>
      </c>
      <c r="G57" t="s">
        <v>160</v>
      </c>
      <c r="I57" t="s">
        <v>249</v>
      </c>
      <c r="J57" t="s">
        <v>297</v>
      </c>
      <c r="K57">
        <v>2.380249128749159E-3</v>
      </c>
      <c r="L57" t="s">
        <v>251</v>
      </c>
      <c r="N57" t="s">
        <v>419</v>
      </c>
      <c r="O57" t="s">
        <v>297</v>
      </c>
      <c r="P57">
        <v>6.4942321030568998E-3</v>
      </c>
      <c r="Q57" t="s">
        <v>251</v>
      </c>
      <c r="S57" t="s">
        <v>420</v>
      </c>
      <c r="T57" t="s">
        <v>297</v>
      </c>
      <c r="U57">
        <v>6.0119750941272799E-3</v>
      </c>
      <c r="V57" t="s">
        <v>251</v>
      </c>
      <c r="X57">
        <v>3.4246575342465752E-3</v>
      </c>
      <c r="Y57">
        <v>5.1711707232180593E-3</v>
      </c>
      <c r="Z57" t="s">
        <v>297</v>
      </c>
      <c r="AA57" t="s">
        <v>25</v>
      </c>
      <c r="AC57" t="s">
        <v>22</v>
      </c>
      <c r="AD57" t="s">
        <v>297</v>
      </c>
      <c r="AE57">
        <v>3.8905794267177396E-3</v>
      </c>
      <c r="AG57" t="s">
        <v>97</v>
      </c>
      <c r="AH57" t="s">
        <v>297</v>
      </c>
      <c r="AI57">
        <v>1.6280183193151831E-2</v>
      </c>
      <c r="AK57">
        <v>2025</v>
      </c>
      <c r="AL57" t="s">
        <v>166</v>
      </c>
      <c r="AM57">
        <v>0.37019999999999997</v>
      </c>
      <c r="AN57" t="s">
        <v>430</v>
      </c>
    </row>
    <row r="58" spans="5:40" x14ac:dyDescent="0.45">
      <c r="E58" t="s">
        <v>215</v>
      </c>
      <c r="G58" t="s">
        <v>160</v>
      </c>
      <c r="I58" t="s">
        <v>249</v>
      </c>
      <c r="J58" t="s">
        <v>298</v>
      </c>
      <c r="K58">
        <v>6.5942701400987245E-4</v>
      </c>
      <c r="L58" t="s">
        <v>251</v>
      </c>
      <c r="N58" t="s">
        <v>419</v>
      </c>
      <c r="O58" t="s">
        <v>298</v>
      </c>
      <c r="P58">
        <v>3.4052871775288797E-2</v>
      </c>
      <c r="Q58" t="s">
        <v>251</v>
      </c>
      <c r="S58" t="s">
        <v>420</v>
      </c>
      <c r="T58" t="s">
        <v>298</v>
      </c>
      <c r="U58">
        <v>3.0989048617552705E-2</v>
      </c>
      <c r="V58" t="s">
        <v>251</v>
      </c>
      <c r="X58">
        <v>1.7123287671232876E-2</v>
      </c>
      <c r="Y58">
        <v>1.2927926808045149E-2</v>
      </c>
      <c r="Z58" t="s">
        <v>298</v>
      </c>
      <c r="AA58" t="s">
        <v>25</v>
      </c>
      <c r="AC58" t="s">
        <v>22</v>
      </c>
      <c r="AD58" t="s">
        <v>298</v>
      </c>
      <c r="AE58">
        <v>1.7665221966811109E-2</v>
      </c>
      <c r="AG58" t="s">
        <v>97</v>
      </c>
      <c r="AH58" t="s">
        <v>298</v>
      </c>
      <c r="AI58">
        <v>5.6224292849093915E-2</v>
      </c>
      <c r="AK58">
        <v>2025</v>
      </c>
      <c r="AL58" t="s">
        <v>178</v>
      </c>
      <c r="AM58">
        <v>0.314</v>
      </c>
      <c r="AN58" t="s">
        <v>430</v>
      </c>
    </row>
    <row r="59" spans="5:40" x14ac:dyDescent="0.45">
      <c r="E59" t="s">
        <v>216</v>
      </c>
      <c r="G59" t="s">
        <v>164</v>
      </c>
      <c r="I59" t="s">
        <v>249</v>
      </c>
      <c r="J59" t="s">
        <v>299</v>
      </c>
      <c r="K59">
        <v>3.9949852694818087E-4</v>
      </c>
      <c r="L59" t="s">
        <v>251</v>
      </c>
      <c r="N59" t="s">
        <v>419</v>
      </c>
      <c r="O59" t="s">
        <v>299</v>
      </c>
      <c r="P59">
        <v>5.21461902063994E-2</v>
      </c>
      <c r="Q59" t="s">
        <v>251</v>
      </c>
      <c r="S59" t="s">
        <v>420</v>
      </c>
      <c r="T59" t="s">
        <v>299</v>
      </c>
      <c r="U59">
        <v>5.8266126603190097E-2</v>
      </c>
      <c r="V59" t="s">
        <v>251</v>
      </c>
      <c r="X59">
        <v>2.4771689497716895E-2</v>
      </c>
      <c r="Y59">
        <v>9.7827942553597048E-3</v>
      </c>
      <c r="Z59" t="s">
        <v>299</v>
      </c>
      <c r="AA59" t="s">
        <v>25</v>
      </c>
      <c r="AC59" t="s">
        <v>22</v>
      </c>
      <c r="AD59" t="s">
        <v>299</v>
      </c>
      <c r="AE59">
        <v>3.1290129919684682E-2</v>
      </c>
      <c r="AG59" t="s">
        <v>97</v>
      </c>
      <c r="AH59" t="s">
        <v>299</v>
      </c>
      <c r="AI59">
        <v>9.0557243741560711E-2</v>
      </c>
      <c r="AK59">
        <v>2026</v>
      </c>
      <c r="AL59" t="s">
        <v>151</v>
      </c>
      <c r="AM59">
        <v>0.25640000000000002</v>
      </c>
      <c r="AN59" t="s">
        <v>430</v>
      </c>
    </row>
    <row r="60" spans="5:40" x14ac:dyDescent="0.45">
      <c r="E60" t="s">
        <v>217</v>
      </c>
      <c r="G60" t="s">
        <v>164</v>
      </c>
      <c r="I60" t="s">
        <v>249</v>
      </c>
      <c r="J60" t="s">
        <v>300</v>
      </c>
      <c r="K60">
        <v>1.5950621698403843E-3</v>
      </c>
      <c r="L60" t="s">
        <v>251</v>
      </c>
      <c r="N60" t="s">
        <v>419</v>
      </c>
      <c r="O60" t="s">
        <v>300</v>
      </c>
      <c r="P60">
        <v>6.9797535869503E-3</v>
      </c>
      <c r="Q60" t="s">
        <v>251</v>
      </c>
      <c r="S60" t="s">
        <v>420</v>
      </c>
      <c r="T60" t="s">
        <v>300</v>
      </c>
      <c r="U60">
        <v>7.9219619050836E-3</v>
      </c>
      <c r="V60" t="s">
        <v>251</v>
      </c>
      <c r="X60">
        <v>3.5388127853881279E-3</v>
      </c>
      <c r="Y60">
        <v>5.9087255218821738E-3</v>
      </c>
      <c r="Z60" t="s">
        <v>300</v>
      </c>
      <c r="AA60" t="s">
        <v>25</v>
      </c>
      <c r="AC60" t="s">
        <v>22</v>
      </c>
      <c r="AD60" t="s">
        <v>300</v>
      </c>
      <c r="AE60">
        <v>4.878510750396468E-3</v>
      </c>
      <c r="AG60" t="s">
        <v>97</v>
      </c>
      <c r="AH60" t="s">
        <v>300</v>
      </c>
      <c r="AI60">
        <v>3.8525592846895274E-2</v>
      </c>
      <c r="AK60">
        <v>2026</v>
      </c>
      <c r="AL60" t="s">
        <v>156</v>
      </c>
      <c r="AM60">
        <v>0.2974</v>
      </c>
      <c r="AN60" t="s">
        <v>430</v>
      </c>
    </row>
    <row r="61" spans="5:40" x14ac:dyDescent="0.45">
      <c r="E61" t="s">
        <v>218</v>
      </c>
      <c r="G61" t="s">
        <v>164</v>
      </c>
      <c r="I61" t="s">
        <v>249</v>
      </c>
      <c r="J61" t="s">
        <v>301</v>
      </c>
      <c r="K61">
        <v>3.0283477756202618E-3</v>
      </c>
      <c r="L61" t="s">
        <v>251</v>
      </c>
      <c r="N61" t="s">
        <v>419</v>
      </c>
      <c r="O61" t="s">
        <v>301</v>
      </c>
      <c r="P61">
        <v>7.7421033792447001E-3</v>
      </c>
      <c r="Q61" t="s">
        <v>251</v>
      </c>
      <c r="S61" t="s">
        <v>420</v>
      </c>
      <c r="T61" t="s">
        <v>301</v>
      </c>
      <c r="U61">
        <v>7.8743154094812005E-3</v>
      </c>
      <c r="V61" t="s">
        <v>251</v>
      </c>
      <c r="X61">
        <v>3.5388127853881279E-3</v>
      </c>
      <c r="Y61">
        <v>4.521459529788099E-3</v>
      </c>
      <c r="Z61" t="s">
        <v>301</v>
      </c>
      <c r="AA61" t="s">
        <v>25</v>
      </c>
      <c r="AC61" t="s">
        <v>22</v>
      </c>
      <c r="AD61" t="s">
        <v>301</v>
      </c>
      <c r="AE61">
        <v>4.9283984321186322E-3</v>
      </c>
      <c r="AG61" t="s">
        <v>97</v>
      </c>
      <c r="AH61" t="s">
        <v>301</v>
      </c>
      <c r="AI61">
        <v>6.5790488331782804E-2</v>
      </c>
      <c r="AK61">
        <v>2026</v>
      </c>
      <c r="AL61" t="s">
        <v>159</v>
      </c>
      <c r="AM61">
        <v>0.30530000000000002</v>
      </c>
      <c r="AN61" t="s">
        <v>430</v>
      </c>
    </row>
    <row r="62" spans="5:40" x14ac:dyDescent="0.45">
      <c r="E62" t="s">
        <v>219</v>
      </c>
      <c r="G62" t="s">
        <v>164</v>
      </c>
      <c r="I62" t="s">
        <v>249</v>
      </c>
      <c r="J62" t="s">
        <v>302</v>
      </c>
      <c r="K62">
        <v>4.2983747799500358E-3</v>
      </c>
      <c r="L62" t="s">
        <v>251</v>
      </c>
      <c r="N62" t="s">
        <v>419</v>
      </c>
      <c r="O62" t="s">
        <v>302</v>
      </c>
      <c r="P62">
        <v>8.1553262393319007E-3</v>
      </c>
      <c r="Q62" t="s">
        <v>251</v>
      </c>
      <c r="S62" t="s">
        <v>420</v>
      </c>
      <c r="T62" t="s">
        <v>302</v>
      </c>
      <c r="U62">
        <v>7.8451054959140995E-3</v>
      </c>
      <c r="V62" t="s">
        <v>251</v>
      </c>
      <c r="X62">
        <v>3.5388127853881279E-3</v>
      </c>
      <c r="Y62">
        <v>4.4803553522445696E-3</v>
      </c>
      <c r="Z62" t="s">
        <v>302</v>
      </c>
      <c r="AA62" t="s">
        <v>25</v>
      </c>
      <c r="AC62" t="s">
        <v>22</v>
      </c>
      <c r="AD62" t="s">
        <v>302</v>
      </c>
      <c r="AE62">
        <v>4.937018504778355E-3</v>
      </c>
      <c r="AG62" t="s">
        <v>97</v>
      </c>
      <c r="AH62" t="s">
        <v>302</v>
      </c>
      <c r="AI62">
        <v>5.5477041993539533E-2</v>
      </c>
      <c r="AK62">
        <v>2026</v>
      </c>
      <c r="AL62" t="s">
        <v>163</v>
      </c>
      <c r="AM62">
        <v>0.34670000000000001</v>
      </c>
      <c r="AN62" t="s">
        <v>430</v>
      </c>
    </row>
    <row r="63" spans="5:40" x14ac:dyDescent="0.45">
      <c r="E63" t="s">
        <v>220</v>
      </c>
      <c r="G63" t="s">
        <v>164</v>
      </c>
      <c r="I63" t="s">
        <v>249</v>
      </c>
      <c r="J63" t="s">
        <v>303</v>
      </c>
      <c r="K63">
        <v>3.8843648177558546E-2</v>
      </c>
      <c r="L63" t="s">
        <v>251</v>
      </c>
      <c r="N63" t="s">
        <v>419</v>
      </c>
      <c r="O63" t="s">
        <v>303</v>
      </c>
      <c r="P63">
        <v>5.84657992409887E-2</v>
      </c>
      <c r="Q63" t="s">
        <v>251</v>
      </c>
      <c r="S63" t="s">
        <v>420</v>
      </c>
      <c r="T63" t="s">
        <v>303</v>
      </c>
      <c r="U63">
        <v>5.5983631985480599E-2</v>
      </c>
      <c r="V63" t="s">
        <v>251</v>
      </c>
      <c r="X63">
        <v>2.4771689497716895E-2</v>
      </c>
      <c r="Y63">
        <v>3.4650821669194247E-2</v>
      </c>
      <c r="Z63" t="s">
        <v>303</v>
      </c>
      <c r="AA63" t="s">
        <v>25</v>
      </c>
      <c r="AC63" t="s">
        <v>22</v>
      </c>
      <c r="AD63" t="s">
        <v>303</v>
      </c>
      <c r="AE63">
        <v>3.5605578723758191E-2</v>
      </c>
      <c r="AG63" t="s">
        <v>97</v>
      </c>
      <c r="AH63" t="s">
        <v>303</v>
      </c>
      <c r="AI63">
        <v>0.11764578777160528</v>
      </c>
      <c r="AK63">
        <v>2026</v>
      </c>
      <c r="AL63" t="s">
        <v>167</v>
      </c>
      <c r="AM63">
        <v>0.41049999999999998</v>
      </c>
      <c r="AN63" t="s">
        <v>430</v>
      </c>
    </row>
    <row r="64" spans="5:40" x14ac:dyDescent="0.45">
      <c r="E64" t="s">
        <v>221</v>
      </c>
      <c r="G64" t="s">
        <v>164</v>
      </c>
      <c r="I64" t="s">
        <v>249</v>
      </c>
      <c r="J64" t="s">
        <v>304</v>
      </c>
      <c r="K64">
        <v>2.7779154947420817E-3</v>
      </c>
      <c r="L64" t="s">
        <v>251</v>
      </c>
      <c r="N64" t="s">
        <v>419</v>
      </c>
      <c r="O64" t="s">
        <v>304</v>
      </c>
      <c r="P64">
        <v>8.3100494361197999E-3</v>
      </c>
      <c r="Q64" t="s">
        <v>251</v>
      </c>
      <c r="S64" t="s">
        <v>420</v>
      </c>
      <c r="T64" t="s">
        <v>304</v>
      </c>
      <c r="U64">
        <v>8.3495263949457006E-3</v>
      </c>
      <c r="V64" t="s">
        <v>251</v>
      </c>
      <c r="X64">
        <v>3.5388127853881279E-3</v>
      </c>
      <c r="Y64">
        <v>6.8849497385409693E-3</v>
      </c>
      <c r="Z64" t="s">
        <v>304</v>
      </c>
      <c r="AA64" t="s">
        <v>25</v>
      </c>
      <c r="AC64" t="s">
        <v>22</v>
      </c>
      <c r="AD64" t="s">
        <v>304</v>
      </c>
      <c r="AE64">
        <v>3.0673261932617898E-3</v>
      </c>
      <c r="AG64" t="s">
        <v>97</v>
      </c>
      <c r="AH64" t="s">
        <v>304</v>
      </c>
      <c r="AI64">
        <v>4.169317729613109E-2</v>
      </c>
      <c r="AK64">
        <v>2026</v>
      </c>
      <c r="AL64" t="s">
        <v>169</v>
      </c>
      <c r="AM64">
        <v>0.50549999999999995</v>
      </c>
      <c r="AN64" t="s">
        <v>430</v>
      </c>
    </row>
    <row r="65" spans="5:40" x14ac:dyDescent="0.45">
      <c r="E65" t="s">
        <v>222</v>
      </c>
      <c r="G65" t="s">
        <v>164</v>
      </c>
      <c r="I65" t="s">
        <v>249</v>
      </c>
      <c r="J65" t="s">
        <v>305</v>
      </c>
      <c r="K65">
        <v>1.4128730063523956E-3</v>
      </c>
      <c r="L65" t="s">
        <v>251</v>
      </c>
      <c r="N65" t="s">
        <v>419</v>
      </c>
      <c r="O65" t="s">
        <v>305</v>
      </c>
      <c r="P65">
        <v>8.4304595037270995E-3</v>
      </c>
      <c r="Q65" t="s">
        <v>251</v>
      </c>
      <c r="S65" t="s">
        <v>420</v>
      </c>
      <c r="T65" t="s">
        <v>305</v>
      </c>
      <c r="U65">
        <v>8.4649161656644E-3</v>
      </c>
      <c r="V65" t="s">
        <v>251</v>
      </c>
      <c r="X65">
        <v>3.5388127853881279E-3</v>
      </c>
      <c r="Y65">
        <v>5.3435430806586613E-3</v>
      </c>
      <c r="Z65" t="s">
        <v>305</v>
      </c>
      <c r="AA65" t="s">
        <v>25</v>
      </c>
      <c r="AC65" t="s">
        <v>22</v>
      </c>
      <c r="AD65" t="s">
        <v>305</v>
      </c>
      <c r="AE65">
        <v>3.7456547182714863E-3</v>
      </c>
      <c r="AG65" t="s">
        <v>97</v>
      </c>
      <c r="AH65" t="s">
        <v>305</v>
      </c>
      <c r="AI65">
        <v>1.8929036410713973E-2</v>
      </c>
      <c r="AK65">
        <v>2026</v>
      </c>
      <c r="AL65" t="s">
        <v>171</v>
      </c>
      <c r="AM65">
        <v>0.57340000000000002</v>
      </c>
      <c r="AN65" t="s">
        <v>430</v>
      </c>
    </row>
    <row r="66" spans="5:40" x14ac:dyDescent="0.45">
      <c r="E66" t="s">
        <v>223</v>
      </c>
      <c r="G66" t="s">
        <v>164</v>
      </c>
      <c r="I66" t="s">
        <v>249</v>
      </c>
      <c r="J66" t="s">
        <v>306</v>
      </c>
      <c r="K66">
        <v>3.1655616640138384E-4</v>
      </c>
      <c r="L66" t="s">
        <v>251</v>
      </c>
      <c r="N66" t="s">
        <v>419</v>
      </c>
      <c r="O66" t="s">
        <v>306</v>
      </c>
      <c r="P66">
        <v>4.2188424357887597E-2</v>
      </c>
      <c r="Q66" t="s">
        <v>251</v>
      </c>
      <c r="S66" t="s">
        <v>420</v>
      </c>
      <c r="T66" t="s">
        <v>306</v>
      </c>
      <c r="U66">
        <v>4.2296696757634797E-2</v>
      </c>
      <c r="V66" t="s">
        <v>251</v>
      </c>
      <c r="X66">
        <v>1.7694063926940638E-2</v>
      </c>
      <c r="Y66">
        <v>1.3358857701646654E-2</v>
      </c>
      <c r="Z66" t="s">
        <v>306</v>
      </c>
      <c r="AA66" t="s">
        <v>25</v>
      </c>
      <c r="AC66" t="s">
        <v>22</v>
      </c>
      <c r="AD66" t="s">
        <v>306</v>
      </c>
      <c r="AE66">
        <v>1.7309067814546067E-2</v>
      </c>
      <c r="AG66" t="s">
        <v>97</v>
      </c>
      <c r="AH66" t="s">
        <v>306</v>
      </c>
      <c r="AI66">
        <v>7.3955067275157216E-2</v>
      </c>
      <c r="AK66">
        <v>2026</v>
      </c>
      <c r="AL66" t="s">
        <v>158</v>
      </c>
      <c r="AM66">
        <v>0.76170000000000004</v>
      </c>
      <c r="AN66" t="s">
        <v>430</v>
      </c>
    </row>
    <row r="67" spans="5:40" x14ac:dyDescent="0.45">
      <c r="E67" t="s">
        <v>224</v>
      </c>
      <c r="G67" t="s">
        <v>164</v>
      </c>
      <c r="I67" t="s">
        <v>249</v>
      </c>
      <c r="J67" t="s">
        <v>307</v>
      </c>
      <c r="K67">
        <v>2.9164930879222996E-4</v>
      </c>
      <c r="L67" t="s">
        <v>251</v>
      </c>
      <c r="N67" t="s">
        <v>419</v>
      </c>
      <c r="O67" t="s">
        <v>307</v>
      </c>
      <c r="P67">
        <v>3.3386872152963154E-2</v>
      </c>
      <c r="Q67" t="s">
        <v>251</v>
      </c>
      <c r="S67" t="s">
        <v>420</v>
      </c>
      <c r="T67" t="s">
        <v>307</v>
      </c>
      <c r="U67">
        <v>3.8420344233045231E-2</v>
      </c>
      <c r="V67" t="s">
        <v>251</v>
      </c>
      <c r="X67">
        <v>2.3972602739726026E-2</v>
      </c>
      <c r="Y67">
        <v>9.4672202471222967E-3</v>
      </c>
      <c r="Z67" t="s">
        <v>307</v>
      </c>
      <c r="AA67" t="s">
        <v>25</v>
      </c>
      <c r="AC67" t="s">
        <v>22</v>
      </c>
      <c r="AD67" t="s">
        <v>307</v>
      </c>
      <c r="AE67">
        <v>2.6996240901568422E-2</v>
      </c>
      <c r="AG67" t="s">
        <v>97</v>
      </c>
      <c r="AH67" t="s">
        <v>307</v>
      </c>
      <c r="AI67">
        <v>0.1271724902875262</v>
      </c>
      <c r="AK67">
        <v>2026</v>
      </c>
      <c r="AL67" t="s">
        <v>162</v>
      </c>
      <c r="AM67">
        <v>0.75239999999999996</v>
      </c>
      <c r="AN67" t="s">
        <v>430</v>
      </c>
    </row>
    <row r="68" spans="5:40" x14ac:dyDescent="0.45">
      <c r="E68" t="s">
        <v>225</v>
      </c>
      <c r="G68" t="s">
        <v>164</v>
      </c>
      <c r="I68" t="s">
        <v>249</v>
      </c>
      <c r="J68" t="s">
        <v>308</v>
      </c>
      <c r="K68">
        <v>1.5534759673266573E-3</v>
      </c>
      <c r="L68" t="s">
        <v>251</v>
      </c>
      <c r="N68" t="s">
        <v>419</v>
      </c>
      <c r="O68" t="s">
        <v>308</v>
      </c>
      <c r="P68">
        <v>4.4920651071981357E-3</v>
      </c>
      <c r="Q68" t="s">
        <v>251</v>
      </c>
      <c r="S68" t="s">
        <v>420</v>
      </c>
      <c r="T68" t="s">
        <v>308</v>
      </c>
      <c r="U68">
        <v>5.0579289251007145E-3</v>
      </c>
      <c r="V68" t="s">
        <v>251</v>
      </c>
      <c r="X68">
        <v>3.4246575342465752E-3</v>
      </c>
      <c r="Y68">
        <v>5.7181214727892006E-3</v>
      </c>
      <c r="Z68" t="s">
        <v>308</v>
      </c>
      <c r="AA68" t="s">
        <v>25</v>
      </c>
      <c r="AC68" t="s">
        <v>22</v>
      </c>
      <c r="AD68" t="s">
        <v>308</v>
      </c>
      <c r="AE68">
        <v>4.4728690172967803E-3</v>
      </c>
      <c r="AG68" t="s">
        <v>97</v>
      </c>
      <c r="AH68" t="s">
        <v>308</v>
      </c>
      <c r="AI68">
        <v>4.1846781932335375E-2</v>
      </c>
      <c r="AK68">
        <v>2026</v>
      </c>
      <c r="AL68" t="s">
        <v>175</v>
      </c>
      <c r="AM68">
        <v>0.48809999999999998</v>
      </c>
      <c r="AN68" t="s">
        <v>430</v>
      </c>
    </row>
    <row r="69" spans="5:40" x14ac:dyDescent="0.45">
      <c r="E69" t="s">
        <v>226</v>
      </c>
      <c r="G69" t="s">
        <v>164</v>
      </c>
      <c r="I69" t="s">
        <v>249</v>
      </c>
      <c r="J69" t="s">
        <v>309</v>
      </c>
      <c r="K69">
        <v>3.1974181023152666E-3</v>
      </c>
      <c r="L69" t="s">
        <v>251</v>
      </c>
      <c r="N69" t="s">
        <v>419</v>
      </c>
      <c r="O69" t="s">
        <v>309</v>
      </c>
      <c r="P69">
        <v>5.2655085329725024E-3</v>
      </c>
      <c r="Q69" t="s">
        <v>251</v>
      </c>
      <c r="S69" t="s">
        <v>420</v>
      </c>
      <c r="T69" t="s">
        <v>309</v>
      </c>
      <c r="U69">
        <v>4.9939178217539675E-3</v>
      </c>
      <c r="V69" t="s">
        <v>251</v>
      </c>
      <c r="X69">
        <v>3.4246575342465752E-3</v>
      </c>
      <c r="Y69">
        <v>4.3756059965691279E-3</v>
      </c>
      <c r="Z69" t="s">
        <v>309</v>
      </c>
      <c r="AA69" t="s">
        <v>25</v>
      </c>
      <c r="AC69" t="s">
        <v>22</v>
      </c>
      <c r="AD69" t="s">
        <v>309</v>
      </c>
      <c r="AE69">
        <v>4.5115585149291329E-3</v>
      </c>
      <c r="AG69" t="s">
        <v>97</v>
      </c>
      <c r="AH69" t="s">
        <v>309</v>
      </c>
      <c r="AI69">
        <v>3.9081085083813472E-2</v>
      </c>
      <c r="AK69">
        <v>2026</v>
      </c>
      <c r="AL69" t="s">
        <v>166</v>
      </c>
      <c r="AM69">
        <v>0.35849999999999999</v>
      </c>
      <c r="AN69" t="s">
        <v>430</v>
      </c>
    </row>
    <row r="70" spans="5:40" x14ac:dyDescent="0.45">
      <c r="E70" t="s">
        <v>227</v>
      </c>
      <c r="G70" t="s">
        <v>164</v>
      </c>
      <c r="I70" t="s">
        <v>249</v>
      </c>
      <c r="J70" t="s">
        <v>310</v>
      </c>
      <c r="K70">
        <v>4.6064078570397697E-3</v>
      </c>
      <c r="L70" t="s">
        <v>251</v>
      </c>
      <c r="N70" t="s">
        <v>419</v>
      </c>
      <c r="O70" t="s">
        <v>310</v>
      </c>
      <c r="P70">
        <v>5.3096117635324696E-3</v>
      </c>
      <c r="Q70" t="s">
        <v>251</v>
      </c>
      <c r="S70" t="s">
        <v>420</v>
      </c>
      <c r="T70" t="s">
        <v>310</v>
      </c>
      <c r="U70">
        <v>4.9470695677535283E-3</v>
      </c>
      <c r="V70" t="s">
        <v>251</v>
      </c>
      <c r="X70">
        <v>3.4246575342465752E-3</v>
      </c>
      <c r="Y70">
        <v>4.3358277602366805E-3</v>
      </c>
      <c r="Z70" t="s">
        <v>310</v>
      </c>
      <c r="AA70" t="s">
        <v>25</v>
      </c>
      <c r="AC70" t="s">
        <v>22</v>
      </c>
      <c r="AD70" t="s">
        <v>310</v>
      </c>
      <c r="AE70">
        <v>4.5076066734241532E-3</v>
      </c>
      <c r="AG70" t="s">
        <v>97</v>
      </c>
      <c r="AH70" t="s">
        <v>310</v>
      </c>
      <c r="AI70">
        <v>3.9572609258501368E-2</v>
      </c>
      <c r="AK70">
        <v>2026</v>
      </c>
      <c r="AL70" t="s">
        <v>178</v>
      </c>
      <c r="AM70">
        <v>0.28820000000000001</v>
      </c>
      <c r="AN70" t="s">
        <v>430</v>
      </c>
    </row>
    <row r="71" spans="5:40" x14ac:dyDescent="0.45">
      <c r="E71" t="s">
        <v>228</v>
      </c>
      <c r="G71" t="s">
        <v>164</v>
      </c>
      <c r="I71" t="s">
        <v>249</v>
      </c>
      <c r="J71" t="s">
        <v>311</v>
      </c>
      <c r="K71">
        <v>4.0383046264628769E-2</v>
      </c>
      <c r="L71" t="s">
        <v>251</v>
      </c>
      <c r="N71" t="s">
        <v>419</v>
      </c>
      <c r="O71" t="s">
        <v>311</v>
      </c>
      <c r="P71">
        <v>3.8212164353307598E-2</v>
      </c>
      <c r="Q71" t="s">
        <v>251</v>
      </c>
      <c r="S71" t="s">
        <v>420</v>
      </c>
      <c r="T71" t="s">
        <v>311</v>
      </c>
      <c r="U71">
        <v>3.55444579082696E-2</v>
      </c>
      <c r="V71" t="s">
        <v>251</v>
      </c>
      <c r="X71">
        <v>2.3972602739726026E-2</v>
      </c>
      <c r="Y71">
        <v>3.3533053228252493E-2</v>
      </c>
      <c r="Z71" t="s">
        <v>311</v>
      </c>
      <c r="AA71" t="s">
        <v>25</v>
      </c>
      <c r="AC71" t="s">
        <v>22</v>
      </c>
      <c r="AD71" t="s">
        <v>311</v>
      </c>
      <c r="AE71">
        <v>3.3001514736525406E-2</v>
      </c>
      <c r="AG71" t="s">
        <v>97</v>
      </c>
      <c r="AH71" t="s">
        <v>311</v>
      </c>
      <c r="AI71">
        <v>0.14879723088239882</v>
      </c>
      <c r="AK71">
        <v>2027</v>
      </c>
      <c r="AL71" t="s">
        <v>151</v>
      </c>
      <c r="AM71">
        <v>0.30059999999999998</v>
      </c>
      <c r="AN71" t="s">
        <v>430</v>
      </c>
    </row>
    <row r="72" spans="5:40" x14ac:dyDescent="0.45">
      <c r="E72" t="s">
        <v>229</v>
      </c>
      <c r="G72" t="s">
        <v>164</v>
      </c>
      <c r="I72" t="s">
        <v>249</v>
      </c>
      <c r="J72" t="s">
        <v>312</v>
      </c>
      <c r="K72">
        <v>2.9674235853429463E-3</v>
      </c>
      <c r="L72" t="s">
        <v>251</v>
      </c>
      <c r="N72" t="s">
        <v>419</v>
      </c>
      <c r="O72" t="s">
        <v>312</v>
      </c>
      <c r="P72">
        <v>5.1942806432478984E-3</v>
      </c>
      <c r="Q72" t="s">
        <v>251</v>
      </c>
      <c r="S72" t="s">
        <v>420</v>
      </c>
      <c r="T72" t="s">
        <v>312</v>
      </c>
      <c r="U72">
        <v>5.1573149302819804E-3</v>
      </c>
      <c r="V72" t="s">
        <v>251</v>
      </c>
      <c r="X72">
        <v>3.4246575342465752E-3</v>
      </c>
      <c r="Y72">
        <v>6.662854585684809E-3</v>
      </c>
      <c r="Z72" t="s">
        <v>312</v>
      </c>
      <c r="AA72" t="s">
        <v>25</v>
      </c>
      <c r="AC72" t="s">
        <v>22</v>
      </c>
      <c r="AD72" t="s">
        <v>312</v>
      </c>
      <c r="AE72">
        <v>2.5954044908552787E-3</v>
      </c>
      <c r="AG72" t="s">
        <v>97</v>
      </c>
      <c r="AH72" t="s">
        <v>312</v>
      </c>
      <c r="AI72">
        <v>3.6852428252578617E-2</v>
      </c>
      <c r="AK72">
        <v>2027</v>
      </c>
      <c r="AL72" t="s">
        <v>156</v>
      </c>
      <c r="AM72">
        <v>0.2923</v>
      </c>
      <c r="AN72" t="s">
        <v>430</v>
      </c>
    </row>
    <row r="73" spans="5:40" x14ac:dyDescent="0.45">
      <c r="E73" t="s">
        <v>230</v>
      </c>
      <c r="G73" t="s">
        <v>164</v>
      </c>
      <c r="I73" t="s">
        <v>249</v>
      </c>
      <c r="J73" t="s">
        <v>313</v>
      </c>
      <c r="K73">
        <v>1.3572641133471862E-3</v>
      </c>
      <c r="L73" t="s">
        <v>251</v>
      </c>
      <c r="N73" t="s">
        <v>419</v>
      </c>
      <c r="O73" t="s">
        <v>313</v>
      </c>
      <c r="P73">
        <v>5.2546706695904451E-3</v>
      </c>
      <c r="Q73" t="s">
        <v>251</v>
      </c>
      <c r="S73" t="s">
        <v>420</v>
      </c>
      <c r="T73" t="s">
        <v>313</v>
      </c>
      <c r="U73">
        <v>5.1970907201175087E-3</v>
      </c>
      <c r="V73" t="s">
        <v>251</v>
      </c>
      <c r="X73">
        <v>3.4246575342465752E-3</v>
      </c>
      <c r="Y73">
        <v>5.1711707232180593E-3</v>
      </c>
      <c r="Z73" t="s">
        <v>313</v>
      </c>
      <c r="AA73" t="s">
        <v>25</v>
      </c>
      <c r="AC73" t="s">
        <v>22</v>
      </c>
      <c r="AD73" t="s">
        <v>313</v>
      </c>
      <c r="AE73">
        <v>1.6884317973951651E-3</v>
      </c>
      <c r="AG73" t="s">
        <v>97</v>
      </c>
      <c r="AH73" t="s">
        <v>313</v>
      </c>
      <c r="AI73">
        <v>4.060813360973059E-2</v>
      </c>
      <c r="AK73">
        <v>2027</v>
      </c>
      <c r="AL73" t="s">
        <v>159</v>
      </c>
      <c r="AM73">
        <v>0.33539999999999998</v>
      </c>
      <c r="AN73" t="s">
        <v>430</v>
      </c>
    </row>
    <row r="74" spans="5:40" x14ac:dyDescent="0.45">
      <c r="E74" t="s">
        <v>231</v>
      </c>
      <c r="G74" t="s">
        <v>164</v>
      </c>
      <c r="I74" t="s">
        <v>249</v>
      </c>
      <c r="J74" t="s">
        <v>314</v>
      </c>
      <c r="K74">
        <v>1.8331413102329561E-4</v>
      </c>
      <c r="L74" t="s">
        <v>251</v>
      </c>
      <c r="N74" t="s">
        <v>419</v>
      </c>
      <c r="O74" t="s">
        <v>314</v>
      </c>
      <c r="P74">
        <v>2.5963191615532285E-2</v>
      </c>
      <c r="Q74" t="s">
        <v>251</v>
      </c>
      <c r="S74" t="s">
        <v>420</v>
      </c>
      <c r="T74" t="s">
        <v>314</v>
      </c>
      <c r="U74">
        <v>2.6237574582561259E-2</v>
      </c>
      <c r="V74" t="s">
        <v>251</v>
      </c>
      <c r="X74">
        <v>1.7123287671232876E-2</v>
      </c>
      <c r="Y74">
        <v>1.2927926808045149E-2</v>
      </c>
      <c r="Z74" t="s">
        <v>314</v>
      </c>
      <c r="AA74" t="s">
        <v>25</v>
      </c>
      <c r="AC74" t="s">
        <v>22</v>
      </c>
      <c r="AD74" t="s">
        <v>314</v>
      </c>
      <c r="AE74">
        <v>8.8210143556591153E-3</v>
      </c>
      <c r="AG74" t="s">
        <v>97</v>
      </c>
      <c r="AH74" t="s">
        <v>314</v>
      </c>
      <c r="AI74">
        <v>0.16951568303065456</v>
      </c>
      <c r="AK74">
        <v>2027</v>
      </c>
      <c r="AL74" t="s">
        <v>163</v>
      </c>
      <c r="AM74">
        <v>0.32800000000000001</v>
      </c>
      <c r="AN74" t="s">
        <v>430</v>
      </c>
    </row>
    <row r="75" spans="5:40" x14ac:dyDescent="0.45">
      <c r="E75" t="s">
        <v>232</v>
      </c>
      <c r="G75" t="s">
        <v>164</v>
      </c>
      <c r="I75" t="s">
        <v>249</v>
      </c>
      <c r="J75" t="s">
        <v>315</v>
      </c>
      <c r="K75">
        <v>0</v>
      </c>
      <c r="L75" t="s">
        <v>251</v>
      </c>
      <c r="N75" t="s">
        <v>419</v>
      </c>
      <c r="O75" t="s">
        <v>315</v>
      </c>
      <c r="P75">
        <v>1.522182912795E-4</v>
      </c>
      <c r="Q75" t="s">
        <v>251</v>
      </c>
      <c r="S75" t="s">
        <v>420</v>
      </c>
      <c r="T75" t="s">
        <v>315</v>
      </c>
      <c r="U75">
        <v>1.72999940041E-4</v>
      </c>
      <c r="V75" t="s">
        <v>251</v>
      </c>
      <c r="X75">
        <v>1.1415525114155251E-4</v>
      </c>
      <c r="Y75">
        <v>2.1546544680075254E-5</v>
      </c>
      <c r="Z75" t="s">
        <v>315</v>
      </c>
      <c r="AA75" t="s">
        <v>25</v>
      </c>
      <c r="AC75" t="s">
        <v>22</v>
      </c>
      <c r="AD75" t="s">
        <v>315</v>
      </c>
      <c r="AE75">
        <v>8.3562990104477759E-5</v>
      </c>
      <c r="AG75" t="s">
        <v>97</v>
      </c>
      <c r="AH75" t="s">
        <v>315</v>
      </c>
      <c r="AI75">
        <v>0</v>
      </c>
      <c r="AK75">
        <v>2027</v>
      </c>
      <c r="AL75" t="s">
        <v>167</v>
      </c>
      <c r="AM75">
        <v>0.43840000000000001</v>
      </c>
      <c r="AN75" t="s">
        <v>430</v>
      </c>
    </row>
    <row r="76" spans="5:40" x14ac:dyDescent="0.45">
      <c r="E76" t="s">
        <v>233</v>
      </c>
      <c r="G76" t="s">
        <v>164</v>
      </c>
      <c r="I76" t="s">
        <v>249</v>
      </c>
      <c r="J76" t="s">
        <v>316</v>
      </c>
      <c r="K76">
        <v>0</v>
      </c>
      <c r="L76" t="s">
        <v>251</v>
      </c>
      <c r="N76" t="s">
        <v>419</v>
      </c>
      <c r="O76" t="s">
        <v>316</v>
      </c>
      <c r="P76">
        <v>1.5556342747259999E-4</v>
      </c>
      <c r="Q76" t="s">
        <v>251</v>
      </c>
      <c r="S76" t="s">
        <v>420</v>
      </c>
      <c r="T76" t="s">
        <v>316</v>
      </c>
      <c r="U76">
        <v>1.8480932242049999E-4</v>
      </c>
      <c r="V76" t="s">
        <v>251</v>
      </c>
      <c r="X76">
        <v>1.1415525114155251E-4</v>
      </c>
      <c r="Y76">
        <v>1.4916838624667481E-5</v>
      </c>
      <c r="Z76" t="s">
        <v>316</v>
      </c>
      <c r="AA76" t="s">
        <v>25</v>
      </c>
      <c r="AC76" t="s">
        <v>22</v>
      </c>
      <c r="AD76" t="s">
        <v>316</v>
      </c>
      <c r="AE76">
        <v>9.805121872888376E-5</v>
      </c>
      <c r="AG76" t="s">
        <v>97</v>
      </c>
      <c r="AH76" t="s">
        <v>316</v>
      </c>
      <c r="AI76">
        <v>0</v>
      </c>
      <c r="AK76">
        <v>2027</v>
      </c>
      <c r="AL76" t="s">
        <v>169</v>
      </c>
      <c r="AM76">
        <v>0.49719999999999998</v>
      </c>
      <c r="AN76" t="s">
        <v>430</v>
      </c>
    </row>
    <row r="77" spans="5:40" x14ac:dyDescent="0.45">
      <c r="E77" t="s">
        <v>234</v>
      </c>
      <c r="G77" t="s">
        <v>164</v>
      </c>
      <c r="I77" t="s">
        <v>249</v>
      </c>
      <c r="J77" t="s">
        <v>317</v>
      </c>
      <c r="K77">
        <v>0</v>
      </c>
      <c r="L77" t="s">
        <v>251</v>
      </c>
      <c r="N77" t="s">
        <v>419</v>
      </c>
      <c r="O77" t="s">
        <v>317</v>
      </c>
      <c r="P77">
        <v>1.5156053006789999E-4</v>
      </c>
      <c r="Q77" t="s">
        <v>251</v>
      </c>
      <c r="S77" t="s">
        <v>420</v>
      </c>
      <c r="T77" t="s">
        <v>317</v>
      </c>
      <c r="U77">
        <v>1.7533524937699999E-4</v>
      </c>
      <c r="V77" t="s">
        <v>251</v>
      </c>
      <c r="X77">
        <v>1.1415525114155251E-4</v>
      </c>
      <c r="Y77">
        <v>1.6574265138519424E-5</v>
      </c>
      <c r="Z77" t="s">
        <v>317</v>
      </c>
      <c r="AA77" t="s">
        <v>25</v>
      </c>
      <c r="AC77" t="s">
        <v>22</v>
      </c>
      <c r="AD77" t="s">
        <v>317</v>
      </c>
      <c r="AE77">
        <v>1.2160963108377956E-4</v>
      </c>
      <c r="AG77" t="s">
        <v>97</v>
      </c>
      <c r="AH77" t="s">
        <v>317</v>
      </c>
      <c r="AI77">
        <v>0</v>
      </c>
      <c r="AK77">
        <v>2027</v>
      </c>
      <c r="AL77" t="s">
        <v>171</v>
      </c>
      <c r="AM77">
        <v>0.58409999999999995</v>
      </c>
      <c r="AN77" t="s">
        <v>430</v>
      </c>
    </row>
    <row r="78" spans="5:40" x14ac:dyDescent="0.45">
      <c r="E78" t="s">
        <v>235</v>
      </c>
      <c r="G78" t="s">
        <v>164</v>
      </c>
      <c r="I78" t="s">
        <v>249</v>
      </c>
      <c r="J78" t="s">
        <v>318</v>
      </c>
      <c r="K78">
        <v>0</v>
      </c>
      <c r="L78" t="s">
        <v>251</v>
      </c>
      <c r="N78" t="s">
        <v>419</v>
      </c>
      <c r="O78" t="s">
        <v>318</v>
      </c>
      <c r="P78">
        <v>1.491149919242E-4</v>
      </c>
      <c r="Q78" t="s">
        <v>251</v>
      </c>
      <c r="S78" t="s">
        <v>420</v>
      </c>
      <c r="T78" t="s">
        <v>318</v>
      </c>
      <c r="U78">
        <v>1.5492316797329999E-4</v>
      </c>
      <c r="V78" t="s">
        <v>251</v>
      </c>
      <c r="X78">
        <v>1.1415525114155251E-4</v>
      </c>
      <c r="Y78">
        <v>1.4585353321897093E-5</v>
      </c>
      <c r="Z78" t="s">
        <v>318</v>
      </c>
      <c r="AA78" t="s">
        <v>25</v>
      </c>
      <c r="AC78" t="s">
        <v>22</v>
      </c>
      <c r="AD78" t="s">
        <v>318</v>
      </c>
      <c r="AE78">
        <v>1.3827933861056843E-4</v>
      </c>
      <c r="AG78" t="s">
        <v>97</v>
      </c>
      <c r="AH78" t="s">
        <v>318</v>
      </c>
      <c r="AI78">
        <v>0</v>
      </c>
      <c r="AK78">
        <v>2027</v>
      </c>
      <c r="AL78" t="s">
        <v>158</v>
      </c>
      <c r="AM78">
        <v>0.70130000000000003</v>
      </c>
      <c r="AN78" t="s">
        <v>430</v>
      </c>
    </row>
    <row r="79" spans="5:40" x14ac:dyDescent="0.45">
      <c r="E79" t="s">
        <v>236</v>
      </c>
      <c r="G79" t="s">
        <v>164</v>
      </c>
      <c r="I79" t="s">
        <v>249</v>
      </c>
      <c r="J79" t="s">
        <v>319</v>
      </c>
      <c r="K79">
        <v>0</v>
      </c>
      <c r="L79" t="s">
        <v>251</v>
      </c>
      <c r="N79" t="s">
        <v>419</v>
      </c>
      <c r="O79" t="s">
        <v>319</v>
      </c>
      <c r="P79">
        <v>1.4664908931249999E-4</v>
      </c>
      <c r="Q79" t="s">
        <v>251</v>
      </c>
      <c r="S79" t="s">
        <v>420</v>
      </c>
      <c r="T79" t="s">
        <v>319</v>
      </c>
      <c r="U79">
        <v>1.5688211176880001E-4</v>
      </c>
      <c r="V79" t="s">
        <v>251</v>
      </c>
      <c r="X79">
        <v>1.1415525114155251E-4</v>
      </c>
      <c r="Y79">
        <v>2.1215059377304864E-5</v>
      </c>
      <c r="Z79" t="s">
        <v>319</v>
      </c>
      <c r="AA79" t="s">
        <v>25</v>
      </c>
      <c r="AC79" t="s">
        <v>22</v>
      </c>
      <c r="AD79" t="s">
        <v>319</v>
      </c>
      <c r="AE79">
        <v>1.4302221689833341E-4</v>
      </c>
      <c r="AG79" t="s">
        <v>97</v>
      </c>
      <c r="AH79" t="s">
        <v>319</v>
      </c>
      <c r="AI79">
        <v>0</v>
      </c>
      <c r="AK79">
        <v>2027</v>
      </c>
      <c r="AL79" t="s">
        <v>162</v>
      </c>
      <c r="AM79">
        <v>0.6401</v>
      </c>
      <c r="AN79" t="s">
        <v>430</v>
      </c>
    </row>
    <row r="80" spans="5:40" x14ac:dyDescent="0.45">
      <c r="E80" t="s">
        <v>237</v>
      </c>
      <c r="G80" t="s">
        <v>164</v>
      </c>
      <c r="I80" t="s">
        <v>249</v>
      </c>
      <c r="J80" t="s">
        <v>320</v>
      </c>
      <c r="K80">
        <v>0</v>
      </c>
      <c r="L80" t="s">
        <v>251</v>
      </c>
      <c r="N80" t="s">
        <v>419</v>
      </c>
      <c r="O80" t="s">
        <v>320</v>
      </c>
      <c r="P80">
        <v>1.2664495596369999E-4</v>
      </c>
      <c r="Q80" t="s">
        <v>251</v>
      </c>
      <c r="S80" t="s">
        <v>420</v>
      </c>
      <c r="T80" t="s">
        <v>320</v>
      </c>
      <c r="U80">
        <v>1.547847777319E-4</v>
      </c>
      <c r="V80" t="s">
        <v>251</v>
      </c>
      <c r="X80">
        <v>1.1415525114155251E-4</v>
      </c>
      <c r="Y80">
        <v>5.7678442682047593E-5</v>
      </c>
      <c r="Z80" t="s">
        <v>320</v>
      </c>
      <c r="AA80" t="s">
        <v>25</v>
      </c>
      <c r="AC80" t="s">
        <v>22</v>
      </c>
      <c r="AD80" t="s">
        <v>320</v>
      </c>
      <c r="AE80">
        <v>1.4345227351545288E-4</v>
      </c>
      <c r="AG80" t="s">
        <v>97</v>
      </c>
      <c r="AH80" t="s">
        <v>320</v>
      </c>
      <c r="AI80">
        <v>0</v>
      </c>
      <c r="AK80">
        <v>2027</v>
      </c>
      <c r="AL80" t="s">
        <v>175</v>
      </c>
      <c r="AM80">
        <v>0.47910000000000003</v>
      </c>
      <c r="AN80" t="s">
        <v>430</v>
      </c>
    </row>
    <row r="81" spans="5:40" x14ac:dyDescent="0.45">
      <c r="E81" t="s">
        <v>238</v>
      </c>
      <c r="G81" t="s">
        <v>164</v>
      </c>
      <c r="I81" t="s">
        <v>249</v>
      </c>
      <c r="J81" t="s">
        <v>321</v>
      </c>
      <c r="K81">
        <v>1.0016384880752499E-6</v>
      </c>
      <c r="L81" t="s">
        <v>251</v>
      </c>
      <c r="N81" t="s">
        <v>419</v>
      </c>
      <c r="O81" t="s">
        <v>321</v>
      </c>
      <c r="P81">
        <v>1.121684820416E-4</v>
      </c>
      <c r="Q81" t="s">
        <v>251</v>
      </c>
      <c r="S81" t="s">
        <v>420</v>
      </c>
      <c r="T81" t="s">
        <v>321</v>
      </c>
      <c r="U81">
        <v>1.509465832036E-4</v>
      </c>
      <c r="V81" t="s">
        <v>251</v>
      </c>
      <c r="X81">
        <v>1.1415525114155251E-4</v>
      </c>
      <c r="Y81">
        <v>1.6905750441289813E-4</v>
      </c>
      <c r="Z81" t="s">
        <v>321</v>
      </c>
      <c r="AA81" t="s">
        <v>25</v>
      </c>
      <c r="AC81" t="s">
        <v>22</v>
      </c>
      <c r="AD81" t="s">
        <v>321</v>
      </c>
      <c r="AE81">
        <v>1.4344001801600128E-4</v>
      </c>
      <c r="AG81" t="s">
        <v>97</v>
      </c>
      <c r="AH81" t="s">
        <v>321</v>
      </c>
      <c r="AI81">
        <v>0</v>
      </c>
      <c r="AK81">
        <v>2027</v>
      </c>
      <c r="AL81" t="s">
        <v>166</v>
      </c>
      <c r="AM81">
        <v>0.3034</v>
      </c>
      <c r="AN81" t="s">
        <v>430</v>
      </c>
    </row>
    <row r="82" spans="5:40" x14ac:dyDescent="0.45">
      <c r="E82" t="s">
        <v>239</v>
      </c>
      <c r="G82" t="s">
        <v>164</v>
      </c>
      <c r="I82" t="s">
        <v>249</v>
      </c>
      <c r="J82" t="s">
        <v>322</v>
      </c>
      <c r="K82">
        <v>1.2264346700012346E-5</v>
      </c>
      <c r="L82" t="s">
        <v>251</v>
      </c>
      <c r="N82" t="s">
        <v>419</v>
      </c>
      <c r="O82" t="s">
        <v>322</v>
      </c>
      <c r="P82">
        <v>1.125957765695E-4</v>
      </c>
      <c r="Q82" t="s">
        <v>251</v>
      </c>
      <c r="S82" t="s">
        <v>420</v>
      </c>
      <c r="T82" t="s">
        <v>322</v>
      </c>
      <c r="U82">
        <v>1.4935013351649999E-4</v>
      </c>
      <c r="V82" t="s">
        <v>251</v>
      </c>
      <c r="X82">
        <v>1.1415525114155251E-4</v>
      </c>
      <c r="Y82">
        <v>1.9060404909297337E-4</v>
      </c>
      <c r="Z82" t="s">
        <v>322</v>
      </c>
      <c r="AA82" t="s">
        <v>25</v>
      </c>
      <c r="AC82" t="s">
        <v>22</v>
      </c>
      <c r="AD82" t="s">
        <v>322</v>
      </c>
      <c r="AE82">
        <v>1.4386338981523797E-4</v>
      </c>
      <c r="AG82" t="s">
        <v>97</v>
      </c>
      <c r="AH82" t="s">
        <v>322</v>
      </c>
      <c r="AI82">
        <v>0</v>
      </c>
      <c r="AK82">
        <v>2027</v>
      </c>
      <c r="AL82" t="s">
        <v>178</v>
      </c>
      <c r="AM82">
        <v>0.30459999999999998</v>
      </c>
      <c r="AN82" t="s">
        <v>430</v>
      </c>
    </row>
    <row r="83" spans="5:40" x14ac:dyDescent="0.45">
      <c r="E83" t="s">
        <v>240</v>
      </c>
      <c r="G83" t="s">
        <v>152</v>
      </c>
      <c r="I83" t="s">
        <v>249</v>
      </c>
      <c r="J83" t="s">
        <v>323</v>
      </c>
      <c r="K83">
        <v>4.0403304803000852E-5</v>
      </c>
      <c r="L83" t="s">
        <v>251</v>
      </c>
      <c r="N83" t="s">
        <v>419</v>
      </c>
      <c r="O83" t="s">
        <v>323</v>
      </c>
      <c r="P83">
        <v>1.3180757916779999E-4</v>
      </c>
      <c r="Q83" t="s">
        <v>251</v>
      </c>
      <c r="S83" t="s">
        <v>420</v>
      </c>
      <c r="T83" t="s">
        <v>323</v>
      </c>
      <c r="U83">
        <v>1.444660143032E-4</v>
      </c>
      <c r="V83" t="s">
        <v>251</v>
      </c>
      <c r="X83">
        <v>1.1415525114155251E-4</v>
      </c>
      <c r="Y83">
        <v>1.4585353321897094E-4</v>
      </c>
      <c r="Z83" t="s">
        <v>323</v>
      </c>
      <c r="AA83" t="s">
        <v>25</v>
      </c>
      <c r="AC83" t="s">
        <v>22</v>
      </c>
      <c r="AD83" t="s">
        <v>323</v>
      </c>
      <c r="AE83">
        <v>1.4423105479878564E-4</v>
      </c>
      <c r="AG83" t="s">
        <v>97</v>
      </c>
      <c r="AH83" t="s">
        <v>323</v>
      </c>
      <c r="AI83">
        <v>0</v>
      </c>
      <c r="AK83">
        <v>2028</v>
      </c>
      <c r="AL83" t="s">
        <v>151</v>
      </c>
      <c r="AM83">
        <v>0.25540000000000002</v>
      </c>
      <c r="AN83" t="s">
        <v>430</v>
      </c>
    </row>
    <row r="84" spans="5:40" x14ac:dyDescent="0.45">
      <c r="E84" t="s">
        <v>241</v>
      </c>
      <c r="G84" t="s">
        <v>152</v>
      </c>
      <c r="I84" t="s">
        <v>249</v>
      </c>
      <c r="J84" t="s">
        <v>324</v>
      </c>
      <c r="K84">
        <v>7.7349394411548513E-5</v>
      </c>
      <c r="L84" t="s">
        <v>251</v>
      </c>
      <c r="N84" t="s">
        <v>419</v>
      </c>
      <c r="O84" t="s">
        <v>324</v>
      </c>
      <c r="P84">
        <v>1.2635197286859999E-4</v>
      </c>
      <c r="Q84" t="s">
        <v>251</v>
      </c>
      <c r="S84" t="s">
        <v>420</v>
      </c>
      <c r="T84" t="s">
        <v>324</v>
      </c>
      <c r="U84">
        <v>1.313742460076E-4</v>
      </c>
      <c r="V84" t="s">
        <v>251</v>
      </c>
      <c r="X84">
        <v>1.1415525114155251E-4</v>
      </c>
      <c r="Y84">
        <v>1.4452759200788939E-4</v>
      </c>
      <c r="Z84" t="s">
        <v>324</v>
      </c>
      <c r="AA84" t="s">
        <v>25</v>
      </c>
      <c r="AC84" t="s">
        <v>22</v>
      </c>
      <c r="AD84" t="s">
        <v>324</v>
      </c>
      <c r="AE84">
        <v>1.4474021509418346E-4</v>
      </c>
      <c r="AG84" t="s">
        <v>97</v>
      </c>
      <c r="AH84" t="s">
        <v>324</v>
      </c>
      <c r="AI84">
        <v>0</v>
      </c>
      <c r="AK84">
        <v>2028</v>
      </c>
      <c r="AL84" t="s">
        <v>156</v>
      </c>
      <c r="AM84">
        <v>0.25409999999999999</v>
      </c>
      <c r="AN84" t="s">
        <v>430</v>
      </c>
    </row>
    <row r="85" spans="5:40" x14ac:dyDescent="0.45">
      <c r="E85" t="s">
        <v>242</v>
      </c>
      <c r="G85" t="s">
        <v>152</v>
      </c>
      <c r="I85" t="s">
        <v>249</v>
      </c>
      <c r="J85" t="s">
        <v>325</v>
      </c>
      <c r="K85">
        <v>9.0247097637856179E-5</v>
      </c>
      <c r="L85" t="s">
        <v>251</v>
      </c>
      <c r="N85" t="s">
        <v>419</v>
      </c>
      <c r="O85" t="s">
        <v>325</v>
      </c>
      <c r="P85">
        <v>1.119760005833E-4</v>
      </c>
      <c r="Q85" t="s">
        <v>251</v>
      </c>
      <c r="S85" t="s">
        <v>420</v>
      </c>
      <c r="T85" t="s">
        <v>325</v>
      </c>
      <c r="U85">
        <v>1.225665406667E-4</v>
      </c>
      <c r="V85" t="s">
        <v>251</v>
      </c>
      <c r="X85">
        <v>1.1415525114155251E-4</v>
      </c>
      <c r="Y85">
        <v>1.408812536774151E-4</v>
      </c>
      <c r="Z85" t="s">
        <v>325</v>
      </c>
      <c r="AA85" t="s">
        <v>25</v>
      </c>
      <c r="AC85" t="s">
        <v>22</v>
      </c>
      <c r="AD85" t="s">
        <v>325</v>
      </c>
      <c r="AE85">
        <v>1.4369961177711221E-4</v>
      </c>
      <c r="AG85" t="s">
        <v>97</v>
      </c>
      <c r="AH85" t="s">
        <v>325</v>
      </c>
      <c r="AI85">
        <v>0</v>
      </c>
      <c r="AK85">
        <v>2028</v>
      </c>
      <c r="AL85" t="s">
        <v>159</v>
      </c>
      <c r="AM85">
        <v>0.24859999999999999</v>
      </c>
      <c r="AN85" t="s">
        <v>430</v>
      </c>
    </row>
    <row r="86" spans="5:40" x14ac:dyDescent="0.45">
      <c r="E86" t="s">
        <v>243</v>
      </c>
      <c r="G86" t="s">
        <v>152</v>
      </c>
      <c r="I86" t="s">
        <v>249</v>
      </c>
      <c r="J86" t="s">
        <v>326</v>
      </c>
      <c r="K86">
        <v>1.114519257104E-4</v>
      </c>
      <c r="L86" t="s">
        <v>251</v>
      </c>
      <c r="N86" t="s">
        <v>419</v>
      </c>
      <c r="O86" t="s">
        <v>326</v>
      </c>
      <c r="P86">
        <v>1.150207252312E-4</v>
      </c>
      <c r="Q86" t="s">
        <v>251</v>
      </c>
      <c r="S86" t="s">
        <v>420</v>
      </c>
      <c r="T86" t="s">
        <v>326</v>
      </c>
      <c r="U86">
        <v>1.197502085009E-4</v>
      </c>
      <c r="V86" t="s">
        <v>251</v>
      </c>
      <c r="X86">
        <v>1.1415525114155251E-4</v>
      </c>
      <c r="Y86">
        <v>1.4054976837464471E-4</v>
      </c>
      <c r="Z86" t="s">
        <v>326</v>
      </c>
      <c r="AA86" t="s">
        <v>25</v>
      </c>
      <c r="AC86" t="s">
        <v>22</v>
      </c>
      <c r="AD86" t="s">
        <v>326</v>
      </c>
      <c r="AE86">
        <v>1.4396031967453692E-4</v>
      </c>
      <c r="AG86" t="s">
        <v>97</v>
      </c>
      <c r="AH86" t="s">
        <v>326</v>
      </c>
      <c r="AI86">
        <v>0</v>
      </c>
      <c r="AK86">
        <v>2028</v>
      </c>
      <c r="AL86" t="s">
        <v>163</v>
      </c>
      <c r="AM86">
        <v>0.33439999999999998</v>
      </c>
      <c r="AN86" t="s">
        <v>430</v>
      </c>
    </row>
    <row r="87" spans="5:40" x14ac:dyDescent="0.45">
      <c r="E87" t="s">
        <v>244</v>
      </c>
      <c r="G87" t="s">
        <v>152</v>
      </c>
      <c r="I87" t="s">
        <v>249</v>
      </c>
      <c r="J87" t="s">
        <v>327</v>
      </c>
      <c r="K87">
        <v>1.263560227172E-4</v>
      </c>
      <c r="L87" t="s">
        <v>251</v>
      </c>
      <c r="N87" t="s">
        <v>419</v>
      </c>
      <c r="O87" t="s">
        <v>327</v>
      </c>
      <c r="P87">
        <v>1.0843902749799999E-4</v>
      </c>
      <c r="Q87" t="s">
        <v>251</v>
      </c>
      <c r="S87" t="s">
        <v>420</v>
      </c>
      <c r="T87" t="s">
        <v>327</v>
      </c>
      <c r="U87">
        <v>1.227293088413E-4</v>
      </c>
      <c r="V87" t="s">
        <v>251</v>
      </c>
      <c r="X87">
        <v>1.1415525114155251E-4</v>
      </c>
      <c r="Y87">
        <v>1.4253868019126702E-4</v>
      </c>
      <c r="Z87" t="s">
        <v>327</v>
      </c>
      <c r="AA87" t="s">
        <v>25</v>
      </c>
      <c r="AC87" t="s">
        <v>22</v>
      </c>
      <c r="AD87" t="s">
        <v>327</v>
      </c>
      <c r="AE87">
        <v>1.7210674536958216E-4</v>
      </c>
      <c r="AG87" t="s">
        <v>97</v>
      </c>
      <c r="AH87" t="s">
        <v>327</v>
      </c>
      <c r="AI87">
        <v>0</v>
      </c>
      <c r="AK87">
        <v>2028</v>
      </c>
      <c r="AL87" t="s">
        <v>167</v>
      </c>
      <c r="AM87">
        <v>0.39839999999999998</v>
      </c>
      <c r="AN87" t="s">
        <v>430</v>
      </c>
    </row>
    <row r="88" spans="5:40" x14ac:dyDescent="0.45">
      <c r="E88" t="s">
        <v>245</v>
      </c>
      <c r="G88" t="s">
        <v>152</v>
      </c>
      <c r="I88" t="s">
        <v>249</v>
      </c>
      <c r="J88" t="s">
        <v>328</v>
      </c>
      <c r="K88">
        <v>1.3429775905430001E-4</v>
      </c>
      <c r="L88" t="s">
        <v>251</v>
      </c>
      <c r="N88" t="s">
        <v>419</v>
      </c>
      <c r="O88" t="s">
        <v>328</v>
      </c>
      <c r="P88">
        <v>9.6493860490854446E-5</v>
      </c>
      <c r="Q88" t="s">
        <v>251</v>
      </c>
      <c r="S88" t="s">
        <v>420</v>
      </c>
      <c r="T88" t="s">
        <v>328</v>
      </c>
      <c r="U88">
        <v>1.2629683515210001E-4</v>
      </c>
      <c r="V88" t="s">
        <v>251</v>
      </c>
      <c r="X88">
        <v>1.1415525114155251E-4</v>
      </c>
      <c r="Y88">
        <v>1.4883690094390442E-4</v>
      </c>
      <c r="Z88" t="s">
        <v>328</v>
      </c>
      <c r="AA88" t="s">
        <v>25</v>
      </c>
      <c r="AC88" t="s">
        <v>22</v>
      </c>
      <c r="AD88" t="s">
        <v>328</v>
      </c>
      <c r="AE88">
        <v>1.7386373833641453E-4</v>
      </c>
      <c r="AG88" t="s">
        <v>97</v>
      </c>
      <c r="AH88" t="s">
        <v>328</v>
      </c>
      <c r="AI88">
        <v>0</v>
      </c>
      <c r="AK88">
        <v>2028</v>
      </c>
      <c r="AL88" t="s">
        <v>169</v>
      </c>
      <c r="AM88">
        <v>0.5161</v>
      </c>
      <c r="AN88" t="s">
        <v>430</v>
      </c>
    </row>
    <row r="89" spans="5:40" x14ac:dyDescent="0.45">
      <c r="E89" t="s">
        <v>246</v>
      </c>
      <c r="G89" t="s">
        <v>152</v>
      </c>
      <c r="I89" t="s">
        <v>249</v>
      </c>
      <c r="J89" t="s">
        <v>329</v>
      </c>
      <c r="K89">
        <v>1.2505550460319999E-4</v>
      </c>
      <c r="L89" t="s">
        <v>251</v>
      </c>
      <c r="N89" t="s">
        <v>419</v>
      </c>
      <c r="O89" t="s">
        <v>329</v>
      </c>
      <c r="P89">
        <v>9.2534016871152443E-5</v>
      </c>
      <c r="Q89" t="s">
        <v>251</v>
      </c>
      <c r="S89" t="s">
        <v>420</v>
      </c>
      <c r="T89" t="s">
        <v>329</v>
      </c>
      <c r="U89">
        <v>1.2372389283090001E-4</v>
      </c>
      <c r="V89" t="s">
        <v>251</v>
      </c>
      <c r="X89">
        <v>1.1415525114155251E-4</v>
      </c>
      <c r="Y89">
        <v>1.5049432745775637E-4</v>
      </c>
      <c r="Z89" t="s">
        <v>329</v>
      </c>
      <c r="AA89" t="s">
        <v>25</v>
      </c>
      <c r="AC89" t="s">
        <v>22</v>
      </c>
      <c r="AD89" t="s">
        <v>329</v>
      </c>
      <c r="AE89">
        <v>1.6485037555792761E-4</v>
      </c>
      <c r="AG89" t="s">
        <v>97</v>
      </c>
      <c r="AH89" t="s">
        <v>329</v>
      </c>
      <c r="AI89">
        <v>0</v>
      </c>
      <c r="AK89">
        <v>2028</v>
      </c>
      <c r="AL89" t="s">
        <v>171</v>
      </c>
      <c r="AM89">
        <v>0.59350000000000003</v>
      </c>
      <c r="AN89" t="s">
        <v>430</v>
      </c>
    </row>
    <row r="90" spans="5:40" x14ac:dyDescent="0.45">
      <c r="E90" t="s">
        <v>247</v>
      </c>
      <c r="G90" t="s">
        <v>152</v>
      </c>
      <c r="I90" t="s">
        <v>249</v>
      </c>
      <c r="J90" t="s">
        <v>330</v>
      </c>
      <c r="K90">
        <v>1.162281446827E-4</v>
      </c>
      <c r="L90" t="s">
        <v>251</v>
      </c>
      <c r="N90" t="s">
        <v>419</v>
      </c>
      <c r="O90" t="s">
        <v>330</v>
      </c>
      <c r="P90">
        <v>8.7721266161673657E-5</v>
      </c>
      <c r="Q90" t="s">
        <v>251</v>
      </c>
      <c r="S90" t="s">
        <v>420</v>
      </c>
      <c r="T90" t="s">
        <v>330</v>
      </c>
      <c r="U90">
        <v>1.2782555083930001E-4</v>
      </c>
      <c r="V90" t="s">
        <v>251</v>
      </c>
      <c r="X90">
        <v>1.1415525114155251E-4</v>
      </c>
      <c r="Y90">
        <v>1.7237235744060203E-4</v>
      </c>
      <c r="Z90" t="s">
        <v>330</v>
      </c>
      <c r="AA90" t="s">
        <v>25</v>
      </c>
      <c r="AC90" t="s">
        <v>22</v>
      </c>
      <c r="AD90" t="s">
        <v>330</v>
      </c>
      <c r="AE90">
        <v>1.4592454199573252E-4</v>
      </c>
      <c r="AG90" t="s">
        <v>97</v>
      </c>
      <c r="AH90" t="s">
        <v>330</v>
      </c>
      <c r="AI90">
        <v>0</v>
      </c>
      <c r="AK90">
        <v>2028</v>
      </c>
      <c r="AL90" t="s">
        <v>158</v>
      </c>
      <c r="AM90">
        <v>0.58140000000000003</v>
      </c>
      <c r="AN90" t="s">
        <v>430</v>
      </c>
    </row>
    <row r="91" spans="5:40" x14ac:dyDescent="0.45">
      <c r="I91" t="s">
        <v>249</v>
      </c>
      <c r="J91" t="s">
        <v>331</v>
      </c>
      <c r="K91">
        <v>1.001166033133E-4</v>
      </c>
      <c r="L91" t="s">
        <v>251</v>
      </c>
      <c r="N91" t="s">
        <v>419</v>
      </c>
      <c r="O91" t="s">
        <v>331</v>
      </c>
      <c r="P91">
        <v>9.6005790921314919E-5</v>
      </c>
      <c r="Q91" t="s">
        <v>251</v>
      </c>
      <c r="S91" t="s">
        <v>420</v>
      </c>
      <c r="T91" t="s">
        <v>331</v>
      </c>
      <c r="U91">
        <v>1.303405722746E-4</v>
      </c>
      <c r="V91" t="s">
        <v>251</v>
      </c>
      <c r="X91">
        <v>1.1415525114155251E-4</v>
      </c>
      <c r="Y91">
        <v>2.2209515285616027E-4</v>
      </c>
      <c r="Z91" t="s">
        <v>331</v>
      </c>
      <c r="AA91" t="s">
        <v>25</v>
      </c>
      <c r="AC91" t="s">
        <v>22</v>
      </c>
      <c r="AD91" t="s">
        <v>331</v>
      </c>
      <c r="AE91">
        <v>1.2107150324422339E-4</v>
      </c>
      <c r="AG91" t="s">
        <v>97</v>
      </c>
      <c r="AH91" t="s">
        <v>331</v>
      </c>
      <c r="AI91">
        <v>0</v>
      </c>
      <c r="AK91">
        <v>2028</v>
      </c>
      <c r="AL91" t="s">
        <v>162</v>
      </c>
      <c r="AM91">
        <v>0.67200000000000004</v>
      </c>
      <c r="AN91" t="s">
        <v>430</v>
      </c>
    </row>
    <row r="92" spans="5:40" x14ac:dyDescent="0.45">
      <c r="I92" t="s">
        <v>249</v>
      </c>
      <c r="J92" t="s">
        <v>332</v>
      </c>
      <c r="K92">
        <v>6.9923083710151008E-5</v>
      </c>
      <c r="L92" t="s">
        <v>251</v>
      </c>
      <c r="N92" t="s">
        <v>419</v>
      </c>
      <c r="O92" t="s">
        <v>332</v>
      </c>
      <c r="P92">
        <v>1.061613581649E-4</v>
      </c>
      <c r="Q92" t="s">
        <v>251</v>
      </c>
      <c r="S92" t="s">
        <v>420</v>
      </c>
      <c r="T92" t="s">
        <v>332</v>
      </c>
      <c r="U92">
        <v>1.3289879262599999E-4</v>
      </c>
      <c r="V92" t="s">
        <v>251</v>
      </c>
      <c r="X92">
        <v>1.1415525114155251E-4</v>
      </c>
      <c r="Y92">
        <v>2.2209515285616027E-4</v>
      </c>
      <c r="Z92" t="s">
        <v>332</v>
      </c>
      <c r="AA92" t="s">
        <v>25</v>
      </c>
      <c r="AC92" t="s">
        <v>22</v>
      </c>
      <c r="AD92" t="s">
        <v>332</v>
      </c>
      <c r="AE92">
        <v>8.4663756782493238E-5</v>
      </c>
      <c r="AG92" t="s">
        <v>97</v>
      </c>
      <c r="AH92" t="s">
        <v>332</v>
      </c>
      <c r="AI92">
        <v>0</v>
      </c>
      <c r="AK92">
        <v>2028</v>
      </c>
      <c r="AL92" t="s">
        <v>175</v>
      </c>
      <c r="AM92">
        <v>0.48330000000000001</v>
      </c>
      <c r="AN92" t="s">
        <v>430</v>
      </c>
    </row>
    <row r="93" spans="5:40" x14ac:dyDescent="0.45">
      <c r="I93" t="s">
        <v>249</v>
      </c>
      <c r="J93" t="s">
        <v>333</v>
      </c>
      <c r="K93">
        <v>2.6837152104686377E-5</v>
      </c>
      <c r="L93" t="s">
        <v>251</v>
      </c>
      <c r="N93" t="s">
        <v>419</v>
      </c>
      <c r="O93" t="s">
        <v>333</v>
      </c>
      <c r="P93">
        <v>1.239597736025E-4</v>
      </c>
      <c r="Q93" t="s">
        <v>251</v>
      </c>
      <c r="S93" t="s">
        <v>420</v>
      </c>
      <c r="T93" t="s">
        <v>333</v>
      </c>
      <c r="U93">
        <v>1.3788531098379999E-4</v>
      </c>
      <c r="V93" t="s">
        <v>251</v>
      </c>
      <c r="X93">
        <v>1.1415525114155251E-4</v>
      </c>
      <c r="Y93">
        <v>1.7237235744060203E-4</v>
      </c>
      <c r="Z93" t="s">
        <v>333</v>
      </c>
      <c r="AA93" t="s">
        <v>25</v>
      </c>
      <c r="AC93" t="s">
        <v>22</v>
      </c>
      <c r="AD93" t="s">
        <v>333</v>
      </c>
      <c r="AE93">
        <v>5.2888589113463753E-5</v>
      </c>
      <c r="AG93" t="s">
        <v>97</v>
      </c>
      <c r="AH93" t="s">
        <v>333</v>
      </c>
      <c r="AI93">
        <v>0</v>
      </c>
      <c r="AK93">
        <v>2028</v>
      </c>
      <c r="AL93" t="s">
        <v>166</v>
      </c>
      <c r="AM93">
        <v>0.26340000000000002</v>
      </c>
      <c r="AN93" t="s">
        <v>430</v>
      </c>
    </row>
    <row r="94" spans="5:40" x14ac:dyDescent="0.45">
      <c r="I94" t="s">
        <v>249</v>
      </c>
      <c r="J94" t="s">
        <v>334</v>
      </c>
      <c r="K94">
        <v>3.3244923971372358E-6</v>
      </c>
      <c r="L94" t="s">
        <v>251</v>
      </c>
      <c r="N94" t="s">
        <v>419</v>
      </c>
      <c r="O94" t="s">
        <v>334</v>
      </c>
      <c r="P94">
        <v>1.3209043763599999E-4</v>
      </c>
      <c r="Q94" t="s">
        <v>251</v>
      </c>
      <c r="S94" t="s">
        <v>420</v>
      </c>
      <c r="T94" t="s">
        <v>334</v>
      </c>
      <c r="U94">
        <v>1.362121431499E-4</v>
      </c>
      <c r="V94" t="s">
        <v>251</v>
      </c>
      <c r="X94">
        <v>1.1415525114155251E-4</v>
      </c>
      <c r="Y94">
        <v>1.5579809230208258E-4</v>
      </c>
      <c r="Z94" t="s">
        <v>334</v>
      </c>
      <c r="AA94" t="s">
        <v>25</v>
      </c>
      <c r="AC94" t="s">
        <v>22</v>
      </c>
      <c r="AD94" t="s">
        <v>334</v>
      </c>
      <c r="AE94">
        <v>4.7263314865184305E-5</v>
      </c>
      <c r="AG94" t="s">
        <v>97</v>
      </c>
      <c r="AH94" t="s">
        <v>334</v>
      </c>
      <c r="AI94">
        <v>0</v>
      </c>
      <c r="AK94">
        <v>2028</v>
      </c>
      <c r="AL94" t="s">
        <v>178</v>
      </c>
      <c r="AM94">
        <v>0.23949999999999999</v>
      </c>
      <c r="AN94" t="s">
        <v>430</v>
      </c>
    </row>
    <row r="95" spans="5:40" x14ac:dyDescent="0.45">
      <c r="I95" t="s">
        <v>249</v>
      </c>
      <c r="J95" t="s">
        <v>335</v>
      </c>
      <c r="K95">
        <v>0</v>
      </c>
      <c r="L95" t="s">
        <v>251</v>
      </c>
      <c r="N95" t="s">
        <v>419</v>
      </c>
      <c r="O95" t="s">
        <v>335</v>
      </c>
      <c r="P95">
        <v>1.3520520032260001E-4</v>
      </c>
      <c r="Q95" t="s">
        <v>251</v>
      </c>
      <c r="S95" t="s">
        <v>420</v>
      </c>
      <c r="T95" t="s">
        <v>335</v>
      </c>
      <c r="U95">
        <v>1.278840178342E-4</v>
      </c>
      <c r="V95" t="s">
        <v>251</v>
      </c>
      <c r="X95">
        <v>1.1415525114155251E-4</v>
      </c>
      <c r="Y95">
        <v>1.093901499142282E-4</v>
      </c>
      <c r="Z95" t="s">
        <v>335</v>
      </c>
      <c r="AA95" t="s">
        <v>25</v>
      </c>
      <c r="AC95" t="s">
        <v>22</v>
      </c>
      <c r="AD95" t="s">
        <v>335</v>
      </c>
      <c r="AE95">
        <v>4.7298967227225321E-5</v>
      </c>
      <c r="AG95" t="s">
        <v>97</v>
      </c>
      <c r="AH95" t="s">
        <v>335</v>
      </c>
      <c r="AI95">
        <v>0</v>
      </c>
      <c r="AK95">
        <v>2029</v>
      </c>
      <c r="AL95" t="s">
        <v>151</v>
      </c>
      <c r="AM95">
        <v>0.2417</v>
      </c>
      <c r="AN95" t="s">
        <v>430</v>
      </c>
    </row>
    <row r="96" spans="5:40" x14ac:dyDescent="0.45">
      <c r="I96" t="s">
        <v>249</v>
      </c>
      <c r="J96" t="s">
        <v>336</v>
      </c>
      <c r="K96">
        <v>0</v>
      </c>
      <c r="L96" t="s">
        <v>251</v>
      </c>
      <c r="N96" t="s">
        <v>419</v>
      </c>
      <c r="O96" t="s">
        <v>336</v>
      </c>
      <c r="P96">
        <v>1.3896008921179999E-4</v>
      </c>
      <c r="Q96" t="s">
        <v>251</v>
      </c>
      <c r="S96" t="s">
        <v>420</v>
      </c>
      <c r="T96" t="s">
        <v>336</v>
      </c>
      <c r="U96">
        <v>1.2512968424220001E-4</v>
      </c>
      <c r="V96" t="s">
        <v>251</v>
      </c>
      <c r="X96">
        <v>1.1415525114155251E-4</v>
      </c>
      <c r="Y96">
        <v>7.9556472664893237E-5</v>
      </c>
      <c r="Z96" t="s">
        <v>336</v>
      </c>
      <c r="AA96" t="s">
        <v>25</v>
      </c>
      <c r="AC96" t="s">
        <v>22</v>
      </c>
      <c r="AD96" t="s">
        <v>336</v>
      </c>
      <c r="AE96">
        <v>4.6179260231875592E-5</v>
      </c>
      <c r="AG96" t="s">
        <v>97</v>
      </c>
      <c r="AH96" t="s">
        <v>336</v>
      </c>
      <c r="AI96">
        <v>0</v>
      </c>
      <c r="AK96">
        <v>2029</v>
      </c>
      <c r="AL96" t="s">
        <v>156</v>
      </c>
      <c r="AM96">
        <v>0.26079999999999998</v>
      </c>
      <c r="AN96" t="s">
        <v>430</v>
      </c>
    </row>
    <row r="97" spans="9:40" x14ac:dyDescent="0.45">
      <c r="I97" t="s">
        <v>249</v>
      </c>
      <c r="J97" t="s">
        <v>337</v>
      </c>
      <c r="K97">
        <v>0</v>
      </c>
      <c r="L97" t="s">
        <v>251</v>
      </c>
      <c r="N97" t="s">
        <v>419</v>
      </c>
      <c r="O97" t="s">
        <v>337</v>
      </c>
      <c r="P97">
        <v>1.4424933989709999E-4</v>
      </c>
      <c r="Q97" t="s">
        <v>251</v>
      </c>
      <c r="S97" t="s">
        <v>420</v>
      </c>
      <c r="T97" t="s">
        <v>337</v>
      </c>
      <c r="U97">
        <v>1.2428973334729999E-4</v>
      </c>
      <c r="V97" t="s">
        <v>251</v>
      </c>
      <c r="X97">
        <v>1.1415525114155251E-4</v>
      </c>
      <c r="Y97">
        <v>5.6352501470966035E-5</v>
      </c>
      <c r="Z97" t="s">
        <v>337</v>
      </c>
      <c r="AA97" t="s">
        <v>25</v>
      </c>
      <c r="AC97" t="s">
        <v>22</v>
      </c>
      <c r="AD97" t="s">
        <v>337</v>
      </c>
      <c r="AE97">
        <v>5.4651152761865029E-5</v>
      </c>
      <c r="AG97" t="s">
        <v>97</v>
      </c>
      <c r="AH97" t="s">
        <v>337</v>
      </c>
      <c r="AI97">
        <v>0</v>
      </c>
      <c r="AK97">
        <v>2029</v>
      </c>
      <c r="AL97" t="s">
        <v>159</v>
      </c>
      <c r="AM97">
        <v>0.27239999999999998</v>
      </c>
      <c r="AN97" t="s">
        <v>430</v>
      </c>
    </row>
    <row r="98" spans="9:40" x14ac:dyDescent="0.45">
      <c r="I98" t="s">
        <v>249</v>
      </c>
      <c r="J98" t="s">
        <v>338</v>
      </c>
      <c r="K98">
        <v>0</v>
      </c>
      <c r="L98" t="s">
        <v>251</v>
      </c>
      <c r="N98" t="s">
        <v>419</v>
      </c>
      <c r="O98" t="s">
        <v>338</v>
      </c>
      <c r="P98">
        <v>1.4531272148810001E-4</v>
      </c>
      <c r="Q98" t="s">
        <v>251</v>
      </c>
      <c r="S98" t="s">
        <v>420</v>
      </c>
      <c r="T98" t="s">
        <v>338</v>
      </c>
      <c r="U98">
        <v>1.2528797295160001E-4</v>
      </c>
      <c r="V98" t="s">
        <v>251</v>
      </c>
      <c r="X98">
        <v>1.1415525114155251E-4</v>
      </c>
      <c r="Y98">
        <v>2.9833677249334962E-5</v>
      </c>
      <c r="Z98" t="s">
        <v>338</v>
      </c>
      <c r="AA98" t="s">
        <v>25</v>
      </c>
      <c r="AC98" t="s">
        <v>22</v>
      </c>
      <c r="AD98" t="s">
        <v>338</v>
      </c>
      <c r="AE98">
        <v>8.1274554115971892E-5</v>
      </c>
      <c r="AG98" t="s">
        <v>97</v>
      </c>
      <c r="AH98" t="s">
        <v>338</v>
      </c>
      <c r="AI98">
        <v>0</v>
      </c>
      <c r="AK98">
        <v>2029</v>
      </c>
      <c r="AL98" t="s">
        <v>163</v>
      </c>
      <c r="AM98">
        <v>0.2833</v>
      </c>
      <c r="AN98" t="s">
        <v>430</v>
      </c>
    </row>
    <row r="99" spans="9:40" x14ac:dyDescent="0.45">
      <c r="I99" t="s">
        <v>249</v>
      </c>
      <c r="J99" t="s">
        <v>339</v>
      </c>
      <c r="K99">
        <v>4.6156986045442109E-4</v>
      </c>
      <c r="L99" t="s">
        <v>251</v>
      </c>
      <c r="N99" t="s">
        <v>419</v>
      </c>
      <c r="O99" t="s">
        <v>339</v>
      </c>
      <c r="P99">
        <v>2.0861934476597947E-2</v>
      </c>
      <c r="Q99" t="s">
        <v>251</v>
      </c>
      <c r="S99" t="s">
        <v>420</v>
      </c>
      <c r="T99" t="s">
        <v>339</v>
      </c>
      <c r="U99">
        <v>2.0093433831511978E-2</v>
      </c>
      <c r="V99" t="s">
        <v>251</v>
      </c>
      <c r="X99">
        <v>2.3173515981735161E-2</v>
      </c>
      <c r="Y99">
        <v>9.151646238884887E-3</v>
      </c>
      <c r="Z99" t="s">
        <v>339</v>
      </c>
      <c r="AA99" t="s">
        <v>25</v>
      </c>
      <c r="AC99" t="s">
        <v>22</v>
      </c>
      <c r="AD99" t="s">
        <v>339</v>
      </c>
      <c r="AE99">
        <v>2.3992586123001695E-2</v>
      </c>
      <c r="AG99" t="s">
        <v>97</v>
      </c>
      <c r="AH99" t="s">
        <v>339</v>
      </c>
      <c r="AI99">
        <v>0.11825386478724864</v>
      </c>
      <c r="AK99">
        <v>2029</v>
      </c>
      <c r="AL99" t="s">
        <v>167</v>
      </c>
      <c r="AM99">
        <v>0.36370000000000002</v>
      </c>
      <c r="AN99" t="s">
        <v>430</v>
      </c>
    </row>
    <row r="100" spans="9:40" x14ac:dyDescent="0.45">
      <c r="I100" t="s">
        <v>249</v>
      </c>
      <c r="J100" t="s">
        <v>340</v>
      </c>
      <c r="K100">
        <v>2.5553715908412248E-3</v>
      </c>
      <c r="L100" t="s">
        <v>251</v>
      </c>
      <c r="N100" t="s">
        <v>419</v>
      </c>
      <c r="O100" t="s">
        <v>340</v>
      </c>
      <c r="P100">
        <v>2.5932389094339399E-3</v>
      </c>
      <c r="Q100" t="s">
        <v>251</v>
      </c>
      <c r="S100" t="s">
        <v>420</v>
      </c>
      <c r="T100" t="s">
        <v>340</v>
      </c>
      <c r="U100">
        <v>2.6269237892663981E-3</v>
      </c>
      <c r="V100" t="s">
        <v>251</v>
      </c>
      <c r="X100">
        <v>3.3105022831050228E-3</v>
      </c>
      <c r="Y100">
        <v>5.5275174236962274E-3</v>
      </c>
      <c r="Z100" t="s">
        <v>340</v>
      </c>
      <c r="AA100" t="s">
        <v>25</v>
      </c>
      <c r="AC100" t="s">
        <v>22</v>
      </c>
      <c r="AD100" t="s">
        <v>340</v>
      </c>
      <c r="AE100">
        <v>3.9610080415363909E-3</v>
      </c>
      <c r="AG100" t="s">
        <v>97</v>
      </c>
      <c r="AH100" t="s">
        <v>340</v>
      </c>
      <c r="AI100">
        <v>5.8562383736691093E-2</v>
      </c>
      <c r="AK100">
        <v>2029</v>
      </c>
      <c r="AL100" t="s">
        <v>169</v>
      </c>
      <c r="AM100">
        <v>0.43809999999999999</v>
      </c>
      <c r="AN100" t="s">
        <v>430</v>
      </c>
    </row>
    <row r="101" spans="9:40" x14ac:dyDescent="0.45">
      <c r="I101" t="s">
        <v>249</v>
      </c>
      <c r="J101" t="s">
        <v>341</v>
      </c>
      <c r="K101">
        <v>4.8652576128426599E-3</v>
      </c>
      <c r="L101" t="s">
        <v>251</v>
      </c>
      <c r="N101" t="s">
        <v>419</v>
      </c>
      <c r="O101" t="s">
        <v>341</v>
      </c>
      <c r="P101">
        <v>2.7837802471563705E-3</v>
      </c>
      <c r="Q101" t="s">
        <v>251</v>
      </c>
      <c r="S101" t="s">
        <v>420</v>
      </c>
      <c r="T101" t="s">
        <v>341</v>
      </c>
      <c r="U101">
        <v>2.5692899534869632E-3</v>
      </c>
      <c r="V101" t="s">
        <v>251</v>
      </c>
      <c r="X101">
        <v>3.3105022831050228E-3</v>
      </c>
      <c r="Y101">
        <v>4.2297524633501575E-3</v>
      </c>
      <c r="Z101" t="s">
        <v>341</v>
      </c>
      <c r="AA101" t="s">
        <v>25</v>
      </c>
      <c r="AC101" t="s">
        <v>22</v>
      </c>
      <c r="AD101" t="s">
        <v>341</v>
      </c>
      <c r="AE101">
        <v>4.0288856823171753E-3</v>
      </c>
      <c r="AG101" t="s">
        <v>97</v>
      </c>
      <c r="AH101" t="s">
        <v>341</v>
      </c>
      <c r="AI101">
        <v>5.894083665004124E-2</v>
      </c>
      <c r="AK101">
        <v>2029</v>
      </c>
      <c r="AL101" t="s">
        <v>171</v>
      </c>
      <c r="AM101">
        <v>0.60219999999999996</v>
      </c>
      <c r="AN101" t="s">
        <v>430</v>
      </c>
    </row>
    <row r="102" spans="9:40" x14ac:dyDescent="0.45">
      <c r="I102" t="s">
        <v>249</v>
      </c>
      <c r="J102" t="s">
        <v>342</v>
      </c>
      <c r="K102">
        <v>6.4788160691139005E-3</v>
      </c>
      <c r="L102" t="s">
        <v>251</v>
      </c>
      <c r="N102" t="s">
        <v>419</v>
      </c>
      <c r="O102" t="s">
        <v>342</v>
      </c>
      <c r="P102">
        <v>2.7649876579266056E-3</v>
      </c>
      <c r="Q102" t="s">
        <v>251</v>
      </c>
      <c r="S102" t="s">
        <v>420</v>
      </c>
      <c r="T102" t="s">
        <v>342</v>
      </c>
      <c r="U102">
        <v>2.532987469427869E-3</v>
      </c>
      <c r="V102" t="s">
        <v>251</v>
      </c>
      <c r="X102">
        <v>3.3105022831050228E-3</v>
      </c>
      <c r="Y102">
        <v>4.1913001682287914E-3</v>
      </c>
      <c r="Z102" t="s">
        <v>342</v>
      </c>
      <c r="AA102" t="s">
        <v>25</v>
      </c>
      <c r="AC102" t="s">
        <v>22</v>
      </c>
      <c r="AD102" t="s">
        <v>342</v>
      </c>
      <c r="AE102">
        <v>4.0346959031935421E-3</v>
      </c>
      <c r="AG102" t="s">
        <v>97</v>
      </c>
      <c r="AH102" t="s">
        <v>342</v>
      </c>
      <c r="AI102">
        <v>5.6220558577463553E-2</v>
      </c>
      <c r="AK102">
        <v>2029</v>
      </c>
      <c r="AL102" t="s">
        <v>158</v>
      </c>
      <c r="AM102">
        <v>0.62319999999999998</v>
      </c>
      <c r="AN102" t="s">
        <v>430</v>
      </c>
    </row>
    <row r="103" spans="9:40" x14ac:dyDescent="0.45">
      <c r="I103" t="s">
        <v>249</v>
      </c>
      <c r="J103" t="s">
        <v>343</v>
      </c>
      <c r="K103">
        <v>4.9911138524994396E-2</v>
      </c>
      <c r="L103" t="s">
        <v>251</v>
      </c>
      <c r="N103" t="s">
        <v>419</v>
      </c>
      <c r="O103" t="s">
        <v>343</v>
      </c>
      <c r="P103">
        <v>1.9925739541799884E-2</v>
      </c>
      <c r="Q103" t="s">
        <v>251</v>
      </c>
      <c r="S103" t="s">
        <v>420</v>
      </c>
      <c r="T103" t="s">
        <v>343</v>
      </c>
      <c r="U103">
        <v>2.0265010677604507E-2</v>
      </c>
      <c r="V103" t="s">
        <v>251</v>
      </c>
      <c r="X103">
        <v>2.3173515981735161E-2</v>
      </c>
      <c r="Y103">
        <v>3.241528478731074E-2</v>
      </c>
      <c r="Z103" t="s">
        <v>343</v>
      </c>
      <c r="AA103" t="s">
        <v>25</v>
      </c>
      <c r="AC103" t="s">
        <v>22</v>
      </c>
      <c r="AD103" t="s">
        <v>343</v>
      </c>
      <c r="AE103">
        <v>2.9074146252247697E-2</v>
      </c>
      <c r="AG103" t="s">
        <v>97</v>
      </c>
      <c r="AH103" t="s">
        <v>343</v>
      </c>
      <c r="AI103">
        <v>0.1378254529861076</v>
      </c>
      <c r="AK103">
        <v>2029</v>
      </c>
      <c r="AL103" t="s">
        <v>162</v>
      </c>
      <c r="AM103">
        <v>0.56759999999999999</v>
      </c>
      <c r="AN103" t="s">
        <v>430</v>
      </c>
    </row>
    <row r="104" spans="9:40" x14ac:dyDescent="0.45">
      <c r="I104" t="s">
        <v>249</v>
      </c>
      <c r="J104" t="s">
        <v>344</v>
      </c>
      <c r="K104">
        <v>3.6272793990685735E-3</v>
      </c>
      <c r="L104" t="s">
        <v>251</v>
      </c>
      <c r="N104" t="s">
        <v>419</v>
      </c>
      <c r="O104" t="s">
        <v>344</v>
      </c>
      <c r="P104">
        <v>3.0378563230479372E-3</v>
      </c>
      <c r="Q104" t="s">
        <v>251</v>
      </c>
      <c r="S104" t="s">
        <v>420</v>
      </c>
      <c r="T104" t="s">
        <v>344</v>
      </c>
      <c r="U104">
        <v>3.3215637183442218E-3</v>
      </c>
      <c r="V104" t="s">
        <v>251</v>
      </c>
      <c r="X104">
        <v>3.3105022831050228E-3</v>
      </c>
      <c r="Y104">
        <v>6.4407594328286487E-3</v>
      </c>
      <c r="Z104" t="s">
        <v>344</v>
      </c>
      <c r="AA104" t="s">
        <v>25</v>
      </c>
      <c r="AC104" t="s">
        <v>22</v>
      </c>
      <c r="AD104" t="s">
        <v>344</v>
      </c>
      <c r="AE104">
        <v>1.9742333730772255E-3</v>
      </c>
      <c r="AG104" t="s">
        <v>97</v>
      </c>
      <c r="AH104" t="s">
        <v>344</v>
      </c>
      <c r="AI104">
        <v>6.1387012307817512E-2</v>
      </c>
      <c r="AK104">
        <v>2029</v>
      </c>
      <c r="AL104" t="s">
        <v>175</v>
      </c>
      <c r="AM104">
        <v>0.42130000000000001</v>
      </c>
      <c r="AN104" t="s">
        <v>430</v>
      </c>
    </row>
    <row r="105" spans="9:40" x14ac:dyDescent="0.45">
      <c r="I105" t="s">
        <v>249</v>
      </c>
      <c r="J105" t="s">
        <v>345</v>
      </c>
      <c r="K105">
        <v>1.3934669910673797E-3</v>
      </c>
      <c r="L105" t="s">
        <v>251</v>
      </c>
      <c r="N105" t="s">
        <v>419</v>
      </c>
      <c r="O105" t="s">
        <v>345</v>
      </c>
      <c r="P105">
        <v>3.2689383450200662E-3</v>
      </c>
      <c r="Q105" t="s">
        <v>251</v>
      </c>
      <c r="S105" t="s">
        <v>420</v>
      </c>
      <c r="T105" t="s">
        <v>345</v>
      </c>
      <c r="U105">
        <v>3.301285741071973E-3</v>
      </c>
      <c r="V105" t="s">
        <v>251</v>
      </c>
      <c r="X105">
        <v>3.3105022831050228E-3</v>
      </c>
      <c r="Y105">
        <v>4.9987983657774574E-3</v>
      </c>
      <c r="Z105" t="s">
        <v>345</v>
      </c>
      <c r="AA105" t="s">
        <v>25</v>
      </c>
      <c r="AC105" t="s">
        <v>22</v>
      </c>
      <c r="AD105" t="s">
        <v>345</v>
      </c>
      <c r="AE105">
        <v>1.6832922726417528E-3</v>
      </c>
      <c r="AG105" t="s">
        <v>97</v>
      </c>
      <c r="AH105" t="s">
        <v>345</v>
      </c>
      <c r="AI105">
        <v>4.5434857303499498E-2</v>
      </c>
      <c r="AK105">
        <v>2029</v>
      </c>
      <c r="AL105" t="s">
        <v>166</v>
      </c>
      <c r="AM105">
        <v>0.26490000000000002</v>
      </c>
      <c r="AN105" t="s">
        <v>430</v>
      </c>
    </row>
    <row r="106" spans="9:40" x14ac:dyDescent="0.45">
      <c r="I106" t="s">
        <v>249</v>
      </c>
      <c r="J106" t="s">
        <v>346</v>
      </c>
      <c r="K106">
        <v>0</v>
      </c>
      <c r="L106" t="s">
        <v>251</v>
      </c>
      <c r="N106" t="s">
        <v>419</v>
      </c>
      <c r="O106" t="s">
        <v>346</v>
      </c>
      <c r="P106">
        <v>1.7102265378920116E-2</v>
      </c>
      <c r="Q106" t="s">
        <v>251</v>
      </c>
      <c r="S106" t="s">
        <v>420</v>
      </c>
      <c r="T106" t="s">
        <v>346</v>
      </c>
      <c r="U106">
        <v>1.5318762211797904E-2</v>
      </c>
      <c r="V106" t="s">
        <v>251</v>
      </c>
      <c r="X106">
        <v>1.6552511415525113E-2</v>
      </c>
      <c r="Y106">
        <v>1.2496995914443643E-2</v>
      </c>
      <c r="Z106" t="s">
        <v>346</v>
      </c>
      <c r="AA106" t="s">
        <v>25</v>
      </c>
      <c r="AC106" t="s">
        <v>22</v>
      </c>
      <c r="AD106" t="s">
        <v>346</v>
      </c>
      <c r="AE106">
        <v>8.0190166301300405E-3</v>
      </c>
      <c r="AG106" t="s">
        <v>97</v>
      </c>
      <c r="AH106" t="s">
        <v>346</v>
      </c>
      <c r="AI106">
        <v>0.13850706397867829</v>
      </c>
      <c r="AK106">
        <v>2029</v>
      </c>
      <c r="AL106" t="s">
        <v>178</v>
      </c>
      <c r="AM106">
        <v>0.2467</v>
      </c>
      <c r="AN106" t="s">
        <v>430</v>
      </c>
    </row>
    <row r="107" spans="9:40" x14ac:dyDescent="0.45">
      <c r="I107" t="s">
        <v>249</v>
      </c>
      <c r="J107" t="s">
        <v>347</v>
      </c>
      <c r="K107">
        <v>0</v>
      </c>
      <c r="L107" t="s">
        <v>251</v>
      </c>
      <c r="N107" t="s">
        <v>419</v>
      </c>
      <c r="O107" t="s">
        <v>347</v>
      </c>
      <c r="P107">
        <v>2.0766178773389999E-4</v>
      </c>
      <c r="Q107" t="s">
        <v>251</v>
      </c>
      <c r="S107" t="s">
        <v>420</v>
      </c>
      <c r="T107" t="s">
        <v>347</v>
      </c>
      <c r="U107">
        <v>1.5970407224059999E-4</v>
      </c>
      <c r="V107" t="s">
        <v>251</v>
      </c>
      <c r="X107">
        <v>1.1415525114155251E-4</v>
      </c>
      <c r="Y107">
        <v>2.1546544680075254E-5</v>
      </c>
      <c r="Z107" t="s">
        <v>347</v>
      </c>
      <c r="AA107" t="s">
        <v>25</v>
      </c>
      <c r="AC107" t="s">
        <v>22</v>
      </c>
      <c r="AD107" t="s">
        <v>347</v>
      </c>
      <c r="AE107">
        <v>7.6304832705016221E-5</v>
      </c>
      <c r="AG107" t="s">
        <v>97</v>
      </c>
      <c r="AH107" t="s">
        <v>347</v>
      </c>
      <c r="AI107">
        <v>0</v>
      </c>
      <c r="AK107">
        <v>2030</v>
      </c>
      <c r="AL107" t="s">
        <v>151</v>
      </c>
      <c r="AM107">
        <v>0.23350000000000001</v>
      </c>
      <c r="AN107" t="s">
        <v>430</v>
      </c>
    </row>
    <row r="108" spans="9:40" x14ac:dyDescent="0.45">
      <c r="I108" t="s">
        <v>249</v>
      </c>
      <c r="J108" t="s">
        <v>348</v>
      </c>
      <c r="K108">
        <v>0</v>
      </c>
      <c r="L108" t="s">
        <v>251</v>
      </c>
      <c r="N108" t="s">
        <v>419</v>
      </c>
      <c r="O108" t="s">
        <v>348</v>
      </c>
      <c r="P108">
        <v>2.1347837247980001E-4</v>
      </c>
      <c r="Q108" t="s">
        <v>251</v>
      </c>
      <c r="S108" t="s">
        <v>420</v>
      </c>
      <c r="T108" t="s">
        <v>348</v>
      </c>
      <c r="U108">
        <v>1.711391942759E-4</v>
      </c>
      <c r="V108" t="s">
        <v>251</v>
      </c>
      <c r="X108">
        <v>1.1415525114155251E-4</v>
      </c>
      <c r="Y108">
        <v>1.4916838624667481E-5</v>
      </c>
      <c r="Z108" t="s">
        <v>348</v>
      </c>
      <c r="AA108" t="s">
        <v>25</v>
      </c>
      <c r="AC108" t="s">
        <v>22</v>
      </c>
      <c r="AD108" t="s">
        <v>348</v>
      </c>
      <c r="AE108">
        <v>9.3688701608938605E-5</v>
      </c>
      <c r="AG108" t="s">
        <v>97</v>
      </c>
      <c r="AH108" t="s">
        <v>348</v>
      </c>
      <c r="AI108">
        <v>0</v>
      </c>
      <c r="AK108">
        <v>2030</v>
      </c>
      <c r="AL108" t="s">
        <v>156</v>
      </c>
      <c r="AM108">
        <v>0.26919999999999999</v>
      </c>
      <c r="AN108" t="s">
        <v>430</v>
      </c>
    </row>
    <row r="109" spans="9:40" x14ac:dyDescent="0.45">
      <c r="I109" t="s">
        <v>249</v>
      </c>
      <c r="J109" t="s">
        <v>349</v>
      </c>
      <c r="K109">
        <v>0</v>
      </c>
      <c r="L109" t="s">
        <v>251</v>
      </c>
      <c r="N109" t="s">
        <v>419</v>
      </c>
      <c r="O109" t="s">
        <v>349</v>
      </c>
      <c r="P109">
        <v>2.14187079297E-4</v>
      </c>
      <c r="Q109" t="s">
        <v>251</v>
      </c>
      <c r="S109" t="s">
        <v>420</v>
      </c>
      <c r="T109" t="s">
        <v>349</v>
      </c>
      <c r="U109">
        <v>1.7921568731760001E-4</v>
      </c>
      <c r="V109" t="s">
        <v>251</v>
      </c>
      <c r="X109">
        <v>1.1415525114155251E-4</v>
      </c>
      <c r="Y109">
        <v>1.6574265138519424E-5</v>
      </c>
      <c r="Z109" t="s">
        <v>349</v>
      </c>
      <c r="AA109" t="s">
        <v>25</v>
      </c>
      <c r="AC109" t="s">
        <v>22</v>
      </c>
      <c r="AD109" t="s">
        <v>349</v>
      </c>
      <c r="AE109">
        <v>1.1616751587578077E-4</v>
      </c>
      <c r="AG109" t="s">
        <v>97</v>
      </c>
      <c r="AH109" t="s">
        <v>349</v>
      </c>
      <c r="AI109">
        <v>0</v>
      </c>
      <c r="AK109">
        <v>2030</v>
      </c>
      <c r="AL109" t="s">
        <v>159</v>
      </c>
      <c r="AM109">
        <v>0.29170000000000001</v>
      </c>
      <c r="AN109" t="s">
        <v>430</v>
      </c>
    </row>
    <row r="110" spans="9:40" x14ac:dyDescent="0.45">
      <c r="I110" t="s">
        <v>249</v>
      </c>
      <c r="J110" t="s">
        <v>350</v>
      </c>
      <c r="K110">
        <v>0</v>
      </c>
      <c r="L110" t="s">
        <v>251</v>
      </c>
      <c r="N110" t="s">
        <v>419</v>
      </c>
      <c r="O110" t="s">
        <v>350</v>
      </c>
      <c r="P110">
        <v>1.8401655240089999E-4</v>
      </c>
      <c r="Q110" t="s">
        <v>251</v>
      </c>
      <c r="S110" t="s">
        <v>420</v>
      </c>
      <c r="T110" t="s">
        <v>350</v>
      </c>
      <c r="U110">
        <v>1.671429840906E-4</v>
      </c>
      <c r="V110" t="s">
        <v>251</v>
      </c>
      <c r="X110">
        <v>1.1415525114155251E-4</v>
      </c>
      <c r="Y110">
        <v>1.4585353321897093E-5</v>
      </c>
      <c r="Z110" t="s">
        <v>350</v>
      </c>
      <c r="AA110" t="s">
        <v>25</v>
      </c>
      <c r="AC110" t="s">
        <v>22</v>
      </c>
      <c r="AD110" t="s">
        <v>350</v>
      </c>
      <c r="AE110">
        <v>1.2855114100345476E-4</v>
      </c>
      <c r="AG110" t="s">
        <v>97</v>
      </c>
      <c r="AH110" t="s">
        <v>350</v>
      </c>
      <c r="AI110">
        <v>0</v>
      </c>
      <c r="AK110">
        <v>2030</v>
      </c>
      <c r="AL110" t="s">
        <v>163</v>
      </c>
      <c r="AM110">
        <v>0.32640000000000002</v>
      </c>
      <c r="AN110" t="s">
        <v>430</v>
      </c>
    </row>
    <row r="111" spans="9:40" x14ac:dyDescent="0.45">
      <c r="I111" t="s">
        <v>249</v>
      </c>
      <c r="J111" t="s">
        <v>351</v>
      </c>
      <c r="K111">
        <v>0</v>
      </c>
      <c r="L111" t="s">
        <v>251</v>
      </c>
      <c r="N111" t="s">
        <v>419</v>
      </c>
      <c r="O111" t="s">
        <v>351</v>
      </c>
      <c r="P111">
        <v>1.842748975716E-4</v>
      </c>
      <c r="Q111" t="s">
        <v>251</v>
      </c>
      <c r="S111" t="s">
        <v>420</v>
      </c>
      <c r="T111" t="s">
        <v>351</v>
      </c>
      <c r="U111">
        <v>1.8199441360269999E-4</v>
      </c>
      <c r="V111" t="s">
        <v>251</v>
      </c>
      <c r="X111">
        <v>1.1415525114155251E-4</v>
      </c>
      <c r="Y111">
        <v>2.1215059377304864E-5</v>
      </c>
      <c r="Z111" t="s">
        <v>351</v>
      </c>
      <c r="AA111" t="s">
        <v>25</v>
      </c>
      <c r="AC111" t="s">
        <v>22</v>
      </c>
      <c r="AD111" t="s">
        <v>351</v>
      </c>
      <c r="AE111">
        <v>1.291962259291339E-4</v>
      </c>
      <c r="AG111" t="s">
        <v>97</v>
      </c>
      <c r="AH111" t="s">
        <v>351</v>
      </c>
      <c r="AI111">
        <v>0</v>
      </c>
      <c r="AK111">
        <v>2030</v>
      </c>
      <c r="AL111" t="s">
        <v>167</v>
      </c>
      <c r="AM111">
        <v>0.37280000000000002</v>
      </c>
      <c r="AN111" t="s">
        <v>430</v>
      </c>
    </row>
    <row r="112" spans="9:40" x14ac:dyDescent="0.45">
      <c r="I112" t="s">
        <v>249</v>
      </c>
      <c r="J112" t="s">
        <v>352</v>
      </c>
      <c r="K112">
        <v>0</v>
      </c>
      <c r="L112" t="s">
        <v>251</v>
      </c>
      <c r="N112" t="s">
        <v>419</v>
      </c>
      <c r="O112" t="s">
        <v>352</v>
      </c>
      <c r="P112">
        <v>1.774848406302E-4</v>
      </c>
      <c r="Q112" t="s">
        <v>251</v>
      </c>
      <c r="S112" t="s">
        <v>420</v>
      </c>
      <c r="T112" t="s">
        <v>352</v>
      </c>
      <c r="U112">
        <v>1.893422553422E-4</v>
      </c>
      <c r="V112" t="s">
        <v>251</v>
      </c>
      <c r="X112">
        <v>1.1415525114155251E-4</v>
      </c>
      <c r="Y112">
        <v>5.7678442682047593E-5</v>
      </c>
      <c r="Z112" t="s">
        <v>352</v>
      </c>
      <c r="AA112" t="s">
        <v>25</v>
      </c>
      <c r="AC112" t="s">
        <v>22</v>
      </c>
      <c r="AD112" t="s">
        <v>352</v>
      </c>
      <c r="AE112">
        <v>1.2891434944174734E-4</v>
      </c>
      <c r="AG112" t="s">
        <v>97</v>
      </c>
      <c r="AH112" t="s">
        <v>352</v>
      </c>
      <c r="AI112">
        <v>0</v>
      </c>
      <c r="AK112">
        <v>2030</v>
      </c>
      <c r="AL112" t="s">
        <v>169</v>
      </c>
      <c r="AM112">
        <v>0.42849999999999999</v>
      </c>
      <c r="AN112" t="s">
        <v>430</v>
      </c>
    </row>
    <row r="113" spans="9:40" x14ac:dyDescent="0.45">
      <c r="I113" t="s">
        <v>249</v>
      </c>
      <c r="J113" t="s">
        <v>353</v>
      </c>
      <c r="K113">
        <v>1.8794390421985543E-5</v>
      </c>
      <c r="L113" t="s">
        <v>251</v>
      </c>
      <c r="N113" t="s">
        <v>419</v>
      </c>
      <c r="O113" t="s">
        <v>353</v>
      </c>
      <c r="P113">
        <v>1.750182259011E-4</v>
      </c>
      <c r="Q113" t="s">
        <v>251</v>
      </c>
      <c r="S113" t="s">
        <v>420</v>
      </c>
      <c r="T113" t="s">
        <v>353</v>
      </c>
      <c r="U113">
        <v>1.9123956533889999E-4</v>
      </c>
      <c r="V113" t="s">
        <v>251</v>
      </c>
      <c r="X113">
        <v>1.1415525114155251E-4</v>
      </c>
      <c r="Y113">
        <v>1.6905750441289813E-4</v>
      </c>
      <c r="Z113" t="s">
        <v>353</v>
      </c>
      <c r="AA113" t="s">
        <v>25</v>
      </c>
      <c r="AC113" t="s">
        <v>22</v>
      </c>
      <c r="AD113" t="s">
        <v>353</v>
      </c>
      <c r="AE113">
        <v>1.3260436891298946E-4</v>
      </c>
      <c r="AG113" t="s">
        <v>97</v>
      </c>
      <c r="AH113" t="s">
        <v>353</v>
      </c>
      <c r="AI113">
        <v>0</v>
      </c>
      <c r="AK113">
        <v>2030</v>
      </c>
      <c r="AL113" t="s">
        <v>171</v>
      </c>
      <c r="AM113">
        <v>0.55489999999999995</v>
      </c>
      <c r="AN113" t="s">
        <v>430</v>
      </c>
    </row>
    <row r="114" spans="9:40" x14ac:dyDescent="0.45">
      <c r="I114" t="s">
        <v>249</v>
      </c>
      <c r="J114" t="s">
        <v>354</v>
      </c>
      <c r="K114">
        <v>1.183863417333E-4</v>
      </c>
      <c r="L114" t="s">
        <v>251</v>
      </c>
      <c r="N114" t="s">
        <v>419</v>
      </c>
      <c r="O114" t="s">
        <v>354</v>
      </c>
      <c r="P114">
        <v>1.725423546264E-4</v>
      </c>
      <c r="Q114" t="s">
        <v>251</v>
      </c>
      <c r="S114" t="s">
        <v>420</v>
      </c>
      <c r="T114" t="s">
        <v>354</v>
      </c>
      <c r="U114">
        <v>1.853321435779E-4</v>
      </c>
      <c r="V114" t="s">
        <v>251</v>
      </c>
      <c r="X114">
        <v>1.1415525114155251E-4</v>
      </c>
      <c r="Y114">
        <v>1.9060404909297337E-4</v>
      </c>
      <c r="Z114" t="s">
        <v>354</v>
      </c>
      <c r="AA114" t="s">
        <v>25</v>
      </c>
      <c r="AC114" t="s">
        <v>22</v>
      </c>
      <c r="AD114" t="s">
        <v>354</v>
      </c>
      <c r="AE114">
        <v>1.2938340082984905E-4</v>
      </c>
      <c r="AG114" t="s">
        <v>97</v>
      </c>
      <c r="AH114" t="s">
        <v>354</v>
      </c>
      <c r="AI114">
        <v>0</v>
      </c>
      <c r="AK114">
        <v>2030</v>
      </c>
      <c r="AL114" t="s">
        <v>158</v>
      </c>
      <c r="AM114">
        <v>0.69620000000000004</v>
      </c>
      <c r="AN114" t="s">
        <v>430</v>
      </c>
    </row>
    <row r="115" spans="9:40" x14ac:dyDescent="0.45">
      <c r="I115" t="s">
        <v>249</v>
      </c>
      <c r="J115" t="s">
        <v>355</v>
      </c>
      <c r="K115">
        <v>2.2200264471580001E-4</v>
      </c>
      <c r="L115" t="s">
        <v>251</v>
      </c>
      <c r="N115" t="s">
        <v>419</v>
      </c>
      <c r="O115" t="s">
        <v>355</v>
      </c>
      <c r="P115">
        <v>1.771889372087E-4</v>
      </c>
      <c r="Q115" t="s">
        <v>251</v>
      </c>
      <c r="S115" t="s">
        <v>420</v>
      </c>
      <c r="T115" t="s">
        <v>355</v>
      </c>
      <c r="U115">
        <v>1.7759294244639999E-4</v>
      </c>
      <c r="V115" t="s">
        <v>251</v>
      </c>
      <c r="X115">
        <v>1.1415525114155251E-4</v>
      </c>
      <c r="Y115">
        <v>1.4585353321897094E-4</v>
      </c>
      <c r="Z115" t="s">
        <v>355</v>
      </c>
      <c r="AA115" t="s">
        <v>25</v>
      </c>
      <c r="AC115" t="s">
        <v>22</v>
      </c>
      <c r="AD115" t="s">
        <v>355</v>
      </c>
      <c r="AE115">
        <v>1.2883635989978265E-4</v>
      </c>
      <c r="AG115" t="s">
        <v>97</v>
      </c>
      <c r="AH115" t="s">
        <v>355</v>
      </c>
      <c r="AI115">
        <v>0</v>
      </c>
      <c r="AK115">
        <v>2030</v>
      </c>
      <c r="AL115" t="s">
        <v>162</v>
      </c>
      <c r="AM115">
        <v>0.57189999999999996</v>
      </c>
      <c r="AN115" t="s">
        <v>430</v>
      </c>
    </row>
    <row r="116" spans="9:40" x14ac:dyDescent="0.45">
      <c r="I116" t="s">
        <v>249</v>
      </c>
      <c r="J116" t="s">
        <v>356</v>
      </c>
      <c r="K116">
        <v>2.8461061394519999E-4</v>
      </c>
      <c r="L116" t="s">
        <v>251</v>
      </c>
      <c r="N116" t="s">
        <v>419</v>
      </c>
      <c r="O116" t="s">
        <v>356</v>
      </c>
      <c r="P116">
        <v>1.8256115212570001E-4</v>
      </c>
      <c r="Q116" t="s">
        <v>251</v>
      </c>
      <c r="S116" t="s">
        <v>420</v>
      </c>
      <c r="T116" t="s">
        <v>356</v>
      </c>
      <c r="U116">
        <v>1.7020757370490001E-4</v>
      </c>
      <c r="V116" t="s">
        <v>251</v>
      </c>
      <c r="X116">
        <v>1.1415525114155251E-4</v>
      </c>
      <c r="Y116">
        <v>1.4452759200788939E-4</v>
      </c>
      <c r="Z116" t="s">
        <v>356</v>
      </c>
      <c r="AA116" t="s">
        <v>25</v>
      </c>
      <c r="AC116" t="s">
        <v>22</v>
      </c>
      <c r="AD116" t="s">
        <v>356</v>
      </c>
      <c r="AE116">
        <v>1.2984688153638187E-4</v>
      </c>
      <c r="AG116" t="s">
        <v>97</v>
      </c>
      <c r="AH116" t="s">
        <v>356</v>
      </c>
      <c r="AI116">
        <v>0</v>
      </c>
      <c r="AK116">
        <v>2030</v>
      </c>
      <c r="AL116" t="s">
        <v>175</v>
      </c>
      <c r="AM116">
        <v>0.4728</v>
      </c>
      <c r="AN116" t="s">
        <v>430</v>
      </c>
    </row>
    <row r="117" spans="9:40" x14ac:dyDescent="0.45">
      <c r="I117" t="s">
        <v>249</v>
      </c>
      <c r="J117" t="s">
        <v>357</v>
      </c>
      <c r="K117">
        <v>3.1527131174559998E-4</v>
      </c>
      <c r="L117" t="s">
        <v>251</v>
      </c>
      <c r="N117" t="s">
        <v>419</v>
      </c>
      <c r="O117" t="s">
        <v>357</v>
      </c>
      <c r="P117">
        <v>1.9693935425190001E-4</v>
      </c>
      <c r="Q117" t="s">
        <v>251</v>
      </c>
      <c r="S117" t="s">
        <v>420</v>
      </c>
      <c r="T117" t="s">
        <v>357</v>
      </c>
      <c r="U117">
        <v>1.6620215658310001E-4</v>
      </c>
      <c r="V117" t="s">
        <v>251</v>
      </c>
      <c r="X117">
        <v>1.1415525114155251E-4</v>
      </c>
      <c r="Y117">
        <v>1.408812536774151E-4</v>
      </c>
      <c r="Z117" t="s">
        <v>357</v>
      </c>
      <c r="AA117" t="s">
        <v>25</v>
      </c>
      <c r="AC117" t="s">
        <v>22</v>
      </c>
      <c r="AD117" t="s">
        <v>357</v>
      </c>
      <c r="AE117">
        <v>1.2987362080791261E-4</v>
      </c>
      <c r="AG117" t="s">
        <v>97</v>
      </c>
      <c r="AH117" t="s">
        <v>357</v>
      </c>
      <c r="AI117">
        <v>0</v>
      </c>
      <c r="AK117">
        <v>2030</v>
      </c>
      <c r="AL117" t="s">
        <v>166</v>
      </c>
      <c r="AM117">
        <v>0.2646</v>
      </c>
      <c r="AN117" t="s">
        <v>430</v>
      </c>
    </row>
    <row r="118" spans="9:40" x14ac:dyDescent="0.45">
      <c r="I118" t="s">
        <v>249</v>
      </c>
      <c r="J118" t="s">
        <v>358</v>
      </c>
      <c r="K118">
        <v>3.2639458754219998E-4</v>
      </c>
      <c r="L118" t="s">
        <v>251</v>
      </c>
      <c r="N118" t="s">
        <v>419</v>
      </c>
      <c r="O118" t="s">
        <v>358</v>
      </c>
      <c r="P118">
        <v>1.956956100719E-4</v>
      </c>
      <c r="Q118" t="s">
        <v>251</v>
      </c>
      <c r="S118" t="s">
        <v>420</v>
      </c>
      <c r="T118" t="s">
        <v>358</v>
      </c>
      <c r="U118">
        <v>1.6540467120669999E-4</v>
      </c>
      <c r="V118" t="s">
        <v>251</v>
      </c>
      <c r="X118">
        <v>1.1415525114155251E-4</v>
      </c>
      <c r="Y118">
        <v>1.4054976837464471E-4</v>
      </c>
      <c r="Z118" t="s">
        <v>358</v>
      </c>
      <c r="AA118" t="s">
        <v>25</v>
      </c>
      <c r="AC118" t="s">
        <v>22</v>
      </c>
      <c r="AD118" t="s">
        <v>358</v>
      </c>
      <c r="AE118">
        <v>1.3054878741406377E-4</v>
      </c>
      <c r="AG118" t="s">
        <v>97</v>
      </c>
      <c r="AH118" t="s">
        <v>358</v>
      </c>
      <c r="AI118">
        <v>0</v>
      </c>
      <c r="AK118">
        <v>2030</v>
      </c>
      <c r="AL118" t="s">
        <v>178</v>
      </c>
      <c r="AM118">
        <v>0.26090000000000002</v>
      </c>
      <c r="AN118" t="s">
        <v>430</v>
      </c>
    </row>
    <row r="119" spans="9:40" x14ac:dyDescent="0.45">
      <c r="I119" t="s">
        <v>249</v>
      </c>
      <c r="J119" t="s">
        <v>359</v>
      </c>
      <c r="K119">
        <v>3.2322029180900002E-4</v>
      </c>
      <c r="L119" t="s">
        <v>251</v>
      </c>
      <c r="N119" t="s">
        <v>419</v>
      </c>
      <c r="O119" t="s">
        <v>359</v>
      </c>
      <c r="P119">
        <v>2.05800816537E-4</v>
      </c>
      <c r="Q119" t="s">
        <v>251</v>
      </c>
      <c r="S119" t="s">
        <v>420</v>
      </c>
      <c r="T119" t="s">
        <v>359</v>
      </c>
      <c r="U119">
        <v>1.6797050695960001E-4</v>
      </c>
      <c r="V119" t="s">
        <v>251</v>
      </c>
      <c r="X119">
        <v>1.1415525114155251E-4</v>
      </c>
      <c r="Y119">
        <v>1.4253868019126702E-4</v>
      </c>
      <c r="Z119" t="s">
        <v>359</v>
      </c>
      <c r="AA119" t="s">
        <v>25</v>
      </c>
      <c r="AC119" t="s">
        <v>22</v>
      </c>
      <c r="AD119" t="s">
        <v>359</v>
      </c>
      <c r="AE119">
        <v>1.6625239972548449E-4</v>
      </c>
      <c r="AG119" t="s">
        <v>97</v>
      </c>
      <c r="AH119" t="s">
        <v>359</v>
      </c>
      <c r="AI119">
        <v>0</v>
      </c>
      <c r="AK119">
        <v>2031</v>
      </c>
      <c r="AL119" t="s">
        <v>151</v>
      </c>
      <c r="AM119">
        <v>0.23710000000000001</v>
      </c>
      <c r="AN119" t="s">
        <v>430</v>
      </c>
    </row>
    <row r="120" spans="9:40" x14ac:dyDescent="0.45">
      <c r="I120" t="s">
        <v>249</v>
      </c>
      <c r="J120" t="s">
        <v>360</v>
      </c>
      <c r="K120">
        <v>3.2158472172189999E-4</v>
      </c>
      <c r="L120" t="s">
        <v>251</v>
      </c>
      <c r="N120" t="s">
        <v>419</v>
      </c>
      <c r="O120" t="s">
        <v>360</v>
      </c>
      <c r="P120">
        <v>2.1101451022960001E-4</v>
      </c>
      <c r="Q120" t="s">
        <v>251</v>
      </c>
      <c r="S120" t="s">
        <v>420</v>
      </c>
      <c r="T120" t="s">
        <v>360</v>
      </c>
      <c r="U120">
        <v>1.7283814611719999E-4</v>
      </c>
      <c r="V120" t="s">
        <v>251</v>
      </c>
      <c r="X120">
        <v>1.1415525114155251E-4</v>
      </c>
      <c r="Y120">
        <v>1.4883690094390442E-4</v>
      </c>
      <c r="Z120" t="s">
        <v>360</v>
      </c>
      <c r="AA120" t="s">
        <v>25</v>
      </c>
      <c r="AC120" t="s">
        <v>22</v>
      </c>
      <c r="AD120" t="s">
        <v>360</v>
      </c>
      <c r="AE120">
        <v>1.6706683337085827E-4</v>
      </c>
      <c r="AG120" t="s">
        <v>97</v>
      </c>
      <c r="AH120" t="s">
        <v>360</v>
      </c>
      <c r="AI120">
        <v>0</v>
      </c>
      <c r="AK120">
        <v>2031</v>
      </c>
      <c r="AL120" t="s">
        <v>156</v>
      </c>
      <c r="AM120">
        <v>0.28249999999999997</v>
      </c>
      <c r="AN120" t="s">
        <v>430</v>
      </c>
    </row>
    <row r="121" spans="9:40" x14ac:dyDescent="0.45">
      <c r="I121" t="s">
        <v>249</v>
      </c>
      <c r="J121" t="s">
        <v>361</v>
      </c>
      <c r="K121">
        <v>3.156218752383E-4</v>
      </c>
      <c r="L121" t="s">
        <v>251</v>
      </c>
      <c r="N121" t="s">
        <v>419</v>
      </c>
      <c r="O121" t="s">
        <v>361</v>
      </c>
      <c r="P121">
        <v>2.1948800771510001E-4</v>
      </c>
      <c r="Q121" t="s">
        <v>251</v>
      </c>
      <c r="S121" t="s">
        <v>420</v>
      </c>
      <c r="T121" t="s">
        <v>361</v>
      </c>
      <c r="U121">
        <v>1.791203957583E-4</v>
      </c>
      <c r="V121" t="s">
        <v>251</v>
      </c>
      <c r="X121">
        <v>1.1415525114155251E-4</v>
      </c>
      <c r="Y121">
        <v>1.5049432745775637E-4</v>
      </c>
      <c r="Z121" t="s">
        <v>361</v>
      </c>
      <c r="AA121" t="s">
        <v>25</v>
      </c>
      <c r="AC121" t="s">
        <v>22</v>
      </c>
      <c r="AD121" t="s">
        <v>361</v>
      </c>
      <c r="AE121">
        <v>1.5633324412389369E-4</v>
      </c>
      <c r="AG121" t="s">
        <v>97</v>
      </c>
      <c r="AH121" t="s">
        <v>361</v>
      </c>
      <c r="AI121">
        <v>0</v>
      </c>
      <c r="AK121">
        <v>2031</v>
      </c>
      <c r="AL121" t="s">
        <v>159</v>
      </c>
      <c r="AM121">
        <v>0.28789999999999999</v>
      </c>
      <c r="AN121" t="s">
        <v>430</v>
      </c>
    </row>
    <row r="122" spans="9:40" x14ac:dyDescent="0.45">
      <c r="I122" t="s">
        <v>249</v>
      </c>
      <c r="J122" t="s">
        <v>362</v>
      </c>
      <c r="K122">
        <v>2.9485825278740001E-4</v>
      </c>
      <c r="L122" t="s">
        <v>251</v>
      </c>
      <c r="N122" t="s">
        <v>419</v>
      </c>
      <c r="O122" t="s">
        <v>362</v>
      </c>
      <c r="P122">
        <v>1.841693668616E-4</v>
      </c>
      <c r="Q122" t="s">
        <v>251</v>
      </c>
      <c r="S122" t="s">
        <v>420</v>
      </c>
      <c r="T122" t="s">
        <v>362</v>
      </c>
      <c r="U122">
        <v>1.8136718929710001E-4</v>
      </c>
      <c r="V122" t="s">
        <v>251</v>
      </c>
      <c r="X122">
        <v>1.1415525114155251E-4</v>
      </c>
      <c r="Y122">
        <v>1.7237235744060203E-4</v>
      </c>
      <c r="Z122" t="s">
        <v>362</v>
      </c>
      <c r="AA122" t="s">
        <v>25</v>
      </c>
      <c r="AC122" t="s">
        <v>22</v>
      </c>
      <c r="AD122" t="s">
        <v>362</v>
      </c>
      <c r="AE122">
        <v>1.2633623801165848E-4</v>
      </c>
      <c r="AG122" t="s">
        <v>97</v>
      </c>
      <c r="AH122" t="s">
        <v>362</v>
      </c>
      <c r="AI122">
        <v>0</v>
      </c>
      <c r="AK122">
        <v>2031</v>
      </c>
      <c r="AL122" t="s">
        <v>163</v>
      </c>
      <c r="AM122">
        <v>0.30680000000000002</v>
      </c>
      <c r="AN122" t="s">
        <v>430</v>
      </c>
    </row>
    <row r="123" spans="9:40" x14ac:dyDescent="0.45">
      <c r="I123" t="s">
        <v>249</v>
      </c>
      <c r="J123" t="s">
        <v>363</v>
      </c>
      <c r="K123">
        <v>2.4740565046389999E-4</v>
      </c>
      <c r="L123" t="s">
        <v>251</v>
      </c>
      <c r="N123" t="s">
        <v>419</v>
      </c>
      <c r="O123" t="s">
        <v>363</v>
      </c>
      <c r="P123">
        <v>2.158703245973E-4</v>
      </c>
      <c r="Q123" t="s">
        <v>251</v>
      </c>
      <c r="S123" t="s">
        <v>420</v>
      </c>
      <c r="T123" t="s">
        <v>363</v>
      </c>
      <c r="U123">
        <v>1.878500342068E-4</v>
      </c>
      <c r="V123" t="s">
        <v>251</v>
      </c>
      <c r="X123">
        <v>1.1415525114155251E-4</v>
      </c>
      <c r="Y123">
        <v>2.2209515285616027E-4</v>
      </c>
      <c r="Z123" t="s">
        <v>363</v>
      </c>
      <c r="AA123" t="s">
        <v>25</v>
      </c>
      <c r="AC123" t="s">
        <v>22</v>
      </c>
      <c r="AD123" t="s">
        <v>363</v>
      </c>
      <c r="AE123">
        <v>1.0185866319789348E-4</v>
      </c>
      <c r="AG123" t="s">
        <v>97</v>
      </c>
      <c r="AH123" t="s">
        <v>363</v>
      </c>
      <c r="AI123">
        <v>0</v>
      </c>
      <c r="AK123">
        <v>2031</v>
      </c>
      <c r="AL123" t="s">
        <v>167</v>
      </c>
      <c r="AM123">
        <v>0.41089999999999999</v>
      </c>
      <c r="AN123" t="s">
        <v>430</v>
      </c>
    </row>
    <row r="124" spans="9:40" x14ac:dyDescent="0.45">
      <c r="I124" t="s">
        <v>249</v>
      </c>
      <c r="J124" t="s">
        <v>364</v>
      </c>
      <c r="K124">
        <v>1.7430925399790001E-4</v>
      </c>
      <c r="L124" t="s">
        <v>251</v>
      </c>
      <c r="N124" t="s">
        <v>419</v>
      </c>
      <c r="O124" t="s">
        <v>364</v>
      </c>
      <c r="P124">
        <v>2.4750241241250001E-4</v>
      </c>
      <c r="Q124" t="s">
        <v>251</v>
      </c>
      <c r="S124" t="s">
        <v>420</v>
      </c>
      <c r="T124" t="s">
        <v>364</v>
      </c>
      <c r="U124">
        <v>1.9634541735209999E-4</v>
      </c>
      <c r="V124" t="s">
        <v>251</v>
      </c>
      <c r="X124">
        <v>1.1415525114155251E-4</v>
      </c>
      <c r="Y124">
        <v>2.2209515285616027E-4</v>
      </c>
      <c r="Z124" t="s">
        <v>364</v>
      </c>
      <c r="AA124" t="s">
        <v>25</v>
      </c>
      <c r="AC124" t="s">
        <v>22</v>
      </c>
      <c r="AD124" t="s">
        <v>364</v>
      </c>
      <c r="AE124">
        <v>7.3087207030817172E-5</v>
      </c>
      <c r="AG124" t="s">
        <v>97</v>
      </c>
      <c r="AH124" t="s">
        <v>364</v>
      </c>
      <c r="AI124">
        <v>0</v>
      </c>
      <c r="AK124">
        <v>2031</v>
      </c>
      <c r="AL124" t="s">
        <v>169</v>
      </c>
      <c r="AM124">
        <v>0.4637</v>
      </c>
      <c r="AN124" t="s">
        <v>430</v>
      </c>
    </row>
    <row r="125" spans="9:40" x14ac:dyDescent="0.45">
      <c r="I125" t="s">
        <v>249</v>
      </c>
      <c r="J125" t="s">
        <v>365</v>
      </c>
      <c r="K125">
        <v>6.6977024383169209E-5</v>
      </c>
      <c r="L125" t="s">
        <v>251</v>
      </c>
      <c r="N125" t="s">
        <v>419</v>
      </c>
      <c r="O125" t="s">
        <v>365</v>
      </c>
      <c r="P125">
        <v>2.5909155303880001E-4</v>
      </c>
      <c r="Q125" t="s">
        <v>251</v>
      </c>
      <c r="S125" t="s">
        <v>420</v>
      </c>
      <c r="T125" t="s">
        <v>365</v>
      </c>
      <c r="U125">
        <v>1.97077642811E-4</v>
      </c>
      <c r="V125" t="s">
        <v>251</v>
      </c>
      <c r="X125">
        <v>1.1415525114155251E-4</v>
      </c>
      <c r="Y125">
        <v>1.7237235744060203E-4</v>
      </c>
      <c r="Z125" t="s">
        <v>365</v>
      </c>
      <c r="AA125" t="s">
        <v>25</v>
      </c>
      <c r="AC125" t="s">
        <v>22</v>
      </c>
      <c r="AD125" t="s">
        <v>365</v>
      </c>
      <c r="AE125">
        <v>5.5359070005936496E-5</v>
      </c>
      <c r="AG125" t="s">
        <v>97</v>
      </c>
      <c r="AH125" t="s">
        <v>365</v>
      </c>
      <c r="AI125">
        <v>0</v>
      </c>
      <c r="AK125">
        <v>2031</v>
      </c>
      <c r="AL125" t="s">
        <v>171</v>
      </c>
      <c r="AM125">
        <v>0.54390000000000005</v>
      </c>
      <c r="AN125" t="s">
        <v>430</v>
      </c>
    </row>
    <row r="126" spans="9:40" x14ac:dyDescent="0.45">
      <c r="I126" t="s">
        <v>249</v>
      </c>
      <c r="J126" t="s">
        <v>366</v>
      </c>
      <c r="K126">
        <v>0</v>
      </c>
      <c r="L126" t="s">
        <v>251</v>
      </c>
      <c r="N126" t="s">
        <v>419</v>
      </c>
      <c r="O126" t="s">
        <v>366</v>
      </c>
      <c r="P126">
        <v>2.6911438450469998E-4</v>
      </c>
      <c r="Q126" t="s">
        <v>251</v>
      </c>
      <c r="S126" t="s">
        <v>420</v>
      </c>
      <c r="T126" t="s">
        <v>366</v>
      </c>
      <c r="U126">
        <v>1.9343479284309999E-4</v>
      </c>
      <c r="V126" t="s">
        <v>251</v>
      </c>
      <c r="X126">
        <v>1.1415525114155251E-4</v>
      </c>
      <c r="Y126">
        <v>1.5579809230208258E-4</v>
      </c>
      <c r="Z126" t="s">
        <v>366</v>
      </c>
      <c r="AA126" t="s">
        <v>25</v>
      </c>
      <c r="AC126" t="s">
        <v>22</v>
      </c>
      <c r="AD126" t="s">
        <v>366</v>
      </c>
      <c r="AE126">
        <v>5.0842361389868984E-5</v>
      </c>
      <c r="AG126" t="s">
        <v>97</v>
      </c>
      <c r="AH126" t="s">
        <v>366</v>
      </c>
      <c r="AI126">
        <v>0</v>
      </c>
      <c r="AK126">
        <v>2031</v>
      </c>
      <c r="AL126" t="s">
        <v>158</v>
      </c>
      <c r="AM126">
        <v>0.67930000000000001</v>
      </c>
      <c r="AN126" t="s">
        <v>430</v>
      </c>
    </row>
    <row r="127" spans="9:40" x14ac:dyDescent="0.45">
      <c r="I127" t="s">
        <v>249</v>
      </c>
      <c r="J127" t="s">
        <v>367</v>
      </c>
      <c r="K127">
        <v>0</v>
      </c>
      <c r="L127" t="s">
        <v>251</v>
      </c>
      <c r="N127" t="s">
        <v>419</v>
      </c>
      <c r="O127" t="s">
        <v>367</v>
      </c>
      <c r="P127">
        <v>2.768001867081E-4</v>
      </c>
      <c r="Q127" t="s">
        <v>251</v>
      </c>
      <c r="S127" t="s">
        <v>420</v>
      </c>
      <c r="T127" t="s">
        <v>367</v>
      </c>
      <c r="U127">
        <v>1.8975049941419999E-4</v>
      </c>
      <c r="V127" t="s">
        <v>251</v>
      </c>
      <c r="X127">
        <v>1.1415525114155251E-4</v>
      </c>
      <c r="Y127">
        <v>1.093901499142282E-4</v>
      </c>
      <c r="Z127" t="s">
        <v>367</v>
      </c>
      <c r="AA127" t="s">
        <v>25</v>
      </c>
      <c r="AC127" t="s">
        <v>22</v>
      </c>
      <c r="AD127" t="s">
        <v>367</v>
      </c>
      <c r="AE127">
        <v>4.9173385191825293E-5</v>
      </c>
      <c r="AG127" t="s">
        <v>97</v>
      </c>
      <c r="AH127" t="s">
        <v>367</v>
      </c>
      <c r="AI127">
        <v>0</v>
      </c>
      <c r="AK127">
        <v>2031</v>
      </c>
      <c r="AL127" t="s">
        <v>162</v>
      </c>
      <c r="AM127">
        <v>0.55269999999999997</v>
      </c>
      <c r="AN127" t="s">
        <v>430</v>
      </c>
    </row>
    <row r="128" spans="9:40" x14ac:dyDescent="0.45">
      <c r="I128" t="s">
        <v>249</v>
      </c>
      <c r="J128" t="s">
        <v>368</v>
      </c>
      <c r="K128">
        <v>0</v>
      </c>
      <c r="L128" t="s">
        <v>251</v>
      </c>
      <c r="N128" t="s">
        <v>419</v>
      </c>
      <c r="O128" t="s">
        <v>368</v>
      </c>
      <c r="P128">
        <v>2.8206184108399998E-4</v>
      </c>
      <c r="Q128" t="s">
        <v>251</v>
      </c>
      <c r="S128" t="s">
        <v>420</v>
      </c>
      <c r="T128" t="s">
        <v>368</v>
      </c>
      <c r="U128">
        <v>1.9041637668470001E-4</v>
      </c>
      <c r="V128" t="s">
        <v>251</v>
      </c>
      <c r="X128">
        <v>1.1415525114155251E-4</v>
      </c>
      <c r="Y128">
        <v>7.9556472664893237E-5</v>
      </c>
      <c r="Z128" t="s">
        <v>368</v>
      </c>
      <c r="AA128" t="s">
        <v>25</v>
      </c>
      <c r="AC128" t="s">
        <v>22</v>
      </c>
      <c r="AD128" t="s">
        <v>368</v>
      </c>
      <c r="AE128">
        <v>5.0280836687723458E-5</v>
      </c>
      <c r="AG128" t="s">
        <v>97</v>
      </c>
      <c r="AH128" t="s">
        <v>368</v>
      </c>
      <c r="AI128">
        <v>0</v>
      </c>
      <c r="AK128">
        <v>2031</v>
      </c>
      <c r="AL128" t="s">
        <v>175</v>
      </c>
      <c r="AM128">
        <v>0.4325</v>
      </c>
      <c r="AN128" t="s">
        <v>430</v>
      </c>
    </row>
    <row r="129" spans="9:40" x14ac:dyDescent="0.45">
      <c r="I129" t="s">
        <v>249</v>
      </c>
      <c r="J129" t="s">
        <v>369</v>
      </c>
      <c r="K129">
        <v>0</v>
      </c>
      <c r="L129" t="s">
        <v>251</v>
      </c>
      <c r="N129" t="s">
        <v>419</v>
      </c>
      <c r="O129" t="s">
        <v>369</v>
      </c>
      <c r="P129">
        <v>2.907673734256E-4</v>
      </c>
      <c r="Q129" t="s">
        <v>251</v>
      </c>
      <c r="S129" t="s">
        <v>420</v>
      </c>
      <c r="T129" t="s">
        <v>369</v>
      </c>
      <c r="U129">
        <v>1.9810828326999999E-4</v>
      </c>
      <c r="V129" t="s">
        <v>251</v>
      </c>
      <c r="X129">
        <v>1.1415525114155251E-4</v>
      </c>
      <c r="Y129">
        <v>5.6352501470966035E-5</v>
      </c>
      <c r="Z129" t="s">
        <v>369</v>
      </c>
      <c r="AA129" t="s">
        <v>25</v>
      </c>
      <c r="AC129" t="s">
        <v>22</v>
      </c>
      <c r="AD129" t="s">
        <v>369</v>
      </c>
      <c r="AE129">
        <v>6.4639825499730857E-5</v>
      </c>
      <c r="AG129" t="s">
        <v>97</v>
      </c>
      <c r="AH129" t="s">
        <v>369</v>
      </c>
      <c r="AI129">
        <v>0</v>
      </c>
      <c r="AK129">
        <v>2031</v>
      </c>
      <c r="AL129" t="s">
        <v>166</v>
      </c>
      <c r="AM129">
        <v>0.28139999999999998</v>
      </c>
      <c r="AN129" t="s">
        <v>430</v>
      </c>
    </row>
    <row r="130" spans="9:40" x14ac:dyDescent="0.45">
      <c r="I130" t="s">
        <v>249</v>
      </c>
      <c r="J130" t="s">
        <v>370</v>
      </c>
      <c r="K130">
        <v>0</v>
      </c>
      <c r="L130" t="s">
        <v>251</v>
      </c>
      <c r="N130" t="s">
        <v>419</v>
      </c>
      <c r="O130" t="s">
        <v>370</v>
      </c>
      <c r="P130">
        <v>3.0086870076910001E-4</v>
      </c>
      <c r="Q130" t="s">
        <v>251</v>
      </c>
      <c r="S130" t="s">
        <v>420</v>
      </c>
      <c r="T130" t="s">
        <v>370</v>
      </c>
      <c r="U130">
        <v>2.041726988663E-4</v>
      </c>
      <c r="V130" t="s">
        <v>251</v>
      </c>
      <c r="X130">
        <v>1.1415525114155251E-4</v>
      </c>
      <c r="Y130">
        <v>2.9833677249334962E-5</v>
      </c>
      <c r="Z130" t="s">
        <v>370</v>
      </c>
      <c r="AA130" t="s">
        <v>25</v>
      </c>
      <c r="AC130" t="s">
        <v>22</v>
      </c>
      <c r="AD130" t="s">
        <v>370</v>
      </c>
      <c r="AE130">
        <v>8.0477273200125441E-5</v>
      </c>
      <c r="AG130" t="s">
        <v>97</v>
      </c>
      <c r="AH130" t="s">
        <v>370</v>
      </c>
      <c r="AI130">
        <v>0</v>
      </c>
      <c r="AK130">
        <v>2031</v>
      </c>
      <c r="AL130" t="s">
        <v>178</v>
      </c>
      <c r="AM130">
        <v>0.24030000000000001</v>
      </c>
      <c r="AN130" t="s">
        <v>430</v>
      </c>
    </row>
    <row r="131" spans="9:40" x14ac:dyDescent="0.45">
      <c r="I131" t="s">
        <v>249</v>
      </c>
      <c r="J131" t="s">
        <v>371</v>
      </c>
      <c r="K131">
        <v>6.3403489372097896E-4</v>
      </c>
      <c r="L131" t="s">
        <v>251</v>
      </c>
      <c r="N131" t="s">
        <v>419</v>
      </c>
      <c r="O131" t="s">
        <v>371</v>
      </c>
      <c r="P131">
        <v>1.2435653056473135E-2</v>
      </c>
      <c r="Q131" t="s">
        <v>251</v>
      </c>
      <c r="S131" t="s">
        <v>420</v>
      </c>
      <c r="T131" t="s">
        <v>371</v>
      </c>
      <c r="U131">
        <v>1.5488070688631525E-2</v>
      </c>
      <c r="V131" t="s">
        <v>251</v>
      </c>
      <c r="X131">
        <v>2.4771689497716895E-2</v>
      </c>
      <c r="Y131">
        <v>9.7827942553597048E-3</v>
      </c>
      <c r="Z131" t="s">
        <v>371</v>
      </c>
      <c r="AA131" t="s">
        <v>25</v>
      </c>
      <c r="AC131" t="s">
        <v>22</v>
      </c>
      <c r="AD131" t="s">
        <v>371</v>
      </c>
      <c r="AE131">
        <v>2.3934028632773042E-2</v>
      </c>
      <c r="AG131" t="s">
        <v>97</v>
      </c>
      <c r="AH131" t="s">
        <v>371</v>
      </c>
      <c r="AI131">
        <v>0.13679072694273109</v>
      </c>
      <c r="AK131">
        <v>2032</v>
      </c>
      <c r="AL131" t="s">
        <v>151</v>
      </c>
      <c r="AM131">
        <v>0.22370000000000001</v>
      </c>
      <c r="AN131" t="s">
        <v>430</v>
      </c>
    </row>
    <row r="132" spans="9:40" x14ac:dyDescent="0.45">
      <c r="I132" t="s">
        <v>249</v>
      </c>
      <c r="J132" t="s">
        <v>372</v>
      </c>
      <c r="K132">
        <v>3.8263330103221272E-3</v>
      </c>
      <c r="L132" t="s">
        <v>251</v>
      </c>
      <c r="N132" t="s">
        <v>419</v>
      </c>
      <c r="O132" t="s">
        <v>372</v>
      </c>
      <c r="P132">
        <v>1.3649581269337327E-3</v>
      </c>
      <c r="Q132" t="s">
        <v>251</v>
      </c>
      <c r="S132" t="s">
        <v>420</v>
      </c>
      <c r="T132" t="s">
        <v>372</v>
      </c>
      <c r="U132">
        <v>1.995264486450884E-3</v>
      </c>
      <c r="V132" t="s">
        <v>251</v>
      </c>
      <c r="X132">
        <v>3.5388127853881279E-3</v>
      </c>
      <c r="Y132">
        <v>5.9087255218821738E-3</v>
      </c>
      <c r="Z132" t="s">
        <v>372</v>
      </c>
      <c r="AA132" t="s">
        <v>25</v>
      </c>
      <c r="AC132" t="s">
        <v>22</v>
      </c>
      <c r="AD132" t="s">
        <v>372</v>
      </c>
      <c r="AE132">
        <v>3.9657988848695565E-3</v>
      </c>
      <c r="AG132" t="s">
        <v>97</v>
      </c>
      <c r="AH132" t="s">
        <v>372</v>
      </c>
      <c r="AI132">
        <v>5.6729088378576265E-2</v>
      </c>
      <c r="AK132">
        <v>2032</v>
      </c>
      <c r="AL132" t="s">
        <v>156</v>
      </c>
      <c r="AM132">
        <v>0.27400000000000002</v>
      </c>
      <c r="AN132" t="s">
        <v>430</v>
      </c>
    </row>
    <row r="133" spans="9:40" x14ac:dyDescent="0.45">
      <c r="I133" t="s">
        <v>249</v>
      </c>
      <c r="J133" t="s">
        <v>373</v>
      </c>
      <c r="K133">
        <v>6.7150870858792002E-3</v>
      </c>
      <c r="L133" t="s">
        <v>251</v>
      </c>
      <c r="N133" t="s">
        <v>419</v>
      </c>
      <c r="O133" t="s">
        <v>373</v>
      </c>
      <c r="P133">
        <v>1.3225329764351757E-3</v>
      </c>
      <c r="Q133" t="s">
        <v>251</v>
      </c>
      <c r="S133" t="s">
        <v>420</v>
      </c>
      <c r="T133" t="s">
        <v>373</v>
      </c>
      <c r="U133">
        <v>1.9162130597774412E-3</v>
      </c>
      <c r="V133" t="s">
        <v>251</v>
      </c>
      <c r="X133">
        <v>3.5388127853881279E-3</v>
      </c>
      <c r="Y133">
        <v>4.521459529788099E-3</v>
      </c>
      <c r="Z133" t="s">
        <v>373</v>
      </c>
      <c r="AA133" t="s">
        <v>25</v>
      </c>
      <c r="AC133" t="s">
        <v>22</v>
      </c>
      <c r="AD133" t="s">
        <v>373</v>
      </c>
      <c r="AE133">
        <v>4.0884697495620825E-3</v>
      </c>
      <c r="AG133" t="s">
        <v>97</v>
      </c>
      <c r="AH133" t="s">
        <v>373</v>
      </c>
      <c r="AI133">
        <v>5.4226425435626613E-2</v>
      </c>
      <c r="AK133">
        <v>2032</v>
      </c>
      <c r="AL133" t="s">
        <v>159</v>
      </c>
      <c r="AM133">
        <v>0.26619999999999999</v>
      </c>
      <c r="AN133" t="s">
        <v>430</v>
      </c>
    </row>
    <row r="134" spans="9:40" x14ac:dyDescent="0.45">
      <c r="I134" t="s">
        <v>249</v>
      </c>
      <c r="J134" t="s">
        <v>374</v>
      </c>
      <c r="K134">
        <v>8.6003159860488006E-3</v>
      </c>
      <c r="L134" t="s">
        <v>251</v>
      </c>
      <c r="N134" t="s">
        <v>419</v>
      </c>
      <c r="O134" t="s">
        <v>374</v>
      </c>
      <c r="P134">
        <v>1.2776880862943592E-3</v>
      </c>
      <c r="Q134" t="s">
        <v>251</v>
      </c>
      <c r="S134" t="s">
        <v>420</v>
      </c>
      <c r="T134" t="s">
        <v>374</v>
      </c>
      <c r="U134">
        <v>1.8593174914847584E-3</v>
      </c>
      <c r="V134" t="s">
        <v>251</v>
      </c>
      <c r="X134">
        <v>3.5388127853881279E-3</v>
      </c>
      <c r="Y134">
        <v>4.4803553522445696E-3</v>
      </c>
      <c r="Z134" t="s">
        <v>374</v>
      </c>
      <c r="AA134" t="s">
        <v>25</v>
      </c>
      <c r="AC134" t="s">
        <v>22</v>
      </c>
      <c r="AD134" t="s">
        <v>374</v>
      </c>
      <c r="AE134">
        <v>4.1133094186778258E-3</v>
      </c>
      <c r="AG134" t="s">
        <v>97</v>
      </c>
      <c r="AH134" t="s">
        <v>374</v>
      </c>
      <c r="AI134">
        <v>5.6011285725877658E-2</v>
      </c>
      <c r="AK134">
        <v>2032</v>
      </c>
      <c r="AL134" t="s">
        <v>163</v>
      </c>
      <c r="AM134">
        <v>0.30599999999999999</v>
      </c>
      <c r="AN134" t="s">
        <v>430</v>
      </c>
    </row>
    <row r="135" spans="9:40" x14ac:dyDescent="0.45">
      <c r="I135" t="s">
        <v>249</v>
      </c>
      <c r="J135" t="s">
        <v>375</v>
      </c>
      <c r="K135">
        <v>6.1191362657387602E-2</v>
      </c>
      <c r="L135" t="s">
        <v>251</v>
      </c>
      <c r="N135" t="s">
        <v>419</v>
      </c>
      <c r="O135" t="s">
        <v>375</v>
      </c>
      <c r="P135">
        <v>9.5770533182397716E-3</v>
      </c>
      <c r="Q135" t="s">
        <v>251</v>
      </c>
      <c r="S135" t="s">
        <v>420</v>
      </c>
      <c r="T135" t="s">
        <v>375</v>
      </c>
      <c r="U135">
        <v>1.3953211337061788E-2</v>
      </c>
      <c r="V135" t="s">
        <v>251</v>
      </c>
      <c r="X135">
        <v>2.4771689497716895E-2</v>
      </c>
      <c r="Y135">
        <v>3.4650821669194247E-2</v>
      </c>
      <c r="Z135" t="s">
        <v>375</v>
      </c>
      <c r="AA135" t="s">
        <v>25</v>
      </c>
      <c r="AC135" t="s">
        <v>22</v>
      </c>
      <c r="AD135" t="s">
        <v>375</v>
      </c>
      <c r="AE135">
        <v>3.0280118994388212E-2</v>
      </c>
      <c r="AG135" t="s">
        <v>97</v>
      </c>
      <c r="AH135" t="s">
        <v>375</v>
      </c>
      <c r="AI135">
        <v>0.17824252174205646</v>
      </c>
      <c r="AK135">
        <v>2032</v>
      </c>
      <c r="AL135" t="s">
        <v>167</v>
      </c>
      <c r="AM135">
        <v>0.41270000000000001</v>
      </c>
      <c r="AN135" t="s">
        <v>430</v>
      </c>
    </row>
    <row r="136" spans="9:40" x14ac:dyDescent="0.45">
      <c r="I136" t="s">
        <v>249</v>
      </c>
      <c r="J136" t="s">
        <v>376</v>
      </c>
      <c r="K136">
        <v>4.3842810569849856E-3</v>
      </c>
      <c r="L136" t="s">
        <v>251</v>
      </c>
      <c r="N136" t="s">
        <v>419</v>
      </c>
      <c r="O136" t="s">
        <v>376</v>
      </c>
      <c r="P136">
        <v>1.6358779065967408E-3</v>
      </c>
      <c r="Q136" t="s">
        <v>251</v>
      </c>
      <c r="S136" t="s">
        <v>420</v>
      </c>
      <c r="T136" t="s">
        <v>376</v>
      </c>
      <c r="U136">
        <v>2.2921375853948737E-3</v>
      </c>
      <c r="V136" t="s">
        <v>251</v>
      </c>
      <c r="X136">
        <v>3.5388127853881279E-3</v>
      </c>
      <c r="Y136">
        <v>6.8849497385409693E-3</v>
      </c>
      <c r="Z136" t="s">
        <v>376</v>
      </c>
      <c r="AA136" t="s">
        <v>25</v>
      </c>
      <c r="AC136" t="s">
        <v>22</v>
      </c>
      <c r="AD136" t="s">
        <v>376</v>
      </c>
      <c r="AE136">
        <v>1.7822153789899473E-3</v>
      </c>
      <c r="AG136" t="s">
        <v>97</v>
      </c>
      <c r="AH136" t="s">
        <v>376</v>
      </c>
      <c r="AI136">
        <v>7.3099190615680376E-2</v>
      </c>
      <c r="AK136">
        <v>2032</v>
      </c>
      <c r="AL136" t="s">
        <v>169</v>
      </c>
      <c r="AM136">
        <v>0.51</v>
      </c>
      <c r="AN136" t="s">
        <v>430</v>
      </c>
    </row>
    <row r="137" spans="9:40" x14ac:dyDescent="0.45">
      <c r="I137" t="s">
        <v>249</v>
      </c>
      <c r="J137" t="s">
        <v>377</v>
      </c>
      <c r="K137">
        <v>1.0263553428467634E-3</v>
      </c>
      <c r="L137" t="s">
        <v>251</v>
      </c>
      <c r="N137" t="s">
        <v>419</v>
      </c>
      <c r="O137" t="s">
        <v>377</v>
      </c>
      <c r="P137">
        <v>1.8979731676521288E-3</v>
      </c>
      <c r="Q137" t="s">
        <v>251</v>
      </c>
      <c r="S137" t="s">
        <v>420</v>
      </c>
      <c r="T137" t="s">
        <v>377</v>
      </c>
      <c r="U137">
        <v>2.3093357354052341E-3</v>
      </c>
      <c r="V137" t="s">
        <v>251</v>
      </c>
      <c r="X137">
        <v>3.5388127853881279E-3</v>
      </c>
      <c r="Y137">
        <v>5.3435430806586613E-3</v>
      </c>
      <c r="Z137" t="s">
        <v>377</v>
      </c>
      <c r="AA137" t="s">
        <v>25</v>
      </c>
      <c r="AC137" t="s">
        <v>22</v>
      </c>
      <c r="AD137" t="s">
        <v>377</v>
      </c>
      <c r="AE137">
        <v>1.1503686209911866E-3</v>
      </c>
      <c r="AG137" t="s">
        <v>97</v>
      </c>
      <c r="AH137" t="s">
        <v>377</v>
      </c>
      <c r="AI137">
        <v>3.5983219578911374E-2</v>
      </c>
      <c r="AK137">
        <v>2032</v>
      </c>
      <c r="AL137" t="s">
        <v>171</v>
      </c>
      <c r="AM137">
        <v>0.51129999999999998</v>
      </c>
      <c r="AN137" t="s">
        <v>430</v>
      </c>
    </row>
    <row r="138" spans="9:40" x14ac:dyDescent="0.45">
      <c r="I138" t="s">
        <v>249</v>
      </c>
      <c r="J138" t="s">
        <v>378</v>
      </c>
      <c r="K138">
        <v>0</v>
      </c>
      <c r="L138" t="s">
        <v>251</v>
      </c>
      <c r="N138" t="s">
        <v>419</v>
      </c>
      <c r="O138" t="s">
        <v>378</v>
      </c>
      <c r="P138">
        <v>1.0784711380233942E-2</v>
      </c>
      <c r="Q138" t="s">
        <v>251</v>
      </c>
      <c r="S138" t="s">
        <v>420</v>
      </c>
      <c r="T138" t="s">
        <v>378</v>
      </c>
      <c r="U138">
        <v>1.1047602570597012E-2</v>
      </c>
      <c r="V138" t="s">
        <v>251</v>
      </c>
      <c r="X138">
        <v>1.7694063926940638E-2</v>
      </c>
      <c r="Y138">
        <v>1.3358857701646654E-2</v>
      </c>
      <c r="Z138" t="s">
        <v>378</v>
      </c>
      <c r="AA138" t="s">
        <v>25</v>
      </c>
      <c r="AC138" t="s">
        <v>22</v>
      </c>
      <c r="AD138" t="s">
        <v>378</v>
      </c>
      <c r="AE138">
        <v>6.4498617610390784E-3</v>
      </c>
      <c r="AG138" t="s">
        <v>97</v>
      </c>
      <c r="AH138" t="s">
        <v>378</v>
      </c>
      <c r="AI138">
        <v>0.17538812015677752</v>
      </c>
      <c r="AK138">
        <v>2032</v>
      </c>
      <c r="AL138" t="s">
        <v>158</v>
      </c>
      <c r="AM138">
        <v>0.61519999999999997</v>
      </c>
      <c r="AN138" t="s">
        <v>430</v>
      </c>
    </row>
    <row r="139" spans="9:40" x14ac:dyDescent="0.45">
      <c r="I139" t="s">
        <v>249</v>
      </c>
      <c r="J139" t="s">
        <v>379</v>
      </c>
      <c r="K139">
        <v>1.9482941716715063E-5</v>
      </c>
      <c r="L139" t="s">
        <v>251</v>
      </c>
      <c r="N139" t="s">
        <v>419</v>
      </c>
      <c r="O139" t="s">
        <v>379</v>
      </c>
      <c r="P139">
        <v>1.2931581997436423E-2</v>
      </c>
      <c r="Q139" t="s">
        <v>251</v>
      </c>
      <c r="S139" t="s">
        <v>420</v>
      </c>
      <c r="T139" t="s">
        <v>379</v>
      </c>
      <c r="U139">
        <v>1.3461233145451017E-2</v>
      </c>
      <c r="V139" t="s">
        <v>251</v>
      </c>
      <c r="X139">
        <v>2.3173515981735161E-2</v>
      </c>
      <c r="Y139">
        <v>9.151646238884887E-3</v>
      </c>
      <c r="Z139" t="s">
        <v>379</v>
      </c>
      <c r="AA139" t="s">
        <v>25</v>
      </c>
      <c r="AC139" t="s">
        <v>22</v>
      </c>
      <c r="AD139" t="s">
        <v>379</v>
      </c>
      <c r="AE139">
        <v>1.9277581128431677E-2</v>
      </c>
      <c r="AG139" t="s">
        <v>97</v>
      </c>
      <c r="AH139" t="s">
        <v>379</v>
      </c>
      <c r="AI139">
        <v>0.11953172256363698</v>
      </c>
      <c r="AK139">
        <v>2032</v>
      </c>
      <c r="AL139" t="s">
        <v>162</v>
      </c>
      <c r="AM139">
        <v>0.57240000000000002</v>
      </c>
      <c r="AN139" t="s">
        <v>430</v>
      </c>
    </row>
    <row r="140" spans="9:40" x14ac:dyDescent="0.45">
      <c r="I140" t="s">
        <v>249</v>
      </c>
      <c r="J140" t="s">
        <v>380</v>
      </c>
      <c r="K140">
        <v>2.544768036048833E-3</v>
      </c>
      <c r="L140" t="s">
        <v>251</v>
      </c>
      <c r="N140" t="s">
        <v>419</v>
      </c>
      <c r="O140" t="s">
        <v>380</v>
      </c>
      <c r="P140">
        <v>1.5654256476144894E-3</v>
      </c>
      <c r="Q140" t="s">
        <v>251</v>
      </c>
      <c r="S140" t="s">
        <v>420</v>
      </c>
      <c r="T140" t="s">
        <v>380</v>
      </c>
      <c r="U140">
        <v>2.1672556727121402E-3</v>
      </c>
      <c r="V140" t="s">
        <v>251</v>
      </c>
      <c r="X140">
        <v>3.3105022831050228E-3</v>
      </c>
      <c r="Y140">
        <v>5.5275174236962274E-3</v>
      </c>
      <c r="Z140" t="s">
        <v>380</v>
      </c>
      <c r="AA140" t="s">
        <v>25</v>
      </c>
      <c r="AC140" t="s">
        <v>22</v>
      </c>
      <c r="AD140" t="s">
        <v>380</v>
      </c>
      <c r="AE140">
        <v>3.3588109732870324E-3</v>
      </c>
      <c r="AG140" t="s">
        <v>97</v>
      </c>
      <c r="AH140" t="s">
        <v>380</v>
      </c>
      <c r="AI140">
        <v>2.284146260618658E-2</v>
      </c>
      <c r="AK140">
        <v>2032</v>
      </c>
      <c r="AL140" t="s">
        <v>175</v>
      </c>
      <c r="AM140">
        <v>0.41599999999999998</v>
      </c>
      <c r="AN140" t="s">
        <v>430</v>
      </c>
    </row>
    <row r="141" spans="9:40" x14ac:dyDescent="0.45">
      <c r="I141" t="s">
        <v>249</v>
      </c>
      <c r="J141" t="s">
        <v>381</v>
      </c>
      <c r="K141">
        <v>6.6643567598945004E-3</v>
      </c>
      <c r="L141" t="s">
        <v>251</v>
      </c>
      <c r="N141" t="s">
        <v>419</v>
      </c>
      <c r="O141" t="s">
        <v>381</v>
      </c>
      <c r="P141">
        <v>1.2060764785409767E-3</v>
      </c>
      <c r="Q141" t="s">
        <v>251</v>
      </c>
      <c r="S141" t="s">
        <v>420</v>
      </c>
      <c r="T141" t="s">
        <v>381</v>
      </c>
      <c r="U141">
        <v>2.1867683118425405E-3</v>
      </c>
      <c r="V141" t="s">
        <v>251</v>
      </c>
      <c r="X141">
        <v>3.3105022831050228E-3</v>
      </c>
      <c r="Y141">
        <v>4.2297524633501575E-3</v>
      </c>
      <c r="Z141" t="s">
        <v>381</v>
      </c>
      <c r="AA141" t="s">
        <v>25</v>
      </c>
      <c r="AC141" t="s">
        <v>22</v>
      </c>
      <c r="AD141" t="s">
        <v>381</v>
      </c>
      <c r="AE141">
        <v>3.3939296640337186E-3</v>
      </c>
      <c r="AG141" t="s">
        <v>97</v>
      </c>
      <c r="AH141" t="s">
        <v>381</v>
      </c>
      <c r="AI141">
        <v>3.3382120887486488E-2</v>
      </c>
      <c r="AK141">
        <v>2032</v>
      </c>
      <c r="AL141" t="s">
        <v>166</v>
      </c>
      <c r="AM141">
        <v>0.27539999999999998</v>
      </c>
      <c r="AN141" t="s">
        <v>430</v>
      </c>
    </row>
    <row r="142" spans="9:40" x14ac:dyDescent="0.45">
      <c r="I142" t="s">
        <v>249</v>
      </c>
      <c r="J142" t="s">
        <v>382</v>
      </c>
      <c r="K142">
        <v>8.6133602050096E-3</v>
      </c>
      <c r="L142" t="s">
        <v>251</v>
      </c>
      <c r="N142" t="s">
        <v>419</v>
      </c>
      <c r="O142" t="s">
        <v>382</v>
      </c>
      <c r="P142">
        <v>1.2141055337616233E-3</v>
      </c>
      <c r="Q142" t="s">
        <v>251</v>
      </c>
      <c r="S142" t="s">
        <v>420</v>
      </c>
      <c r="T142" t="s">
        <v>382</v>
      </c>
      <c r="U142">
        <v>2.159924416472953E-3</v>
      </c>
      <c r="V142" t="s">
        <v>251</v>
      </c>
      <c r="X142">
        <v>3.3105022831050228E-3</v>
      </c>
      <c r="Y142">
        <v>4.1913001682287914E-3</v>
      </c>
      <c r="Z142" t="s">
        <v>382</v>
      </c>
      <c r="AA142" t="s">
        <v>25</v>
      </c>
      <c r="AC142" t="s">
        <v>22</v>
      </c>
      <c r="AD142" t="s">
        <v>382</v>
      </c>
      <c r="AE142">
        <v>3.4002768986133277E-3</v>
      </c>
      <c r="AG142" t="s">
        <v>97</v>
      </c>
      <c r="AH142" t="s">
        <v>382</v>
      </c>
      <c r="AI142">
        <v>3.8724520843251842E-2</v>
      </c>
      <c r="AK142">
        <v>2032</v>
      </c>
      <c r="AL142" t="s">
        <v>178</v>
      </c>
      <c r="AM142">
        <v>0.2432</v>
      </c>
      <c r="AN142" t="s">
        <v>430</v>
      </c>
    </row>
    <row r="143" spans="9:40" x14ac:dyDescent="0.45">
      <c r="I143" t="s">
        <v>249</v>
      </c>
      <c r="J143" t="s">
        <v>383</v>
      </c>
      <c r="K143">
        <v>6.0397591341338097E-2</v>
      </c>
      <c r="L143" t="s">
        <v>251</v>
      </c>
      <c r="N143" t="s">
        <v>419</v>
      </c>
      <c r="O143" t="s">
        <v>383</v>
      </c>
      <c r="P143">
        <v>7.0183915075208089E-3</v>
      </c>
      <c r="Q143" t="s">
        <v>251</v>
      </c>
      <c r="S143" t="s">
        <v>420</v>
      </c>
      <c r="T143" t="s">
        <v>383</v>
      </c>
      <c r="U143">
        <v>1.1002559652150854E-2</v>
      </c>
      <c r="V143" t="s">
        <v>251</v>
      </c>
      <c r="X143">
        <v>2.3173515981735161E-2</v>
      </c>
      <c r="Y143">
        <v>3.241528478731074E-2</v>
      </c>
      <c r="Z143" t="s">
        <v>383</v>
      </c>
      <c r="AA143" t="s">
        <v>25</v>
      </c>
      <c r="AC143" t="s">
        <v>22</v>
      </c>
      <c r="AD143" t="s">
        <v>383</v>
      </c>
      <c r="AE143">
        <v>2.4294909070915586E-2</v>
      </c>
      <c r="AG143" t="s">
        <v>97</v>
      </c>
      <c r="AH143" t="s">
        <v>383</v>
      </c>
      <c r="AI143">
        <v>0.17801147679530938</v>
      </c>
      <c r="AK143">
        <v>2033</v>
      </c>
      <c r="AL143" t="s">
        <v>151</v>
      </c>
      <c r="AM143">
        <v>0.26369999999999999</v>
      </c>
      <c r="AN143" t="s">
        <v>430</v>
      </c>
    </row>
    <row r="144" spans="9:40" x14ac:dyDescent="0.45">
      <c r="I144" t="s">
        <v>249</v>
      </c>
      <c r="J144" t="s">
        <v>384</v>
      </c>
      <c r="K144">
        <v>3.6498536311681219E-3</v>
      </c>
      <c r="L144" t="s">
        <v>251</v>
      </c>
      <c r="N144" t="s">
        <v>419</v>
      </c>
      <c r="O144" t="s">
        <v>384</v>
      </c>
      <c r="P144">
        <v>1.109097645857612E-3</v>
      </c>
      <c r="Q144" t="s">
        <v>251</v>
      </c>
      <c r="S144" t="s">
        <v>420</v>
      </c>
      <c r="T144" t="s">
        <v>384</v>
      </c>
      <c r="U144">
        <v>1.3160179671499303E-3</v>
      </c>
      <c r="V144" t="s">
        <v>251</v>
      </c>
      <c r="X144">
        <v>3.3105022831050228E-3</v>
      </c>
      <c r="Y144">
        <v>6.4407594328286487E-3</v>
      </c>
      <c r="Z144" t="s">
        <v>384</v>
      </c>
      <c r="AA144" t="s">
        <v>25</v>
      </c>
      <c r="AC144" t="s">
        <v>22</v>
      </c>
      <c r="AD144" t="s">
        <v>384</v>
      </c>
      <c r="AE144">
        <v>1.6522917238778667E-3</v>
      </c>
      <c r="AG144" t="s">
        <v>97</v>
      </c>
      <c r="AH144" t="s">
        <v>384</v>
      </c>
      <c r="AI144">
        <v>3.2533952504276265E-2</v>
      </c>
      <c r="AK144">
        <v>2033</v>
      </c>
      <c r="AL144" t="s">
        <v>156</v>
      </c>
      <c r="AM144">
        <v>0.28339999999999999</v>
      </c>
      <c r="AN144" t="s">
        <v>430</v>
      </c>
    </row>
    <row r="145" spans="9:40" x14ac:dyDescent="0.45">
      <c r="I145" t="s">
        <v>249</v>
      </c>
      <c r="J145" t="s">
        <v>385</v>
      </c>
      <c r="K145">
        <v>5.4434138824243538E-6</v>
      </c>
      <c r="L145" t="s">
        <v>251</v>
      </c>
      <c r="N145" t="s">
        <v>419</v>
      </c>
      <c r="O145" t="s">
        <v>385</v>
      </c>
      <c r="P145">
        <v>1.5725459619211728E-3</v>
      </c>
      <c r="Q145" t="s">
        <v>251</v>
      </c>
      <c r="S145" t="s">
        <v>420</v>
      </c>
      <c r="T145" t="s">
        <v>385</v>
      </c>
      <c r="U145">
        <v>1.3756674791852396E-3</v>
      </c>
      <c r="V145" t="s">
        <v>251</v>
      </c>
      <c r="X145">
        <v>3.3105022831050228E-3</v>
      </c>
      <c r="Y145">
        <v>4.9987983657774574E-3</v>
      </c>
      <c r="Z145" t="s">
        <v>385</v>
      </c>
      <c r="AA145" t="s">
        <v>25</v>
      </c>
      <c r="AC145" t="s">
        <v>22</v>
      </c>
      <c r="AD145" t="s">
        <v>385</v>
      </c>
      <c r="AE145">
        <v>9.4801830652915559E-4</v>
      </c>
      <c r="AG145" t="s">
        <v>97</v>
      </c>
      <c r="AH145" t="s">
        <v>385</v>
      </c>
      <c r="AI145">
        <v>2.5530728587119356E-2</v>
      </c>
      <c r="AK145">
        <v>2033</v>
      </c>
      <c r="AL145" t="s">
        <v>159</v>
      </c>
      <c r="AM145">
        <v>0.26419999999999999</v>
      </c>
      <c r="AN145" t="s">
        <v>430</v>
      </c>
    </row>
    <row r="146" spans="9:40" x14ac:dyDescent="0.45">
      <c r="I146" t="s">
        <v>249</v>
      </c>
      <c r="J146" t="s">
        <v>386</v>
      </c>
      <c r="K146">
        <v>0</v>
      </c>
      <c r="L146" t="s">
        <v>251</v>
      </c>
      <c r="N146" t="s">
        <v>419</v>
      </c>
      <c r="O146" t="s">
        <v>386</v>
      </c>
      <c r="P146">
        <v>1.120802171828468E-2</v>
      </c>
      <c r="Q146" t="s">
        <v>251</v>
      </c>
      <c r="S146" t="s">
        <v>420</v>
      </c>
      <c r="T146" t="s">
        <v>386</v>
      </c>
      <c r="U146">
        <v>7.9475766317604647E-3</v>
      </c>
      <c r="V146" t="s">
        <v>251</v>
      </c>
      <c r="X146">
        <v>1.6552511415525113E-2</v>
      </c>
      <c r="Y146">
        <v>1.2496995914443643E-2</v>
      </c>
      <c r="Z146" t="s">
        <v>386</v>
      </c>
      <c r="AA146" t="s">
        <v>25</v>
      </c>
      <c r="AC146" t="s">
        <v>22</v>
      </c>
      <c r="AD146" t="s">
        <v>386</v>
      </c>
      <c r="AE146">
        <v>4.6514608747481988E-3</v>
      </c>
      <c r="AG146" t="s">
        <v>97</v>
      </c>
      <c r="AH146" t="s">
        <v>386</v>
      </c>
      <c r="AI146">
        <v>0.15750661038751601</v>
      </c>
      <c r="AK146">
        <v>2033</v>
      </c>
      <c r="AL146" t="s">
        <v>163</v>
      </c>
      <c r="AM146">
        <v>0.30669999999999997</v>
      </c>
      <c r="AN146" t="s">
        <v>430</v>
      </c>
    </row>
    <row r="147" spans="9:40" x14ac:dyDescent="0.45">
      <c r="I147" t="s">
        <v>249</v>
      </c>
      <c r="J147" t="s">
        <v>387</v>
      </c>
      <c r="K147">
        <v>0</v>
      </c>
      <c r="L147" t="s">
        <v>251</v>
      </c>
      <c r="N147" t="s">
        <v>419</v>
      </c>
      <c r="O147" t="s">
        <v>387</v>
      </c>
      <c r="P147">
        <v>3.935762903476973E-5</v>
      </c>
      <c r="Q147" t="s">
        <v>251</v>
      </c>
      <c r="S147" t="s">
        <v>420</v>
      </c>
      <c r="T147" t="s">
        <v>387</v>
      </c>
      <c r="U147">
        <v>1.365998078695816E-5</v>
      </c>
      <c r="V147" t="s">
        <v>251</v>
      </c>
      <c r="X147">
        <v>1.1415525114155251E-4</v>
      </c>
      <c r="Y147">
        <v>2.1546544680075254E-5</v>
      </c>
      <c r="Z147" t="s">
        <v>387</v>
      </c>
      <c r="AA147" t="s">
        <v>25</v>
      </c>
      <c r="AC147" t="s">
        <v>22</v>
      </c>
      <c r="AD147" t="s">
        <v>387</v>
      </c>
      <c r="AE147">
        <v>4.9039852651837843E-5</v>
      </c>
      <c r="AG147" t="s">
        <v>97</v>
      </c>
      <c r="AH147" t="s">
        <v>387</v>
      </c>
      <c r="AI147">
        <v>0</v>
      </c>
      <c r="AK147">
        <v>2033</v>
      </c>
      <c r="AL147" t="s">
        <v>167</v>
      </c>
      <c r="AM147">
        <v>0.41010000000000002</v>
      </c>
      <c r="AN147" t="s">
        <v>430</v>
      </c>
    </row>
    <row r="148" spans="9:40" x14ac:dyDescent="0.45">
      <c r="I148" t="s">
        <v>249</v>
      </c>
      <c r="J148" t="s">
        <v>388</v>
      </c>
      <c r="K148">
        <v>0</v>
      </c>
      <c r="L148" t="s">
        <v>251</v>
      </c>
      <c r="N148" t="s">
        <v>419</v>
      </c>
      <c r="O148" t="s">
        <v>388</v>
      </c>
      <c r="P148">
        <v>3.4795485332622528E-5</v>
      </c>
      <c r="Q148" t="s">
        <v>251</v>
      </c>
      <c r="S148" t="s">
        <v>420</v>
      </c>
      <c r="T148" t="s">
        <v>388</v>
      </c>
      <c r="U148">
        <v>1.4060861537275903E-5</v>
      </c>
      <c r="V148" t="s">
        <v>251</v>
      </c>
      <c r="X148">
        <v>1.1415525114155251E-4</v>
      </c>
      <c r="Y148">
        <v>1.4916838624667481E-5</v>
      </c>
      <c r="Z148" t="s">
        <v>388</v>
      </c>
      <c r="AA148" t="s">
        <v>25</v>
      </c>
      <c r="AC148" t="s">
        <v>22</v>
      </c>
      <c r="AD148" t="s">
        <v>388</v>
      </c>
      <c r="AE148">
        <v>7.0525971463101294E-5</v>
      </c>
      <c r="AG148" t="s">
        <v>97</v>
      </c>
      <c r="AH148" t="s">
        <v>388</v>
      </c>
      <c r="AI148">
        <v>0</v>
      </c>
      <c r="AK148">
        <v>2033</v>
      </c>
      <c r="AL148" t="s">
        <v>169</v>
      </c>
      <c r="AM148">
        <v>0.51259999999999994</v>
      </c>
      <c r="AN148" t="s">
        <v>430</v>
      </c>
    </row>
    <row r="149" spans="9:40" x14ac:dyDescent="0.45">
      <c r="I149" t="s">
        <v>249</v>
      </c>
      <c r="J149" t="s">
        <v>389</v>
      </c>
      <c r="K149">
        <v>0</v>
      </c>
      <c r="L149" t="s">
        <v>251</v>
      </c>
      <c r="N149" t="s">
        <v>419</v>
      </c>
      <c r="O149" t="s">
        <v>389</v>
      </c>
      <c r="P149">
        <v>3.0638219833611066E-5</v>
      </c>
      <c r="Q149" t="s">
        <v>251</v>
      </c>
      <c r="S149" t="s">
        <v>420</v>
      </c>
      <c r="T149" t="s">
        <v>389</v>
      </c>
      <c r="U149">
        <v>1.5134805183669916E-5</v>
      </c>
      <c r="V149" t="s">
        <v>251</v>
      </c>
      <c r="X149">
        <v>1.1415525114155251E-4</v>
      </c>
      <c r="Y149">
        <v>1.6574265138519424E-5</v>
      </c>
      <c r="Z149" t="s">
        <v>389</v>
      </c>
      <c r="AA149" t="s">
        <v>25</v>
      </c>
      <c r="AC149" t="s">
        <v>22</v>
      </c>
      <c r="AD149" t="s">
        <v>389</v>
      </c>
      <c r="AE149">
        <v>8.7319348120719814E-5</v>
      </c>
      <c r="AG149" t="s">
        <v>97</v>
      </c>
      <c r="AH149" t="s">
        <v>389</v>
      </c>
      <c r="AI149">
        <v>0</v>
      </c>
      <c r="AK149">
        <v>2033</v>
      </c>
      <c r="AL149" t="s">
        <v>171</v>
      </c>
      <c r="AM149">
        <v>0.50719999999999998</v>
      </c>
      <c r="AN149" t="s">
        <v>430</v>
      </c>
    </row>
    <row r="150" spans="9:40" x14ac:dyDescent="0.45">
      <c r="I150" t="s">
        <v>249</v>
      </c>
      <c r="J150" t="s">
        <v>390</v>
      </c>
      <c r="K150">
        <v>0</v>
      </c>
      <c r="L150" t="s">
        <v>251</v>
      </c>
      <c r="N150" t="s">
        <v>419</v>
      </c>
      <c r="O150" t="s">
        <v>390</v>
      </c>
      <c r="P150">
        <v>2.8569576421604493E-5</v>
      </c>
      <c r="Q150" t="s">
        <v>251</v>
      </c>
      <c r="S150" t="s">
        <v>420</v>
      </c>
      <c r="T150" t="s">
        <v>390</v>
      </c>
      <c r="U150">
        <v>1.7152334580932246E-5</v>
      </c>
      <c r="V150" t="s">
        <v>251</v>
      </c>
      <c r="X150">
        <v>1.1415525114155251E-4</v>
      </c>
      <c r="Y150">
        <v>1.4585353321897093E-5</v>
      </c>
      <c r="Z150" t="s">
        <v>390</v>
      </c>
      <c r="AA150" t="s">
        <v>25</v>
      </c>
      <c r="AC150" t="s">
        <v>22</v>
      </c>
      <c r="AD150" t="s">
        <v>390</v>
      </c>
      <c r="AE150">
        <v>9.9688489476314662E-5</v>
      </c>
      <c r="AG150" t="s">
        <v>97</v>
      </c>
      <c r="AH150" t="s">
        <v>390</v>
      </c>
      <c r="AI150">
        <v>0</v>
      </c>
      <c r="AK150">
        <v>2033</v>
      </c>
      <c r="AL150" t="s">
        <v>158</v>
      </c>
      <c r="AM150">
        <v>0.70079999999999998</v>
      </c>
      <c r="AN150" t="s">
        <v>430</v>
      </c>
    </row>
    <row r="151" spans="9:40" x14ac:dyDescent="0.45">
      <c r="I151" t="s">
        <v>249</v>
      </c>
      <c r="J151" t="s">
        <v>391</v>
      </c>
      <c r="K151">
        <v>0</v>
      </c>
      <c r="L151" t="s">
        <v>251</v>
      </c>
      <c r="N151" t="s">
        <v>419</v>
      </c>
      <c r="O151" t="s">
        <v>391</v>
      </c>
      <c r="P151">
        <v>2.9043118825124551E-5</v>
      </c>
      <c r="Q151" t="s">
        <v>251</v>
      </c>
      <c r="S151" t="s">
        <v>420</v>
      </c>
      <c r="T151" t="s">
        <v>391</v>
      </c>
      <c r="U151">
        <v>2.0355393622961117E-5</v>
      </c>
      <c r="V151" t="s">
        <v>251</v>
      </c>
      <c r="X151">
        <v>1.1415525114155251E-4</v>
      </c>
      <c r="Y151">
        <v>2.1215059377304864E-5</v>
      </c>
      <c r="Z151" t="s">
        <v>391</v>
      </c>
      <c r="AA151" t="s">
        <v>25</v>
      </c>
      <c r="AC151" t="s">
        <v>22</v>
      </c>
      <c r="AD151" t="s">
        <v>391</v>
      </c>
      <c r="AE151">
        <v>1.0008066545876553E-4</v>
      </c>
      <c r="AG151" t="s">
        <v>97</v>
      </c>
      <c r="AH151" t="s">
        <v>391</v>
      </c>
      <c r="AI151">
        <v>0</v>
      </c>
      <c r="AK151">
        <v>2033</v>
      </c>
      <c r="AL151" t="s">
        <v>162</v>
      </c>
      <c r="AM151">
        <v>0.58540000000000003</v>
      </c>
      <c r="AN151" t="s">
        <v>430</v>
      </c>
    </row>
    <row r="152" spans="9:40" x14ac:dyDescent="0.45">
      <c r="I152" t="s">
        <v>249</v>
      </c>
      <c r="J152" t="s">
        <v>392</v>
      </c>
      <c r="K152">
        <v>0</v>
      </c>
      <c r="L152" t="s">
        <v>251</v>
      </c>
      <c r="N152" t="s">
        <v>419</v>
      </c>
      <c r="O152" t="s">
        <v>392</v>
      </c>
      <c r="P152">
        <v>3.0129463404132262E-5</v>
      </c>
      <c r="Q152" t="s">
        <v>251</v>
      </c>
      <c r="S152" t="s">
        <v>420</v>
      </c>
      <c r="T152" t="s">
        <v>392</v>
      </c>
      <c r="U152">
        <v>2.2263876765215043E-5</v>
      </c>
      <c r="V152" t="s">
        <v>251</v>
      </c>
      <c r="X152">
        <v>1.1415525114155251E-4</v>
      </c>
      <c r="Y152">
        <v>5.7678442682047593E-5</v>
      </c>
      <c r="Z152" t="s">
        <v>392</v>
      </c>
      <c r="AA152" t="s">
        <v>25</v>
      </c>
      <c r="AC152" t="s">
        <v>22</v>
      </c>
      <c r="AD152" t="s">
        <v>392</v>
      </c>
      <c r="AE152">
        <v>1.0456617825804717E-4</v>
      </c>
      <c r="AG152" t="s">
        <v>97</v>
      </c>
      <c r="AH152" t="s">
        <v>392</v>
      </c>
      <c r="AI152">
        <v>0</v>
      </c>
      <c r="AK152">
        <v>2033</v>
      </c>
      <c r="AL152" t="s">
        <v>175</v>
      </c>
      <c r="AM152">
        <v>0.44950000000000001</v>
      </c>
      <c r="AN152" t="s">
        <v>430</v>
      </c>
    </row>
    <row r="153" spans="9:40" x14ac:dyDescent="0.45">
      <c r="I153" t="s">
        <v>249</v>
      </c>
      <c r="J153" t="s">
        <v>393</v>
      </c>
      <c r="K153">
        <v>0</v>
      </c>
      <c r="L153" t="s">
        <v>251</v>
      </c>
      <c r="N153" t="s">
        <v>419</v>
      </c>
      <c r="O153" t="s">
        <v>393</v>
      </c>
      <c r="P153">
        <v>2.9584290321949837E-5</v>
      </c>
      <c r="Q153" t="s">
        <v>251</v>
      </c>
      <c r="S153" t="s">
        <v>420</v>
      </c>
      <c r="T153" t="s">
        <v>393</v>
      </c>
      <c r="U153">
        <v>2.3116202394649577E-5</v>
      </c>
      <c r="V153" t="s">
        <v>251</v>
      </c>
      <c r="X153">
        <v>1.1415525114155251E-4</v>
      </c>
      <c r="Y153">
        <v>1.6905750441289813E-4</v>
      </c>
      <c r="Z153" t="s">
        <v>393</v>
      </c>
      <c r="AA153" t="s">
        <v>25</v>
      </c>
      <c r="AC153" t="s">
        <v>22</v>
      </c>
      <c r="AD153" t="s">
        <v>393</v>
      </c>
      <c r="AE153">
        <v>1.0420185568344081E-4</v>
      </c>
      <c r="AG153" t="s">
        <v>97</v>
      </c>
      <c r="AH153" t="s">
        <v>393</v>
      </c>
      <c r="AI153">
        <v>0</v>
      </c>
      <c r="AK153">
        <v>2033</v>
      </c>
      <c r="AL153" t="s">
        <v>166</v>
      </c>
      <c r="AM153">
        <v>0.31309999999999999</v>
      </c>
      <c r="AN153" t="s">
        <v>430</v>
      </c>
    </row>
    <row r="154" spans="9:40" x14ac:dyDescent="0.45">
      <c r="I154" t="s">
        <v>249</v>
      </c>
      <c r="J154" t="s">
        <v>394</v>
      </c>
      <c r="K154">
        <v>5.8571876527496925E-5</v>
      </c>
      <c r="L154" t="s">
        <v>251</v>
      </c>
      <c r="N154" t="s">
        <v>419</v>
      </c>
      <c r="O154" t="s">
        <v>394</v>
      </c>
      <c r="P154">
        <v>2.9097815989346489E-5</v>
      </c>
      <c r="Q154" t="s">
        <v>251</v>
      </c>
      <c r="S154" t="s">
        <v>420</v>
      </c>
      <c r="T154" t="s">
        <v>394</v>
      </c>
      <c r="U154">
        <v>2.2697033092559451E-5</v>
      </c>
      <c r="V154" t="s">
        <v>251</v>
      </c>
      <c r="X154">
        <v>1.1415525114155251E-4</v>
      </c>
      <c r="Y154">
        <v>1.9060404909297337E-4</v>
      </c>
      <c r="Z154" t="s">
        <v>394</v>
      </c>
      <c r="AA154" t="s">
        <v>25</v>
      </c>
      <c r="AC154" t="s">
        <v>22</v>
      </c>
      <c r="AD154" t="s">
        <v>394</v>
      </c>
      <c r="AE154">
        <v>1.0453386830494753E-4</v>
      </c>
      <c r="AG154" t="s">
        <v>97</v>
      </c>
      <c r="AH154" t="s">
        <v>394</v>
      </c>
      <c r="AI154">
        <v>0</v>
      </c>
      <c r="AK154">
        <v>2033</v>
      </c>
      <c r="AL154" t="s">
        <v>178</v>
      </c>
      <c r="AM154">
        <v>0.24959999999999999</v>
      </c>
      <c r="AN154" t="s">
        <v>430</v>
      </c>
    </row>
    <row r="155" spans="9:40" x14ac:dyDescent="0.45">
      <c r="I155" t="s">
        <v>249</v>
      </c>
      <c r="J155" t="s">
        <v>395</v>
      </c>
      <c r="K155">
        <v>2.242598489872E-4</v>
      </c>
      <c r="L155" t="s">
        <v>251</v>
      </c>
      <c r="N155" t="s">
        <v>419</v>
      </c>
      <c r="O155" t="s">
        <v>395</v>
      </c>
      <c r="P155">
        <v>2.2618057248072079E-5</v>
      </c>
      <c r="Q155" t="s">
        <v>251</v>
      </c>
      <c r="S155" t="s">
        <v>420</v>
      </c>
      <c r="T155" t="s">
        <v>395</v>
      </c>
      <c r="U155">
        <v>2.1420998478876377E-5</v>
      </c>
      <c r="V155" t="s">
        <v>251</v>
      </c>
      <c r="X155">
        <v>1.1415525114155251E-4</v>
      </c>
      <c r="Y155">
        <v>1.4585353321897094E-4</v>
      </c>
      <c r="Z155" t="s">
        <v>395</v>
      </c>
      <c r="AA155" t="s">
        <v>25</v>
      </c>
      <c r="AC155" t="s">
        <v>22</v>
      </c>
      <c r="AD155" t="s">
        <v>395</v>
      </c>
      <c r="AE155">
        <v>1.0494832701367399E-4</v>
      </c>
      <c r="AG155" t="s">
        <v>97</v>
      </c>
      <c r="AH155" t="s">
        <v>395</v>
      </c>
      <c r="AI155">
        <v>0</v>
      </c>
      <c r="AK155">
        <v>2034</v>
      </c>
      <c r="AL155" t="s">
        <v>151</v>
      </c>
      <c r="AM155">
        <v>0.23400000000000001</v>
      </c>
      <c r="AN155" t="s">
        <v>430</v>
      </c>
    </row>
    <row r="156" spans="9:40" x14ac:dyDescent="0.45">
      <c r="I156" t="s">
        <v>249</v>
      </c>
      <c r="J156" t="s">
        <v>396</v>
      </c>
      <c r="K156">
        <v>2.965579769977E-4</v>
      </c>
      <c r="L156" t="s">
        <v>251</v>
      </c>
      <c r="N156" t="s">
        <v>419</v>
      </c>
      <c r="O156" t="s">
        <v>396</v>
      </c>
      <c r="P156">
        <v>1.3719333784046096E-5</v>
      </c>
      <c r="Q156" t="s">
        <v>251</v>
      </c>
      <c r="S156" t="s">
        <v>420</v>
      </c>
      <c r="T156" t="s">
        <v>396</v>
      </c>
      <c r="U156">
        <v>1.9253525073950489E-5</v>
      </c>
      <c r="V156" t="s">
        <v>251</v>
      </c>
      <c r="X156">
        <v>1.1415525114155251E-4</v>
      </c>
      <c r="Y156">
        <v>1.4452759200788939E-4</v>
      </c>
      <c r="Z156" t="s">
        <v>396</v>
      </c>
      <c r="AA156" t="s">
        <v>25</v>
      </c>
      <c r="AC156" t="s">
        <v>22</v>
      </c>
      <c r="AD156" t="s">
        <v>396</v>
      </c>
      <c r="AE156">
        <v>1.0494832701367399E-4</v>
      </c>
      <c r="AG156" t="s">
        <v>97</v>
      </c>
      <c r="AH156" t="s">
        <v>396</v>
      </c>
      <c r="AI156">
        <v>0</v>
      </c>
      <c r="AK156">
        <v>2034</v>
      </c>
      <c r="AL156" t="s">
        <v>156</v>
      </c>
      <c r="AM156">
        <v>0.28210000000000002</v>
      </c>
      <c r="AN156" t="s">
        <v>430</v>
      </c>
    </row>
    <row r="157" spans="9:40" x14ac:dyDescent="0.45">
      <c r="I157" t="s">
        <v>249</v>
      </c>
      <c r="J157" t="s">
        <v>397</v>
      </c>
      <c r="K157">
        <v>3.1796359623579998E-4</v>
      </c>
      <c r="L157" t="s">
        <v>251</v>
      </c>
      <c r="N157" t="s">
        <v>419</v>
      </c>
      <c r="O157" t="s">
        <v>397</v>
      </c>
      <c r="P157">
        <v>1.1333003921730668E-5</v>
      </c>
      <c r="Q157" t="s">
        <v>251</v>
      </c>
      <c r="S157" t="s">
        <v>420</v>
      </c>
      <c r="T157" t="s">
        <v>397</v>
      </c>
      <c r="U157">
        <v>1.7127120218570796E-5</v>
      </c>
      <c r="V157" t="s">
        <v>251</v>
      </c>
      <c r="X157">
        <v>1.1415525114155251E-4</v>
      </c>
      <c r="Y157">
        <v>1.408812536774151E-4</v>
      </c>
      <c r="Z157" t="s">
        <v>397</v>
      </c>
      <c r="AA157" t="s">
        <v>25</v>
      </c>
      <c r="AC157" t="s">
        <v>22</v>
      </c>
      <c r="AD157" t="s">
        <v>397</v>
      </c>
      <c r="AE157">
        <v>1.0248162921496325E-4</v>
      </c>
      <c r="AG157" t="s">
        <v>97</v>
      </c>
      <c r="AH157" t="s">
        <v>397</v>
      </c>
      <c r="AI157">
        <v>0</v>
      </c>
      <c r="AK157">
        <v>2034</v>
      </c>
      <c r="AL157" t="s">
        <v>159</v>
      </c>
      <c r="AM157">
        <v>0.27650000000000002</v>
      </c>
      <c r="AN157" t="s">
        <v>430</v>
      </c>
    </row>
    <row r="158" spans="9:40" x14ac:dyDescent="0.45">
      <c r="I158" t="s">
        <v>249</v>
      </c>
      <c r="J158" t="s">
        <v>398</v>
      </c>
      <c r="K158">
        <v>3.120233787756E-4</v>
      </c>
      <c r="L158" t="s">
        <v>251</v>
      </c>
      <c r="N158" t="s">
        <v>419</v>
      </c>
      <c r="O158" t="s">
        <v>398</v>
      </c>
      <c r="P158">
        <v>8.9718462920494778E-6</v>
      </c>
      <c r="Q158" t="s">
        <v>251</v>
      </c>
      <c r="S158" t="s">
        <v>420</v>
      </c>
      <c r="T158" t="s">
        <v>398</v>
      </c>
      <c r="U158">
        <v>1.419252924842121E-5</v>
      </c>
      <c r="V158" t="s">
        <v>251</v>
      </c>
      <c r="X158">
        <v>1.1415525114155251E-4</v>
      </c>
      <c r="Y158">
        <v>1.4054976837464471E-4</v>
      </c>
      <c r="Z158" t="s">
        <v>398</v>
      </c>
      <c r="AA158" t="s">
        <v>25</v>
      </c>
      <c r="AC158" t="s">
        <v>22</v>
      </c>
      <c r="AD158" t="s">
        <v>398</v>
      </c>
      <c r="AE158">
        <v>1.085347318077345E-4</v>
      </c>
      <c r="AG158" t="s">
        <v>97</v>
      </c>
      <c r="AH158" t="s">
        <v>398</v>
      </c>
      <c r="AI158">
        <v>0</v>
      </c>
      <c r="AK158">
        <v>2034</v>
      </c>
      <c r="AL158" t="s">
        <v>163</v>
      </c>
      <c r="AM158">
        <v>0.31869999999999998</v>
      </c>
      <c r="AN158" t="s">
        <v>430</v>
      </c>
    </row>
    <row r="159" spans="9:40" x14ac:dyDescent="0.45">
      <c r="I159" t="s">
        <v>249</v>
      </c>
      <c r="J159" t="s">
        <v>399</v>
      </c>
      <c r="K159">
        <v>2.9127840010460002E-4</v>
      </c>
      <c r="L159" t="s">
        <v>251</v>
      </c>
      <c r="N159" t="s">
        <v>419</v>
      </c>
      <c r="O159" t="s">
        <v>399</v>
      </c>
      <c r="P159">
        <v>7.0367390645237935E-6</v>
      </c>
      <c r="Q159" t="s">
        <v>251</v>
      </c>
      <c r="S159" t="s">
        <v>420</v>
      </c>
      <c r="T159" t="s">
        <v>399</v>
      </c>
      <c r="U159">
        <v>1.204726479792184E-5</v>
      </c>
      <c r="V159" t="s">
        <v>251</v>
      </c>
      <c r="X159">
        <v>1.1415525114155251E-4</v>
      </c>
      <c r="Y159">
        <v>1.4253868019126702E-4</v>
      </c>
      <c r="Z159" t="s">
        <v>399</v>
      </c>
      <c r="AA159" t="s">
        <v>25</v>
      </c>
      <c r="AC159" t="s">
        <v>22</v>
      </c>
      <c r="AD159" t="s">
        <v>399</v>
      </c>
      <c r="AE159">
        <v>1.4378154823050504E-4</v>
      </c>
      <c r="AG159" t="s">
        <v>97</v>
      </c>
      <c r="AH159" t="s">
        <v>399</v>
      </c>
      <c r="AI159">
        <v>0</v>
      </c>
      <c r="AK159">
        <v>2034</v>
      </c>
      <c r="AL159" t="s">
        <v>167</v>
      </c>
      <c r="AM159">
        <v>0.37459999999999999</v>
      </c>
      <c r="AN159" t="s">
        <v>430</v>
      </c>
    </row>
    <row r="160" spans="9:40" x14ac:dyDescent="0.45">
      <c r="I160" t="s">
        <v>249</v>
      </c>
      <c r="J160" t="s">
        <v>400</v>
      </c>
      <c r="K160">
        <v>2.9931732888000001E-4</v>
      </c>
      <c r="L160" t="s">
        <v>251</v>
      </c>
      <c r="N160" t="s">
        <v>419</v>
      </c>
      <c r="O160" t="s">
        <v>400</v>
      </c>
      <c r="P160">
        <v>6.445870418563772E-6</v>
      </c>
      <c r="Q160" t="s">
        <v>251</v>
      </c>
      <c r="S160" t="s">
        <v>420</v>
      </c>
      <c r="T160" t="s">
        <v>400</v>
      </c>
      <c r="U160">
        <v>1.1096672331185441E-5</v>
      </c>
      <c r="V160" t="s">
        <v>251</v>
      </c>
      <c r="X160">
        <v>1.1415525114155251E-4</v>
      </c>
      <c r="Y160">
        <v>1.4883690094390442E-4</v>
      </c>
      <c r="Z160" t="s">
        <v>400</v>
      </c>
      <c r="AA160" t="s">
        <v>25</v>
      </c>
      <c r="AC160" t="s">
        <v>22</v>
      </c>
      <c r="AD160" t="s">
        <v>400</v>
      </c>
      <c r="AE160">
        <v>1.4604992976536286E-4</v>
      </c>
      <c r="AG160" t="s">
        <v>97</v>
      </c>
      <c r="AH160" t="s">
        <v>400</v>
      </c>
      <c r="AI160">
        <v>0</v>
      </c>
      <c r="AK160">
        <v>2034</v>
      </c>
      <c r="AL160" t="s">
        <v>169</v>
      </c>
      <c r="AM160">
        <v>0.47089999999999999</v>
      </c>
      <c r="AN160" t="s">
        <v>430</v>
      </c>
    </row>
    <row r="161" spans="9:40" x14ac:dyDescent="0.45">
      <c r="I161" t="s">
        <v>249</v>
      </c>
      <c r="J161" t="s">
        <v>401</v>
      </c>
      <c r="K161">
        <v>3.1185250025789999E-4</v>
      </c>
      <c r="L161" t="s">
        <v>251</v>
      </c>
      <c r="N161" t="s">
        <v>419</v>
      </c>
      <c r="O161" t="s">
        <v>401</v>
      </c>
      <c r="P161">
        <v>5.1430354117523359E-6</v>
      </c>
      <c r="Q161" t="s">
        <v>251</v>
      </c>
      <c r="S161" t="s">
        <v>420</v>
      </c>
      <c r="T161" t="s">
        <v>401</v>
      </c>
      <c r="U161">
        <v>1.1081353049011808E-5</v>
      </c>
      <c r="V161" t="s">
        <v>251</v>
      </c>
      <c r="X161">
        <v>1.1415525114155251E-4</v>
      </c>
      <c r="Y161">
        <v>1.5049432745775637E-4</v>
      </c>
      <c r="Z161" t="s">
        <v>401</v>
      </c>
      <c r="AA161" t="s">
        <v>25</v>
      </c>
      <c r="AC161" t="s">
        <v>22</v>
      </c>
      <c r="AD161" t="s">
        <v>401</v>
      </c>
      <c r="AE161">
        <v>1.30645881091029E-4</v>
      </c>
      <c r="AG161" t="s">
        <v>97</v>
      </c>
      <c r="AH161" t="s">
        <v>401</v>
      </c>
      <c r="AI161">
        <v>0</v>
      </c>
      <c r="AK161">
        <v>2034</v>
      </c>
      <c r="AL161" t="s">
        <v>171</v>
      </c>
      <c r="AM161">
        <v>0.56269999999999998</v>
      </c>
      <c r="AN161" t="s">
        <v>430</v>
      </c>
    </row>
    <row r="162" spans="9:40" x14ac:dyDescent="0.45">
      <c r="I162" t="s">
        <v>249</v>
      </c>
      <c r="J162" t="s">
        <v>402</v>
      </c>
      <c r="K162">
        <v>2.9847047536599999E-4</v>
      </c>
      <c r="L162" t="s">
        <v>251</v>
      </c>
      <c r="N162" t="s">
        <v>419</v>
      </c>
      <c r="O162" t="s">
        <v>402</v>
      </c>
      <c r="P162">
        <v>8.1189851373687934E-6</v>
      </c>
      <c r="Q162" t="s">
        <v>251</v>
      </c>
      <c r="S162" t="s">
        <v>420</v>
      </c>
      <c r="T162" t="s">
        <v>402</v>
      </c>
      <c r="U162">
        <v>1.07434358977538E-5</v>
      </c>
      <c r="V162" t="s">
        <v>251</v>
      </c>
      <c r="X162">
        <v>1.1415525114155251E-4</v>
      </c>
      <c r="Y162">
        <v>1.7237235744060203E-4</v>
      </c>
      <c r="Z162" t="s">
        <v>402</v>
      </c>
      <c r="AA162" t="s">
        <v>25</v>
      </c>
      <c r="AC162" t="s">
        <v>22</v>
      </c>
      <c r="AD162" t="s">
        <v>402</v>
      </c>
      <c r="AE162">
        <v>1.160830053335997E-4</v>
      </c>
      <c r="AG162" t="s">
        <v>97</v>
      </c>
      <c r="AH162" t="s">
        <v>402</v>
      </c>
      <c r="AI162">
        <v>0</v>
      </c>
      <c r="AK162">
        <v>2034</v>
      </c>
      <c r="AL162" t="s">
        <v>158</v>
      </c>
      <c r="AM162">
        <v>0.65029999999999999</v>
      </c>
      <c r="AN162" t="s">
        <v>430</v>
      </c>
    </row>
    <row r="163" spans="9:40" x14ac:dyDescent="0.45">
      <c r="I163" t="s">
        <v>249</v>
      </c>
      <c r="J163" t="s">
        <v>403</v>
      </c>
      <c r="K163">
        <v>2.4457837952009999E-4</v>
      </c>
      <c r="L163" t="s">
        <v>251</v>
      </c>
      <c r="N163" t="s">
        <v>419</v>
      </c>
      <c r="O163" t="s">
        <v>403</v>
      </c>
      <c r="P163">
        <v>1.1965597109047418E-5</v>
      </c>
      <c r="Q163" t="s">
        <v>251</v>
      </c>
      <c r="S163" t="s">
        <v>420</v>
      </c>
      <c r="T163" t="s">
        <v>403</v>
      </c>
      <c r="U163">
        <v>1.126429966119509E-5</v>
      </c>
      <c r="V163" t="s">
        <v>251</v>
      </c>
      <c r="X163">
        <v>1.1415525114155251E-4</v>
      </c>
      <c r="Y163">
        <v>2.2209515285616027E-4</v>
      </c>
      <c r="Z163" t="s">
        <v>403</v>
      </c>
      <c r="AA163" t="s">
        <v>25</v>
      </c>
      <c r="AC163" t="s">
        <v>22</v>
      </c>
      <c r="AD163" t="s">
        <v>403</v>
      </c>
      <c r="AE163">
        <v>8.8876910687385414E-5</v>
      </c>
      <c r="AG163" t="s">
        <v>97</v>
      </c>
      <c r="AH163" t="s">
        <v>403</v>
      </c>
      <c r="AI163">
        <v>0</v>
      </c>
      <c r="AK163">
        <v>2034</v>
      </c>
      <c r="AL163" t="s">
        <v>162</v>
      </c>
      <c r="AM163">
        <v>0.62109999999999999</v>
      </c>
      <c r="AN163" t="s">
        <v>430</v>
      </c>
    </row>
    <row r="164" spans="9:40" x14ac:dyDescent="0.45">
      <c r="I164" t="s">
        <v>249</v>
      </c>
      <c r="J164" t="s">
        <v>404</v>
      </c>
      <c r="K164">
        <v>1.205151068409E-4</v>
      </c>
      <c r="L164" t="s">
        <v>251</v>
      </c>
      <c r="N164" t="s">
        <v>419</v>
      </c>
      <c r="O164" t="s">
        <v>404</v>
      </c>
      <c r="P164">
        <v>1.962918937676462E-5</v>
      </c>
      <c r="Q164" t="s">
        <v>251</v>
      </c>
      <c r="S164" t="s">
        <v>420</v>
      </c>
      <c r="T164" t="s">
        <v>404</v>
      </c>
      <c r="U164">
        <v>1.2419493199122414E-5</v>
      </c>
      <c r="V164" t="s">
        <v>251</v>
      </c>
      <c r="X164">
        <v>1.1415525114155251E-4</v>
      </c>
      <c r="Y164">
        <v>2.2209515285616027E-4</v>
      </c>
      <c r="Z164" t="s">
        <v>404</v>
      </c>
      <c r="AA164" t="s">
        <v>25</v>
      </c>
      <c r="AC164" t="s">
        <v>22</v>
      </c>
      <c r="AD164" t="s">
        <v>404</v>
      </c>
      <c r="AE164">
        <v>6.1840164760865871E-5</v>
      </c>
      <c r="AG164" t="s">
        <v>97</v>
      </c>
      <c r="AH164" t="s">
        <v>404</v>
      </c>
      <c r="AI164">
        <v>0</v>
      </c>
      <c r="AK164">
        <v>2034</v>
      </c>
      <c r="AL164" t="s">
        <v>175</v>
      </c>
      <c r="AM164">
        <v>0.40689999999999998</v>
      </c>
      <c r="AN164" t="s">
        <v>430</v>
      </c>
    </row>
    <row r="165" spans="9:40" x14ac:dyDescent="0.45">
      <c r="I165" t="s">
        <v>249</v>
      </c>
      <c r="J165" t="s">
        <v>405</v>
      </c>
      <c r="K165">
        <v>0</v>
      </c>
      <c r="L165" t="s">
        <v>251</v>
      </c>
      <c r="N165" t="s">
        <v>419</v>
      </c>
      <c r="O165" t="s">
        <v>405</v>
      </c>
      <c r="P165">
        <v>3.3727519452355754E-5</v>
      </c>
      <c r="Q165" t="s">
        <v>251</v>
      </c>
      <c r="S165" t="s">
        <v>420</v>
      </c>
      <c r="T165" t="s">
        <v>405</v>
      </c>
      <c r="U165">
        <v>1.4805462352881671E-5</v>
      </c>
      <c r="V165" t="s">
        <v>251</v>
      </c>
      <c r="X165">
        <v>1.1415525114155251E-4</v>
      </c>
      <c r="Y165">
        <v>1.7237235744060203E-4</v>
      </c>
      <c r="Z165" t="s">
        <v>405</v>
      </c>
      <c r="AA165" t="s">
        <v>25</v>
      </c>
      <c r="AC165" t="s">
        <v>22</v>
      </c>
      <c r="AD165" t="s">
        <v>405</v>
      </c>
      <c r="AE165">
        <v>3.161141829536422E-5</v>
      </c>
      <c r="AG165" t="s">
        <v>97</v>
      </c>
      <c r="AH165" t="s">
        <v>405</v>
      </c>
      <c r="AI165">
        <v>0</v>
      </c>
      <c r="AK165">
        <v>2034</v>
      </c>
      <c r="AL165" t="s">
        <v>166</v>
      </c>
      <c r="AM165">
        <v>0.28749999999999998</v>
      </c>
      <c r="AN165" t="s">
        <v>430</v>
      </c>
    </row>
    <row r="166" spans="9:40" x14ac:dyDescent="0.45">
      <c r="I166" t="s">
        <v>249</v>
      </c>
      <c r="J166" t="s">
        <v>406</v>
      </c>
      <c r="K166">
        <v>0</v>
      </c>
      <c r="L166" t="s">
        <v>251</v>
      </c>
      <c r="N166" t="s">
        <v>419</v>
      </c>
      <c r="O166" t="s">
        <v>406</v>
      </c>
      <c r="P166">
        <v>4.3018706797495403E-5</v>
      </c>
      <c r="Q166" t="s">
        <v>251</v>
      </c>
      <c r="S166" t="s">
        <v>420</v>
      </c>
      <c r="T166" t="s">
        <v>406</v>
      </c>
      <c r="U166">
        <v>1.6639064352424798E-5</v>
      </c>
      <c r="V166" t="s">
        <v>251</v>
      </c>
      <c r="X166">
        <v>1.1415525114155251E-4</v>
      </c>
      <c r="Y166">
        <v>1.5579809230208258E-4</v>
      </c>
      <c r="Z166" t="s">
        <v>406</v>
      </c>
      <c r="AA166" t="s">
        <v>25</v>
      </c>
      <c r="AC166" t="s">
        <v>22</v>
      </c>
      <c r="AD166" t="s">
        <v>406</v>
      </c>
      <c r="AE166">
        <v>2.6505331569306639E-5</v>
      </c>
      <c r="AG166" t="s">
        <v>97</v>
      </c>
      <c r="AH166" t="s">
        <v>406</v>
      </c>
      <c r="AI166">
        <v>0</v>
      </c>
      <c r="AK166">
        <v>2034</v>
      </c>
      <c r="AL166" t="s">
        <v>178</v>
      </c>
      <c r="AM166">
        <v>0.27529999999999999</v>
      </c>
      <c r="AN166" t="s">
        <v>430</v>
      </c>
    </row>
    <row r="167" spans="9:40" x14ac:dyDescent="0.45">
      <c r="I167" t="s">
        <v>249</v>
      </c>
      <c r="J167" t="s">
        <v>407</v>
      </c>
      <c r="K167">
        <v>0</v>
      </c>
      <c r="L167" t="s">
        <v>251</v>
      </c>
      <c r="N167" t="s">
        <v>419</v>
      </c>
      <c r="O167" t="s">
        <v>407</v>
      </c>
      <c r="P167">
        <v>4.9610002295559021E-5</v>
      </c>
      <c r="Q167" t="s">
        <v>251</v>
      </c>
      <c r="S167" t="s">
        <v>420</v>
      </c>
      <c r="T167" t="s">
        <v>407</v>
      </c>
      <c r="U167">
        <v>1.7736615493564994E-5</v>
      </c>
      <c r="V167" t="s">
        <v>251</v>
      </c>
      <c r="X167">
        <v>1.1415525114155251E-4</v>
      </c>
      <c r="Y167">
        <v>1.093901499142282E-4</v>
      </c>
      <c r="Z167" t="s">
        <v>407</v>
      </c>
      <c r="AA167" t="s">
        <v>25</v>
      </c>
      <c r="AC167" t="s">
        <v>22</v>
      </c>
      <c r="AD167" t="s">
        <v>407</v>
      </c>
      <c r="AE167">
        <v>2.6342667667494635E-5</v>
      </c>
      <c r="AG167" t="s">
        <v>97</v>
      </c>
      <c r="AH167" t="s">
        <v>407</v>
      </c>
      <c r="AI167">
        <v>0</v>
      </c>
      <c r="AK167">
        <v>2035</v>
      </c>
      <c r="AL167" t="s">
        <v>151</v>
      </c>
      <c r="AM167">
        <v>0.26050000000000001</v>
      </c>
      <c r="AN167" t="s">
        <v>430</v>
      </c>
    </row>
    <row r="168" spans="9:40" x14ac:dyDescent="0.45">
      <c r="I168" t="s">
        <v>249</v>
      </c>
      <c r="J168" t="s">
        <v>408</v>
      </c>
      <c r="K168">
        <v>0</v>
      </c>
      <c r="L168" t="s">
        <v>251</v>
      </c>
      <c r="N168" t="s">
        <v>419</v>
      </c>
      <c r="O168" t="s">
        <v>408</v>
      </c>
      <c r="P168">
        <v>5.2018718690256927E-5</v>
      </c>
      <c r="Q168" t="s">
        <v>251</v>
      </c>
      <c r="S168" t="s">
        <v>420</v>
      </c>
      <c r="T168" t="s">
        <v>408</v>
      </c>
      <c r="U168">
        <v>1.8469363000874042E-5</v>
      </c>
      <c r="V168" t="s">
        <v>251</v>
      </c>
      <c r="X168">
        <v>1.1415525114155251E-4</v>
      </c>
      <c r="Y168">
        <v>7.9556472664893237E-5</v>
      </c>
      <c r="Z168" t="s">
        <v>408</v>
      </c>
      <c r="AA168" t="s">
        <v>25</v>
      </c>
      <c r="AC168" t="s">
        <v>22</v>
      </c>
      <c r="AD168" t="s">
        <v>408</v>
      </c>
      <c r="AE168">
        <v>2.680392010139988E-5</v>
      </c>
      <c r="AG168" t="s">
        <v>97</v>
      </c>
      <c r="AH168" t="s">
        <v>408</v>
      </c>
      <c r="AI168">
        <v>0</v>
      </c>
      <c r="AK168">
        <v>2035</v>
      </c>
      <c r="AL168" t="s">
        <v>156</v>
      </c>
      <c r="AM168">
        <v>0.2777</v>
      </c>
      <c r="AN168" t="s">
        <v>430</v>
      </c>
    </row>
    <row r="169" spans="9:40" x14ac:dyDescent="0.45">
      <c r="I169" t="s">
        <v>249</v>
      </c>
      <c r="J169" t="s">
        <v>409</v>
      </c>
      <c r="K169">
        <v>0</v>
      </c>
      <c r="L169" t="s">
        <v>251</v>
      </c>
      <c r="N169" t="s">
        <v>419</v>
      </c>
      <c r="O169" t="s">
        <v>409</v>
      </c>
      <c r="P169">
        <v>4.8921046431114719E-5</v>
      </c>
      <c r="Q169" t="s">
        <v>251</v>
      </c>
      <c r="S169" t="s">
        <v>420</v>
      </c>
      <c r="T169" t="s">
        <v>409</v>
      </c>
      <c r="U169">
        <v>1.877274494947517E-5</v>
      </c>
      <c r="V169" t="s">
        <v>251</v>
      </c>
      <c r="X169">
        <v>1.1415525114155251E-4</v>
      </c>
      <c r="Y169">
        <v>5.6352501470966035E-5</v>
      </c>
      <c r="Z169" t="s">
        <v>409</v>
      </c>
      <c r="AA169" t="s">
        <v>25</v>
      </c>
      <c r="AC169" t="s">
        <v>22</v>
      </c>
      <c r="AD169" t="s">
        <v>409</v>
      </c>
      <c r="AE169">
        <v>3.1195845450323948E-5</v>
      </c>
      <c r="AG169" t="s">
        <v>97</v>
      </c>
      <c r="AH169" t="s">
        <v>409</v>
      </c>
      <c r="AI169">
        <v>0</v>
      </c>
      <c r="AK169">
        <v>2035</v>
      </c>
      <c r="AL169" t="s">
        <v>159</v>
      </c>
      <c r="AM169">
        <v>0.2737</v>
      </c>
      <c r="AN169" t="s">
        <v>430</v>
      </c>
    </row>
    <row r="170" spans="9:40" x14ac:dyDescent="0.45">
      <c r="I170" t="s">
        <v>249</v>
      </c>
      <c r="J170" t="s">
        <v>410</v>
      </c>
      <c r="K170">
        <v>0</v>
      </c>
      <c r="L170" t="s">
        <v>251</v>
      </c>
      <c r="N170" t="s">
        <v>419</v>
      </c>
      <c r="O170" t="s">
        <v>410</v>
      </c>
      <c r="P170">
        <v>4.1840329442794611E-5</v>
      </c>
      <c r="Q170" t="s">
        <v>251</v>
      </c>
      <c r="S170" t="s">
        <v>420</v>
      </c>
      <c r="T170" t="s">
        <v>410</v>
      </c>
      <c r="U170">
        <v>1.8766694120802763E-5</v>
      </c>
      <c r="V170" t="s">
        <v>251</v>
      </c>
      <c r="X170">
        <v>1.1415525114155251E-4</v>
      </c>
      <c r="Y170">
        <v>2.9833677249334962E-5</v>
      </c>
      <c r="Z170" t="s">
        <v>410</v>
      </c>
      <c r="AA170" t="s">
        <v>25</v>
      </c>
      <c r="AC170" t="s">
        <v>22</v>
      </c>
      <c r="AD170" t="s">
        <v>410</v>
      </c>
      <c r="AE170">
        <v>5.1369511683953552E-5</v>
      </c>
      <c r="AG170" t="s">
        <v>97</v>
      </c>
      <c r="AH170" t="s">
        <v>410</v>
      </c>
      <c r="AI170">
        <v>0</v>
      </c>
      <c r="AK170">
        <v>2035</v>
      </c>
      <c r="AL170" t="s">
        <v>163</v>
      </c>
      <c r="AM170">
        <v>0.29349999999999998</v>
      </c>
      <c r="AN170" t="s">
        <v>430</v>
      </c>
    </row>
    <row r="171" spans="9:40" x14ac:dyDescent="0.45">
      <c r="I171" t="s">
        <v>249</v>
      </c>
      <c r="J171" t="s">
        <v>411</v>
      </c>
      <c r="K171">
        <v>0</v>
      </c>
      <c r="L171" t="s">
        <v>251</v>
      </c>
      <c r="N171" t="s">
        <v>419</v>
      </c>
      <c r="O171" t="s">
        <v>411</v>
      </c>
      <c r="P171">
        <v>1.7735101237087186E-2</v>
      </c>
      <c r="Q171" t="s">
        <v>251</v>
      </c>
      <c r="S171" t="s">
        <v>420</v>
      </c>
      <c r="T171" t="s">
        <v>411</v>
      </c>
      <c r="U171">
        <v>1.9042613608245312E-2</v>
      </c>
      <c r="V171" t="s">
        <v>251</v>
      </c>
      <c r="X171">
        <v>2.4771689497716895E-2</v>
      </c>
      <c r="Y171">
        <v>9.7827942553597048E-3</v>
      </c>
      <c r="Z171" t="s">
        <v>411</v>
      </c>
      <c r="AA171" t="s">
        <v>25</v>
      </c>
      <c r="AC171" t="s">
        <v>22</v>
      </c>
      <c r="AD171" t="s">
        <v>411</v>
      </c>
      <c r="AE171">
        <v>1.9478113082872076E-2</v>
      </c>
      <c r="AG171" t="s">
        <v>97</v>
      </c>
      <c r="AH171" t="s">
        <v>411</v>
      </c>
      <c r="AI171">
        <v>0.14355804807208594</v>
      </c>
      <c r="AK171">
        <v>2035</v>
      </c>
      <c r="AL171" t="s">
        <v>167</v>
      </c>
      <c r="AM171">
        <v>0.37319999999999998</v>
      </c>
      <c r="AN171" t="s">
        <v>430</v>
      </c>
    </row>
    <row r="172" spans="9:40" x14ac:dyDescent="0.45">
      <c r="I172" t="s">
        <v>249</v>
      </c>
      <c r="J172" t="s">
        <v>412</v>
      </c>
      <c r="K172">
        <v>1.6154898979569435E-3</v>
      </c>
      <c r="L172" t="s">
        <v>251</v>
      </c>
      <c r="N172" t="s">
        <v>419</v>
      </c>
      <c r="O172" t="s">
        <v>412</v>
      </c>
      <c r="P172">
        <v>2.1091163348133345E-3</v>
      </c>
      <c r="Q172" t="s">
        <v>251</v>
      </c>
      <c r="S172" t="s">
        <v>420</v>
      </c>
      <c r="T172" t="s">
        <v>412</v>
      </c>
      <c r="U172">
        <v>2.8319565126200888E-3</v>
      </c>
      <c r="V172" t="s">
        <v>251</v>
      </c>
      <c r="X172">
        <v>3.5388127853881279E-3</v>
      </c>
      <c r="Y172">
        <v>5.9087255218821738E-3</v>
      </c>
      <c r="Z172" t="s">
        <v>412</v>
      </c>
      <c r="AA172" t="s">
        <v>25</v>
      </c>
      <c r="AC172" t="s">
        <v>22</v>
      </c>
      <c r="AD172" t="s">
        <v>412</v>
      </c>
      <c r="AE172">
        <v>3.3359779761860673E-3</v>
      </c>
      <c r="AG172" t="s">
        <v>97</v>
      </c>
      <c r="AH172" t="s">
        <v>412</v>
      </c>
      <c r="AI172">
        <v>5.3950509689007609E-2</v>
      </c>
      <c r="AK172">
        <v>2035</v>
      </c>
      <c r="AL172" t="s">
        <v>169</v>
      </c>
      <c r="AM172">
        <v>0.48170000000000002</v>
      </c>
      <c r="AN172" t="s">
        <v>430</v>
      </c>
    </row>
    <row r="173" spans="9:40" x14ac:dyDescent="0.45">
      <c r="I173" t="s">
        <v>249</v>
      </c>
      <c r="J173" t="s">
        <v>413</v>
      </c>
      <c r="K173">
        <v>6.4351954201609003E-3</v>
      </c>
      <c r="L173" t="s">
        <v>251</v>
      </c>
      <c r="N173" t="s">
        <v>419</v>
      </c>
      <c r="O173" t="s">
        <v>413</v>
      </c>
      <c r="P173">
        <v>1.5760119165755596E-3</v>
      </c>
      <c r="Q173" t="s">
        <v>251</v>
      </c>
      <c r="S173" t="s">
        <v>420</v>
      </c>
      <c r="T173" t="s">
        <v>413</v>
      </c>
      <c r="U173">
        <v>2.813179783114835E-3</v>
      </c>
      <c r="V173" t="s">
        <v>251</v>
      </c>
      <c r="X173">
        <v>3.5388127853881279E-3</v>
      </c>
      <c r="Y173">
        <v>4.521459529788099E-3</v>
      </c>
      <c r="Z173" t="s">
        <v>413</v>
      </c>
      <c r="AA173" t="s">
        <v>25</v>
      </c>
      <c r="AC173" t="s">
        <v>22</v>
      </c>
      <c r="AD173" t="s">
        <v>413</v>
      </c>
      <c r="AE173">
        <v>3.4423111459733102E-3</v>
      </c>
      <c r="AG173" t="s">
        <v>97</v>
      </c>
      <c r="AH173" t="s">
        <v>413</v>
      </c>
      <c r="AI173">
        <v>4.4327068300555439E-2</v>
      </c>
      <c r="AK173">
        <v>2035</v>
      </c>
      <c r="AL173" t="s">
        <v>171</v>
      </c>
      <c r="AM173">
        <v>0.50290000000000001</v>
      </c>
      <c r="AN173" t="s">
        <v>430</v>
      </c>
    </row>
    <row r="174" spans="9:40" x14ac:dyDescent="0.45">
      <c r="I174" t="s">
        <v>249</v>
      </c>
      <c r="J174" t="s">
        <v>414</v>
      </c>
      <c r="K174">
        <v>8.9729054957335998E-3</v>
      </c>
      <c r="L174" t="s">
        <v>251</v>
      </c>
      <c r="N174" t="s">
        <v>419</v>
      </c>
      <c r="O174" t="s">
        <v>414</v>
      </c>
      <c r="P174">
        <v>1.5050852864421545E-3</v>
      </c>
      <c r="Q174" t="s">
        <v>251</v>
      </c>
      <c r="S174" t="s">
        <v>420</v>
      </c>
      <c r="T174" t="s">
        <v>414</v>
      </c>
      <c r="U174">
        <v>2.7724472396623155E-3</v>
      </c>
      <c r="V174" t="s">
        <v>251</v>
      </c>
      <c r="X174">
        <v>3.5388127853881279E-3</v>
      </c>
      <c r="Y174">
        <v>4.4803553522445696E-3</v>
      </c>
      <c r="Z174" t="s">
        <v>414</v>
      </c>
      <c r="AA174" t="s">
        <v>25</v>
      </c>
      <c r="AC174" t="s">
        <v>22</v>
      </c>
      <c r="AD174" t="s">
        <v>414</v>
      </c>
      <c r="AE174">
        <v>3.4828434250686571E-3</v>
      </c>
      <c r="AG174" t="s">
        <v>97</v>
      </c>
      <c r="AH174" t="s">
        <v>414</v>
      </c>
      <c r="AI174">
        <v>3.9833092462189912E-2</v>
      </c>
      <c r="AK174">
        <v>2035</v>
      </c>
      <c r="AL174" t="s">
        <v>158</v>
      </c>
      <c r="AM174">
        <v>0.66069999999999995</v>
      </c>
      <c r="AN174" t="s">
        <v>430</v>
      </c>
    </row>
    <row r="175" spans="9:40" x14ac:dyDescent="0.45">
      <c r="I175" t="s">
        <v>249</v>
      </c>
      <c r="J175" t="s">
        <v>415</v>
      </c>
      <c r="K175">
        <v>6.5275103843921906E-2</v>
      </c>
      <c r="L175" t="s">
        <v>251</v>
      </c>
      <c r="N175" t="s">
        <v>419</v>
      </c>
      <c r="O175" t="s">
        <v>415</v>
      </c>
      <c r="P175">
        <v>9.2336310891315606E-3</v>
      </c>
      <c r="Q175" t="s">
        <v>251</v>
      </c>
      <c r="S175" t="s">
        <v>420</v>
      </c>
      <c r="T175" t="s">
        <v>415</v>
      </c>
      <c r="U175">
        <v>1.5945517424689779E-2</v>
      </c>
      <c r="V175" t="s">
        <v>251</v>
      </c>
      <c r="X175">
        <v>2.4771689497716895E-2</v>
      </c>
      <c r="Y175">
        <v>3.4650821669194247E-2</v>
      </c>
      <c r="Z175" t="s">
        <v>415</v>
      </c>
      <c r="AA175" t="s">
        <v>25</v>
      </c>
      <c r="AC175" t="s">
        <v>22</v>
      </c>
      <c r="AD175" t="s">
        <v>415</v>
      </c>
      <c r="AE175">
        <v>2.521487226725368E-2</v>
      </c>
      <c r="AG175" t="s">
        <v>97</v>
      </c>
      <c r="AH175" t="s">
        <v>415</v>
      </c>
      <c r="AI175">
        <v>0.12757569100527655</v>
      </c>
      <c r="AK175">
        <v>2035</v>
      </c>
      <c r="AL175" t="s">
        <v>162</v>
      </c>
      <c r="AM175">
        <v>0.60460000000000003</v>
      </c>
      <c r="AN175" t="s">
        <v>430</v>
      </c>
    </row>
    <row r="176" spans="9:40" x14ac:dyDescent="0.45">
      <c r="I176" t="s">
        <v>249</v>
      </c>
      <c r="J176" t="s">
        <v>416</v>
      </c>
      <c r="K176">
        <v>4.4126755720041997E-3</v>
      </c>
      <c r="L176" t="s">
        <v>251</v>
      </c>
      <c r="N176" t="s">
        <v>419</v>
      </c>
      <c r="O176" t="s">
        <v>416</v>
      </c>
      <c r="P176">
        <v>1.415502718704622E-3</v>
      </c>
      <c r="Q176" t="s">
        <v>251</v>
      </c>
      <c r="S176" t="s">
        <v>420</v>
      </c>
      <c r="T176" t="s">
        <v>416</v>
      </c>
      <c r="U176">
        <v>2.1843778148423437E-3</v>
      </c>
      <c r="V176" t="s">
        <v>251</v>
      </c>
      <c r="X176">
        <v>3.5388127853881279E-3</v>
      </c>
      <c r="Y176">
        <v>6.8849497385409693E-3</v>
      </c>
      <c r="Z176" t="s">
        <v>416</v>
      </c>
      <c r="AA176" t="s">
        <v>25</v>
      </c>
      <c r="AC176" t="s">
        <v>22</v>
      </c>
      <c r="AD176" t="s">
        <v>416</v>
      </c>
      <c r="AE176">
        <v>1.784427289069619E-3</v>
      </c>
      <c r="AG176" t="s">
        <v>97</v>
      </c>
      <c r="AH176" t="s">
        <v>416</v>
      </c>
      <c r="AI176">
        <v>7.7669055708102785E-3</v>
      </c>
      <c r="AK176">
        <v>2035</v>
      </c>
      <c r="AL176" t="s">
        <v>175</v>
      </c>
      <c r="AM176">
        <v>0.42499999999999999</v>
      </c>
      <c r="AN176" t="s">
        <v>430</v>
      </c>
    </row>
    <row r="177" spans="9:40" x14ac:dyDescent="0.45">
      <c r="I177" t="s">
        <v>249</v>
      </c>
      <c r="J177" t="s">
        <v>417</v>
      </c>
      <c r="K177">
        <v>4.942434988509928E-5</v>
      </c>
      <c r="L177" t="s">
        <v>251</v>
      </c>
      <c r="N177" t="s">
        <v>419</v>
      </c>
      <c r="O177" t="s">
        <v>417</v>
      </c>
      <c r="P177">
        <v>1.9914673929772148E-3</v>
      </c>
      <c r="Q177" t="s">
        <v>251</v>
      </c>
      <c r="S177" t="s">
        <v>420</v>
      </c>
      <c r="T177" t="s">
        <v>417</v>
      </c>
      <c r="U177">
        <v>2.3204971359952224E-3</v>
      </c>
      <c r="V177" t="s">
        <v>251</v>
      </c>
      <c r="X177">
        <v>3.5388127853881279E-3</v>
      </c>
      <c r="Y177">
        <v>5.3435430806586613E-3</v>
      </c>
      <c r="Z177" t="s">
        <v>417</v>
      </c>
      <c r="AA177" t="s">
        <v>25</v>
      </c>
      <c r="AC177" t="s">
        <v>22</v>
      </c>
      <c r="AD177" t="s">
        <v>417</v>
      </c>
      <c r="AE177">
        <v>9.384691566973987E-4</v>
      </c>
      <c r="AG177" t="s">
        <v>97</v>
      </c>
      <c r="AH177" t="s">
        <v>417</v>
      </c>
      <c r="AI177">
        <v>1.8056274068608102E-2</v>
      </c>
      <c r="AK177">
        <v>2035</v>
      </c>
      <c r="AL177" t="s">
        <v>166</v>
      </c>
      <c r="AM177">
        <v>0.27539999999999998</v>
      </c>
      <c r="AN177" t="s">
        <v>430</v>
      </c>
    </row>
    <row r="178" spans="9:40" x14ac:dyDescent="0.45">
      <c r="I178" t="s">
        <v>249</v>
      </c>
      <c r="J178" t="s">
        <v>418</v>
      </c>
      <c r="K178">
        <v>0</v>
      </c>
      <c r="L178" t="s">
        <v>251</v>
      </c>
      <c r="N178" t="s">
        <v>419</v>
      </c>
      <c r="O178" t="s">
        <v>418</v>
      </c>
      <c r="P178">
        <v>1.5166151400172592E-2</v>
      </c>
      <c r="Q178" t="s">
        <v>251</v>
      </c>
      <c r="S178" t="s">
        <v>420</v>
      </c>
      <c r="T178" t="s">
        <v>418</v>
      </c>
      <c r="U178">
        <v>1.3111703027212691E-2</v>
      </c>
      <c r="V178" t="s">
        <v>251</v>
      </c>
      <c r="X178">
        <v>1.7694063926940638E-2</v>
      </c>
      <c r="Y178">
        <v>1.3358857701646654E-2</v>
      </c>
      <c r="Z178" t="s">
        <v>418</v>
      </c>
      <c r="AA178" t="s">
        <v>25</v>
      </c>
      <c r="AC178" t="s">
        <v>22</v>
      </c>
      <c r="AD178" t="s">
        <v>418</v>
      </c>
      <c r="AE178">
        <v>4.5197694108912835E-3</v>
      </c>
      <c r="AG178" t="s">
        <v>97</v>
      </c>
      <c r="AH178" t="s">
        <v>418</v>
      </c>
      <c r="AI178">
        <v>0.13031366973009884</v>
      </c>
      <c r="AK178">
        <v>2035</v>
      </c>
      <c r="AL178" t="s">
        <v>178</v>
      </c>
      <c r="AM178">
        <v>0.23300000000000001</v>
      </c>
      <c r="AN178" t="s">
        <v>430</v>
      </c>
    </row>
    <row r="179" spans="9:40" x14ac:dyDescent="0.45">
      <c r="AC179" t="s">
        <v>19</v>
      </c>
      <c r="AD179" t="s">
        <v>250</v>
      </c>
      <c r="AE179">
        <v>2.4807105468120417E-2</v>
      </c>
      <c r="AK179">
        <v>2036</v>
      </c>
      <c r="AL179" t="s">
        <v>151</v>
      </c>
      <c r="AM179">
        <v>0.22989999999999999</v>
      </c>
      <c r="AN179" t="s">
        <v>430</v>
      </c>
    </row>
    <row r="180" spans="9:40" x14ac:dyDescent="0.45">
      <c r="AC180" t="s">
        <v>19</v>
      </c>
      <c r="AD180" t="s">
        <v>252</v>
      </c>
      <c r="AE180">
        <v>3.5619570919209883E-3</v>
      </c>
      <c r="AK180">
        <v>2036</v>
      </c>
      <c r="AL180" t="s">
        <v>156</v>
      </c>
      <c r="AM180">
        <v>0.27160000000000001</v>
      </c>
      <c r="AN180" t="s">
        <v>430</v>
      </c>
    </row>
    <row r="181" spans="9:40" x14ac:dyDescent="0.45">
      <c r="AC181" t="s">
        <v>19</v>
      </c>
      <c r="AD181" t="s">
        <v>253</v>
      </c>
      <c r="AE181">
        <v>3.5667869659552921E-3</v>
      </c>
      <c r="AK181">
        <v>2036</v>
      </c>
      <c r="AL181" t="s">
        <v>159</v>
      </c>
      <c r="AM181">
        <v>0.24759999999999999</v>
      </c>
      <c r="AN181" t="s">
        <v>430</v>
      </c>
    </row>
    <row r="182" spans="9:40" x14ac:dyDescent="0.45">
      <c r="AC182" t="s">
        <v>19</v>
      </c>
      <c r="AD182" t="s">
        <v>254</v>
      </c>
      <c r="AE182">
        <v>3.5689405305789229E-3</v>
      </c>
      <c r="AK182">
        <v>2036</v>
      </c>
      <c r="AL182" t="s">
        <v>163</v>
      </c>
      <c r="AM182">
        <v>0.28820000000000001</v>
      </c>
      <c r="AN182" t="s">
        <v>430</v>
      </c>
    </row>
    <row r="183" spans="9:40" x14ac:dyDescent="0.45">
      <c r="AC183" t="s">
        <v>19</v>
      </c>
      <c r="AD183" t="s">
        <v>255</v>
      </c>
      <c r="AE183">
        <v>2.5071463818378881E-2</v>
      </c>
      <c r="AK183">
        <v>2036</v>
      </c>
      <c r="AL183" t="s">
        <v>167</v>
      </c>
      <c r="AM183">
        <v>0.37619999999999998</v>
      </c>
      <c r="AN183" t="s">
        <v>430</v>
      </c>
    </row>
    <row r="184" spans="9:40" x14ac:dyDescent="0.45">
      <c r="AC184" t="s">
        <v>19</v>
      </c>
      <c r="AD184" t="s">
        <v>256</v>
      </c>
      <c r="AE184">
        <v>3.5083301744215831E-3</v>
      </c>
      <c r="AK184">
        <v>2036</v>
      </c>
      <c r="AL184" t="s">
        <v>169</v>
      </c>
      <c r="AM184">
        <v>0.44330000000000003</v>
      </c>
      <c r="AN184" t="s">
        <v>430</v>
      </c>
    </row>
    <row r="185" spans="9:40" x14ac:dyDescent="0.45">
      <c r="AC185" t="s">
        <v>19</v>
      </c>
      <c r="AD185" t="s">
        <v>257</v>
      </c>
      <c r="AE185">
        <v>3.45492873392677E-3</v>
      </c>
      <c r="AK185">
        <v>2036</v>
      </c>
      <c r="AL185" t="s">
        <v>171</v>
      </c>
      <c r="AM185">
        <v>0.56479999999999997</v>
      </c>
      <c r="AN185" t="s">
        <v>430</v>
      </c>
    </row>
    <row r="186" spans="9:40" x14ac:dyDescent="0.45">
      <c r="AC186" t="s">
        <v>19</v>
      </c>
      <c r="AD186" t="s">
        <v>258</v>
      </c>
      <c r="AE186">
        <v>1.7289049174318342E-2</v>
      </c>
      <c r="AK186">
        <v>2036</v>
      </c>
      <c r="AL186" t="s">
        <v>158</v>
      </c>
      <c r="AM186">
        <v>0.6623</v>
      </c>
      <c r="AN186" t="s">
        <v>430</v>
      </c>
    </row>
    <row r="187" spans="9:40" x14ac:dyDescent="0.45">
      <c r="AC187" t="s">
        <v>19</v>
      </c>
      <c r="AD187" t="s">
        <v>259</v>
      </c>
      <c r="AE187">
        <v>2.2396102892648883E-2</v>
      </c>
      <c r="AK187">
        <v>2036</v>
      </c>
      <c r="AL187" t="s">
        <v>162</v>
      </c>
      <c r="AM187">
        <v>0.56359999999999999</v>
      </c>
      <c r="AN187" t="s">
        <v>430</v>
      </c>
    </row>
    <row r="188" spans="9:40" x14ac:dyDescent="0.45">
      <c r="AC188" t="s">
        <v>19</v>
      </c>
      <c r="AD188" t="s">
        <v>260</v>
      </c>
      <c r="AE188">
        <v>3.2256847155674282E-3</v>
      </c>
      <c r="AK188">
        <v>2036</v>
      </c>
      <c r="AL188" t="s">
        <v>175</v>
      </c>
      <c r="AM188">
        <v>0.48159999999999997</v>
      </c>
      <c r="AN188" t="s">
        <v>430</v>
      </c>
    </row>
    <row r="189" spans="9:40" x14ac:dyDescent="0.45">
      <c r="AC189" t="s">
        <v>19</v>
      </c>
      <c r="AD189" t="s">
        <v>261</v>
      </c>
      <c r="AE189">
        <v>3.2308029695060085E-3</v>
      </c>
      <c r="AK189">
        <v>2036</v>
      </c>
      <c r="AL189" t="s">
        <v>166</v>
      </c>
      <c r="AM189">
        <v>0.26840000000000003</v>
      </c>
      <c r="AN189" t="s">
        <v>430</v>
      </c>
    </row>
    <row r="190" spans="9:40" x14ac:dyDescent="0.45">
      <c r="AC190" t="s">
        <v>19</v>
      </c>
      <c r="AD190" t="s">
        <v>262</v>
      </c>
      <c r="AE190">
        <v>3.2332976593585478E-3</v>
      </c>
      <c r="AK190">
        <v>2036</v>
      </c>
      <c r="AL190" t="s">
        <v>178</v>
      </c>
      <c r="AM190">
        <v>0.23630000000000001</v>
      </c>
      <c r="AN190" t="s">
        <v>430</v>
      </c>
    </row>
    <row r="191" spans="9:40" x14ac:dyDescent="0.45">
      <c r="AC191" t="s">
        <v>19</v>
      </c>
      <c r="AD191" t="s">
        <v>263</v>
      </c>
      <c r="AE191">
        <v>2.2675381292253185E-2</v>
      </c>
      <c r="AK191">
        <v>2037</v>
      </c>
      <c r="AL191" t="s">
        <v>151</v>
      </c>
      <c r="AM191">
        <v>0.25280000000000002</v>
      </c>
      <c r="AN191" t="s">
        <v>430</v>
      </c>
    </row>
    <row r="192" spans="9:40" x14ac:dyDescent="0.45">
      <c r="AC192" t="s">
        <v>19</v>
      </c>
      <c r="AD192" t="s">
        <v>264</v>
      </c>
      <c r="AE192">
        <v>3.1527306837495182E-3</v>
      </c>
      <c r="AK192">
        <v>2037</v>
      </c>
      <c r="AL192" t="s">
        <v>156</v>
      </c>
      <c r="AM192">
        <v>0.27289999999999998</v>
      </c>
      <c r="AN192" t="s">
        <v>430</v>
      </c>
    </row>
    <row r="193" spans="29:40" x14ac:dyDescent="0.45">
      <c r="AC193" t="s">
        <v>19</v>
      </c>
      <c r="AD193" t="s">
        <v>265</v>
      </c>
      <c r="AE193">
        <v>3.1203667450810579E-3</v>
      </c>
      <c r="AK193">
        <v>2037</v>
      </c>
      <c r="AL193" t="s">
        <v>159</v>
      </c>
      <c r="AM193">
        <v>0.28689999999999999</v>
      </c>
      <c r="AN193" t="s">
        <v>430</v>
      </c>
    </row>
    <row r="194" spans="29:40" x14ac:dyDescent="0.45">
      <c r="AC194" t="s">
        <v>19</v>
      </c>
      <c r="AD194" t="s">
        <v>266</v>
      </c>
      <c r="AE194">
        <v>1.5590950306966856E-2</v>
      </c>
      <c r="AK194">
        <v>2037</v>
      </c>
      <c r="AL194" t="s">
        <v>163</v>
      </c>
      <c r="AM194">
        <v>0.33589999999999998</v>
      </c>
      <c r="AN194" t="s">
        <v>430</v>
      </c>
    </row>
    <row r="195" spans="29:40" x14ac:dyDescent="0.45">
      <c r="AC195" t="s">
        <v>19</v>
      </c>
      <c r="AD195" t="s">
        <v>267</v>
      </c>
      <c r="AE195">
        <v>2.4817941741787808E-2</v>
      </c>
      <c r="AK195">
        <v>2037</v>
      </c>
      <c r="AL195" t="s">
        <v>167</v>
      </c>
      <c r="AM195">
        <v>0.35089999999999999</v>
      </c>
      <c r="AN195" t="s">
        <v>430</v>
      </c>
    </row>
    <row r="196" spans="29:40" x14ac:dyDescent="0.45">
      <c r="AC196" t="s">
        <v>19</v>
      </c>
      <c r="AD196" t="s">
        <v>268</v>
      </c>
      <c r="AE196">
        <v>3.5813431856435533E-3</v>
      </c>
      <c r="AK196">
        <v>2037</v>
      </c>
      <c r="AL196" t="s">
        <v>169</v>
      </c>
      <c r="AM196">
        <v>0.48730000000000001</v>
      </c>
      <c r="AN196" t="s">
        <v>430</v>
      </c>
    </row>
    <row r="197" spans="29:40" x14ac:dyDescent="0.45">
      <c r="AC197" t="s">
        <v>19</v>
      </c>
      <c r="AD197" t="s">
        <v>269</v>
      </c>
      <c r="AE197">
        <v>3.5935791486853184E-3</v>
      </c>
      <c r="AK197">
        <v>2037</v>
      </c>
      <c r="AL197" t="s">
        <v>171</v>
      </c>
      <c r="AM197">
        <v>0.49869999999999998</v>
      </c>
      <c r="AN197" t="s">
        <v>430</v>
      </c>
    </row>
    <row r="198" spans="29:40" x14ac:dyDescent="0.45">
      <c r="AC198" t="s">
        <v>19</v>
      </c>
      <c r="AD198" t="s">
        <v>270</v>
      </c>
      <c r="AE198">
        <v>3.5992108892045106E-3</v>
      </c>
      <c r="AK198">
        <v>2037</v>
      </c>
      <c r="AL198" t="s">
        <v>158</v>
      </c>
      <c r="AM198">
        <v>0.6482</v>
      </c>
      <c r="AN198" t="s">
        <v>430</v>
      </c>
    </row>
    <row r="199" spans="29:40" x14ac:dyDescent="0.45">
      <c r="AC199" t="s">
        <v>19</v>
      </c>
      <c r="AD199" t="s">
        <v>271</v>
      </c>
      <c r="AE199">
        <v>2.5159670658659424E-2</v>
      </c>
      <c r="AK199">
        <v>2037</v>
      </c>
      <c r="AL199" t="s">
        <v>162</v>
      </c>
      <c r="AM199">
        <v>0.5504</v>
      </c>
      <c r="AN199" t="s">
        <v>430</v>
      </c>
    </row>
    <row r="200" spans="29:40" x14ac:dyDescent="0.45">
      <c r="AC200" t="s">
        <v>19</v>
      </c>
      <c r="AD200" t="s">
        <v>272</v>
      </c>
      <c r="AE200">
        <v>3.4703547488830963E-3</v>
      </c>
      <c r="AK200">
        <v>2037</v>
      </c>
      <c r="AL200" t="s">
        <v>175</v>
      </c>
      <c r="AM200">
        <v>0.46239999999999998</v>
      </c>
      <c r="AN200" t="s">
        <v>430</v>
      </c>
    </row>
    <row r="201" spans="29:40" x14ac:dyDescent="0.45">
      <c r="AC201" t="s">
        <v>19</v>
      </c>
      <c r="AD201" t="s">
        <v>273</v>
      </c>
      <c r="AE201">
        <v>3.4449947227347894E-3</v>
      </c>
      <c r="AK201">
        <v>2037</v>
      </c>
      <c r="AL201" t="s">
        <v>166</v>
      </c>
      <c r="AM201">
        <v>0.31819999999999998</v>
      </c>
      <c r="AN201" t="s">
        <v>430</v>
      </c>
    </row>
    <row r="202" spans="29:40" x14ac:dyDescent="0.45">
      <c r="AC202" t="s">
        <v>19</v>
      </c>
      <c r="AD202" t="s">
        <v>274</v>
      </c>
      <c r="AE202">
        <v>1.7239740876161678E-2</v>
      </c>
      <c r="AK202">
        <v>2037</v>
      </c>
      <c r="AL202" t="s">
        <v>178</v>
      </c>
      <c r="AM202">
        <v>0.24579999999999999</v>
      </c>
      <c r="AN202" t="s">
        <v>430</v>
      </c>
    </row>
    <row r="203" spans="29:40" x14ac:dyDescent="0.45">
      <c r="AC203" t="s">
        <v>19</v>
      </c>
      <c r="AD203" t="s">
        <v>275</v>
      </c>
      <c r="AE203">
        <v>2.3992482297509075E-2</v>
      </c>
      <c r="AK203">
        <v>2038</v>
      </c>
      <c r="AL203" t="s">
        <v>151</v>
      </c>
      <c r="AM203">
        <v>0.25800000000000001</v>
      </c>
      <c r="AN203" t="s">
        <v>430</v>
      </c>
    </row>
    <row r="204" spans="29:40" x14ac:dyDescent="0.45">
      <c r="AC204" t="s">
        <v>19</v>
      </c>
      <c r="AD204" t="s">
        <v>276</v>
      </c>
      <c r="AE204">
        <v>3.4738704666897762E-3</v>
      </c>
      <c r="AK204">
        <v>2038</v>
      </c>
      <c r="AL204" t="s">
        <v>156</v>
      </c>
      <c r="AM204">
        <v>0.2656</v>
      </c>
      <c r="AN204" t="s">
        <v>430</v>
      </c>
    </row>
    <row r="205" spans="29:40" x14ac:dyDescent="0.45">
      <c r="AC205" t="s">
        <v>19</v>
      </c>
      <c r="AD205" t="s">
        <v>277</v>
      </c>
      <c r="AE205">
        <v>3.4801538791335491E-3</v>
      </c>
      <c r="AK205">
        <v>2038</v>
      </c>
      <c r="AL205" t="s">
        <v>159</v>
      </c>
      <c r="AM205">
        <v>0.29360000000000003</v>
      </c>
      <c r="AN205" t="s">
        <v>430</v>
      </c>
    </row>
    <row r="206" spans="29:40" x14ac:dyDescent="0.45">
      <c r="AC206" t="s">
        <v>19</v>
      </c>
      <c r="AD206" t="s">
        <v>278</v>
      </c>
      <c r="AE206">
        <v>3.4821192640984906E-3</v>
      </c>
      <c r="AK206">
        <v>2038</v>
      </c>
      <c r="AL206" t="s">
        <v>163</v>
      </c>
      <c r="AM206">
        <v>0.32190000000000002</v>
      </c>
      <c r="AN206" t="s">
        <v>430</v>
      </c>
    </row>
    <row r="207" spans="29:40" x14ac:dyDescent="0.45">
      <c r="AC207" t="s">
        <v>19</v>
      </c>
      <c r="AD207" t="s">
        <v>279</v>
      </c>
      <c r="AE207">
        <v>2.431802215590554E-2</v>
      </c>
      <c r="AK207">
        <v>2038</v>
      </c>
      <c r="AL207" t="s">
        <v>167</v>
      </c>
      <c r="AM207">
        <v>0.37019999999999997</v>
      </c>
      <c r="AN207" t="s">
        <v>430</v>
      </c>
    </row>
    <row r="208" spans="29:40" x14ac:dyDescent="0.45">
      <c r="AC208" t="s">
        <v>19</v>
      </c>
      <c r="AD208" t="s">
        <v>280</v>
      </c>
      <c r="AE208">
        <v>3.3586893850175658E-3</v>
      </c>
      <c r="AK208">
        <v>2038</v>
      </c>
      <c r="AL208" t="s">
        <v>169</v>
      </c>
      <c r="AM208">
        <v>0.50539999999999996</v>
      </c>
      <c r="AN208" t="s">
        <v>430</v>
      </c>
    </row>
    <row r="209" spans="29:40" x14ac:dyDescent="0.45">
      <c r="AC209" t="s">
        <v>19</v>
      </c>
      <c r="AD209" t="s">
        <v>281</v>
      </c>
      <c r="AE209">
        <v>3.384166540703218E-3</v>
      </c>
      <c r="AK209">
        <v>2038</v>
      </c>
      <c r="AL209" t="s">
        <v>171</v>
      </c>
      <c r="AM209">
        <v>0.6018</v>
      </c>
      <c r="AN209" t="s">
        <v>430</v>
      </c>
    </row>
    <row r="210" spans="29:40" x14ac:dyDescent="0.45">
      <c r="AC210" t="s">
        <v>19</v>
      </c>
      <c r="AD210" t="s">
        <v>282</v>
      </c>
      <c r="AE210">
        <v>1.6789908068262124E-2</v>
      </c>
      <c r="AK210">
        <v>2038</v>
      </c>
      <c r="AL210" t="s">
        <v>158</v>
      </c>
      <c r="AM210">
        <v>0.68220000000000003</v>
      </c>
      <c r="AN210" t="s">
        <v>430</v>
      </c>
    </row>
    <row r="211" spans="29:40" x14ac:dyDescent="0.45">
      <c r="AC211" t="s">
        <v>19</v>
      </c>
      <c r="AD211" t="s">
        <v>283</v>
      </c>
      <c r="AE211">
        <v>2.4805099440951852E-2</v>
      </c>
      <c r="AK211">
        <v>2038</v>
      </c>
      <c r="AL211" t="s">
        <v>162</v>
      </c>
      <c r="AM211">
        <v>0.6694</v>
      </c>
      <c r="AN211" t="s">
        <v>430</v>
      </c>
    </row>
    <row r="212" spans="29:40" x14ac:dyDescent="0.45">
      <c r="AC212" t="s">
        <v>19</v>
      </c>
      <c r="AD212" t="s">
        <v>284</v>
      </c>
      <c r="AE212">
        <v>3.5794377402909392E-3</v>
      </c>
      <c r="AK212">
        <v>2038</v>
      </c>
      <c r="AL212" t="s">
        <v>175</v>
      </c>
      <c r="AM212">
        <v>0.47549999999999998</v>
      </c>
      <c r="AN212" t="s">
        <v>430</v>
      </c>
    </row>
    <row r="213" spans="29:40" x14ac:dyDescent="0.45">
      <c r="AC213" t="s">
        <v>19</v>
      </c>
      <c r="AD213" t="s">
        <v>285</v>
      </c>
      <c r="AE213">
        <v>3.5822695875696313E-3</v>
      </c>
      <c r="AK213">
        <v>2038</v>
      </c>
      <c r="AL213" t="s">
        <v>166</v>
      </c>
      <c r="AM213">
        <v>0.2802</v>
      </c>
      <c r="AN213" t="s">
        <v>430</v>
      </c>
    </row>
    <row r="214" spans="29:40" x14ac:dyDescent="0.45">
      <c r="AC214" t="s">
        <v>19</v>
      </c>
      <c r="AD214" t="s">
        <v>286</v>
      </c>
      <c r="AE214">
        <v>3.582425971902239E-3</v>
      </c>
      <c r="AK214">
        <v>2038</v>
      </c>
      <c r="AL214" t="s">
        <v>178</v>
      </c>
      <c r="AM214">
        <v>0.23430000000000001</v>
      </c>
      <c r="AN214" t="s">
        <v>430</v>
      </c>
    </row>
    <row r="215" spans="29:40" x14ac:dyDescent="0.45">
      <c r="AC215" t="s">
        <v>19</v>
      </c>
      <c r="AD215" t="s">
        <v>287</v>
      </c>
      <c r="AE215">
        <v>2.506980727527703E-2</v>
      </c>
      <c r="AK215">
        <v>2039</v>
      </c>
      <c r="AL215" t="s">
        <v>151</v>
      </c>
      <c r="AM215">
        <v>0.26140000000000002</v>
      </c>
      <c r="AN215" t="s">
        <v>430</v>
      </c>
    </row>
    <row r="216" spans="29:40" x14ac:dyDescent="0.45">
      <c r="AC216" t="s">
        <v>19</v>
      </c>
      <c r="AD216" t="s">
        <v>288</v>
      </c>
      <c r="AE216">
        <v>3.4736433689537133E-3</v>
      </c>
      <c r="AK216">
        <v>2039</v>
      </c>
      <c r="AL216" t="s">
        <v>156</v>
      </c>
      <c r="AM216">
        <v>0.27189999999999998</v>
      </c>
      <c r="AN216" t="s">
        <v>430</v>
      </c>
    </row>
    <row r="217" spans="29:40" x14ac:dyDescent="0.45">
      <c r="AC217" t="s">
        <v>19</v>
      </c>
      <c r="AD217" t="s">
        <v>289</v>
      </c>
      <c r="AE217">
        <v>3.5163132255955397E-3</v>
      </c>
      <c r="AK217">
        <v>2039</v>
      </c>
      <c r="AL217" t="s">
        <v>159</v>
      </c>
      <c r="AM217">
        <v>0.26619999999999999</v>
      </c>
      <c r="AN217" t="s">
        <v>430</v>
      </c>
    </row>
    <row r="218" spans="29:40" x14ac:dyDescent="0.45">
      <c r="AC218" t="s">
        <v>19</v>
      </c>
      <c r="AD218" t="s">
        <v>290</v>
      </c>
      <c r="AE218">
        <v>1.7465225760148372E-2</v>
      </c>
      <c r="AK218">
        <v>2039</v>
      </c>
      <c r="AL218" t="s">
        <v>163</v>
      </c>
      <c r="AM218">
        <v>0.29189999999999999</v>
      </c>
      <c r="AN218" t="s">
        <v>430</v>
      </c>
    </row>
    <row r="219" spans="29:40" x14ac:dyDescent="0.45">
      <c r="AC219" t="s">
        <v>19</v>
      </c>
      <c r="AD219" t="s">
        <v>291</v>
      </c>
      <c r="AE219">
        <v>2.4008373861375724E-2</v>
      </c>
      <c r="AK219">
        <v>2039</v>
      </c>
      <c r="AL219" t="s">
        <v>167</v>
      </c>
      <c r="AM219">
        <v>0.41860000000000003</v>
      </c>
      <c r="AN219" t="s">
        <v>430</v>
      </c>
    </row>
    <row r="220" spans="29:40" x14ac:dyDescent="0.45">
      <c r="AC220" t="s">
        <v>19</v>
      </c>
      <c r="AD220" t="s">
        <v>292</v>
      </c>
      <c r="AE220">
        <v>3.4559498795923922E-3</v>
      </c>
      <c r="AK220">
        <v>2039</v>
      </c>
      <c r="AL220" t="s">
        <v>169</v>
      </c>
      <c r="AM220">
        <v>0.44879999999999998</v>
      </c>
      <c r="AN220" t="s">
        <v>430</v>
      </c>
    </row>
    <row r="221" spans="29:40" x14ac:dyDescent="0.45">
      <c r="AC221" t="s">
        <v>19</v>
      </c>
      <c r="AD221" t="s">
        <v>293</v>
      </c>
      <c r="AE221">
        <v>3.4583274928116229E-3</v>
      </c>
      <c r="AK221">
        <v>2039</v>
      </c>
      <c r="AL221" t="s">
        <v>171</v>
      </c>
      <c r="AM221">
        <v>0.50519999999999998</v>
      </c>
      <c r="AN221" t="s">
        <v>430</v>
      </c>
    </row>
    <row r="222" spans="29:40" x14ac:dyDescent="0.45">
      <c r="AC222" t="s">
        <v>19</v>
      </c>
      <c r="AD222" t="s">
        <v>294</v>
      </c>
      <c r="AE222">
        <v>3.4586289400129751E-3</v>
      </c>
      <c r="AK222">
        <v>2039</v>
      </c>
      <c r="AL222" t="s">
        <v>158</v>
      </c>
      <c r="AM222">
        <v>0.62219999999999998</v>
      </c>
      <c r="AN222" t="s">
        <v>430</v>
      </c>
    </row>
    <row r="223" spans="29:40" x14ac:dyDescent="0.45">
      <c r="AC223" t="s">
        <v>19</v>
      </c>
      <c r="AD223" t="s">
        <v>295</v>
      </c>
      <c r="AE223">
        <v>2.4232325166451862E-2</v>
      </c>
      <c r="AK223">
        <v>2039</v>
      </c>
      <c r="AL223" t="s">
        <v>162</v>
      </c>
      <c r="AM223">
        <v>0.55089999999999995</v>
      </c>
      <c r="AN223" t="s">
        <v>430</v>
      </c>
    </row>
    <row r="224" spans="29:40" x14ac:dyDescent="0.45">
      <c r="AC224" t="s">
        <v>19</v>
      </c>
      <c r="AD224" t="s">
        <v>296</v>
      </c>
      <c r="AE224">
        <v>3.3662016200230443E-3</v>
      </c>
      <c r="AK224">
        <v>2039</v>
      </c>
      <c r="AL224" t="s">
        <v>175</v>
      </c>
      <c r="AM224">
        <v>0.43419999999999997</v>
      </c>
      <c r="AN224" t="s">
        <v>430</v>
      </c>
    </row>
    <row r="225" spans="29:40" x14ac:dyDescent="0.45">
      <c r="AC225" t="s">
        <v>19</v>
      </c>
      <c r="AD225" t="s">
        <v>297</v>
      </c>
      <c r="AE225">
        <v>3.4017293258967124E-3</v>
      </c>
      <c r="AK225">
        <v>2039</v>
      </c>
      <c r="AL225" t="s">
        <v>166</v>
      </c>
      <c r="AM225">
        <v>0.30220000000000002</v>
      </c>
      <c r="AN225" t="s">
        <v>430</v>
      </c>
    </row>
    <row r="226" spans="29:40" x14ac:dyDescent="0.45">
      <c r="AC226" t="s">
        <v>19</v>
      </c>
      <c r="AD226" t="s">
        <v>298</v>
      </c>
      <c r="AE226">
        <v>1.6923760039274597E-2</v>
      </c>
      <c r="AK226">
        <v>2039</v>
      </c>
      <c r="AL226" t="s">
        <v>178</v>
      </c>
      <c r="AM226">
        <v>0.24940000000000001</v>
      </c>
      <c r="AN226" t="s">
        <v>430</v>
      </c>
    </row>
    <row r="227" spans="29:40" x14ac:dyDescent="0.45">
      <c r="AC227" t="s">
        <v>19</v>
      </c>
      <c r="AD227" t="s">
        <v>299</v>
      </c>
      <c r="AE227">
        <v>2.4820133261090005E-2</v>
      </c>
      <c r="AK227">
        <v>2040</v>
      </c>
      <c r="AL227" t="s">
        <v>151</v>
      </c>
      <c r="AM227">
        <v>0.25440000000000002</v>
      </c>
      <c r="AN227" t="s">
        <v>430</v>
      </c>
    </row>
    <row r="228" spans="29:40" x14ac:dyDescent="0.45">
      <c r="AC228" t="s">
        <v>19</v>
      </c>
      <c r="AD228" t="s">
        <v>300</v>
      </c>
      <c r="AE228">
        <v>3.5651303084484587E-3</v>
      </c>
      <c r="AK228">
        <v>2040</v>
      </c>
      <c r="AL228" t="s">
        <v>156</v>
      </c>
      <c r="AM228">
        <v>0.2412</v>
      </c>
      <c r="AN228" t="s">
        <v>430</v>
      </c>
    </row>
    <row r="229" spans="29:40" x14ac:dyDescent="0.45">
      <c r="AC229" t="s">
        <v>19</v>
      </c>
      <c r="AD229" t="s">
        <v>301</v>
      </c>
      <c r="AE229">
        <v>3.5674991925016271E-3</v>
      </c>
      <c r="AK229">
        <v>2040</v>
      </c>
      <c r="AL229" t="s">
        <v>159</v>
      </c>
      <c r="AM229">
        <v>0.27050000000000002</v>
      </c>
      <c r="AN229" t="s">
        <v>430</v>
      </c>
    </row>
    <row r="230" spans="29:40" x14ac:dyDescent="0.45">
      <c r="AC230" t="s">
        <v>19</v>
      </c>
      <c r="AD230" t="s">
        <v>302</v>
      </c>
      <c r="AE230">
        <v>3.5679085110338947E-3</v>
      </c>
      <c r="AK230">
        <v>2040</v>
      </c>
      <c r="AL230" t="s">
        <v>163</v>
      </c>
      <c r="AM230">
        <v>0.28489999999999999</v>
      </c>
      <c r="AN230" t="s">
        <v>430</v>
      </c>
    </row>
    <row r="231" spans="29:40" x14ac:dyDescent="0.45">
      <c r="AC231" t="s">
        <v>19</v>
      </c>
      <c r="AD231" t="s">
        <v>303</v>
      </c>
      <c r="AE231">
        <v>2.5025049535034486E-2</v>
      </c>
      <c r="AK231">
        <v>2040</v>
      </c>
      <c r="AL231" t="s">
        <v>167</v>
      </c>
      <c r="AM231">
        <v>0.3493</v>
      </c>
      <c r="AN231" t="s">
        <v>430</v>
      </c>
    </row>
    <row r="232" spans="29:40" x14ac:dyDescent="0.45">
      <c r="AC232" t="s">
        <v>19</v>
      </c>
      <c r="AD232" t="s">
        <v>304</v>
      </c>
      <c r="AE232">
        <v>3.479127390160216E-3</v>
      </c>
      <c r="AK232">
        <v>2040</v>
      </c>
      <c r="AL232" t="s">
        <v>169</v>
      </c>
      <c r="AM232">
        <v>0.45989999999999998</v>
      </c>
      <c r="AN232" t="s">
        <v>430</v>
      </c>
    </row>
    <row r="233" spans="29:40" x14ac:dyDescent="0.45">
      <c r="AC233" t="s">
        <v>19</v>
      </c>
      <c r="AD233" t="s">
        <v>305</v>
      </c>
      <c r="AE233">
        <v>3.5113373780817588E-3</v>
      </c>
      <c r="AK233">
        <v>2040</v>
      </c>
      <c r="AL233" t="s">
        <v>171</v>
      </c>
      <c r="AM233">
        <v>0.56399999999999995</v>
      </c>
      <c r="AN233" t="s">
        <v>430</v>
      </c>
    </row>
    <row r="234" spans="29:40" x14ac:dyDescent="0.45">
      <c r="AC234" t="s">
        <v>19</v>
      </c>
      <c r="AD234" t="s">
        <v>306</v>
      </c>
      <c r="AE234">
        <v>1.7489296829039009E-2</v>
      </c>
      <c r="AK234">
        <v>2040</v>
      </c>
      <c r="AL234" t="s">
        <v>158</v>
      </c>
      <c r="AM234">
        <v>0.65269999999999995</v>
      </c>
      <c r="AN234" t="s">
        <v>430</v>
      </c>
    </row>
    <row r="235" spans="29:40" x14ac:dyDescent="0.45">
      <c r="AC235" t="s">
        <v>19</v>
      </c>
      <c r="AD235" t="s">
        <v>307</v>
      </c>
      <c r="AE235">
        <v>2.4062237651601225E-2</v>
      </c>
      <c r="AK235">
        <v>2040</v>
      </c>
      <c r="AL235" t="s">
        <v>162</v>
      </c>
      <c r="AM235">
        <v>0.61629999999999996</v>
      </c>
      <c r="AN235" t="s">
        <v>430</v>
      </c>
    </row>
    <row r="236" spans="29:40" x14ac:dyDescent="0.45">
      <c r="AC236" t="s">
        <v>19</v>
      </c>
      <c r="AD236" t="s">
        <v>308</v>
      </c>
      <c r="AE236">
        <v>3.46672537684639E-3</v>
      </c>
      <c r="AK236">
        <v>2040</v>
      </c>
      <c r="AL236" t="s">
        <v>175</v>
      </c>
      <c r="AM236">
        <v>0.45469999999999999</v>
      </c>
      <c r="AN236" t="s">
        <v>430</v>
      </c>
    </row>
    <row r="237" spans="29:40" x14ac:dyDescent="0.45">
      <c r="AC237" t="s">
        <v>19</v>
      </c>
      <c r="AD237" t="s">
        <v>309</v>
      </c>
      <c r="AE237">
        <v>3.4685625224262708E-3</v>
      </c>
      <c r="AK237">
        <v>2040</v>
      </c>
      <c r="AL237" t="s">
        <v>166</v>
      </c>
      <c r="AM237">
        <v>0.29720000000000002</v>
      </c>
      <c r="AN237" t="s">
        <v>430</v>
      </c>
    </row>
    <row r="238" spans="29:40" x14ac:dyDescent="0.45">
      <c r="AC238" t="s">
        <v>19</v>
      </c>
      <c r="AD238" t="s">
        <v>310</v>
      </c>
      <c r="AE238">
        <v>3.4683748718079489E-3</v>
      </c>
      <c r="AK238">
        <v>2040</v>
      </c>
      <c r="AL238" t="s">
        <v>178</v>
      </c>
      <c r="AM238">
        <v>0.26290000000000002</v>
      </c>
      <c r="AN238" t="s">
        <v>430</v>
      </c>
    </row>
    <row r="239" spans="29:40" x14ac:dyDescent="0.45">
      <c r="AC239" t="s">
        <v>19</v>
      </c>
      <c r="AD239" t="s">
        <v>311</v>
      </c>
      <c r="AE239">
        <v>2.4347394165823825E-2</v>
      </c>
      <c r="AK239">
        <v>2041</v>
      </c>
      <c r="AL239" t="s">
        <v>151</v>
      </c>
      <c r="AM239">
        <v>0.1925</v>
      </c>
      <c r="AN239" t="s">
        <v>430</v>
      </c>
    </row>
    <row r="240" spans="29:40" x14ac:dyDescent="0.45">
      <c r="AC240" t="s">
        <v>19</v>
      </c>
      <c r="AD240" t="s">
        <v>312</v>
      </c>
      <c r="AE240">
        <v>3.3775751974124031E-3</v>
      </c>
      <c r="AK240">
        <v>2041</v>
      </c>
      <c r="AL240" t="s">
        <v>156</v>
      </c>
      <c r="AM240">
        <v>0.21129999999999999</v>
      </c>
      <c r="AN240" t="s">
        <v>430</v>
      </c>
    </row>
    <row r="241" spans="29:40" x14ac:dyDescent="0.45">
      <c r="AC241" t="s">
        <v>19</v>
      </c>
      <c r="AD241" t="s">
        <v>313</v>
      </c>
      <c r="AE241">
        <v>3.3345081901667594E-3</v>
      </c>
      <c r="AK241">
        <v>2041</v>
      </c>
      <c r="AL241" t="s">
        <v>159</v>
      </c>
      <c r="AM241">
        <v>0.2382</v>
      </c>
      <c r="AN241" t="s">
        <v>430</v>
      </c>
    </row>
    <row r="242" spans="29:40" x14ac:dyDescent="0.45">
      <c r="AC242" t="s">
        <v>19</v>
      </c>
      <c r="AD242" t="s">
        <v>314</v>
      </c>
      <c r="AE242">
        <v>1.6690530651103479E-2</v>
      </c>
      <c r="AK242">
        <v>2041</v>
      </c>
      <c r="AL242" t="s">
        <v>163</v>
      </c>
      <c r="AM242">
        <v>0.2394</v>
      </c>
      <c r="AN242" t="s">
        <v>430</v>
      </c>
    </row>
    <row r="243" spans="29:40" x14ac:dyDescent="0.45">
      <c r="AC243" t="s">
        <v>19</v>
      </c>
      <c r="AD243" t="s">
        <v>315</v>
      </c>
      <c r="AE243">
        <v>1.1244573768018039E-4</v>
      </c>
      <c r="AK243">
        <v>2041</v>
      </c>
      <c r="AL243" t="s">
        <v>167</v>
      </c>
      <c r="AM243">
        <v>0.34799999999999998</v>
      </c>
      <c r="AN243" t="s">
        <v>430</v>
      </c>
    </row>
    <row r="244" spans="29:40" x14ac:dyDescent="0.45">
      <c r="AC244" t="s">
        <v>19</v>
      </c>
      <c r="AD244" t="s">
        <v>316</v>
      </c>
      <c r="AE244">
        <v>1.131337017739652E-4</v>
      </c>
      <c r="AK244">
        <v>2041</v>
      </c>
      <c r="AL244" t="s">
        <v>169</v>
      </c>
      <c r="AM244">
        <v>0.39019999999999999</v>
      </c>
      <c r="AN244" t="s">
        <v>430</v>
      </c>
    </row>
    <row r="245" spans="29:40" x14ac:dyDescent="0.45">
      <c r="AC245" t="s">
        <v>19</v>
      </c>
      <c r="AD245" t="s">
        <v>317</v>
      </c>
      <c r="AE245">
        <v>1.1425235763086147E-4</v>
      </c>
      <c r="AK245">
        <v>2041</v>
      </c>
      <c r="AL245" t="s">
        <v>171</v>
      </c>
      <c r="AM245">
        <v>0.47620000000000001</v>
      </c>
      <c r="AN245" t="s">
        <v>430</v>
      </c>
    </row>
    <row r="246" spans="29:40" x14ac:dyDescent="0.45">
      <c r="AC246" t="s">
        <v>19</v>
      </c>
      <c r="AD246" t="s">
        <v>318</v>
      </c>
      <c r="AE246">
        <v>1.1504390782858587E-4</v>
      </c>
      <c r="AK246">
        <v>2041</v>
      </c>
      <c r="AL246" t="s">
        <v>158</v>
      </c>
      <c r="AM246">
        <v>0.53459999999999996</v>
      </c>
      <c r="AN246" t="s">
        <v>430</v>
      </c>
    </row>
    <row r="247" spans="29:40" x14ac:dyDescent="0.45">
      <c r="AC247" t="s">
        <v>19</v>
      </c>
      <c r="AD247" t="s">
        <v>319</v>
      </c>
      <c r="AE247">
        <v>1.1526912031299389E-4</v>
      </c>
      <c r="AK247">
        <v>2041</v>
      </c>
      <c r="AL247" t="s">
        <v>162</v>
      </c>
      <c r="AM247">
        <v>0.5333</v>
      </c>
      <c r="AN247" t="s">
        <v>430</v>
      </c>
    </row>
    <row r="248" spans="29:40" x14ac:dyDescent="0.45">
      <c r="AC248" t="s">
        <v>19</v>
      </c>
      <c r="AD248" t="s">
        <v>320</v>
      </c>
      <c r="AE248">
        <v>1.1528954127117605E-4</v>
      </c>
      <c r="AK248">
        <v>2041</v>
      </c>
      <c r="AL248" t="s">
        <v>175</v>
      </c>
      <c r="AM248">
        <v>0.35160000000000002</v>
      </c>
      <c r="AN248" t="s">
        <v>430</v>
      </c>
    </row>
    <row r="249" spans="29:40" x14ac:dyDescent="0.45">
      <c r="AC249" t="s">
        <v>19</v>
      </c>
      <c r="AD249" t="s">
        <v>321</v>
      </c>
      <c r="AE249">
        <v>1.152889593267719E-4</v>
      </c>
      <c r="AK249">
        <v>2041</v>
      </c>
      <c r="AL249" t="s">
        <v>166</v>
      </c>
      <c r="AM249">
        <v>0.2631</v>
      </c>
      <c r="AN249" t="s">
        <v>430</v>
      </c>
    </row>
    <row r="250" spans="29:40" x14ac:dyDescent="0.45">
      <c r="AC250" t="s">
        <v>19</v>
      </c>
      <c r="AD250" t="s">
        <v>322</v>
      </c>
      <c r="AE250">
        <v>1.1530906286073362E-4</v>
      </c>
      <c r="AK250">
        <v>2041</v>
      </c>
      <c r="AL250" t="s">
        <v>178</v>
      </c>
      <c r="AM250">
        <v>0.20330000000000001</v>
      </c>
      <c r="AN250" t="s">
        <v>430</v>
      </c>
    </row>
    <row r="251" spans="29:40" x14ac:dyDescent="0.45">
      <c r="AC251" t="s">
        <v>19</v>
      </c>
      <c r="AD251" t="s">
        <v>323</v>
      </c>
      <c r="AE251">
        <v>1.1532652119285827E-4</v>
      </c>
      <c r="AK251">
        <v>2042</v>
      </c>
      <c r="AL251" t="s">
        <v>151</v>
      </c>
      <c r="AM251">
        <v>0.19800000000000001</v>
      </c>
      <c r="AN251" t="s">
        <v>430</v>
      </c>
    </row>
    <row r="252" spans="29:40" x14ac:dyDescent="0.45">
      <c r="AC252" t="s">
        <v>19</v>
      </c>
      <c r="AD252" t="s">
        <v>324</v>
      </c>
      <c r="AE252">
        <v>1.1535069833764909E-4</v>
      </c>
      <c r="AK252">
        <v>2042</v>
      </c>
      <c r="AL252" t="s">
        <v>156</v>
      </c>
      <c r="AM252">
        <v>0.21360000000000001</v>
      </c>
      <c r="AN252" t="s">
        <v>430</v>
      </c>
    </row>
    <row r="253" spans="29:40" x14ac:dyDescent="0.45">
      <c r="AC253" t="s">
        <v>19</v>
      </c>
      <c r="AD253" t="s">
        <v>325</v>
      </c>
      <c r="AE253">
        <v>1.1530128596733263E-4</v>
      </c>
      <c r="AK253">
        <v>2042</v>
      </c>
      <c r="AL253" t="s">
        <v>159</v>
      </c>
      <c r="AM253">
        <v>0.2429</v>
      </c>
      <c r="AN253" t="s">
        <v>430</v>
      </c>
    </row>
    <row r="254" spans="29:40" x14ac:dyDescent="0.45">
      <c r="AC254" t="s">
        <v>19</v>
      </c>
      <c r="AD254" t="s">
        <v>326</v>
      </c>
      <c r="AE254">
        <v>1.1531366551193012E-4</v>
      </c>
      <c r="AK254">
        <v>2042</v>
      </c>
      <c r="AL254" t="s">
        <v>163</v>
      </c>
      <c r="AM254">
        <v>0.25829999999999997</v>
      </c>
      <c r="AN254" t="s">
        <v>430</v>
      </c>
    </row>
    <row r="255" spans="29:40" x14ac:dyDescent="0.45">
      <c r="AC255" t="s">
        <v>19</v>
      </c>
      <c r="AD255" t="s">
        <v>327</v>
      </c>
      <c r="AE255">
        <v>1.1665018019212738E-4</v>
      </c>
      <c r="AK255">
        <v>2042</v>
      </c>
      <c r="AL255" t="s">
        <v>167</v>
      </c>
      <c r="AM255">
        <v>0.30969999999999998</v>
      </c>
      <c r="AN255" t="s">
        <v>430</v>
      </c>
    </row>
    <row r="256" spans="29:40" x14ac:dyDescent="0.45">
      <c r="AC256" t="s">
        <v>19</v>
      </c>
      <c r="AD256" t="s">
        <v>328</v>
      </c>
      <c r="AE256">
        <v>1.1673360985806853E-4</v>
      </c>
      <c r="AK256">
        <v>2042</v>
      </c>
      <c r="AL256" t="s">
        <v>169</v>
      </c>
      <c r="AM256">
        <v>0.4103</v>
      </c>
      <c r="AN256" t="s">
        <v>430</v>
      </c>
    </row>
    <row r="257" spans="29:40" x14ac:dyDescent="0.45">
      <c r="AC257" t="s">
        <v>19</v>
      </c>
      <c r="AD257" t="s">
        <v>329</v>
      </c>
      <c r="AE257">
        <v>1.1630561620083082E-4</v>
      </c>
      <c r="AK257">
        <v>2042</v>
      </c>
      <c r="AL257" t="s">
        <v>171</v>
      </c>
      <c r="AM257">
        <v>0.41949999999999998</v>
      </c>
      <c r="AN257" t="s">
        <v>430</v>
      </c>
    </row>
    <row r="258" spans="29:40" x14ac:dyDescent="0.45">
      <c r="AC258" t="s">
        <v>19</v>
      </c>
      <c r="AD258" t="s">
        <v>330</v>
      </c>
      <c r="AE258">
        <v>1.1540693532870515E-4</v>
      </c>
      <c r="AK258">
        <v>2042</v>
      </c>
      <c r="AL258" t="s">
        <v>158</v>
      </c>
      <c r="AM258">
        <v>0.52310000000000001</v>
      </c>
      <c r="AN258" t="s">
        <v>430</v>
      </c>
    </row>
    <row r="259" spans="29:40" x14ac:dyDescent="0.45">
      <c r="AC259" t="s">
        <v>19</v>
      </c>
      <c r="AD259" t="s">
        <v>331</v>
      </c>
      <c r="AE259">
        <v>1.1422680498111539E-4</v>
      </c>
      <c r="AK259">
        <v>2042</v>
      </c>
      <c r="AL259" t="s">
        <v>162</v>
      </c>
      <c r="AM259">
        <v>0.50209999999999999</v>
      </c>
      <c r="AN259" t="s">
        <v>430</v>
      </c>
    </row>
    <row r="260" spans="29:40" x14ac:dyDescent="0.45">
      <c r="AC260" t="s">
        <v>19</v>
      </c>
      <c r="AD260" t="s">
        <v>332</v>
      </c>
      <c r="AE260">
        <v>1.1249800686848087E-4</v>
      </c>
      <c r="AK260">
        <v>2042</v>
      </c>
      <c r="AL260" t="s">
        <v>175</v>
      </c>
      <c r="AM260">
        <v>0.35870000000000002</v>
      </c>
      <c r="AN260" t="s">
        <v>430</v>
      </c>
    </row>
    <row r="261" spans="29:40" x14ac:dyDescent="0.45">
      <c r="AC261" t="s">
        <v>19</v>
      </c>
      <c r="AD261" t="s">
        <v>333</v>
      </c>
      <c r="AE261">
        <v>1.1098918374061696E-4</v>
      </c>
      <c r="AK261">
        <v>2042</v>
      </c>
      <c r="AL261" t="s">
        <v>166</v>
      </c>
      <c r="AM261">
        <v>0.24540000000000001</v>
      </c>
      <c r="AN261" t="s">
        <v>430</v>
      </c>
    </row>
    <row r="262" spans="29:40" x14ac:dyDescent="0.45">
      <c r="AC262" t="s">
        <v>19</v>
      </c>
      <c r="AD262" t="s">
        <v>334</v>
      </c>
      <c r="AE262">
        <v>1.1072207125910978E-4</v>
      </c>
      <c r="AK262">
        <v>2042</v>
      </c>
      <c r="AL262" t="s">
        <v>178</v>
      </c>
      <c r="AM262">
        <v>0.19450000000000001</v>
      </c>
      <c r="AN262" t="s">
        <v>430</v>
      </c>
    </row>
    <row r="263" spans="29:40" x14ac:dyDescent="0.45">
      <c r="AC263" t="s">
        <v>19</v>
      </c>
      <c r="AD263" t="s">
        <v>335</v>
      </c>
      <c r="AE263">
        <v>1.1072376418828552E-4</v>
      </c>
      <c r="AK263">
        <v>2043</v>
      </c>
      <c r="AL263" t="s">
        <v>151</v>
      </c>
      <c r="AM263">
        <v>0.2208</v>
      </c>
      <c r="AN263" t="s">
        <v>430</v>
      </c>
    </row>
    <row r="264" spans="29:40" x14ac:dyDescent="0.45">
      <c r="AC264" t="s">
        <v>19</v>
      </c>
      <c r="AD264" t="s">
        <v>336</v>
      </c>
      <c r="AE264">
        <v>1.1067059563136043E-4</v>
      </c>
      <c r="AK264">
        <v>2043</v>
      </c>
      <c r="AL264" t="s">
        <v>156</v>
      </c>
      <c r="AM264">
        <v>0.2298</v>
      </c>
      <c r="AN264" t="s">
        <v>430</v>
      </c>
    </row>
    <row r="265" spans="29:40" x14ac:dyDescent="0.45">
      <c r="AC265" t="s">
        <v>19</v>
      </c>
      <c r="AD265" t="s">
        <v>337</v>
      </c>
      <c r="AE265">
        <v>1.1107287792674183E-4</v>
      </c>
      <c r="AK265">
        <v>2043</v>
      </c>
      <c r="AL265" t="s">
        <v>159</v>
      </c>
      <c r="AM265">
        <v>0.2472</v>
      </c>
      <c r="AN265" t="s">
        <v>430</v>
      </c>
    </row>
    <row r="266" spans="29:40" x14ac:dyDescent="0.45">
      <c r="AC266" t="s">
        <v>19</v>
      </c>
      <c r="AD266" t="s">
        <v>338</v>
      </c>
      <c r="AE266">
        <v>1.1233707278871362E-4</v>
      </c>
      <c r="AK266">
        <v>2043</v>
      </c>
      <c r="AL266" t="s">
        <v>163</v>
      </c>
      <c r="AM266">
        <v>0.25059999999999999</v>
      </c>
      <c r="AN266" t="s">
        <v>430</v>
      </c>
    </row>
    <row r="267" spans="29:40" x14ac:dyDescent="0.45">
      <c r="AC267" t="s">
        <v>19</v>
      </c>
      <c r="AD267" t="s">
        <v>339</v>
      </c>
      <c r="AE267">
        <v>2.3246676458963059E-2</v>
      </c>
      <c r="AK267">
        <v>2043</v>
      </c>
      <c r="AL267" t="s">
        <v>167</v>
      </c>
      <c r="AM267">
        <v>0.31540000000000001</v>
      </c>
      <c r="AN267" t="s">
        <v>430</v>
      </c>
    </row>
    <row r="268" spans="29:40" x14ac:dyDescent="0.45">
      <c r="AC268" t="s">
        <v>19</v>
      </c>
      <c r="AD268" t="s">
        <v>340</v>
      </c>
      <c r="AE268">
        <v>3.3462864772863354E-3</v>
      </c>
      <c r="AK268">
        <v>2043</v>
      </c>
      <c r="AL268" t="s">
        <v>169</v>
      </c>
      <c r="AM268">
        <v>0.36009999999999998</v>
      </c>
      <c r="AN268" t="s">
        <v>430</v>
      </c>
    </row>
    <row r="269" spans="29:40" x14ac:dyDescent="0.45">
      <c r="AC269" t="s">
        <v>19</v>
      </c>
      <c r="AD269" t="s">
        <v>341</v>
      </c>
      <c r="AE269">
        <v>3.3495096028207669E-3</v>
      </c>
      <c r="AK269">
        <v>2043</v>
      </c>
      <c r="AL269" t="s">
        <v>171</v>
      </c>
      <c r="AM269">
        <v>0.46500000000000002</v>
      </c>
      <c r="AN269" t="s">
        <v>430</v>
      </c>
    </row>
    <row r="270" spans="29:40" x14ac:dyDescent="0.45">
      <c r="AC270" t="s">
        <v>19</v>
      </c>
      <c r="AD270" t="s">
        <v>342</v>
      </c>
      <c r="AE270">
        <v>3.3497854973723734E-3</v>
      </c>
      <c r="AK270">
        <v>2043</v>
      </c>
      <c r="AL270" t="s">
        <v>158</v>
      </c>
      <c r="AM270">
        <v>0.58960000000000001</v>
      </c>
      <c r="AN270" t="s">
        <v>430</v>
      </c>
    </row>
    <row r="271" spans="29:40" x14ac:dyDescent="0.45">
      <c r="AC271" t="s">
        <v>19</v>
      </c>
      <c r="AD271" t="s">
        <v>343</v>
      </c>
      <c r="AE271">
        <v>2.3487971029883939E-2</v>
      </c>
      <c r="AK271">
        <v>2043</v>
      </c>
      <c r="AL271" t="s">
        <v>162</v>
      </c>
      <c r="AM271">
        <v>0.51419999999999999</v>
      </c>
      <c r="AN271" t="s">
        <v>430</v>
      </c>
    </row>
    <row r="272" spans="29:40" x14ac:dyDescent="0.45">
      <c r="AC272" t="s">
        <v>19</v>
      </c>
      <c r="AD272" t="s">
        <v>344</v>
      </c>
      <c r="AE272">
        <v>3.2519457769995797E-3</v>
      </c>
      <c r="AK272">
        <v>2043</v>
      </c>
      <c r="AL272" t="s">
        <v>175</v>
      </c>
      <c r="AM272">
        <v>0.39229999999999998</v>
      </c>
      <c r="AN272" t="s">
        <v>430</v>
      </c>
    </row>
    <row r="273" spans="29:40" x14ac:dyDescent="0.45">
      <c r="AC273" t="s">
        <v>19</v>
      </c>
      <c r="AD273" t="s">
        <v>345</v>
      </c>
      <c r="AE273">
        <v>3.2381306284610849E-3</v>
      </c>
      <c r="AK273">
        <v>2043</v>
      </c>
      <c r="AL273" t="s">
        <v>166</v>
      </c>
      <c r="AM273">
        <v>0.26550000000000001</v>
      </c>
      <c r="AN273" t="s">
        <v>430</v>
      </c>
    </row>
    <row r="274" spans="29:40" x14ac:dyDescent="0.45">
      <c r="AC274" t="s">
        <v>19</v>
      </c>
      <c r="AD274" t="s">
        <v>346</v>
      </c>
      <c r="AE274">
        <v>1.6171780738182713E-2</v>
      </c>
      <c r="AK274">
        <v>2043</v>
      </c>
      <c r="AL274" t="s">
        <v>178</v>
      </c>
      <c r="AM274">
        <v>0.22359999999999999</v>
      </c>
      <c r="AN274" t="s">
        <v>430</v>
      </c>
    </row>
    <row r="275" spans="29:40" x14ac:dyDescent="0.45">
      <c r="AC275" t="s">
        <v>19</v>
      </c>
      <c r="AD275" t="s">
        <v>347</v>
      </c>
      <c r="AE275">
        <v>1.1252675393862834E-4</v>
      </c>
      <c r="AK275">
        <v>2044</v>
      </c>
      <c r="AL275" t="s">
        <v>151</v>
      </c>
      <c r="AM275">
        <v>0.21429999999999999</v>
      </c>
      <c r="AN275" t="s">
        <v>430</v>
      </c>
    </row>
    <row r="276" spans="29:40" x14ac:dyDescent="0.45">
      <c r="AC276" t="s">
        <v>19</v>
      </c>
      <c r="AD276" t="s">
        <v>348</v>
      </c>
      <c r="AE276">
        <v>1.1335221562390397E-4</v>
      </c>
      <c r="AK276">
        <v>2044</v>
      </c>
      <c r="AL276" t="s">
        <v>156</v>
      </c>
      <c r="AM276">
        <v>0.1986</v>
      </c>
      <c r="AN276" t="s">
        <v>430</v>
      </c>
    </row>
    <row r="277" spans="29:40" x14ac:dyDescent="0.45">
      <c r="AC277" t="s">
        <v>19</v>
      </c>
      <c r="AD277" t="s">
        <v>349</v>
      </c>
      <c r="AE277">
        <v>1.1441960746919786E-4</v>
      </c>
      <c r="AK277">
        <v>2044</v>
      </c>
      <c r="AL277" t="s">
        <v>159</v>
      </c>
      <c r="AM277">
        <v>0.21909999999999999</v>
      </c>
      <c r="AN277" t="s">
        <v>430</v>
      </c>
    </row>
    <row r="278" spans="29:40" x14ac:dyDescent="0.45">
      <c r="AC278" t="s">
        <v>19</v>
      </c>
      <c r="AD278" t="s">
        <v>350</v>
      </c>
      <c r="AE278">
        <v>1.1500763583757819E-4</v>
      </c>
      <c r="AK278">
        <v>2044</v>
      </c>
      <c r="AL278" t="s">
        <v>163</v>
      </c>
      <c r="AM278">
        <v>0.28100000000000003</v>
      </c>
      <c r="AN278" t="s">
        <v>430</v>
      </c>
    </row>
    <row r="279" spans="29:40" x14ac:dyDescent="0.45">
      <c r="AC279" t="s">
        <v>19</v>
      </c>
      <c r="AD279" t="s">
        <v>351</v>
      </c>
      <c r="AE279">
        <v>1.1503826727485145E-4</v>
      </c>
      <c r="AK279">
        <v>2044</v>
      </c>
      <c r="AL279" t="s">
        <v>167</v>
      </c>
      <c r="AM279">
        <v>0.3448</v>
      </c>
      <c r="AN279" t="s">
        <v>430</v>
      </c>
    </row>
    <row r="280" spans="29:40" x14ac:dyDescent="0.45">
      <c r="AC280" t="s">
        <v>19</v>
      </c>
      <c r="AD280" t="s">
        <v>352</v>
      </c>
      <c r="AE280">
        <v>1.1502488255355589E-4</v>
      </c>
      <c r="AK280">
        <v>2044</v>
      </c>
      <c r="AL280" t="s">
        <v>169</v>
      </c>
      <c r="AM280">
        <v>0.43690000000000001</v>
      </c>
      <c r="AN280" t="s">
        <v>430</v>
      </c>
    </row>
    <row r="281" spans="29:40" x14ac:dyDescent="0.45">
      <c r="AC281" t="s">
        <v>19</v>
      </c>
      <c r="AD281" t="s">
        <v>353</v>
      </c>
      <c r="AE281">
        <v>1.152001007232433E-4</v>
      </c>
      <c r="AK281">
        <v>2044</v>
      </c>
      <c r="AL281" t="s">
        <v>171</v>
      </c>
      <c r="AM281">
        <v>0.43090000000000001</v>
      </c>
      <c r="AN281" t="s">
        <v>430</v>
      </c>
    </row>
    <row r="282" spans="29:40" x14ac:dyDescent="0.45">
      <c r="AC282" t="s">
        <v>19</v>
      </c>
      <c r="AD282" t="s">
        <v>354</v>
      </c>
      <c r="AE282">
        <v>1.15047155153024E-4</v>
      </c>
      <c r="AK282">
        <v>2044</v>
      </c>
      <c r="AL282" t="s">
        <v>158</v>
      </c>
      <c r="AM282">
        <v>0.52339999999999998</v>
      </c>
      <c r="AN282" t="s">
        <v>430</v>
      </c>
    </row>
    <row r="283" spans="29:40" x14ac:dyDescent="0.45">
      <c r="AC283" t="s">
        <v>19</v>
      </c>
      <c r="AD283" t="s">
        <v>355</v>
      </c>
      <c r="AE283">
        <v>1.15021179270984E-4</v>
      </c>
      <c r="AK283">
        <v>2044</v>
      </c>
      <c r="AL283" t="s">
        <v>162</v>
      </c>
      <c r="AM283">
        <v>0.50490000000000002</v>
      </c>
      <c r="AN283" t="s">
        <v>430</v>
      </c>
    </row>
    <row r="284" spans="29:40" x14ac:dyDescent="0.45">
      <c r="AC284" t="s">
        <v>19</v>
      </c>
      <c r="AD284" t="s">
        <v>356</v>
      </c>
      <c r="AE284">
        <v>1.1506916323230841E-4</v>
      </c>
      <c r="AK284">
        <v>2044</v>
      </c>
      <c r="AL284" t="s">
        <v>175</v>
      </c>
      <c r="AM284">
        <v>0.37859999999999999</v>
      </c>
      <c r="AN284" t="s">
        <v>430</v>
      </c>
    </row>
    <row r="285" spans="29:40" x14ac:dyDescent="0.45">
      <c r="AC285" t="s">
        <v>19</v>
      </c>
      <c r="AD285" t="s">
        <v>357</v>
      </c>
      <c r="AE285">
        <v>1.150704329291902E-4</v>
      </c>
      <c r="AK285">
        <v>2044</v>
      </c>
      <c r="AL285" t="s">
        <v>166</v>
      </c>
      <c r="AM285">
        <v>0.2319</v>
      </c>
      <c r="AN285" t="s">
        <v>430</v>
      </c>
    </row>
    <row r="286" spans="29:40" x14ac:dyDescent="0.45">
      <c r="AC286" t="s">
        <v>19</v>
      </c>
      <c r="AD286" t="s">
        <v>358</v>
      </c>
      <c r="AE286">
        <v>1.1510249277545549E-4</v>
      </c>
      <c r="AK286">
        <v>2044</v>
      </c>
      <c r="AL286" t="s">
        <v>178</v>
      </c>
      <c r="AM286">
        <v>0.22439999999999999</v>
      </c>
      <c r="AN286" t="s">
        <v>430</v>
      </c>
    </row>
    <row r="287" spans="29:40" x14ac:dyDescent="0.45">
      <c r="AC287" t="s">
        <v>19</v>
      </c>
      <c r="AD287" t="s">
        <v>359</v>
      </c>
      <c r="AE287">
        <v>1.1679785553686946E-4</v>
      </c>
      <c r="AK287">
        <v>2045</v>
      </c>
      <c r="AL287" t="s">
        <v>151</v>
      </c>
      <c r="AM287">
        <v>0.25879999999999997</v>
      </c>
      <c r="AN287" t="s">
        <v>430</v>
      </c>
    </row>
    <row r="288" spans="29:40" x14ac:dyDescent="0.45">
      <c r="AC288" t="s">
        <v>19</v>
      </c>
      <c r="AD288" t="s">
        <v>360</v>
      </c>
      <c r="AE288">
        <v>1.168365283877274E-4</v>
      </c>
      <c r="AK288">
        <v>2045</v>
      </c>
      <c r="AL288" t="s">
        <v>156</v>
      </c>
      <c r="AM288">
        <v>0.28189999999999998</v>
      </c>
      <c r="AN288" t="s">
        <v>430</v>
      </c>
    </row>
    <row r="289" spans="29:40" x14ac:dyDescent="0.45">
      <c r="AC289" t="s">
        <v>19</v>
      </c>
      <c r="AD289" t="s">
        <v>361</v>
      </c>
      <c r="AE289">
        <v>1.1632685089776102E-4</v>
      </c>
      <c r="AK289">
        <v>2045</v>
      </c>
      <c r="AL289" t="s">
        <v>159</v>
      </c>
      <c r="AM289">
        <v>0.24890000000000001</v>
      </c>
      <c r="AN289" t="s">
        <v>430</v>
      </c>
    </row>
    <row r="290" spans="29:40" x14ac:dyDescent="0.45">
      <c r="AC290" t="s">
        <v>19</v>
      </c>
      <c r="AD290" t="s">
        <v>362</v>
      </c>
      <c r="AE290">
        <v>1.1490246261253635E-4</v>
      </c>
      <c r="AK290">
        <v>2045</v>
      </c>
      <c r="AL290" t="s">
        <v>163</v>
      </c>
      <c r="AM290">
        <v>0.31330000000000002</v>
      </c>
      <c r="AN290" t="s">
        <v>430</v>
      </c>
    </row>
    <row r="291" spans="29:40" x14ac:dyDescent="0.45">
      <c r="AC291" t="s">
        <v>19</v>
      </c>
      <c r="AD291" t="s">
        <v>363</v>
      </c>
      <c r="AE291">
        <v>1.1374016092532843E-4</v>
      </c>
      <c r="AK291">
        <v>2045</v>
      </c>
      <c r="AL291" t="s">
        <v>167</v>
      </c>
      <c r="AM291">
        <v>0.36870000000000003</v>
      </c>
      <c r="AN291" t="s">
        <v>430</v>
      </c>
    </row>
    <row r="292" spans="29:40" x14ac:dyDescent="0.45">
      <c r="AC292" t="s">
        <v>19</v>
      </c>
      <c r="AD292" t="s">
        <v>364</v>
      </c>
      <c r="AE292">
        <v>1.1237396708051927E-4</v>
      </c>
      <c r="AK292">
        <v>2045</v>
      </c>
      <c r="AL292" t="s">
        <v>169</v>
      </c>
      <c r="AM292">
        <v>0.45660000000000001</v>
      </c>
      <c r="AN292" t="s">
        <v>430</v>
      </c>
    </row>
    <row r="293" spans="29:40" x14ac:dyDescent="0.45">
      <c r="AC293" t="s">
        <v>19</v>
      </c>
      <c r="AD293" t="s">
        <v>365</v>
      </c>
      <c r="AE293">
        <v>1.1153215804789057E-4</v>
      </c>
      <c r="AK293">
        <v>2045</v>
      </c>
      <c r="AL293" t="s">
        <v>171</v>
      </c>
      <c r="AM293">
        <v>0.54279999999999995</v>
      </c>
      <c r="AN293" t="s">
        <v>430</v>
      </c>
    </row>
    <row r="294" spans="29:40" x14ac:dyDescent="0.45">
      <c r="AC294" t="s">
        <v>19</v>
      </c>
      <c r="AD294" t="s">
        <v>366</v>
      </c>
      <c r="AE294">
        <v>1.1131768508294105E-4</v>
      </c>
      <c r="AK294">
        <v>2045</v>
      </c>
      <c r="AL294" t="s">
        <v>158</v>
      </c>
      <c r="AM294">
        <v>0.61919999999999997</v>
      </c>
      <c r="AN294" t="s">
        <v>430</v>
      </c>
    </row>
    <row r="295" spans="29:40" x14ac:dyDescent="0.45">
      <c r="AC295" t="s">
        <v>19</v>
      </c>
      <c r="AD295" t="s">
        <v>367</v>
      </c>
      <c r="AE295">
        <v>1.1123843483590248E-4</v>
      </c>
      <c r="AK295">
        <v>2045</v>
      </c>
      <c r="AL295" t="s">
        <v>162</v>
      </c>
      <c r="AM295">
        <v>0.60170000000000001</v>
      </c>
      <c r="AN295" t="s">
        <v>430</v>
      </c>
    </row>
    <row r="296" spans="29:40" x14ac:dyDescent="0.45">
      <c r="AC296" t="s">
        <v>19</v>
      </c>
      <c r="AD296" t="s">
        <v>368</v>
      </c>
      <c r="AE296">
        <v>1.112910214484234E-4</v>
      </c>
      <c r="AK296">
        <v>2045</v>
      </c>
      <c r="AL296" t="s">
        <v>175</v>
      </c>
      <c r="AM296">
        <v>0.46889999999999998</v>
      </c>
      <c r="AN296" t="s">
        <v>430</v>
      </c>
    </row>
    <row r="297" spans="29:40" x14ac:dyDescent="0.45">
      <c r="AC297" t="s">
        <v>19</v>
      </c>
      <c r="AD297" t="s">
        <v>369</v>
      </c>
      <c r="AE297">
        <v>1.1197284867394619E-4</v>
      </c>
      <c r="AK297">
        <v>2045</v>
      </c>
      <c r="AL297" t="s">
        <v>166</v>
      </c>
      <c r="AM297">
        <v>0.29749999999999999</v>
      </c>
      <c r="AN297" t="s">
        <v>430</v>
      </c>
    </row>
    <row r="298" spans="29:40" x14ac:dyDescent="0.45">
      <c r="AC298" t="s">
        <v>19</v>
      </c>
      <c r="AD298" t="s">
        <v>370</v>
      </c>
      <c r="AE298">
        <v>1.1272487955622478E-4</v>
      </c>
      <c r="AK298">
        <v>2045</v>
      </c>
      <c r="AL298" t="s">
        <v>178</v>
      </c>
      <c r="AM298">
        <v>0.25069999999999998</v>
      </c>
      <c r="AN298" t="s">
        <v>430</v>
      </c>
    </row>
    <row r="299" spans="29:40" x14ac:dyDescent="0.45">
      <c r="AC299" t="s">
        <v>19</v>
      </c>
      <c r="AD299" t="s">
        <v>371</v>
      </c>
      <c r="AE299">
        <v>2.4846814757333059E-2</v>
      </c>
      <c r="AK299">
        <v>2046</v>
      </c>
      <c r="AL299" t="s">
        <v>151</v>
      </c>
      <c r="AM299">
        <v>0.29070000000000001</v>
      </c>
      <c r="AN299" t="s">
        <v>430</v>
      </c>
    </row>
    <row r="300" spans="29:40" x14ac:dyDescent="0.45">
      <c r="AC300" t="s">
        <v>19</v>
      </c>
      <c r="AD300" t="s">
        <v>372</v>
      </c>
      <c r="AE300">
        <v>3.5755023763067648E-3</v>
      </c>
      <c r="AK300">
        <v>2046</v>
      </c>
      <c r="AL300" t="s">
        <v>156</v>
      </c>
      <c r="AM300">
        <v>0.31330000000000002</v>
      </c>
      <c r="AN300" t="s">
        <v>430</v>
      </c>
    </row>
    <row r="301" spans="29:40" x14ac:dyDescent="0.45">
      <c r="AC301" t="s">
        <v>19</v>
      </c>
      <c r="AD301" t="s">
        <v>373</v>
      </c>
      <c r="AE301">
        <v>3.5813273223681366E-3</v>
      </c>
      <c r="AK301">
        <v>2046</v>
      </c>
      <c r="AL301" t="s">
        <v>159</v>
      </c>
      <c r="AM301">
        <v>0.33829999999999999</v>
      </c>
      <c r="AN301" t="s">
        <v>430</v>
      </c>
    </row>
    <row r="302" spans="29:40" x14ac:dyDescent="0.45">
      <c r="AC302" t="s">
        <v>19</v>
      </c>
      <c r="AD302" t="s">
        <v>374</v>
      </c>
      <c r="AE302">
        <v>3.5825068178672857E-3</v>
      </c>
      <c r="AK302">
        <v>2046</v>
      </c>
      <c r="AL302" t="s">
        <v>163</v>
      </c>
      <c r="AM302">
        <v>0.34289999999999998</v>
      </c>
      <c r="AN302" t="s">
        <v>430</v>
      </c>
    </row>
    <row r="303" spans="29:40" x14ac:dyDescent="0.45">
      <c r="AC303" t="s">
        <v>19</v>
      </c>
      <c r="AD303" t="s">
        <v>375</v>
      </c>
      <c r="AE303">
        <v>2.5148154722202914E-2</v>
      </c>
      <c r="AK303">
        <v>2046</v>
      </c>
      <c r="AL303" t="s">
        <v>167</v>
      </c>
      <c r="AM303">
        <v>0.45979999999999999</v>
      </c>
      <c r="AN303" t="s">
        <v>430</v>
      </c>
    </row>
    <row r="304" spans="29:40" x14ac:dyDescent="0.45">
      <c r="AC304" t="s">
        <v>19</v>
      </c>
      <c r="AD304" t="s">
        <v>376</v>
      </c>
      <c r="AE304">
        <v>3.4718163366417561E-3</v>
      </c>
      <c r="AK304">
        <v>2046</v>
      </c>
      <c r="AL304" t="s">
        <v>169</v>
      </c>
      <c r="AM304">
        <v>0.58220000000000005</v>
      </c>
      <c r="AN304" t="s">
        <v>430</v>
      </c>
    </row>
    <row r="305" spans="29:40" x14ac:dyDescent="0.45">
      <c r="AC305" t="s">
        <v>19</v>
      </c>
      <c r="AD305" t="s">
        <v>377</v>
      </c>
      <c r="AE305">
        <v>3.4418135051330631E-3</v>
      </c>
      <c r="AK305">
        <v>2046</v>
      </c>
      <c r="AL305" t="s">
        <v>171</v>
      </c>
      <c r="AM305">
        <v>0.58489999999999998</v>
      </c>
      <c r="AN305" t="s">
        <v>430</v>
      </c>
    </row>
    <row r="306" spans="29:40" x14ac:dyDescent="0.45">
      <c r="AC306" t="s">
        <v>19</v>
      </c>
      <c r="AD306" t="s">
        <v>378</v>
      </c>
      <c r="AE306">
        <v>1.7242212486628189E-2</v>
      </c>
      <c r="AK306">
        <v>2046</v>
      </c>
      <c r="AL306" t="s">
        <v>158</v>
      </c>
      <c r="AM306">
        <v>0.77249999999999996</v>
      </c>
      <c r="AN306" t="s">
        <v>430</v>
      </c>
    </row>
    <row r="307" spans="29:40" x14ac:dyDescent="0.45">
      <c r="AC307" t="s">
        <v>19</v>
      </c>
      <c r="AD307" t="s">
        <v>379</v>
      </c>
      <c r="AE307">
        <v>2.322105580755849E-2</v>
      </c>
      <c r="AK307">
        <v>2046</v>
      </c>
      <c r="AL307" t="s">
        <v>162</v>
      </c>
      <c r="AM307">
        <v>0.67989999999999995</v>
      </c>
      <c r="AN307" t="s">
        <v>430</v>
      </c>
    </row>
    <row r="308" spans="29:40" x14ac:dyDescent="0.45">
      <c r="AC308" t="s">
        <v>19</v>
      </c>
      <c r="AD308" t="s">
        <v>380</v>
      </c>
      <c r="AE308">
        <v>3.3460155830920221E-3</v>
      </c>
      <c r="AK308">
        <v>2046</v>
      </c>
      <c r="AL308" t="s">
        <v>175</v>
      </c>
      <c r="AM308">
        <v>0.45319999999999999</v>
      </c>
      <c r="AN308" t="s">
        <v>430</v>
      </c>
    </row>
    <row r="309" spans="29:40" x14ac:dyDescent="0.45">
      <c r="AC309" t="s">
        <v>19</v>
      </c>
      <c r="AD309" t="s">
        <v>381</v>
      </c>
      <c r="AE309">
        <v>3.3476831712341473E-3</v>
      </c>
      <c r="AK309">
        <v>2046</v>
      </c>
      <c r="AL309" t="s">
        <v>166</v>
      </c>
      <c r="AM309">
        <v>0.36359999999999998</v>
      </c>
      <c r="AN309" t="s">
        <v>430</v>
      </c>
    </row>
    <row r="310" spans="29:40" x14ac:dyDescent="0.45">
      <c r="AC310" t="s">
        <v>19</v>
      </c>
      <c r="AD310" t="s">
        <v>382</v>
      </c>
      <c r="AE310">
        <v>3.3479845655314628E-3</v>
      </c>
      <c r="AK310">
        <v>2046</v>
      </c>
      <c r="AL310" t="s">
        <v>178</v>
      </c>
      <c r="AM310">
        <v>0.27500000000000002</v>
      </c>
      <c r="AN310" t="s">
        <v>430</v>
      </c>
    </row>
    <row r="311" spans="29:40" x14ac:dyDescent="0.45">
      <c r="AC311" t="s">
        <v>19</v>
      </c>
      <c r="AD311" t="s">
        <v>383</v>
      </c>
      <c r="AE311">
        <v>2.3459300354953156E-2</v>
      </c>
      <c r="AK311">
        <v>2047</v>
      </c>
      <c r="AL311" t="s">
        <v>151</v>
      </c>
      <c r="AM311">
        <v>0.25740000000000002</v>
      </c>
      <c r="AN311" t="s">
        <v>430</v>
      </c>
    </row>
    <row r="312" spans="29:40" x14ac:dyDescent="0.45">
      <c r="AC312" t="s">
        <v>19</v>
      </c>
      <c r="AD312" t="s">
        <v>384</v>
      </c>
      <c r="AE312">
        <v>3.2649826287273745E-3</v>
      </c>
      <c r="AK312">
        <v>2047</v>
      </c>
      <c r="AL312" t="s">
        <v>156</v>
      </c>
      <c r="AM312">
        <v>0.27950000000000003</v>
      </c>
      <c r="AN312" t="s">
        <v>430</v>
      </c>
    </row>
    <row r="313" spans="29:40" x14ac:dyDescent="0.45">
      <c r="AC313" t="s">
        <v>19</v>
      </c>
      <c r="AD313" t="s">
        <v>385</v>
      </c>
      <c r="AE313">
        <v>3.2315406645022351E-3</v>
      </c>
      <c r="AK313">
        <v>2047</v>
      </c>
      <c r="AL313" t="s">
        <v>159</v>
      </c>
      <c r="AM313">
        <v>0.2944</v>
      </c>
      <c r="AN313" t="s">
        <v>430</v>
      </c>
    </row>
    <row r="314" spans="29:40" x14ac:dyDescent="0.45">
      <c r="AC314" t="s">
        <v>19</v>
      </c>
      <c r="AD314" t="s">
        <v>386</v>
      </c>
      <c r="AE314">
        <v>1.6153494753484363E-2</v>
      </c>
      <c r="AK314">
        <v>2047</v>
      </c>
      <c r="AL314" t="s">
        <v>163</v>
      </c>
      <c r="AM314">
        <v>0.33589999999999998</v>
      </c>
      <c r="AN314" t="s">
        <v>430</v>
      </c>
    </row>
    <row r="315" spans="29:40" x14ac:dyDescent="0.45">
      <c r="AC315" t="s">
        <v>19</v>
      </c>
      <c r="AD315" t="s">
        <v>387</v>
      </c>
      <c r="AE315">
        <v>1.1220878520338195E-4</v>
      </c>
      <c r="AK315">
        <v>2047</v>
      </c>
      <c r="AL315" t="s">
        <v>167</v>
      </c>
      <c r="AM315">
        <v>0.36180000000000001</v>
      </c>
      <c r="AN315" t="s">
        <v>430</v>
      </c>
    </row>
    <row r="316" spans="29:40" x14ac:dyDescent="0.45">
      <c r="AC316" t="s">
        <v>19</v>
      </c>
      <c r="AD316" t="s">
        <v>388</v>
      </c>
      <c r="AE316">
        <v>1.1322903955193929E-4</v>
      </c>
      <c r="AK316">
        <v>2047</v>
      </c>
      <c r="AL316" t="s">
        <v>169</v>
      </c>
      <c r="AM316">
        <v>0.50639999999999996</v>
      </c>
      <c r="AN316" t="s">
        <v>430</v>
      </c>
    </row>
    <row r="317" spans="29:40" x14ac:dyDescent="0.45">
      <c r="AC317" t="s">
        <v>19</v>
      </c>
      <c r="AD317" t="s">
        <v>389</v>
      </c>
      <c r="AE317">
        <v>1.1402646209774198E-4</v>
      </c>
      <c r="AK317">
        <v>2047</v>
      </c>
      <c r="AL317" t="s">
        <v>171</v>
      </c>
      <c r="AM317">
        <v>0.51149999999999995</v>
      </c>
      <c r="AN317" t="s">
        <v>430</v>
      </c>
    </row>
    <row r="318" spans="29:40" x14ac:dyDescent="0.45">
      <c r="AC318" t="s">
        <v>19</v>
      </c>
      <c r="AD318" t="s">
        <v>390</v>
      </c>
      <c r="AE318">
        <v>1.1461380271364468E-4</v>
      </c>
      <c r="AK318">
        <v>2047</v>
      </c>
      <c r="AL318" t="s">
        <v>158</v>
      </c>
      <c r="AM318">
        <v>0.62080000000000002</v>
      </c>
      <c r="AN318" t="s">
        <v>430</v>
      </c>
    </row>
    <row r="319" spans="29:40" x14ac:dyDescent="0.45">
      <c r="AC319" t="s">
        <v>19</v>
      </c>
      <c r="AD319" t="s">
        <v>391</v>
      </c>
      <c r="AE319">
        <v>1.1463242493457763E-4</v>
      </c>
      <c r="AK319">
        <v>2047</v>
      </c>
      <c r="AL319" t="s">
        <v>162</v>
      </c>
      <c r="AM319">
        <v>0.61750000000000005</v>
      </c>
      <c r="AN319" t="s">
        <v>430</v>
      </c>
    </row>
    <row r="320" spans="29:40" x14ac:dyDescent="0.45">
      <c r="AC320" t="s">
        <v>19</v>
      </c>
      <c r="AD320" t="s">
        <v>392</v>
      </c>
      <c r="AE320">
        <v>1.148454165864984E-4</v>
      </c>
      <c r="AK320">
        <v>2047</v>
      </c>
      <c r="AL320" t="s">
        <v>175</v>
      </c>
      <c r="AM320">
        <v>0.44309999999999999</v>
      </c>
      <c r="AN320" t="s">
        <v>430</v>
      </c>
    </row>
    <row r="321" spans="29:40" x14ac:dyDescent="0.45">
      <c r="AC321" t="s">
        <v>19</v>
      </c>
      <c r="AD321" t="s">
        <v>393</v>
      </c>
      <c r="AE321">
        <v>1.1482811696648398E-4</v>
      </c>
      <c r="AK321">
        <v>2047</v>
      </c>
      <c r="AL321" t="s">
        <v>166</v>
      </c>
      <c r="AM321">
        <v>0.31790000000000002</v>
      </c>
      <c r="AN321" t="s">
        <v>430</v>
      </c>
    </row>
    <row r="322" spans="29:40" x14ac:dyDescent="0.45">
      <c r="AC322" t="s">
        <v>19</v>
      </c>
      <c r="AD322" t="s">
        <v>394</v>
      </c>
      <c r="AE322">
        <v>1.148438823694329E-4</v>
      </c>
      <c r="AK322">
        <v>2047</v>
      </c>
      <c r="AL322" t="s">
        <v>178</v>
      </c>
      <c r="AM322">
        <v>0.24079999999999999</v>
      </c>
      <c r="AN322" t="s">
        <v>430</v>
      </c>
    </row>
    <row r="323" spans="29:40" x14ac:dyDescent="0.45">
      <c r="AC323" t="s">
        <v>19</v>
      </c>
      <c r="AD323" t="s">
        <v>395</v>
      </c>
      <c r="AE323">
        <v>1.1486356267110069E-4</v>
      </c>
      <c r="AK323">
        <v>2048</v>
      </c>
      <c r="AL323" t="s">
        <v>151</v>
      </c>
      <c r="AM323">
        <v>0.2341</v>
      </c>
      <c r="AN323" t="s">
        <v>430</v>
      </c>
    </row>
    <row r="324" spans="29:40" x14ac:dyDescent="0.45">
      <c r="AC324" t="s">
        <v>19</v>
      </c>
      <c r="AD324" t="s">
        <v>396</v>
      </c>
      <c r="AE324">
        <v>1.1486356267110069E-4</v>
      </c>
      <c r="AK324">
        <v>2048</v>
      </c>
      <c r="AL324" t="s">
        <v>156</v>
      </c>
      <c r="AM324">
        <v>0.2361</v>
      </c>
      <c r="AN324" t="s">
        <v>430</v>
      </c>
    </row>
    <row r="325" spans="29:40" x14ac:dyDescent="0.45">
      <c r="AC325" t="s">
        <v>19</v>
      </c>
      <c r="AD325" t="s">
        <v>397</v>
      </c>
      <c r="AE325">
        <v>1.1474643313375529E-4</v>
      </c>
      <c r="AK325">
        <v>2048</v>
      </c>
      <c r="AL325" t="s">
        <v>159</v>
      </c>
      <c r="AM325">
        <v>0.2873</v>
      </c>
      <c r="AN325" t="s">
        <v>430</v>
      </c>
    </row>
    <row r="326" spans="29:40" x14ac:dyDescent="0.45">
      <c r="AC326" t="s">
        <v>19</v>
      </c>
      <c r="AD326" t="s">
        <v>398</v>
      </c>
      <c r="AE326">
        <v>1.1503386076537117E-4</v>
      </c>
      <c r="AK326">
        <v>2048</v>
      </c>
      <c r="AL326" t="s">
        <v>163</v>
      </c>
      <c r="AM326">
        <v>0.3155</v>
      </c>
      <c r="AN326" t="s">
        <v>430</v>
      </c>
    </row>
    <row r="327" spans="29:40" x14ac:dyDescent="0.45">
      <c r="AC327" t="s">
        <v>19</v>
      </c>
      <c r="AD327" t="s">
        <v>399</v>
      </c>
      <c r="AE327">
        <v>1.1670753287172117E-4</v>
      </c>
      <c r="AK327">
        <v>2048</v>
      </c>
      <c r="AL327" t="s">
        <v>167</v>
      </c>
      <c r="AM327">
        <v>0.41060000000000002</v>
      </c>
      <c r="AN327" t="s">
        <v>430</v>
      </c>
    </row>
    <row r="328" spans="29:40" x14ac:dyDescent="0.45">
      <c r="AC328" t="s">
        <v>19</v>
      </c>
      <c r="AD328" t="s">
        <v>400</v>
      </c>
      <c r="AE328">
        <v>1.168152454905266E-4</v>
      </c>
      <c r="AK328">
        <v>2048</v>
      </c>
      <c r="AL328" t="s">
        <v>169</v>
      </c>
      <c r="AM328">
        <v>0.46820000000000001</v>
      </c>
      <c r="AN328" t="s">
        <v>430</v>
      </c>
    </row>
    <row r="329" spans="29:40" x14ac:dyDescent="0.45">
      <c r="AC329" t="s">
        <v>19</v>
      </c>
      <c r="AD329" t="s">
        <v>401</v>
      </c>
      <c r="AE329">
        <v>1.1608379427854042E-4</v>
      </c>
      <c r="AK329">
        <v>2048</v>
      </c>
      <c r="AL329" t="s">
        <v>171</v>
      </c>
      <c r="AM329">
        <v>0.53469999999999995</v>
      </c>
      <c r="AN329" t="s">
        <v>430</v>
      </c>
    </row>
    <row r="330" spans="29:40" x14ac:dyDescent="0.45">
      <c r="AC330" t="s">
        <v>19</v>
      </c>
      <c r="AD330" t="s">
        <v>402</v>
      </c>
      <c r="AE330">
        <v>1.1539228561429396E-4</v>
      </c>
      <c r="AK330">
        <v>2048</v>
      </c>
      <c r="AL330" t="s">
        <v>158</v>
      </c>
      <c r="AM330">
        <v>0.68959999999999999</v>
      </c>
      <c r="AN330" t="s">
        <v>430</v>
      </c>
    </row>
    <row r="331" spans="29:40" x14ac:dyDescent="0.45">
      <c r="AC331" t="s">
        <v>19</v>
      </c>
      <c r="AD331" t="s">
        <v>403</v>
      </c>
      <c r="AE331">
        <v>1.1410042194110641E-4</v>
      </c>
      <c r="AK331">
        <v>2048</v>
      </c>
      <c r="AL331" t="s">
        <v>162</v>
      </c>
      <c r="AM331">
        <v>0.58379999999999999</v>
      </c>
      <c r="AN331" t="s">
        <v>430</v>
      </c>
    </row>
    <row r="332" spans="29:40" x14ac:dyDescent="0.45">
      <c r="AC332" t="s">
        <v>19</v>
      </c>
      <c r="AD332" t="s">
        <v>404</v>
      </c>
      <c r="AE332">
        <v>1.1281659968150356E-4</v>
      </c>
      <c r="AK332">
        <v>2048</v>
      </c>
      <c r="AL332" t="s">
        <v>175</v>
      </c>
      <c r="AM332">
        <v>0.4778</v>
      </c>
      <c r="AN332" t="s">
        <v>430</v>
      </c>
    </row>
    <row r="333" spans="29:40" x14ac:dyDescent="0.45">
      <c r="AC333" t="s">
        <v>19</v>
      </c>
      <c r="AD333" t="s">
        <v>405</v>
      </c>
      <c r="AE333">
        <v>1.1138120735663669E-4</v>
      </c>
      <c r="AK333">
        <v>2048</v>
      </c>
      <c r="AL333" t="s">
        <v>166</v>
      </c>
      <c r="AM333">
        <v>0.28249999999999997</v>
      </c>
      <c r="AN333" t="s">
        <v>430</v>
      </c>
    </row>
    <row r="334" spans="29:40" x14ac:dyDescent="0.45">
      <c r="AC334" t="s">
        <v>19</v>
      </c>
      <c r="AD334" t="s">
        <v>406</v>
      </c>
      <c r="AE334">
        <v>1.1113874815625099E-4</v>
      </c>
      <c r="AK334">
        <v>2048</v>
      </c>
      <c r="AL334" t="s">
        <v>178</v>
      </c>
      <c r="AM334">
        <v>0.25080000000000002</v>
      </c>
      <c r="AN334" t="s">
        <v>430</v>
      </c>
    </row>
    <row r="335" spans="29:40" x14ac:dyDescent="0.45">
      <c r="AC335" t="s">
        <v>19</v>
      </c>
      <c r="AD335" t="s">
        <v>407</v>
      </c>
      <c r="AE335">
        <v>1.1113102416688673E-4</v>
      </c>
      <c r="AK335">
        <v>2049</v>
      </c>
      <c r="AL335" t="s">
        <v>151</v>
      </c>
      <c r="AM335">
        <v>0.23300000000000001</v>
      </c>
      <c r="AN335" t="s">
        <v>430</v>
      </c>
    </row>
    <row r="336" spans="29:40" x14ac:dyDescent="0.45">
      <c r="AC336" t="s">
        <v>19</v>
      </c>
      <c r="AD336" t="s">
        <v>408</v>
      </c>
      <c r="AE336">
        <v>1.1115292643809767E-4</v>
      </c>
      <c r="AK336">
        <v>2049</v>
      </c>
      <c r="AL336" t="s">
        <v>156</v>
      </c>
      <c r="AM336">
        <v>0.25209999999999999</v>
      </c>
      <c r="AN336" t="s">
        <v>430</v>
      </c>
    </row>
    <row r="337" spans="29:40" x14ac:dyDescent="0.45">
      <c r="AC337" t="s">
        <v>19</v>
      </c>
      <c r="AD337" t="s">
        <v>409</v>
      </c>
      <c r="AE337">
        <v>1.1136147415093216E-4</v>
      </c>
      <c r="AK337">
        <v>2049</v>
      </c>
      <c r="AL337" t="s">
        <v>159</v>
      </c>
      <c r="AM337">
        <v>0.27529999999999999</v>
      </c>
      <c r="AN337" t="s">
        <v>430</v>
      </c>
    </row>
    <row r="338" spans="29:40" x14ac:dyDescent="0.45">
      <c r="AC338" t="s">
        <v>19</v>
      </c>
      <c r="AD338" t="s">
        <v>410</v>
      </c>
      <c r="AE338">
        <v>1.1231940754420816E-4</v>
      </c>
      <c r="AK338">
        <v>2049</v>
      </c>
      <c r="AL338" t="s">
        <v>163</v>
      </c>
      <c r="AM338">
        <v>0.30709999999999998</v>
      </c>
      <c r="AN338" t="s">
        <v>430</v>
      </c>
    </row>
    <row r="339" spans="29:40" x14ac:dyDescent="0.45">
      <c r="AC339" t="s">
        <v>19</v>
      </c>
      <c r="AD339" t="s">
        <v>411</v>
      </c>
      <c r="AE339">
        <v>2.4805278682473533E-2</v>
      </c>
      <c r="AK339">
        <v>2049</v>
      </c>
      <c r="AL339" t="s">
        <v>167</v>
      </c>
      <c r="AM339">
        <v>0.41820000000000002</v>
      </c>
      <c r="AN339" t="s">
        <v>430</v>
      </c>
    </row>
    <row r="340" spans="29:40" x14ac:dyDescent="0.45">
      <c r="AC340" t="s">
        <v>19</v>
      </c>
      <c r="AD340" t="s">
        <v>412</v>
      </c>
      <c r="AE340">
        <v>3.5698886224987637E-3</v>
      </c>
      <c r="AK340">
        <v>2049</v>
      </c>
      <c r="AL340" t="s">
        <v>169</v>
      </c>
      <c r="AM340">
        <v>0.46750000000000003</v>
      </c>
      <c r="AN340" t="s">
        <v>430</v>
      </c>
    </row>
    <row r="341" spans="29:40" x14ac:dyDescent="0.45">
      <c r="AC341" t="s">
        <v>19</v>
      </c>
      <c r="AD341" t="s">
        <v>413</v>
      </c>
      <c r="AE341">
        <v>3.5749377837653602E-3</v>
      </c>
      <c r="AK341">
        <v>2049</v>
      </c>
      <c r="AL341" t="s">
        <v>171</v>
      </c>
      <c r="AM341">
        <v>0.52849999999999997</v>
      </c>
      <c r="AN341" t="s">
        <v>430</v>
      </c>
    </row>
    <row r="342" spans="29:40" x14ac:dyDescent="0.45">
      <c r="AC342" t="s">
        <v>19</v>
      </c>
      <c r="AD342" t="s">
        <v>414</v>
      </c>
      <c r="AE342">
        <v>3.5768624326220112E-3</v>
      </c>
      <c r="AK342">
        <v>2049</v>
      </c>
      <c r="AL342" t="s">
        <v>158</v>
      </c>
      <c r="AM342">
        <v>0.65500000000000003</v>
      </c>
      <c r="AN342" t="s">
        <v>430</v>
      </c>
    </row>
    <row r="343" spans="29:40" x14ac:dyDescent="0.45">
      <c r="AC343" t="s">
        <v>19</v>
      </c>
      <c r="AD343" t="s">
        <v>415</v>
      </c>
      <c r="AE343">
        <v>2.5077684953513202E-2</v>
      </c>
      <c r="AK343">
        <v>2049</v>
      </c>
      <c r="AL343" t="s">
        <v>162</v>
      </c>
      <c r="AM343">
        <v>0.64280000000000004</v>
      </c>
      <c r="AN343" t="s">
        <v>430</v>
      </c>
    </row>
    <row r="344" spans="29:40" x14ac:dyDescent="0.45">
      <c r="AC344" t="s">
        <v>19</v>
      </c>
      <c r="AD344" t="s">
        <v>416</v>
      </c>
      <c r="AE344">
        <v>3.4962142493165835E-3</v>
      </c>
      <c r="AK344">
        <v>2049</v>
      </c>
      <c r="AL344" t="s">
        <v>175</v>
      </c>
      <c r="AM344">
        <v>0.45379999999999998</v>
      </c>
      <c r="AN344" t="s">
        <v>430</v>
      </c>
    </row>
    <row r="345" spans="29:40" x14ac:dyDescent="0.45">
      <c r="AC345" t="s">
        <v>19</v>
      </c>
      <c r="AD345" t="s">
        <v>417</v>
      </c>
      <c r="AE345">
        <v>3.4560444787390446E-3</v>
      </c>
      <c r="AK345">
        <v>2049</v>
      </c>
      <c r="AL345" t="s">
        <v>166</v>
      </c>
      <c r="AM345">
        <v>0.29730000000000001</v>
      </c>
      <c r="AN345" t="s">
        <v>430</v>
      </c>
    </row>
    <row r="346" spans="29:40" x14ac:dyDescent="0.45">
      <c r="AC346" t="s">
        <v>19</v>
      </c>
      <c r="AD346" t="s">
        <v>418</v>
      </c>
      <c r="AE346">
        <v>1.7272027717116094E-2</v>
      </c>
      <c r="AK346">
        <v>2049</v>
      </c>
      <c r="AL346" t="s">
        <v>178</v>
      </c>
      <c r="AM346">
        <v>0.22620000000000001</v>
      </c>
      <c r="AN346" t="s">
        <v>430</v>
      </c>
    </row>
    <row r="347" spans="29:40" x14ac:dyDescent="0.45">
      <c r="AK347">
        <v>2050</v>
      </c>
      <c r="AL347" t="s">
        <v>151</v>
      </c>
      <c r="AM347">
        <v>0.26329999999999998</v>
      </c>
      <c r="AN347" t="s">
        <v>430</v>
      </c>
    </row>
    <row r="348" spans="29:40" x14ac:dyDescent="0.45">
      <c r="AK348">
        <v>2050</v>
      </c>
      <c r="AL348" t="s">
        <v>156</v>
      </c>
      <c r="AM348">
        <v>0.2621</v>
      </c>
      <c r="AN348" t="s">
        <v>430</v>
      </c>
    </row>
    <row r="349" spans="29:40" x14ac:dyDescent="0.45">
      <c r="AK349">
        <v>2050</v>
      </c>
      <c r="AL349" t="s">
        <v>159</v>
      </c>
      <c r="AM349">
        <v>0.25269999999999998</v>
      </c>
      <c r="AN349" t="s">
        <v>430</v>
      </c>
    </row>
    <row r="350" spans="29:40" x14ac:dyDescent="0.45">
      <c r="AK350">
        <v>2050</v>
      </c>
      <c r="AL350" t="s">
        <v>163</v>
      </c>
      <c r="AM350">
        <v>0.31819999999999998</v>
      </c>
      <c r="AN350" t="s">
        <v>430</v>
      </c>
    </row>
    <row r="351" spans="29:40" x14ac:dyDescent="0.45">
      <c r="AK351">
        <v>2050</v>
      </c>
      <c r="AL351" t="s">
        <v>167</v>
      </c>
      <c r="AM351">
        <v>0.41739999999999999</v>
      </c>
      <c r="AN351" t="s">
        <v>430</v>
      </c>
    </row>
    <row r="352" spans="29:40" x14ac:dyDescent="0.45">
      <c r="AK352">
        <v>2050</v>
      </c>
      <c r="AL352" t="s">
        <v>169</v>
      </c>
      <c r="AM352">
        <v>0.47360000000000002</v>
      </c>
      <c r="AN352" t="s">
        <v>430</v>
      </c>
    </row>
    <row r="353" spans="37:40" x14ac:dyDescent="0.45">
      <c r="AK353">
        <v>2050</v>
      </c>
      <c r="AL353" t="s">
        <v>171</v>
      </c>
      <c r="AM353">
        <v>0.4929</v>
      </c>
      <c r="AN353" t="s">
        <v>430</v>
      </c>
    </row>
    <row r="354" spans="37:40" x14ac:dyDescent="0.45">
      <c r="AK354">
        <v>2050</v>
      </c>
      <c r="AL354" t="s">
        <v>158</v>
      </c>
      <c r="AM354">
        <v>0.67459999999999998</v>
      </c>
      <c r="AN354" t="s">
        <v>430</v>
      </c>
    </row>
    <row r="355" spans="37:40" x14ac:dyDescent="0.45">
      <c r="AK355">
        <v>2050</v>
      </c>
      <c r="AL355" t="s">
        <v>162</v>
      </c>
      <c r="AM355">
        <v>0.63300000000000001</v>
      </c>
      <c r="AN355" t="s">
        <v>430</v>
      </c>
    </row>
    <row r="356" spans="37:40" x14ac:dyDescent="0.45">
      <c r="AK356">
        <v>2050</v>
      </c>
      <c r="AL356" t="s">
        <v>175</v>
      </c>
      <c r="AM356">
        <v>0.48020000000000002</v>
      </c>
      <c r="AN356" t="s">
        <v>430</v>
      </c>
    </row>
    <row r="357" spans="37:40" x14ac:dyDescent="0.45">
      <c r="AK357">
        <v>2050</v>
      </c>
      <c r="AL357" t="s">
        <v>166</v>
      </c>
      <c r="AM357">
        <v>0.26769999999999999</v>
      </c>
      <c r="AN357" t="s">
        <v>430</v>
      </c>
    </row>
    <row r="358" spans="37:40" x14ac:dyDescent="0.45">
      <c r="AK358">
        <v>2050</v>
      </c>
      <c r="AL358" t="s">
        <v>178</v>
      </c>
      <c r="AM358">
        <v>0.23810000000000001</v>
      </c>
      <c r="AN358" t="s">
        <v>430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A63B1-2095-46E4-A49D-66B0C548D42E}">
  <dimension ref="A9:AN63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103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122</v>
      </c>
      <c r="K10" t="s">
        <v>248</v>
      </c>
      <c r="L10" t="s">
        <v>30</v>
      </c>
      <c r="N10" t="s">
        <v>13</v>
      </c>
      <c r="O10" t="s">
        <v>122</v>
      </c>
      <c r="P10" t="s">
        <v>248</v>
      </c>
      <c r="Q10" t="s">
        <v>30</v>
      </c>
      <c r="S10" t="s">
        <v>13</v>
      </c>
      <c r="T10" t="s">
        <v>122</v>
      </c>
      <c r="U10" t="s">
        <v>248</v>
      </c>
      <c r="V10" t="s">
        <v>30</v>
      </c>
      <c r="X10" t="s">
        <v>421</v>
      </c>
      <c r="Y10" t="s">
        <v>248</v>
      </c>
      <c r="Z10" t="s">
        <v>122</v>
      </c>
      <c r="AA10" t="s">
        <v>13</v>
      </c>
      <c r="AC10" t="s">
        <v>13</v>
      </c>
      <c r="AD10" t="s">
        <v>122</v>
      </c>
      <c r="AE10" t="s">
        <v>248</v>
      </c>
      <c r="AG10" t="s">
        <v>13</v>
      </c>
      <c r="AH10" t="s">
        <v>122</v>
      </c>
      <c r="AI10" t="s">
        <v>427</v>
      </c>
      <c r="AK10" t="s">
        <v>47</v>
      </c>
      <c r="AL10" t="s">
        <v>122</v>
      </c>
      <c r="AM10" t="s">
        <v>428</v>
      </c>
      <c r="AN10" t="s">
        <v>429</v>
      </c>
    </row>
    <row r="11" spans="1:40" x14ac:dyDescent="0.45">
      <c r="A11" t="str">
        <f>IFERROR(IF(Veda!D5=A10,"ok","x"),"")</f>
        <v>x</v>
      </c>
      <c r="C11" t="s">
        <v>151</v>
      </c>
      <c r="D11" t="s">
        <v>152</v>
      </c>
      <c r="E11" t="s">
        <v>431</v>
      </c>
      <c r="F11" t="s">
        <v>154</v>
      </c>
      <c r="G11" t="s">
        <v>155</v>
      </c>
      <c r="I11" t="s">
        <v>249</v>
      </c>
      <c r="J11" t="s">
        <v>250</v>
      </c>
      <c r="K11">
        <v>0</v>
      </c>
      <c r="L11" t="s">
        <v>251</v>
      </c>
      <c r="N11" t="s">
        <v>419</v>
      </c>
      <c r="O11" t="s">
        <v>250</v>
      </c>
      <c r="P11">
        <v>1.7870835987201485E-2</v>
      </c>
      <c r="Q11" t="s">
        <v>251</v>
      </c>
      <c r="S11" t="s">
        <v>420</v>
      </c>
      <c r="T11" t="s">
        <v>250</v>
      </c>
      <c r="U11">
        <v>1.8804923305469411E-2</v>
      </c>
      <c r="V11" t="s">
        <v>251</v>
      </c>
      <c r="X11">
        <v>2.4771689497716895E-2</v>
      </c>
      <c r="Y11">
        <v>9.7827942553597048E-3</v>
      </c>
      <c r="Z11" t="s">
        <v>250</v>
      </c>
      <c r="AA11" t="s">
        <v>25</v>
      </c>
      <c r="AC11" t="s">
        <v>22</v>
      </c>
      <c r="AD11" t="s">
        <v>250</v>
      </c>
      <c r="AE11">
        <v>1.949452943339923E-2</v>
      </c>
      <c r="AG11" t="s">
        <v>97</v>
      </c>
      <c r="AH11" t="s">
        <v>250</v>
      </c>
      <c r="AI11">
        <v>0.10127753898572567</v>
      </c>
      <c r="AK11">
        <v>2020</v>
      </c>
      <c r="AL11" t="s">
        <v>151</v>
      </c>
      <c r="AM11">
        <v>0.2698110913113228</v>
      </c>
      <c r="AN11" t="s">
        <v>430</v>
      </c>
    </row>
    <row r="12" spans="1:40" x14ac:dyDescent="0.45">
      <c r="C12" t="s">
        <v>156</v>
      </c>
      <c r="D12" t="s">
        <v>155</v>
      </c>
      <c r="E12" t="s">
        <v>432</v>
      </c>
      <c r="F12" t="s">
        <v>158</v>
      </c>
      <c r="G12" t="s">
        <v>155</v>
      </c>
      <c r="I12" t="s">
        <v>249</v>
      </c>
      <c r="J12" t="s">
        <v>252</v>
      </c>
      <c r="K12">
        <v>1.5156644477423446E-3</v>
      </c>
      <c r="L12" t="s">
        <v>251</v>
      </c>
      <c r="N12" t="s">
        <v>419</v>
      </c>
      <c r="O12" t="s">
        <v>252</v>
      </c>
      <c r="P12">
        <v>1.9241151758176208E-3</v>
      </c>
      <c r="Q12" t="s">
        <v>251</v>
      </c>
      <c r="S12" t="s">
        <v>420</v>
      </c>
      <c r="T12" t="s">
        <v>252</v>
      </c>
      <c r="U12">
        <v>2.4994659436263973E-3</v>
      </c>
      <c r="V12" t="s">
        <v>251</v>
      </c>
      <c r="X12">
        <v>3.5388127853881279E-3</v>
      </c>
      <c r="Y12">
        <v>5.9087255218821738E-3</v>
      </c>
      <c r="Z12" t="s">
        <v>252</v>
      </c>
      <c r="AA12" t="s">
        <v>25</v>
      </c>
      <c r="AC12" t="s">
        <v>22</v>
      </c>
      <c r="AD12" t="s">
        <v>252</v>
      </c>
      <c r="AE12">
        <v>3.1657926352740033E-3</v>
      </c>
      <c r="AG12" t="s">
        <v>97</v>
      </c>
      <c r="AH12" t="s">
        <v>252</v>
      </c>
      <c r="AI12">
        <v>2.7713627671200891E-2</v>
      </c>
      <c r="AK12">
        <v>2020</v>
      </c>
      <c r="AL12" t="s">
        <v>156</v>
      </c>
      <c r="AM12">
        <v>0.28091924024938381</v>
      </c>
      <c r="AN12" t="s">
        <v>430</v>
      </c>
    </row>
    <row r="13" spans="1:40" x14ac:dyDescent="0.45">
      <c r="C13" t="s">
        <v>159</v>
      </c>
      <c r="D13" t="s">
        <v>160</v>
      </c>
      <c r="E13" t="s">
        <v>433</v>
      </c>
      <c r="F13" t="s">
        <v>158</v>
      </c>
      <c r="G13" t="s">
        <v>155</v>
      </c>
      <c r="I13" t="s">
        <v>249</v>
      </c>
      <c r="J13" t="s">
        <v>253</v>
      </c>
      <c r="K13">
        <v>6.0907786952883094E-3</v>
      </c>
      <c r="L13" t="s">
        <v>251</v>
      </c>
      <c r="N13" t="s">
        <v>419</v>
      </c>
      <c r="O13" t="s">
        <v>253</v>
      </c>
      <c r="P13">
        <v>1.3264422841106609E-3</v>
      </c>
      <c r="Q13" t="s">
        <v>251</v>
      </c>
      <c r="S13" t="s">
        <v>420</v>
      </c>
      <c r="T13" t="s">
        <v>253</v>
      </c>
      <c r="U13">
        <v>2.4236393429404191E-3</v>
      </c>
      <c r="V13" t="s">
        <v>251</v>
      </c>
      <c r="X13">
        <v>3.5388127853881279E-3</v>
      </c>
      <c r="Y13">
        <v>4.521459529788099E-3</v>
      </c>
      <c r="Z13" t="s">
        <v>253</v>
      </c>
      <c r="AA13" t="s">
        <v>25</v>
      </c>
      <c r="AC13" t="s">
        <v>22</v>
      </c>
      <c r="AD13" t="s">
        <v>253</v>
      </c>
      <c r="AE13">
        <v>3.2675077100406246E-3</v>
      </c>
      <c r="AG13" t="s">
        <v>97</v>
      </c>
      <c r="AH13" t="s">
        <v>253</v>
      </c>
      <c r="AI13">
        <v>5.3468428145687641E-2</v>
      </c>
      <c r="AK13">
        <v>2020</v>
      </c>
      <c r="AL13" t="s">
        <v>159</v>
      </c>
      <c r="AM13">
        <v>0.28179619937607281</v>
      </c>
      <c r="AN13" t="s">
        <v>430</v>
      </c>
    </row>
    <row r="14" spans="1:40" x14ac:dyDescent="0.45">
      <c r="C14" t="s">
        <v>163</v>
      </c>
      <c r="D14" t="s">
        <v>164</v>
      </c>
      <c r="E14" t="s">
        <v>434</v>
      </c>
      <c r="F14" t="s">
        <v>158</v>
      </c>
      <c r="G14" t="s">
        <v>155</v>
      </c>
      <c r="I14" t="s">
        <v>249</v>
      </c>
      <c r="J14" t="s">
        <v>254</v>
      </c>
      <c r="K14">
        <v>8.8262464634354994E-3</v>
      </c>
      <c r="L14" t="s">
        <v>251</v>
      </c>
      <c r="N14" t="s">
        <v>419</v>
      </c>
      <c r="O14" t="s">
        <v>254</v>
      </c>
      <c r="P14">
        <v>1.0431621995471597E-3</v>
      </c>
      <c r="Q14" t="s">
        <v>251</v>
      </c>
      <c r="S14" t="s">
        <v>420</v>
      </c>
      <c r="T14" t="s">
        <v>254</v>
      </c>
      <c r="U14">
        <v>2.3370906629166972E-3</v>
      </c>
      <c r="V14" t="s">
        <v>251</v>
      </c>
      <c r="X14">
        <v>3.5388127853881279E-3</v>
      </c>
      <c r="Y14">
        <v>4.4803553522445696E-3</v>
      </c>
      <c r="Z14" t="s">
        <v>254</v>
      </c>
      <c r="AA14" t="s">
        <v>25</v>
      </c>
      <c r="AC14" t="s">
        <v>22</v>
      </c>
      <c r="AD14" t="s">
        <v>254</v>
      </c>
      <c r="AE14">
        <v>3.312860856965701E-3</v>
      </c>
      <c r="AG14" t="s">
        <v>97</v>
      </c>
      <c r="AH14" t="s">
        <v>254</v>
      </c>
      <c r="AI14">
        <v>5.848083541293625E-2</v>
      </c>
      <c r="AK14">
        <v>2020</v>
      </c>
      <c r="AL14" t="s">
        <v>163</v>
      </c>
      <c r="AM14">
        <v>0.3265308588275096</v>
      </c>
      <c r="AN14" t="s">
        <v>430</v>
      </c>
    </row>
    <row r="15" spans="1:40" x14ac:dyDescent="0.45">
      <c r="C15" t="s">
        <v>167</v>
      </c>
      <c r="D15" t="s">
        <v>435</v>
      </c>
      <c r="E15" t="s">
        <v>436</v>
      </c>
      <c r="F15" t="s">
        <v>162</v>
      </c>
      <c r="G15" t="s">
        <v>155</v>
      </c>
      <c r="I15" t="s">
        <v>249</v>
      </c>
      <c r="J15" t="s">
        <v>255</v>
      </c>
      <c r="K15">
        <v>6.8054972448293893E-2</v>
      </c>
      <c r="L15" t="s">
        <v>251</v>
      </c>
      <c r="N15" t="s">
        <v>419</v>
      </c>
      <c r="O15" t="s">
        <v>255</v>
      </c>
      <c r="P15">
        <v>6.432084773477645E-3</v>
      </c>
      <c r="Q15" t="s">
        <v>251</v>
      </c>
      <c r="S15" t="s">
        <v>420</v>
      </c>
      <c r="T15" t="s">
        <v>255</v>
      </c>
      <c r="U15">
        <v>1.4185336142442046E-2</v>
      </c>
      <c r="V15" t="s">
        <v>251</v>
      </c>
      <c r="X15">
        <v>2.4771689497716895E-2</v>
      </c>
      <c r="Y15">
        <v>3.4650821669194247E-2</v>
      </c>
      <c r="Z15" t="s">
        <v>255</v>
      </c>
      <c r="AA15" t="s">
        <v>25</v>
      </c>
      <c r="AC15" t="s">
        <v>22</v>
      </c>
      <c r="AD15" t="s">
        <v>255</v>
      </c>
      <c r="AE15">
        <v>2.5061802859319558E-2</v>
      </c>
      <c r="AG15" t="s">
        <v>97</v>
      </c>
      <c r="AH15" t="s">
        <v>255</v>
      </c>
      <c r="AI15">
        <v>8.590995507981436E-2</v>
      </c>
      <c r="AK15">
        <v>2020</v>
      </c>
      <c r="AL15" t="s">
        <v>167</v>
      </c>
      <c r="AM15">
        <v>0.43263316916658479</v>
      </c>
      <c r="AN15" t="s">
        <v>430</v>
      </c>
    </row>
    <row r="16" spans="1:40" x14ac:dyDescent="0.45">
      <c r="C16" t="s">
        <v>169</v>
      </c>
      <c r="D16" t="s">
        <v>437</v>
      </c>
      <c r="E16" t="s">
        <v>438</v>
      </c>
      <c r="F16" t="s">
        <v>162</v>
      </c>
      <c r="G16" t="s">
        <v>155</v>
      </c>
      <c r="I16" t="s">
        <v>249</v>
      </c>
      <c r="J16" t="s">
        <v>256</v>
      </c>
      <c r="K16">
        <v>6.3045631172925004E-3</v>
      </c>
      <c r="L16" t="s">
        <v>251</v>
      </c>
      <c r="N16" t="s">
        <v>419</v>
      </c>
      <c r="O16" t="s">
        <v>256</v>
      </c>
      <c r="P16">
        <v>1.1229787319966876E-3</v>
      </c>
      <c r="Q16" t="s">
        <v>251</v>
      </c>
      <c r="S16" t="s">
        <v>420</v>
      </c>
      <c r="T16" t="s">
        <v>256</v>
      </c>
      <c r="U16">
        <v>2.2277816707203545E-3</v>
      </c>
      <c r="V16" t="s">
        <v>251</v>
      </c>
      <c r="X16">
        <v>3.5388127853881279E-3</v>
      </c>
      <c r="Y16">
        <v>6.8849497385409693E-3</v>
      </c>
      <c r="Z16" t="s">
        <v>256</v>
      </c>
      <c r="AA16" t="s">
        <v>25</v>
      </c>
      <c r="AC16" t="s">
        <v>22</v>
      </c>
      <c r="AD16" t="s">
        <v>256</v>
      </c>
      <c r="AE16">
        <v>2.0364327629016658E-3</v>
      </c>
      <c r="AG16" t="s">
        <v>97</v>
      </c>
      <c r="AH16" t="s">
        <v>256</v>
      </c>
      <c r="AI16">
        <v>0.13177806983731877</v>
      </c>
      <c r="AK16">
        <v>2020</v>
      </c>
      <c r="AL16" t="s">
        <v>169</v>
      </c>
      <c r="AM16">
        <v>0.53857957566091541</v>
      </c>
      <c r="AN16" t="s">
        <v>430</v>
      </c>
    </row>
    <row r="17" spans="3:40" x14ac:dyDescent="0.45">
      <c r="C17" t="s">
        <v>171</v>
      </c>
      <c r="D17" t="s">
        <v>439</v>
      </c>
      <c r="E17" t="s">
        <v>440</v>
      </c>
      <c r="F17" t="s">
        <v>162</v>
      </c>
      <c r="G17" t="s">
        <v>155</v>
      </c>
      <c r="I17" t="s">
        <v>249</v>
      </c>
      <c r="J17" t="s">
        <v>257</v>
      </c>
      <c r="K17">
        <v>1.9471601344935659E-3</v>
      </c>
      <c r="L17" t="s">
        <v>251</v>
      </c>
      <c r="N17" t="s">
        <v>419</v>
      </c>
      <c r="O17" t="s">
        <v>257</v>
      </c>
      <c r="P17">
        <v>1.7169265539782872E-3</v>
      </c>
      <c r="Q17" t="s">
        <v>251</v>
      </c>
      <c r="S17" t="s">
        <v>420</v>
      </c>
      <c r="T17" t="s">
        <v>257</v>
      </c>
      <c r="U17">
        <v>2.3637794363564149E-3</v>
      </c>
      <c r="V17" t="s">
        <v>251</v>
      </c>
      <c r="X17">
        <v>3.5388127853881279E-3</v>
      </c>
      <c r="Y17">
        <v>5.3435430806586613E-3</v>
      </c>
      <c r="Z17" t="s">
        <v>257</v>
      </c>
      <c r="AA17" t="s">
        <v>25</v>
      </c>
      <c r="AC17" t="s">
        <v>22</v>
      </c>
      <c r="AD17" t="s">
        <v>257</v>
      </c>
      <c r="AE17">
        <v>9.1182133949866144E-4</v>
      </c>
      <c r="AG17" t="s">
        <v>97</v>
      </c>
      <c r="AH17" t="s">
        <v>257</v>
      </c>
      <c r="AI17">
        <v>2.5642555722991123E-2</v>
      </c>
      <c r="AK17">
        <v>2020</v>
      </c>
      <c r="AL17" t="s">
        <v>171</v>
      </c>
      <c r="AM17">
        <v>0.55540744690304811</v>
      </c>
      <c r="AN17" t="s">
        <v>430</v>
      </c>
    </row>
    <row r="18" spans="3:40" x14ac:dyDescent="0.45">
      <c r="C18" t="s">
        <v>158</v>
      </c>
      <c r="D18" t="s">
        <v>441</v>
      </c>
      <c r="E18" t="s">
        <v>442</v>
      </c>
      <c r="F18" t="s">
        <v>166</v>
      </c>
      <c r="G18" t="s">
        <v>155</v>
      </c>
      <c r="I18" t="s">
        <v>249</v>
      </c>
      <c r="J18" t="s">
        <v>258</v>
      </c>
      <c r="K18">
        <v>0</v>
      </c>
      <c r="L18" t="s">
        <v>251</v>
      </c>
      <c r="N18" t="s">
        <v>419</v>
      </c>
      <c r="O18" t="s">
        <v>258</v>
      </c>
      <c r="P18">
        <v>1.4808898500501662E-2</v>
      </c>
      <c r="Q18" t="s">
        <v>251</v>
      </c>
      <c r="S18" t="s">
        <v>420</v>
      </c>
      <c r="T18" t="s">
        <v>258</v>
      </c>
      <c r="U18">
        <v>1.2894079630715663E-2</v>
      </c>
      <c r="V18" t="s">
        <v>251</v>
      </c>
      <c r="X18">
        <v>1.7694063926940638E-2</v>
      </c>
      <c r="Y18">
        <v>1.3358857701646654E-2</v>
      </c>
      <c r="Z18" t="s">
        <v>258</v>
      </c>
      <c r="AA18" t="s">
        <v>25</v>
      </c>
      <c r="AC18" t="s">
        <v>22</v>
      </c>
      <c r="AD18" t="s">
        <v>258</v>
      </c>
      <c r="AE18">
        <v>4.8624804450542597E-3</v>
      </c>
      <c r="AG18" t="s">
        <v>97</v>
      </c>
      <c r="AH18" t="s">
        <v>258</v>
      </c>
      <c r="AI18">
        <v>0.14420377925344408</v>
      </c>
      <c r="AK18">
        <v>2020</v>
      </c>
      <c r="AL18" t="s">
        <v>158</v>
      </c>
      <c r="AM18">
        <v>0.59107045138840164</v>
      </c>
      <c r="AN18" t="s">
        <v>430</v>
      </c>
    </row>
    <row r="19" spans="3:40" x14ac:dyDescent="0.45">
      <c r="C19" t="s">
        <v>162</v>
      </c>
      <c r="D19" t="s">
        <v>443</v>
      </c>
      <c r="E19" t="s">
        <v>444</v>
      </c>
      <c r="F19" t="s">
        <v>166</v>
      </c>
      <c r="G19" t="s">
        <v>155</v>
      </c>
      <c r="I19" t="s">
        <v>249</v>
      </c>
      <c r="J19" t="s">
        <v>259</v>
      </c>
      <c r="K19">
        <v>0</v>
      </c>
      <c r="L19" t="s">
        <v>251</v>
      </c>
      <c r="N19" t="s">
        <v>419</v>
      </c>
      <c r="O19" t="s">
        <v>259</v>
      </c>
      <c r="P19">
        <v>1.6839964131480336E-2</v>
      </c>
      <c r="Q19" t="s">
        <v>251</v>
      </c>
      <c r="S19" t="s">
        <v>420</v>
      </c>
      <c r="T19" t="s">
        <v>259</v>
      </c>
      <c r="U19">
        <v>1.4357734927052774E-2</v>
      </c>
      <c r="V19" t="s">
        <v>251</v>
      </c>
      <c r="X19">
        <v>2.2374429223744292E-2</v>
      </c>
      <c r="Y19">
        <v>8.8360722306474754E-3</v>
      </c>
      <c r="Z19" t="s">
        <v>259</v>
      </c>
      <c r="AA19" t="s">
        <v>25</v>
      </c>
      <c r="AC19" t="s">
        <v>22</v>
      </c>
      <c r="AD19" t="s">
        <v>259</v>
      </c>
      <c r="AE19">
        <v>1.7740078321897119E-2</v>
      </c>
      <c r="AG19" t="s">
        <v>97</v>
      </c>
      <c r="AH19" t="s">
        <v>259</v>
      </c>
      <c r="AI19">
        <v>0.14633377109330481</v>
      </c>
      <c r="AK19">
        <v>2020</v>
      </c>
      <c r="AL19" t="s">
        <v>162</v>
      </c>
      <c r="AM19">
        <v>0.61228311826397963</v>
      </c>
      <c r="AN19" t="s">
        <v>430</v>
      </c>
    </row>
    <row r="20" spans="3:40" x14ac:dyDescent="0.45">
      <c r="C20" t="s">
        <v>175</v>
      </c>
      <c r="D20" t="s">
        <v>445</v>
      </c>
      <c r="E20" t="s">
        <v>446</v>
      </c>
      <c r="F20" t="s">
        <v>166</v>
      </c>
      <c r="G20" t="s">
        <v>155</v>
      </c>
      <c r="I20" t="s">
        <v>249</v>
      </c>
      <c r="J20" t="s">
        <v>260</v>
      </c>
      <c r="K20">
        <v>1.3744729811050727E-3</v>
      </c>
      <c r="L20" t="s">
        <v>251</v>
      </c>
      <c r="N20" t="s">
        <v>419</v>
      </c>
      <c r="O20" t="s">
        <v>260</v>
      </c>
      <c r="P20">
        <v>1.675421865146762E-3</v>
      </c>
      <c r="Q20" t="s">
        <v>251</v>
      </c>
      <c r="S20" t="s">
        <v>420</v>
      </c>
      <c r="T20" t="s">
        <v>260</v>
      </c>
      <c r="U20">
        <v>2.0874895392113909E-3</v>
      </c>
      <c r="V20" t="s">
        <v>251</v>
      </c>
      <c r="X20">
        <v>3.1963470319634705E-3</v>
      </c>
      <c r="Y20">
        <v>5.3369133746032542E-3</v>
      </c>
      <c r="Z20" t="s">
        <v>260</v>
      </c>
      <c r="AA20" t="s">
        <v>25</v>
      </c>
      <c r="AC20" t="s">
        <v>22</v>
      </c>
      <c r="AD20" t="s">
        <v>260</v>
      </c>
      <c r="AE20">
        <v>3.0869304791650691E-3</v>
      </c>
      <c r="AG20" t="s">
        <v>97</v>
      </c>
      <c r="AH20" t="s">
        <v>260</v>
      </c>
      <c r="AI20">
        <v>5.0572918025461489E-2</v>
      </c>
      <c r="AK20">
        <v>2020</v>
      </c>
      <c r="AL20" t="s">
        <v>175</v>
      </c>
      <c r="AM20">
        <v>0.41918646255735309</v>
      </c>
      <c r="AN20" t="s">
        <v>430</v>
      </c>
    </row>
    <row r="21" spans="3:40" x14ac:dyDescent="0.45">
      <c r="C21" t="s">
        <v>166</v>
      </c>
      <c r="E21" t="s">
        <v>447</v>
      </c>
      <c r="G21" t="s">
        <v>155</v>
      </c>
      <c r="I21" t="s">
        <v>249</v>
      </c>
      <c r="J21" t="s">
        <v>261</v>
      </c>
      <c r="K21">
        <v>5.6351738993605004E-3</v>
      </c>
      <c r="L21" t="s">
        <v>251</v>
      </c>
      <c r="N21" t="s">
        <v>419</v>
      </c>
      <c r="O21" t="s">
        <v>261</v>
      </c>
      <c r="P21">
        <v>1.1556557148236276E-3</v>
      </c>
      <c r="Q21" t="s">
        <v>251</v>
      </c>
      <c r="S21" t="s">
        <v>420</v>
      </c>
      <c r="T21" t="s">
        <v>261</v>
      </c>
      <c r="U21">
        <v>2.0457665836738988E-3</v>
      </c>
      <c r="V21" t="s">
        <v>251</v>
      </c>
      <c r="X21">
        <v>3.1963470319634705E-3</v>
      </c>
      <c r="Y21">
        <v>4.0838989301311864E-3</v>
      </c>
      <c r="Z21" t="s">
        <v>261</v>
      </c>
      <c r="AA21" t="s">
        <v>25</v>
      </c>
      <c r="AC21" t="s">
        <v>22</v>
      </c>
      <c r="AD21" t="s">
        <v>261</v>
      </c>
      <c r="AE21">
        <v>3.1947187109781102E-3</v>
      </c>
      <c r="AG21" t="s">
        <v>97</v>
      </c>
      <c r="AH21" t="s">
        <v>261</v>
      </c>
      <c r="AI21">
        <v>4.3209447839231307E-2</v>
      </c>
      <c r="AK21">
        <v>2020</v>
      </c>
      <c r="AL21" t="s">
        <v>166</v>
      </c>
      <c r="AM21">
        <v>0.28001304915180508</v>
      </c>
      <c r="AN21" t="s">
        <v>430</v>
      </c>
    </row>
    <row r="22" spans="3:40" x14ac:dyDescent="0.45">
      <c r="C22" t="s">
        <v>178</v>
      </c>
      <c r="E22" t="s">
        <v>448</v>
      </c>
      <c r="G22" t="s">
        <v>155</v>
      </c>
      <c r="I22" t="s">
        <v>249</v>
      </c>
      <c r="J22" t="s">
        <v>262</v>
      </c>
      <c r="K22">
        <v>8.0353932514736996E-3</v>
      </c>
      <c r="L22" t="s">
        <v>251</v>
      </c>
      <c r="N22" t="s">
        <v>419</v>
      </c>
      <c r="O22" t="s">
        <v>262</v>
      </c>
      <c r="P22">
        <v>1.0616092047809685E-3</v>
      </c>
      <c r="Q22" t="s">
        <v>251</v>
      </c>
      <c r="S22" t="s">
        <v>420</v>
      </c>
      <c r="T22" t="s">
        <v>262</v>
      </c>
      <c r="U22">
        <v>1.9680906790904224E-3</v>
      </c>
      <c r="V22" t="s">
        <v>251</v>
      </c>
      <c r="X22">
        <v>3.1963470319634705E-3</v>
      </c>
      <c r="Y22">
        <v>4.0467725762209023E-3</v>
      </c>
      <c r="Z22" t="s">
        <v>262</v>
      </c>
      <c r="AA22" t="s">
        <v>25</v>
      </c>
      <c r="AC22" t="s">
        <v>22</v>
      </c>
      <c r="AD22" t="s">
        <v>262</v>
      </c>
      <c r="AE22">
        <v>3.2472558088544453E-3</v>
      </c>
      <c r="AG22" t="s">
        <v>97</v>
      </c>
      <c r="AH22" t="s">
        <v>262</v>
      </c>
      <c r="AI22">
        <v>5.3013612391023646E-2</v>
      </c>
      <c r="AK22">
        <v>2020</v>
      </c>
      <c r="AL22" t="s">
        <v>178</v>
      </c>
      <c r="AM22">
        <v>0.25899526208215817</v>
      </c>
      <c r="AN22" t="s">
        <v>430</v>
      </c>
    </row>
    <row r="23" spans="3:40" x14ac:dyDescent="0.45">
      <c r="E23" t="s">
        <v>449</v>
      </c>
      <c r="G23" t="s">
        <v>155</v>
      </c>
      <c r="I23" t="s">
        <v>249</v>
      </c>
      <c r="J23" t="s">
        <v>263</v>
      </c>
      <c r="K23">
        <v>6.2216285412588598E-2</v>
      </c>
      <c r="L23" t="s">
        <v>251</v>
      </c>
      <c r="N23" t="s">
        <v>419</v>
      </c>
      <c r="O23" t="s">
        <v>263</v>
      </c>
      <c r="P23">
        <v>8.1032721134406665E-3</v>
      </c>
      <c r="Q23" t="s">
        <v>251</v>
      </c>
      <c r="S23" t="s">
        <v>420</v>
      </c>
      <c r="T23" t="s">
        <v>263</v>
      </c>
      <c r="U23">
        <v>1.1931276034789457E-2</v>
      </c>
      <c r="V23" t="s">
        <v>251</v>
      </c>
      <c r="X23">
        <v>2.2374429223744292E-2</v>
      </c>
      <c r="Y23">
        <v>3.1297516346368993E-2</v>
      </c>
      <c r="Z23" t="s">
        <v>263</v>
      </c>
      <c r="AA23" t="s">
        <v>25</v>
      </c>
      <c r="AC23" t="s">
        <v>22</v>
      </c>
      <c r="AD23" t="s">
        <v>263</v>
      </c>
      <c r="AE23">
        <v>2.3621561585166231E-2</v>
      </c>
      <c r="AG23" t="s">
        <v>97</v>
      </c>
      <c r="AH23" t="s">
        <v>263</v>
      </c>
      <c r="AI23">
        <v>0.18724621409254349</v>
      </c>
      <c r="AK23">
        <v>2021</v>
      </c>
      <c r="AL23" t="s">
        <v>151</v>
      </c>
      <c r="AM23">
        <v>0.24537183889815969</v>
      </c>
      <c r="AN23" t="s">
        <v>430</v>
      </c>
    </row>
    <row r="24" spans="3:40" x14ac:dyDescent="0.45">
      <c r="E24" t="s">
        <v>450</v>
      </c>
      <c r="G24" t="s">
        <v>155</v>
      </c>
      <c r="I24" t="s">
        <v>249</v>
      </c>
      <c r="J24" t="s">
        <v>264</v>
      </c>
      <c r="K24">
        <v>5.8968813723748997E-3</v>
      </c>
      <c r="L24" t="s">
        <v>251</v>
      </c>
      <c r="N24" t="s">
        <v>419</v>
      </c>
      <c r="O24" t="s">
        <v>264</v>
      </c>
      <c r="P24">
        <v>1.5021228212447084E-3</v>
      </c>
      <c r="Q24" t="s">
        <v>251</v>
      </c>
      <c r="S24" t="s">
        <v>420</v>
      </c>
      <c r="T24" t="s">
        <v>264</v>
      </c>
      <c r="U24">
        <v>1.8782052620364214E-3</v>
      </c>
      <c r="V24" t="s">
        <v>251</v>
      </c>
      <c r="X24">
        <v>3.1963470319634705E-3</v>
      </c>
      <c r="Y24">
        <v>6.2186642799724884E-3</v>
      </c>
      <c r="Z24" t="s">
        <v>264</v>
      </c>
      <c r="AA24" t="s">
        <v>25</v>
      </c>
      <c r="AC24" t="s">
        <v>22</v>
      </c>
      <c r="AD24" t="s">
        <v>264</v>
      </c>
      <c r="AE24">
        <v>1.550549872097061E-3</v>
      </c>
      <c r="AG24" t="s">
        <v>97</v>
      </c>
      <c r="AH24" t="s">
        <v>264</v>
      </c>
      <c r="AI24">
        <v>3.8164786322408384E-2</v>
      </c>
      <c r="AK24">
        <v>2021</v>
      </c>
      <c r="AL24" t="s">
        <v>156</v>
      </c>
      <c r="AM24">
        <v>0.24748569799873779</v>
      </c>
      <c r="AN24" t="s">
        <v>430</v>
      </c>
    </row>
    <row r="25" spans="3:40" x14ac:dyDescent="0.45">
      <c r="E25" t="s">
        <v>451</v>
      </c>
      <c r="G25" t="s">
        <v>155</v>
      </c>
      <c r="I25" t="s">
        <v>249</v>
      </c>
      <c r="J25" t="s">
        <v>265</v>
      </c>
      <c r="K25">
        <v>2.5564716072675395E-3</v>
      </c>
      <c r="L25" t="s">
        <v>251</v>
      </c>
      <c r="N25" t="s">
        <v>419</v>
      </c>
      <c r="O25" t="s">
        <v>265</v>
      </c>
      <c r="P25">
        <v>1.9679905989127169E-3</v>
      </c>
      <c r="Q25" t="s">
        <v>251</v>
      </c>
      <c r="S25" t="s">
        <v>420</v>
      </c>
      <c r="T25" t="s">
        <v>265</v>
      </c>
      <c r="U25">
        <v>1.9764555667397491E-3</v>
      </c>
      <c r="V25" t="s">
        <v>251</v>
      </c>
      <c r="X25">
        <v>3.1963470319634705E-3</v>
      </c>
      <c r="Y25">
        <v>4.8264260083368555E-3</v>
      </c>
      <c r="Z25" t="s">
        <v>265</v>
      </c>
      <c r="AA25" t="s">
        <v>25</v>
      </c>
      <c r="AC25" t="s">
        <v>22</v>
      </c>
      <c r="AD25" t="s">
        <v>265</v>
      </c>
      <c r="AE25">
        <v>8.6897921041426216E-4</v>
      </c>
      <c r="AG25" t="s">
        <v>97</v>
      </c>
      <c r="AH25" t="s">
        <v>265</v>
      </c>
      <c r="AI25">
        <v>3.9400044323796291E-2</v>
      </c>
      <c r="AK25">
        <v>2021</v>
      </c>
      <c r="AL25" t="s">
        <v>159</v>
      </c>
      <c r="AM25">
        <v>0.25370413787713708</v>
      </c>
      <c r="AN25" t="s">
        <v>430</v>
      </c>
    </row>
    <row r="26" spans="3:40" x14ac:dyDescent="0.45">
      <c r="E26" t="s">
        <v>452</v>
      </c>
      <c r="G26" t="s">
        <v>155</v>
      </c>
      <c r="I26" t="s">
        <v>249</v>
      </c>
      <c r="J26" t="s">
        <v>266</v>
      </c>
      <c r="K26">
        <v>0</v>
      </c>
      <c r="L26" t="s">
        <v>251</v>
      </c>
      <c r="N26" t="s">
        <v>419</v>
      </c>
      <c r="O26" t="s">
        <v>266</v>
      </c>
      <c r="P26">
        <v>1.6202772410428563E-2</v>
      </c>
      <c r="Q26" t="s">
        <v>251</v>
      </c>
      <c r="S26" t="s">
        <v>420</v>
      </c>
      <c r="T26" t="s">
        <v>266</v>
      </c>
      <c r="U26">
        <v>1.0385168473129387E-2</v>
      </c>
      <c r="V26" t="s">
        <v>251</v>
      </c>
      <c r="X26">
        <v>1.5981735159817351E-2</v>
      </c>
      <c r="Y26">
        <v>1.2066065020842141E-2</v>
      </c>
      <c r="Z26" t="s">
        <v>266</v>
      </c>
      <c r="AA26" t="s">
        <v>25</v>
      </c>
      <c r="AC26" t="s">
        <v>22</v>
      </c>
      <c r="AD26" t="s">
        <v>266</v>
      </c>
      <c r="AE26">
        <v>4.1156959296003168E-3</v>
      </c>
      <c r="AG26" t="s">
        <v>97</v>
      </c>
      <c r="AH26" t="s">
        <v>266</v>
      </c>
      <c r="AI26">
        <v>0.15706424323730062</v>
      </c>
      <c r="AK26">
        <v>2021</v>
      </c>
      <c r="AL26" t="s">
        <v>163</v>
      </c>
      <c r="AM26">
        <v>0.25859816635789279</v>
      </c>
      <c r="AN26" t="s">
        <v>430</v>
      </c>
    </row>
    <row r="27" spans="3:40" x14ac:dyDescent="0.45">
      <c r="E27" t="s">
        <v>453</v>
      </c>
      <c r="G27" t="s">
        <v>155</v>
      </c>
      <c r="I27" t="s">
        <v>249</v>
      </c>
      <c r="J27" t="s">
        <v>267</v>
      </c>
      <c r="K27">
        <v>2.9312646605838719E-4</v>
      </c>
      <c r="L27" t="s">
        <v>251</v>
      </c>
      <c r="N27" t="s">
        <v>419</v>
      </c>
      <c r="O27" t="s">
        <v>267</v>
      </c>
      <c r="P27">
        <v>1.9345563279855673E-2</v>
      </c>
      <c r="Q27" t="s">
        <v>251</v>
      </c>
      <c r="S27" t="s">
        <v>420</v>
      </c>
      <c r="T27" t="s">
        <v>267</v>
      </c>
      <c r="U27">
        <v>1.6143224990212101E-2</v>
      </c>
      <c r="V27" t="s">
        <v>251</v>
      </c>
      <c r="X27">
        <v>2.4771689497716895E-2</v>
      </c>
      <c r="Y27">
        <v>9.7827942553597048E-3</v>
      </c>
      <c r="Z27" t="s">
        <v>267</v>
      </c>
      <c r="AA27" t="s">
        <v>25</v>
      </c>
      <c r="AC27" t="s">
        <v>22</v>
      </c>
      <c r="AD27" t="s">
        <v>267</v>
      </c>
      <c r="AE27">
        <v>2.4302320859487976E-2</v>
      </c>
      <c r="AG27" t="s">
        <v>97</v>
      </c>
      <c r="AH27" t="s">
        <v>267</v>
      </c>
      <c r="AI27">
        <v>0.14526265579127196</v>
      </c>
      <c r="AK27">
        <v>2021</v>
      </c>
      <c r="AL27" t="s">
        <v>167</v>
      </c>
      <c r="AM27">
        <v>0.35369172562486489</v>
      </c>
      <c r="AN27" t="s">
        <v>430</v>
      </c>
    </row>
    <row r="28" spans="3:40" x14ac:dyDescent="0.45">
      <c r="E28" t="s">
        <v>454</v>
      </c>
      <c r="G28" t="s">
        <v>155</v>
      </c>
      <c r="I28" t="s">
        <v>249</v>
      </c>
      <c r="J28" t="s">
        <v>268</v>
      </c>
      <c r="K28">
        <v>3.4677654736681939E-3</v>
      </c>
      <c r="L28" t="s">
        <v>251</v>
      </c>
      <c r="N28" t="s">
        <v>419</v>
      </c>
      <c r="O28" t="s">
        <v>268</v>
      </c>
      <c r="P28">
        <v>1.6352365781032144E-3</v>
      </c>
      <c r="Q28" t="s">
        <v>251</v>
      </c>
      <c r="S28" t="s">
        <v>420</v>
      </c>
      <c r="T28" t="s">
        <v>268</v>
      </c>
      <c r="U28">
        <v>2.0041009813787599E-3</v>
      </c>
      <c r="V28" t="s">
        <v>251</v>
      </c>
      <c r="X28">
        <v>3.5388127853881279E-3</v>
      </c>
      <c r="Y28">
        <v>5.9087255218821738E-3</v>
      </c>
      <c r="Z28" t="s">
        <v>268</v>
      </c>
      <c r="AA28" t="s">
        <v>25</v>
      </c>
      <c r="AC28" t="s">
        <v>22</v>
      </c>
      <c r="AD28" t="s">
        <v>268</v>
      </c>
      <c r="AE28">
        <v>4.2282817583791125E-3</v>
      </c>
      <c r="AG28" t="s">
        <v>97</v>
      </c>
      <c r="AH28" t="s">
        <v>268</v>
      </c>
      <c r="AI28">
        <v>4.2218000759207452E-2</v>
      </c>
      <c r="AK28">
        <v>2021</v>
      </c>
      <c r="AL28" t="s">
        <v>169</v>
      </c>
      <c r="AM28">
        <v>0.49671037005367918</v>
      </c>
      <c r="AN28" t="s">
        <v>430</v>
      </c>
    </row>
    <row r="29" spans="3:40" x14ac:dyDescent="0.45">
      <c r="E29" t="s">
        <v>455</v>
      </c>
      <c r="G29" t="s">
        <v>155</v>
      </c>
      <c r="I29" t="s">
        <v>249</v>
      </c>
      <c r="J29" t="s">
        <v>269</v>
      </c>
      <c r="K29">
        <v>7.2857682322527845E-3</v>
      </c>
      <c r="L29" t="s">
        <v>251</v>
      </c>
      <c r="N29" t="s">
        <v>419</v>
      </c>
      <c r="O29" t="s">
        <v>269</v>
      </c>
      <c r="P29">
        <v>1.1202547024485481E-3</v>
      </c>
      <c r="Q29" t="s">
        <v>251</v>
      </c>
      <c r="S29" t="s">
        <v>420</v>
      </c>
      <c r="T29" t="s">
        <v>269</v>
      </c>
      <c r="U29">
        <v>1.8781287612856272E-3</v>
      </c>
      <c r="V29" t="s">
        <v>251</v>
      </c>
      <c r="X29">
        <v>3.5388127853881279E-3</v>
      </c>
      <c r="Y29">
        <v>4.521459529788099E-3</v>
      </c>
      <c r="Z29" t="s">
        <v>269</v>
      </c>
      <c r="AA29" t="s">
        <v>25</v>
      </c>
      <c r="AC29" t="s">
        <v>22</v>
      </c>
      <c r="AD29" t="s">
        <v>269</v>
      </c>
      <c r="AE29">
        <v>4.485965889848227E-3</v>
      </c>
      <c r="AG29" t="s">
        <v>97</v>
      </c>
      <c r="AH29" t="s">
        <v>269</v>
      </c>
      <c r="AI29">
        <v>3.3345104619624921E-2</v>
      </c>
      <c r="AK29">
        <v>2021</v>
      </c>
      <c r="AL29" t="s">
        <v>171</v>
      </c>
      <c r="AM29">
        <v>0.57377934693164512</v>
      </c>
      <c r="AN29" t="s">
        <v>430</v>
      </c>
    </row>
    <row r="30" spans="3:40" x14ac:dyDescent="0.45">
      <c r="E30" t="s">
        <v>456</v>
      </c>
      <c r="G30" t="s">
        <v>155</v>
      </c>
      <c r="I30" t="s">
        <v>249</v>
      </c>
      <c r="J30" t="s">
        <v>270</v>
      </c>
      <c r="K30">
        <v>9.4148614109767995E-3</v>
      </c>
      <c r="L30" t="s">
        <v>251</v>
      </c>
      <c r="N30" t="s">
        <v>419</v>
      </c>
      <c r="O30" t="s">
        <v>270</v>
      </c>
      <c r="P30">
        <v>1.0053230087414301E-3</v>
      </c>
      <c r="Q30" t="s">
        <v>251</v>
      </c>
      <c r="S30" t="s">
        <v>420</v>
      </c>
      <c r="T30" t="s">
        <v>270</v>
      </c>
      <c r="U30">
        <v>1.7552643939331876E-3</v>
      </c>
      <c r="V30" t="s">
        <v>251</v>
      </c>
      <c r="X30">
        <v>3.5388127853881279E-3</v>
      </c>
      <c r="Y30">
        <v>4.4803553522445696E-3</v>
      </c>
      <c r="Z30" t="s">
        <v>270</v>
      </c>
      <c r="AA30" t="s">
        <v>25</v>
      </c>
      <c r="AC30" t="s">
        <v>22</v>
      </c>
      <c r="AD30" t="s">
        <v>270</v>
      </c>
      <c r="AE30">
        <v>4.6045679287228247E-3</v>
      </c>
      <c r="AG30" t="s">
        <v>97</v>
      </c>
      <c r="AH30" t="s">
        <v>270</v>
      </c>
      <c r="AI30">
        <v>2.2564439224357358E-2</v>
      </c>
      <c r="AK30">
        <v>2021</v>
      </c>
      <c r="AL30" t="s">
        <v>158</v>
      </c>
      <c r="AM30">
        <v>0.62492242342329907</v>
      </c>
      <c r="AN30" t="s">
        <v>430</v>
      </c>
    </row>
    <row r="31" spans="3:40" x14ac:dyDescent="0.45">
      <c r="E31" t="s">
        <v>457</v>
      </c>
      <c r="G31" t="s">
        <v>155</v>
      </c>
      <c r="I31" t="s">
        <v>249</v>
      </c>
      <c r="J31" t="s">
        <v>271</v>
      </c>
      <c r="K31">
        <v>7.16507697908111E-2</v>
      </c>
      <c r="L31" t="s">
        <v>251</v>
      </c>
      <c r="N31" t="s">
        <v>419</v>
      </c>
      <c r="O31" t="s">
        <v>271</v>
      </c>
      <c r="P31">
        <v>7.846475582240317E-3</v>
      </c>
      <c r="Q31" t="s">
        <v>251</v>
      </c>
      <c r="S31" t="s">
        <v>420</v>
      </c>
      <c r="T31" t="s">
        <v>271</v>
      </c>
      <c r="U31">
        <v>1.1697585227563988E-2</v>
      </c>
      <c r="V31" t="s">
        <v>251</v>
      </c>
      <c r="X31">
        <v>2.4771689497716895E-2</v>
      </c>
      <c r="Y31">
        <v>3.4650821669194247E-2</v>
      </c>
      <c r="Z31" t="s">
        <v>271</v>
      </c>
      <c r="AA31" t="s">
        <v>25</v>
      </c>
      <c r="AC31" t="s">
        <v>22</v>
      </c>
      <c r="AD31" t="s">
        <v>271</v>
      </c>
      <c r="AE31">
        <v>3.1498985220223361E-2</v>
      </c>
      <c r="AG31" t="s">
        <v>97</v>
      </c>
      <c r="AH31" t="s">
        <v>271</v>
      </c>
      <c r="AI31">
        <v>0.15398274646096599</v>
      </c>
      <c r="AK31">
        <v>2021</v>
      </c>
      <c r="AL31" t="s">
        <v>162</v>
      </c>
      <c r="AM31">
        <v>0.57271626051018953</v>
      </c>
      <c r="AN31" t="s">
        <v>430</v>
      </c>
    </row>
    <row r="32" spans="3:40" x14ac:dyDescent="0.45">
      <c r="E32" t="s">
        <v>458</v>
      </c>
      <c r="G32" t="s">
        <v>155</v>
      </c>
      <c r="I32" t="s">
        <v>249</v>
      </c>
      <c r="J32" t="s">
        <v>272</v>
      </c>
      <c r="K32">
        <v>7.0094705433080004E-3</v>
      </c>
      <c r="L32" t="s">
        <v>251</v>
      </c>
      <c r="N32" t="s">
        <v>419</v>
      </c>
      <c r="O32" t="s">
        <v>272</v>
      </c>
      <c r="P32">
        <v>1.7617574108067997E-3</v>
      </c>
      <c r="Q32" t="s">
        <v>251</v>
      </c>
      <c r="S32" t="s">
        <v>420</v>
      </c>
      <c r="T32" t="s">
        <v>272</v>
      </c>
      <c r="U32">
        <v>2.1600429705377054E-3</v>
      </c>
      <c r="V32" t="s">
        <v>251</v>
      </c>
      <c r="X32">
        <v>3.5388127853881279E-3</v>
      </c>
      <c r="Y32">
        <v>6.8849497385409693E-3</v>
      </c>
      <c r="Z32" t="s">
        <v>272</v>
      </c>
      <c r="AA32" t="s">
        <v>25</v>
      </c>
      <c r="AC32" t="s">
        <v>22</v>
      </c>
      <c r="AD32" t="s">
        <v>272</v>
      </c>
      <c r="AE32">
        <v>1.8909129029720201E-3</v>
      </c>
      <c r="AG32" t="s">
        <v>97</v>
      </c>
      <c r="AH32" t="s">
        <v>272</v>
      </c>
      <c r="AI32">
        <v>9.3662396235574263E-3</v>
      </c>
      <c r="AK32">
        <v>2021</v>
      </c>
      <c r="AL32" t="s">
        <v>175</v>
      </c>
      <c r="AM32">
        <v>0.48298602012623709</v>
      </c>
      <c r="AN32" t="s">
        <v>430</v>
      </c>
    </row>
    <row r="33" spans="5:40" x14ac:dyDescent="0.45">
      <c r="E33" t="s">
        <v>459</v>
      </c>
      <c r="G33" t="s">
        <v>155</v>
      </c>
      <c r="I33" t="s">
        <v>249</v>
      </c>
      <c r="J33" t="s">
        <v>273</v>
      </c>
      <c r="K33">
        <v>3.2517568683463165E-3</v>
      </c>
      <c r="L33" t="s">
        <v>251</v>
      </c>
      <c r="N33" t="s">
        <v>419</v>
      </c>
      <c r="O33" t="s">
        <v>273</v>
      </c>
      <c r="P33">
        <v>2.3440424715298353E-3</v>
      </c>
      <c r="Q33" t="s">
        <v>251</v>
      </c>
      <c r="S33" t="s">
        <v>420</v>
      </c>
      <c r="T33" t="s">
        <v>273</v>
      </c>
      <c r="U33">
        <v>2.2669641357076502E-3</v>
      </c>
      <c r="V33" t="s">
        <v>251</v>
      </c>
      <c r="X33">
        <v>3.5388127853881279E-3</v>
      </c>
      <c r="Y33">
        <v>5.3435430806586613E-3</v>
      </c>
      <c r="Z33" t="s">
        <v>273</v>
      </c>
      <c r="AA33" t="s">
        <v>25</v>
      </c>
      <c r="AC33" t="s">
        <v>22</v>
      </c>
      <c r="AD33" t="s">
        <v>273</v>
      </c>
      <c r="AE33">
        <v>1.3568416337343522E-3</v>
      </c>
      <c r="AG33" t="s">
        <v>97</v>
      </c>
      <c r="AH33" t="s">
        <v>273</v>
      </c>
      <c r="AI33">
        <v>0.20468904606086746</v>
      </c>
      <c r="AK33">
        <v>2021</v>
      </c>
      <c r="AL33" t="s">
        <v>166</v>
      </c>
      <c r="AM33">
        <v>0.3141180941522968</v>
      </c>
      <c r="AN33" t="s">
        <v>430</v>
      </c>
    </row>
    <row r="34" spans="5:40" x14ac:dyDescent="0.45">
      <c r="E34" t="s">
        <v>460</v>
      </c>
      <c r="G34" t="s">
        <v>155</v>
      </c>
      <c r="I34" t="s">
        <v>249</v>
      </c>
      <c r="J34" t="s">
        <v>274</v>
      </c>
      <c r="K34">
        <v>0</v>
      </c>
      <c r="L34" t="s">
        <v>251</v>
      </c>
      <c r="N34" t="s">
        <v>419</v>
      </c>
      <c r="O34" t="s">
        <v>274</v>
      </c>
      <c r="P34">
        <v>1.9002466882048097E-2</v>
      </c>
      <c r="Q34" t="s">
        <v>251</v>
      </c>
      <c r="S34" t="s">
        <v>420</v>
      </c>
      <c r="T34" t="s">
        <v>274</v>
      </c>
      <c r="U34">
        <v>1.1863639741341246E-2</v>
      </c>
      <c r="V34" t="s">
        <v>251</v>
      </c>
      <c r="X34">
        <v>1.7694063926940638E-2</v>
      </c>
      <c r="Y34">
        <v>1.3358857701646654E-2</v>
      </c>
      <c r="Z34" t="s">
        <v>274</v>
      </c>
      <c r="AA34" t="s">
        <v>25</v>
      </c>
      <c r="AC34" t="s">
        <v>22</v>
      </c>
      <c r="AD34" t="s">
        <v>274</v>
      </c>
      <c r="AE34">
        <v>7.0952003803463459E-3</v>
      </c>
      <c r="AG34" t="s">
        <v>97</v>
      </c>
      <c r="AH34" t="s">
        <v>274</v>
      </c>
      <c r="AI34">
        <v>0.24030876524921596</v>
      </c>
      <c r="AK34">
        <v>2021</v>
      </c>
      <c r="AL34" t="s">
        <v>178</v>
      </c>
      <c r="AM34">
        <v>0.2580139476938495</v>
      </c>
      <c r="AN34" t="s">
        <v>430</v>
      </c>
    </row>
    <row r="35" spans="5:40" x14ac:dyDescent="0.45">
      <c r="E35" t="s">
        <v>461</v>
      </c>
      <c r="G35" t="s">
        <v>160</v>
      </c>
      <c r="I35" t="s">
        <v>249</v>
      </c>
      <c r="J35" t="s">
        <v>275</v>
      </c>
      <c r="K35">
        <v>1.0360373361579407E-3</v>
      </c>
      <c r="L35" t="s">
        <v>251</v>
      </c>
      <c r="N35" t="s">
        <v>419</v>
      </c>
      <c r="O35" t="s">
        <v>275</v>
      </c>
      <c r="P35">
        <v>1.9485233150436806E-2</v>
      </c>
      <c r="Q35" t="s">
        <v>251</v>
      </c>
      <c r="S35" t="s">
        <v>420</v>
      </c>
      <c r="T35" t="s">
        <v>275</v>
      </c>
      <c r="U35">
        <v>1.7777663579304985E-2</v>
      </c>
      <c r="V35" t="s">
        <v>251</v>
      </c>
      <c r="X35">
        <v>2.3972602739726026E-2</v>
      </c>
      <c r="Y35">
        <v>9.4672202471222967E-3</v>
      </c>
      <c r="Z35" t="s">
        <v>275</v>
      </c>
      <c r="AA35" t="s">
        <v>25</v>
      </c>
      <c r="AC35" t="s">
        <v>22</v>
      </c>
      <c r="AD35" t="s">
        <v>275</v>
      </c>
      <c r="AE35">
        <v>2.9518305559343878E-2</v>
      </c>
      <c r="AG35" t="s">
        <v>97</v>
      </c>
      <c r="AH35" t="s">
        <v>275</v>
      </c>
      <c r="AI35">
        <v>0.16334421103227581</v>
      </c>
      <c r="AK35">
        <v>2022</v>
      </c>
      <c r="AL35" t="s">
        <v>151</v>
      </c>
      <c r="AM35">
        <v>0.22856863093367569</v>
      </c>
      <c r="AN35" t="s">
        <v>430</v>
      </c>
    </row>
    <row r="36" spans="5:40" x14ac:dyDescent="0.45">
      <c r="E36" t="s">
        <v>462</v>
      </c>
      <c r="G36" t="s">
        <v>160</v>
      </c>
      <c r="I36" t="s">
        <v>249</v>
      </c>
      <c r="J36" t="s">
        <v>276</v>
      </c>
      <c r="K36">
        <v>4.7521279065798E-3</v>
      </c>
      <c r="L36" t="s">
        <v>251</v>
      </c>
      <c r="N36" t="s">
        <v>419</v>
      </c>
      <c r="O36" t="s">
        <v>276</v>
      </c>
      <c r="P36">
        <v>1.3223677969484721E-3</v>
      </c>
      <c r="Q36" t="s">
        <v>251</v>
      </c>
      <c r="S36" t="s">
        <v>420</v>
      </c>
      <c r="T36" t="s">
        <v>276</v>
      </c>
      <c r="U36">
        <v>1.960563960703049E-3</v>
      </c>
      <c r="V36" t="s">
        <v>251</v>
      </c>
      <c r="X36">
        <v>3.4246575342465752E-3</v>
      </c>
      <c r="Y36">
        <v>5.7181214727892006E-3</v>
      </c>
      <c r="Z36" t="s">
        <v>276</v>
      </c>
      <c r="AA36" t="s">
        <v>25</v>
      </c>
      <c r="AC36" t="s">
        <v>22</v>
      </c>
      <c r="AD36" t="s">
        <v>276</v>
      </c>
      <c r="AE36">
        <v>5.1934961842249223E-3</v>
      </c>
      <c r="AG36" t="s">
        <v>97</v>
      </c>
      <c r="AH36" t="s">
        <v>276</v>
      </c>
      <c r="AI36">
        <v>3.5216654126259295E-2</v>
      </c>
      <c r="AK36">
        <v>2022</v>
      </c>
      <c r="AL36" t="s">
        <v>156</v>
      </c>
      <c r="AM36">
        <v>0.25211270446340328</v>
      </c>
      <c r="AN36" t="s">
        <v>430</v>
      </c>
    </row>
    <row r="37" spans="5:40" x14ac:dyDescent="0.45">
      <c r="E37" t="s">
        <v>463</v>
      </c>
      <c r="G37" t="s">
        <v>160</v>
      </c>
      <c r="I37" t="s">
        <v>249</v>
      </c>
      <c r="J37" t="s">
        <v>277</v>
      </c>
      <c r="K37">
        <v>7.4743577824974003E-3</v>
      </c>
      <c r="L37" t="s">
        <v>251</v>
      </c>
      <c r="N37" t="s">
        <v>419</v>
      </c>
      <c r="O37" t="s">
        <v>277</v>
      </c>
      <c r="P37">
        <v>1.1012807675443903E-3</v>
      </c>
      <c r="Q37" t="s">
        <v>251</v>
      </c>
      <c r="S37" t="s">
        <v>420</v>
      </c>
      <c r="T37" t="s">
        <v>277</v>
      </c>
      <c r="U37">
        <v>1.8117095019118666E-3</v>
      </c>
      <c r="V37" t="s">
        <v>251</v>
      </c>
      <c r="X37">
        <v>3.4246575342465752E-3</v>
      </c>
      <c r="Y37">
        <v>4.3756059965691279E-3</v>
      </c>
      <c r="Z37" t="s">
        <v>277</v>
      </c>
      <c r="AA37" t="s">
        <v>25</v>
      </c>
      <c r="AC37" t="s">
        <v>22</v>
      </c>
      <c r="AD37" t="s">
        <v>277</v>
      </c>
      <c r="AE37">
        <v>5.3258221542126722E-3</v>
      </c>
      <c r="AG37" t="s">
        <v>97</v>
      </c>
      <c r="AH37" t="s">
        <v>277</v>
      </c>
      <c r="AI37">
        <v>3.0311797291973974E-2</v>
      </c>
      <c r="AK37">
        <v>2022</v>
      </c>
      <c r="AL37" t="s">
        <v>159</v>
      </c>
      <c r="AM37">
        <v>0.3193698678799306</v>
      </c>
      <c r="AN37" t="s">
        <v>430</v>
      </c>
    </row>
    <row r="38" spans="5:40" x14ac:dyDescent="0.45">
      <c r="E38" t="s">
        <v>464</v>
      </c>
      <c r="G38" t="s">
        <v>160</v>
      </c>
      <c r="I38" t="s">
        <v>249</v>
      </c>
      <c r="J38" t="s">
        <v>278</v>
      </c>
      <c r="K38">
        <v>9.0619381609644001E-3</v>
      </c>
      <c r="L38" t="s">
        <v>251</v>
      </c>
      <c r="N38" t="s">
        <v>419</v>
      </c>
      <c r="O38" t="s">
        <v>278</v>
      </c>
      <c r="P38">
        <v>9.9556642823737593E-4</v>
      </c>
      <c r="Q38" t="s">
        <v>251</v>
      </c>
      <c r="S38" t="s">
        <v>420</v>
      </c>
      <c r="T38" t="s">
        <v>278</v>
      </c>
      <c r="U38">
        <v>1.6715865529542569E-3</v>
      </c>
      <c r="V38" t="s">
        <v>251</v>
      </c>
      <c r="X38">
        <v>3.4246575342465752E-3</v>
      </c>
      <c r="Y38">
        <v>4.3358277602366805E-3</v>
      </c>
      <c r="Z38" t="s">
        <v>278</v>
      </c>
      <c r="AA38" t="s">
        <v>25</v>
      </c>
      <c r="AC38" t="s">
        <v>22</v>
      </c>
      <c r="AD38" t="s">
        <v>278</v>
      </c>
      <c r="AE38">
        <v>5.3672123182696308E-3</v>
      </c>
      <c r="AG38" t="s">
        <v>97</v>
      </c>
      <c r="AH38" t="s">
        <v>278</v>
      </c>
      <c r="AI38">
        <v>2.5632939012395717E-2</v>
      </c>
      <c r="AK38">
        <v>2022</v>
      </c>
      <c r="AL38" t="s">
        <v>163</v>
      </c>
      <c r="AM38">
        <v>0.3594286789966587</v>
      </c>
      <c r="AN38" t="s">
        <v>430</v>
      </c>
    </row>
    <row r="39" spans="5:40" x14ac:dyDescent="0.45">
      <c r="E39" t="s">
        <v>465</v>
      </c>
      <c r="G39" t="s">
        <v>160</v>
      </c>
      <c r="I39" t="s">
        <v>249</v>
      </c>
      <c r="J39" t="s">
        <v>279</v>
      </c>
      <c r="K39">
        <v>6.8036515685839002E-2</v>
      </c>
      <c r="L39" t="s">
        <v>251</v>
      </c>
      <c r="N39" t="s">
        <v>419</v>
      </c>
      <c r="O39" t="s">
        <v>279</v>
      </c>
      <c r="P39">
        <v>9.4407612288413979E-3</v>
      </c>
      <c r="Q39" t="s">
        <v>251</v>
      </c>
      <c r="S39" t="s">
        <v>420</v>
      </c>
      <c r="T39" t="s">
        <v>279</v>
      </c>
      <c r="U39">
        <v>1.4296790910960555E-2</v>
      </c>
      <c r="V39" t="s">
        <v>251</v>
      </c>
      <c r="X39">
        <v>2.3972602739726026E-2</v>
      </c>
      <c r="Y39">
        <v>3.3533053228252493E-2</v>
      </c>
      <c r="Z39" t="s">
        <v>279</v>
      </c>
      <c r="AA39" t="s">
        <v>25</v>
      </c>
      <c r="AC39" t="s">
        <v>22</v>
      </c>
      <c r="AD39" t="s">
        <v>279</v>
      </c>
      <c r="AE39">
        <v>3.6374035294971817E-2</v>
      </c>
      <c r="AG39" t="s">
        <v>97</v>
      </c>
      <c r="AH39" t="s">
        <v>279</v>
      </c>
      <c r="AI39">
        <v>0.12107479110399866</v>
      </c>
      <c r="AK39">
        <v>2022</v>
      </c>
      <c r="AL39" t="s">
        <v>167</v>
      </c>
      <c r="AM39">
        <v>0.3851224877375633</v>
      </c>
      <c r="AN39" t="s">
        <v>430</v>
      </c>
    </row>
    <row r="40" spans="5:40" x14ac:dyDescent="0.45">
      <c r="E40" t="s">
        <v>466</v>
      </c>
      <c r="G40" t="s">
        <v>160</v>
      </c>
      <c r="I40" t="s">
        <v>249</v>
      </c>
      <c r="J40" t="s">
        <v>280</v>
      </c>
      <c r="K40">
        <v>6.2620054594643999E-3</v>
      </c>
      <c r="L40" t="s">
        <v>251</v>
      </c>
      <c r="N40" t="s">
        <v>419</v>
      </c>
      <c r="O40" t="s">
        <v>280</v>
      </c>
      <c r="P40">
        <v>2.7097780121235144E-3</v>
      </c>
      <c r="Q40" t="s">
        <v>251</v>
      </c>
      <c r="S40" t="s">
        <v>420</v>
      </c>
      <c r="T40" t="s">
        <v>280</v>
      </c>
      <c r="U40">
        <v>2.9540873951373016E-3</v>
      </c>
      <c r="V40" t="s">
        <v>251</v>
      </c>
      <c r="X40">
        <v>3.4246575342465752E-3</v>
      </c>
      <c r="Y40">
        <v>6.662854585684809E-3</v>
      </c>
      <c r="Z40" t="s">
        <v>280</v>
      </c>
      <c r="AA40" t="s">
        <v>25</v>
      </c>
      <c r="AC40" t="s">
        <v>22</v>
      </c>
      <c r="AD40" t="s">
        <v>280</v>
      </c>
      <c r="AE40">
        <v>2.7678320259506982E-3</v>
      </c>
      <c r="AG40" t="s">
        <v>97</v>
      </c>
      <c r="AH40" t="s">
        <v>280</v>
      </c>
      <c r="AI40">
        <v>8.6761717202879396E-2</v>
      </c>
      <c r="AK40">
        <v>2022</v>
      </c>
      <c r="AL40" t="s">
        <v>169</v>
      </c>
      <c r="AM40">
        <v>0.43060849922349292</v>
      </c>
      <c r="AN40" t="s">
        <v>430</v>
      </c>
    </row>
    <row r="41" spans="5:40" x14ac:dyDescent="0.45">
      <c r="E41" t="s">
        <v>467</v>
      </c>
      <c r="G41" t="s">
        <v>160</v>
      </c>
      <c r="I41" t="s">
        <v>249</v>
      </c>
      <c r="J41" t="s">
        <v>281</v>
      </c>
      <c r="K41">
        <v>3.5888896639685057E-3</v>
      </c>
      <c r="L41" t="s">
        <v>251</v>
      </c>
      <c r="N41" t="s">
        <v>419</v>
      </c>
      <c r="O41" t="s">
        <v>281</v>
      </c>
      <c r="P41">
        <v>3.2681817578805012E-3</v>
      </c>
      <c r="Q41" t="s">
        <v>251</v>
      </c>
      <c r="S41" t="s">
        <v>420</v>
      </c>
      <c r="T41" t="s">
        <v>281</v>
      </c>
      <c r="U41">
        <v>3.0913498080904936E-3</v>
      </c>
      <c r="V41" t="s">
        <v>251</v>
      </c>
      <c r="X41">
        <v>3.4246575342465752E-3</v>
      </c>
      <c r="Y41">
        <v>5.1711707232180593E-3</v>
      </c>
      <c r="Z41" t="s">
        <v>281</v>
      </c>
      <c r="AA41" t="s">
        <v>25</v>
      </c>
      <c r="AC41" t="s">
        <v>22</v>
      </c>
      <c r="AD41" t="s">
        <v>281</v>
      </c>
      <c r="AE41">
        <v>3.3043699929870768E-3</v>
      </c>
      <c r="AG41" t="s">
        <v>97</v>
      </c>
      <c r="AH41" t="s">
        <v>281</v>
      </c>
      <c r="AI41">
        <v>0.11709209908661999</v>
      </c>
      <c r="AK41">
        <v>2022</v>
      </c>
      <c r="AL41" t="s">
        <v>171</v>
      </c>
      <c r="AM41">
        <v>0.58949643171063837</v>
      </c>
      <c r="AN41" t="s">
        <v>430</v>
      </c>
    </row>
    <row r="42" spans="5:40" x14ac:dyDescent="0.45">
      <c r="E42" t="s">
        <v>468</v>
      </c>
      <c r="G42" t="s">
        <v>160</v>
      </c>
      <c r="I42" t="s">
        <v>249</v>
      </c>
      <c r="J42" t="s">
        <v>282</v>
      </c>
      <c r="K42">
        <v>2.4148579671858214E-4</v>
      </c>
      <c r="L42" t="s">
        <v>251</v>
      </c>
      <c r="N42" t="s">
        <v>419</v>
      </c>
      <c r="O42" t="s">
        <v>282</v>
      </c>
      <c r="P42">
        <v>2.094799313478261E-2</v>
      </c>
      <c r="Q42" t="s">
        <v>251</v>
      </c>
      <c r="S42" t="s">
        <v>420</v>
      </c>
      <c r="T42" t="s">
        <v>282</v>
      </c>
      <c r="U42">
        <v>1.53525731100944E-2</v>
      </c>
      <c r="V42" t="s">
        <v>251</v>
      </c>
      <c r="X42">
        <v>1.7123287671232876E-2</v>
      </c>
      <c r="Y42">
        <v>1.2927926808045149E-2</v>
      </c>
      <c r="Z42" t="s">
        <v>282</v>
      </c>
      <c r="AA42" t="s">
        <v>25</v>
      </c>
      <c r="AC42" t="s">
        <v>22</v>
      </c>
      <c r="AD42" t="s">
        <v>282</v>
      </c>
      <c r="AE42">
        <v>1.3764633323452066E-2</v>
      </c>
      <c r="AG42" t="s">
        <v>97</v>
      </c>
      <c r="AH42" t="s">
        <v>282</v>
      </c>
      <c r="AI42">
        <v>0.17218577644945188</v>
      </c>
      <c r="AK42">
        <v>2022</v>
      </c>
      <c r="AL42" t="s">
        <v>158</v>
      </c>
      <c r="AM42">
        <v>0.70961593638562115</v>
      </c>
      <c r="AN42" t="s">
        <v>430</v>
      </c>
    </row>
    <row r="43" spans="5:40" x14ac:dyDescent="0.45">
      <c r="E43" t="s">
        <v>469</v>
      </c>
      <c r="G43" t="s">
        <v>160</v>
      </c>
      <c r="I43" t="s">
        <v>249</v>
      </c>
      <c r="J43" t="s">
        <v>283</v>
      </c>
      <c r="K43">
        <v>1.7670272179208782E-3</v>
      </c>
      <c r="L43" t="s">
        <v>251</v>
      </c>
      <c r="N43" t="s">
        <v>419</v>
      </c>
      <c r="O43" t="s">
        <v>283</v>
      </c>
      <c r="P43">
        <v>3.7236251817725795E-2</v>
      </c>
      <c r="Q43" t="s">
        <v>251</v>
      </c>
      <c r="S43" t="s">
        <v>420</v>
      </c>
      <c r="T43" t="s">
        <v>283</v>
      </c>
      <c r="U43">
        <v>2.9348632349428468E-2</v>
      </c>
      <c r="V43" t="s">
        <v>251</v>
      </c>
      <c r="X43">
        <v>2.4771689497716895E-2</v>
      </c>
      <c r="Y43">
        <v>9.7827942553597048E-3</v>
      </c>
      <c r="Z43" t="s">
        <v>283</v>
      </c>
      <c r="AA43" t="s">
        <v>25</v>
      </c>
      <c r="AC43" t="s">
        <v>22</v>
      </c>
      <c r="AD43" t="s">
        <v>283</v>
      </c>
      <c r="AE43">
        <v>3.3825157257624083E-2</v>
      </c>
      <c r="AG43" t="s">
        <v>97</v>
      </c>
      <c r="AH43" t="s">
        <v>283</v>
      </c>
      <c r="AI43">
        <v>0.1040152179592515</v>
      </c>
      <c r="AK43">
        <v>2022</v>
      </c>
      <c r="AL43" t="s">
        <v>162</v>
      </c>
      <c r="AM43">
        <v>0.69297378700174128</v>
      </c>
      <c r="AN43" t="s">
        <v>430</v>
      </c>
    </row>
    <row r="44" spans="5:40" x14ac:dyDescent="0.45">
      <c r="E44" t="s">
        <v>470</v>
      </c>
      <c r="G44" t="s">
        <v>160</v>
      </c>
      <c r="I44" t="s">
        <v>249</v>
      </c>
      <c r="J44" t="s">
        <v>284</v>
      </c>
      <c r="K44">
        <v>5.2458382221451999E-3</v>
      </c>
      <c r="L44" t="s">
        <v>251</v>
      </c>
      <c r="N44" t="s">
        <v>419</v>
      </c>
      <c r="O44" t="s">
        <v>284</v>
      </c>
      <c r="P44">
        <v>4.2387441648916542E-3</v>
      </c>
      <c r="Q44" t="s">
        <v>251</v>
      </c>
      <c r="S44" t="s">
        <v>420</v>
      </c>
      <c r="T44" t="s">
        <v>284</v>
      </c>
      <c r="U44">
        <v>3.4891517956613686E-3</v>
      </c>
      <c r="V44" t="s">
        <v>251</v>
      </c>
      <c r="X44">
        <v>3.5388127853881279E-3</v>
      </c>
      <c r="Y44">
        <v>5.9087255218821738E-3</v>
      </c>
      <c r="Z44" t="s">
        <v>284</v>
      </c>
      <c r="AA44" t="s">
        <v>25</v>
      </c>
      <c r="AC44" t="s">
        <v>22</v>
      </c>
      <c r="AD44" t="s">
        <v>284</v>
      </c>
      <c r="AE44">
        <v>5.5871952887510202E-3</v>
      </c>
      <c r="AG44" t="s">
        <v>97</v>
      </c>
      <c r="AH44" t="s">
        <v>284</v>
      </c>
      <c r="AI44">
        <v>1.4636729188804765E-2</v>
      </c>
      <c r="AK44">
        <v>2022</v>
      </c>
      <c r="AL44" t="s">
        <v>175</v>
      </c>
      <c r="AM44">
        <v>0.49755662126035521</v>
      </c>
      <c r="AN44" t="s">
        <v>430</v>
      </c>
    </row>
    <row r="45" spans="5:40" x14ac:dyDescent="0.45">
      <c r="E45" t="s">
        <v>471</v>
      </c>
      <c r="G45" t="s">
        <v>160</v>
      </c>
      <c r="I45" t="s">
        <v>249</v>
      </c>
      <c r="J45" t="s">
        <v>285</v>
      </c>
      <c r="K45">
        <v>7.5897915349617999E-3</v>
      </c>
      <c r="L45" t="s">
        <v>251</v>
      </c>
      <c r="N45" t="s">
        <v>419</v>
      </c>
      <c r="O45" t="s">
        <v>285</v>
      </c>
      <c r="P45">
        <v>4.0921748354808231E-3</v>
      </c>
      <c r="Q45" t="s">
        <v>251</v>
      </c>
      <c r="S45" t="s">
        <v>420</v>
      </c>
      <c r="T45" t="s">
        <v>285</v>
      </c>
      <c r="U45">
        <v>3.3611029397469078E-3</v>
      </c>
      <c r="V45" t="s">
        <v>251</v>
      </c>
      <c r="X45">
        <v>3.5388127853881279E-3</v>
      </c>
      <c r="Y45">
        <v>4.521459529788099E-3</v>
      </c>
      <c r="Z45" t="s">
        <v>285</v>
      </c>
      <c r="AA45" t="s">
        <v>25</v>
      </c>
      <c r="AC45" t="s">
        <v>22</v>
      </c>
      <c r="AD45" t="s">
        <v>285</v>
      </c>
      <c r="AE45">
        <v>5.6468327773550814E-3</v>
      </c>
      <c r="AG45" t="s">
        <v>97</v>
      </c>
      <c r="AH45" t="s">
        <v>285</v>
      </c>
      <c r="AI45">
        <v>2.0453277369397727E-2</v>
      </c>
      <c r="AK45">
        <v>2022</v>
      </c>
      <c r="AL45" t="s">
        <v>166</v>
      </c>
      <c r="AM45">
        <v>0.32030919102075389</v>
      </c>
      <c r="AN45" t="s">
        <v>430</v>
      </c>
    </row>
    <row r="46" spans="5:40" x14ac:dyDescent="0.45">
      <c r="E46" t="s">
        <v>472</v>
      </c>
      <c r="G46" t="s">
        <v>160</v>
      </c>
      <c r="I46" t="s">
        <v>249</v>
      </c>
      <c r="J46" t="s">
        <v>286</v>
      </c>
      <c r="K46">
        <v>9.0460724211776991E-3</v>
      </c>
      <c r="L46" t="s">
        <v>251</v>
      </c>
      <c r="N46" t="s">
        <v>419</v>
      </c>
      <c r="O46" t="s">
        <v>286</v>
      </c>
      <c r="P46">
        <v>3.8324308091180056E-3</v>
      </c>
      <c r="Q46" t="s">
        <v>251</v>
      </c>
      <c r="S46" t="s">
        <v>420</v>
      </c>
      <c r="T46" t="s">
        <v>286</v>
      </c>
      <c r="U46">
        <v>3.2647690971758453E-3</v>
      </c>
      <c r="V46" t="s">
        <v>251</v>
      </c>
      <c r="X46">
        <v>3.5388127853881279E-3</v>
      </c>
      <c r="Y46">
        <v>4.4803553522445696E-3</v>
      </c>
      <c r="Z46" t="s">
        <v>286</v>
      </c>
      <c r="AA46" t="s">
        <v>25</v>
      </c>
      <c r="AC46" t="s">
        <v>22</v>
      </c>
      <c r="AD46" t="s">
        <v>286</v>
      </c>
      <c r="AE46">
        <v>5.6501261642986165E-3</v>
      </c>
      <c r="AG46" t="s">
        <v>97</v>
      </c>
      <c r="AH46" t="s">
        <v>286</v>
      </c>
      <c r="AI46">
        <v>2.0099445039484021E-2</v>
      </c>
      <c r="AK46">
        <v>2022</v>
      </c>
      <c r="AL46" t="s">
        <v>178</v>
      </c>
      <c r="AM46">
        <v>0.26614155656660882</v>
      </c>
      <c r="AN46" t="s">
        <v>430</v>
      </c>
    </row>
    <row r="47" spans="5:40" x14ac:dyDescent="0.45">
      <c r="E47" t="s">
        <v>473</v>
      </c>
      <c r="G47" t="s">
        <v>160</v>
      </c>
      <c r="I47" t="s">
        <v>249</v>
      </c>
      <c r="J47" t="s">
        <v>287</v>
      </c>
      <c r="K47">
        <v>6.9126430957336601E-2</v>
      </c>
      <c r="L47" t="s">
        <v>251</v>
      </c>
      <c r="N47" t="s">
        <v>419</v>
      </c>
      <c r="O47" t="s">
        <v>287</v>
      </c>
      <c r="P47">
        <v>2.6125279419162487E-2</v>
      </c>
      <c r="Q47" t="s">
        <v>251</v>
      </c>
      <c r="S47" t="s">
        <v>420</v>
      </c>
      <c r="T47" t="s">
        <v>287</v>
      </c>
      <c r="U47">
        <v>2.5254302203101108E-2</v>
      </c>
      <c r="V47" t="s">
        <v>251</v>
      </c>
      <c r="X47">
        <v>2.4771689497716895E-2</v>
      </c>
      <c r="Y47">
        <v>3.4650821669194247E-2</v>
      </c>
      <c r="Z47" t="s">
        <v>287</v>
      </c>
      <c r="AA47" t="s">
        <v>25</v>
      </c>
      <c r="AC47" t="s">
        <v>22</v>
      </c>
      <c r="AD47" t="s">
        <v>287</v>
      </c>
      <c r="AE47">
        <v>3.9399790668033244E-2</v>
      </c>
      <c r="AG47" t="s">
        <v>97</v>
      </c>
      <c r="AH47" t="s">
        <v>287</v>
      </c>
      <c r="AI47">
        <v>0.10001642084856233</v>
      </c>
      <c r="AK47">
        <v>2025</v>
      </c>
      <c r="AL47" t="s">
        <v>151</v>
      </c>
      <c r="AM47">
        <v>0.2868</v>
      </c>
      <c r="AN47" t="s">
        <v>430</v>
      </c>
    </row>
    <row r="48" spans="5:40" x14ac:dyDescent="0.45">
      <c r="E48" t="s">
        <v>474</v>
      </c>
      <c r="G48" t="s">
        <v>160</v>
      </c>
      <c r="I48" t="s">
        <v>249</v>
      </c>
      <c r="J48" t="s">
        <v>288</v>
      </c>
      <c r="K48">
        <v>6.5701923297423002E-3</v>
      </c>
      <c r="L48" t="s">
        <v>251</v>
      </c>
      <c r="N48" t="s">
        <v>419</v>
      </c>
      <c r="O48" t="s">
        <v>288</v>
      </c>
      <c r="P48">
        <v>4.8149886541700802E-3</v>
      </c>
      <c r="Q48" t="s">
        <v>251</v>
      </c>
      <c r="S48" t="s">
        <v>420</v>
      </c>
      <c r="T48" t="s">
        <v>288</v>
      </c>
      <c r="U48">
        <v>4.2979088187685942E-3</v>
      </c>
      <c r="V48" t="s">
        <v>251</v>
      </c>
      <c r="X48">
        <v>3.5388127853881279E-3</v>
      </c>
      <c r="Y48">
        <v>6.8849497385409693E-3</v>
      </c>
      <c r="Z48" t="s">
        <v>288</v>
      </c>
      <c r="AA48" t="s">
        <v>25</v>
      </c>
      <c r="AC48" t="s">
        <v>22</v>
      </c>
      <c r="AD48" t="s">
        <v>288</v>
      </c>
      <c r="AE48">
        <v>3.3592112224946164E-3</v>
      </c>
      <c r="AG48" t="s">
        <v>97</v>
      </c>
      <c r="AH48" t="s">
        <v>288</v>
      </c>
      <c r="AI48">
        <v>6.6396748992021193E-2</v>
      </c>
      <c r="AK48">
        <v>2025</v>
      </c>
      <c r="AL48" t="s">
        <v>156</v>
      </c>
      <c r="AM48">
        <v>0.30309999999999998</v>
      </c>
      <c r="AN48" t="s">
        <v>430</v>
      </c>
    </row>
    <row r="49" spans="5:40" x14ac:dyDescent="0.45">
      <c r="E49" t="s">
        <v>475</v>
      </c>
      <c r="G49" t="s">
        <v>160</v>
      </c>
      <c r="I49" t="s">
        <v>249</v>
      </c>
      <c r="J49" t="s">
        <v>289</v>
      </c>
      <c r="K49">
        <v>4.1435965591736E-3</v>
      </c>
      <c r="L49" t="s">
        <v>251</v>
      </c>
      <c r="N49" t="s">
        <v>419</v>
      </c>
      <c r="O49" t="s">
        <v>289</v>
      </c>
      <c r="P49">
        <v>5.3617249337066892E-3</v>
      </c>
      <c r="Q49" t="s">
        <v>251</v>
      </c>
      <c r="S49" t="s">
        <v>420</v>
      </c>
      <c r="T49" t="s">
        <v>289</v>
      </c>
      <c r="U49">
        <v>4.4146090696289371E-3</v>
      </c>
      <c r="V49" t="s">
        <v>251</v>
      </c>
      <c r="X49">
        <v>3.5388127853881279E-3</v>
      </c>
      <c r="Y49">
        <v>5.3435430806586613E-3</v>
      </c>
      <c r="Z49" t="s">
        <v>289</v>
      </c>
      <c r="AA49" t="s">
        <v>25</v>
      </c>
      <c r="AC49" t="s">
        <v>22</v>
      </c>
      <c r="AD49" t="s">
        <v>289</v>
      </c>
      <c r="AE49">
        <v>4.2578200946471779E-3</v>
      </c>
      <c r="AG49" t="s">
        <v>97</v>
      </c>
      <c r="AH49" t="s">
        <v>289</v>
      </c>
      <c r="AI49">
        <v>1.1548995400689321E-2</v>
      </c>
      <c r="AK49">
        <v>2025</v>
      </c>
      <c r="AL49" t="s">
        <v>159</v>
      </c>
      <c r="AM49">
        <v>0.30990000000000001</v>
      </c>
      <c r="AN49" t="s">
        <v>430</v>
      </c>
    </row>
    <row r="50" spans="5:40" x14ac:dyDescent="0.45">
      <c r="E50" t="s">
        <v>476</v>
      </c>
      <c r="G50" t="s">
        <v>160</v>
      </c>
      <c r="I50" t="s">
        <v>249</v>
      </c>
      <c r="J50" t="s">
        <v>290</v>
      </c>
      <c r="K50">
        <v>1.3839106225692888E-3</v>
      </c>
      <c r="L50" t="s">
        <v>251</v>
      </c>
      <c r="N50" t="s">
        <v>419</v>
      </c>
      <c r="O50" t="s">
        <v>290</v>
      </c>
      <c r="P50">
        <v>3.2494265535174399E-2</v>
      </c>
      <c r="Q50" t="s">
        <v>251</v>
      </c>
      <c r="S50" t="s">
        <v>420</v>
      </c>
      <c r="T50" t="s">
        <v>290</v>
      </c>
      <c r="U50">
        <v>2.2685903009714705E-2</v>
      </c>
      <c r="V50" t="s">
        <v>251</v>
      </c>
      <c r="X50">
        <v>1.7694063926940638E-2</v>
      </c>
      <c r="Y50">
        <v>1.3358857701646654E-2</v>
      </c>
      <c r="Z50" t="s">
        <v>290</v>
      </c>
      <c r="AA50" t="s">
        <v>25</v>
      </c>
      <c r="AC50" t="s">
        <v>22</v>
      </c>
      <c r="AD50" t="s">
        <v>290</v>
      </c>
      <c r="AE50">
        <v>1.8839022245917787E-2</v>
      </c>
      <c r="AG50" t="s">
        <v>97</v>
      </c>
      <c r="AH50" t="s">
        <v>290</v>
      </c>
      <c r="AI50">
        <v>5.7926789216266483E-2</v>
      </c>
      <c r="AK50">
        <v>2025</v>
      </c>
      <c r="AL50" t="s">
        <v>163</v>
      </c>
      <c r="AM50">
        <v>0.3392</v>
      </c>
      <c r="AN50" t="s">
        <v>430</v>
      </c>
    </row>
    <row r="51" spans="5:40" x14ac:dyDescent="0.45">
      <c r="E51" t="s">
        <v>477</v>
      </c>
      <c r="G51" t="s">
        <v>160</v>
      </c>
      <c r="I51" t="s">
        <v>249</v>
      </c>
      <c r="J51" t="s">
        <v>291</v>
      </c>
      <c r="K51">
        <v>1.0436857710503405E-3</v>
      </c>
      <c r="L51" t="s">
        <v>251</v>
      </c>
      <c r="N51" t="s">
        <v>419</v>
      </c>
      <c r="O51" t="s">
        <v>291</v>
      </c>
      <c r="P51">
        <v>3.944773700764715E-2</v>
      </c>
      <c r="Q51" t="s">
        <v>251</v>
      </c>
      <c r="S51" t="s">
        <v>420</v>
      </c>
      <c r="T51" t="s">
        <v>291</v>
      </c>
      <c r="U51">
        <v>3.9975692726160098E-2</v>
      </c>
      <c r="V51" t="s">
        <v>251</v>
      </c>
      <c r="X51">
        <v>2.3972602739726026E-2</v>
      </c>
      <c r="Y51">
        <v>9.4672202471222967E-3</v>
      </c>
      <c r="Z51" t="s">
        <v>291</v>
      </c>
      <c r="AA51" t="s">
        <v>25</v>
      </c>
      <c r="AC51" t="s">
        <v>22</v>
      </c>
      <c r="AD51" t="s">
        <v>291</v>
      </c>
      <c r="AE51">
        <v>3.1367388069247076E-2</v>
      </c>
      <c r="AG51" t="s">
        <v>97</v>
      </c>
      <c r="AH51" t="s">
        <v>291</v>
      </c>
      <c r="AI51">
        <v>0.12654517842613111</v>
      </c>
      <c r="AK51">
        <v>2025</v>
      </c>
      <c r="AL51" t="s">
        <v>167</v>
      </c>
      <c r="AM51">
        <v>0.43769999999999998</v>
      </c>
      <c r="AN51" t="s">
        <v>430</v>
      </c>
    </row>
    <row r="52" spans="5:40" x14ac:dyDescent="0.45">
      <c r="E52" t="s">
        <v>478</v>
      </c>
      <c r="G52" t="s">
        <v>160</v>
      </c>
      <c r="I52" t="s">
        <v>249</v>
      </c>
      <c r="J52" t="s">
        <v>292</v>
      </c>
      <c r="K52">
        <v>3.1266623424225292E-3</v>
      </c>
      <c r="L52" t="s">
        <v>251</v>
      </c>
      <c r="N52" t="s">
        <v>419</v>
      </c>
      <c r="O52" t="s">
        <v>292</v>
      </c>
      <c r="P52">
        <v>5.278470963195548E-3</v>
      </c>
      <c r="Q52" t="s">
        <v>251</v>
      </c>
      <c r="S52" t="s">
        <v>420</v>
      </c>
      <c r="T52" t="s">
        <v>292</v>
      </c>
      <c r="U52">
        <v>5.1765481631041842E-3</v>
      </c>
      <c r="V52" t="s">
        <v>251</v>
      </c>
      <c r="X52">
        <v>3.4246575342465752E-3</v>
      </c>
      <c r="Y52">
        <v>5.7181214727892006E-3</v>
      </c>
      <c r="Z52" t="s">
        <v>292</v>
      </c>
      <c r="AA52" t="s">
        <v>25</v>
      </c>
      <c r="AC52" t="s">
        <v>22</v>
      </c>
      <c r="AD52" t="s">
        <v>292</v>
      </c>
      <c r="AE52">
        <v>5.0324410226670127E-3</v>
      </c>
      <c r="AG52" t="s">
        <v>97</v>
      </c>
      <c r="AH52" t="s">
        <v>292</v>
      </c>
      <c r="AI52">
        <v>5.4623288193452524E-2</v>
      </c>
      <c r="AK52">
        <v>2025</v>
      </c>
      <c r="AL52" t="s">
        <v>169</v>
      </c>
      <c r="AM52">
        <v>0.49469999999999997</v>
      </c>
      <c r="AN52" t="s">
        <v>430</v>
      </c>
    </row>
    <row r="53" spans="5:40" x14ac:dyDescent="0.45">
      <c r="E53" t="s">
        <v>479</v>
      </c>
      <c r="G53" t="s">
        <v>160</v>
      </c>
      <c r="I53" t="s">
        <v>249</v>
      </c>
      <c r="J53" t="s">
        <v>293</v>
      </c>
      <c r="K53">
        <v>5.0750441322154997E-3</v>
      </c>
      <c r="L53" t="s">
        <v>251</v>
      </c>
      <c r="N53" t="s">
        <v>419</v>
      </c>
      <c r="O53" t="s">
        <v>293</v>
      </c>
      <c r="P53">
        <v>6.1018272305427643E-3</v>
      </c>
      <c r="Q53" t="s">
        <v>251</v>
      </c>
      <c r="S53" t="s">
        <v>420</v>
      </c>
      <c r="T53" t="s">
        <v>293</v>
      </c>
      <c r="U53">
        <v>5.1174221310656444E-3</v>
      </c>
      <c r="V53" t="s">
        <v>251</v>
      </c>
      <c r="X53">
        <v>3.4246575342465752E-3</v>
      </c>
      <c r="Y53">
        <v>4.3756059965691279E-3</v>
      </c>
      <c r="Z53" t="s">
        <v>293</v>
      </c>
      <c r="AA53" t="s">
        <v>25</v>
      </c>
      <c r="AC53" t="s">
        <v>22</v>
      </c>
      <c r="AD53" t="s">
        <v>293</v>
      </c>
      <c r="AE53">
        <v>5.0825125368809503E-3</v>
      </c>
      <c r="AG53" t="s">
        <v>97</v>
      </c>
      <c r="AH53" t="s">
        <v>293</v>
      </c>
      <c r="AI53">
        <v>4.8634603784541763E-2</v>
      </c>
      <c r="AK53">
        <v>2025</v>
      </c>
      <c r="AL53" t="s">
        <v>171</v>
      </c>
      <c r="AM53">
        <v>0.67</v>
      </c>
      <c r="AN53" t="s">
        <v>430</v>
      </c>
    </row>
    <row r="54" spans="5:40" x14ac:dyDescent="0.45">
      <c r="E54" t="s">
        <v>480</v>
      </c>
      <c r="G54" t="s">
        <v>160</v>
      </c>
      <c r="I54" t="s">
        <v>249</v>
      </c>
      <c r="J54" t="s">
        <v>294</v>
      </c>
      <c r="K54">
        <v>6.5019753804751003E-3</v>
      </c>
      <c r="L54" t="s">
        <v>251</v>
      </c>
      <c r="N54" t="s">
        <v>419</v>
      </c>
      <c r="O54" t="s">
        <v>294</v>
      </c>
      <c r="P54">
        <v>6.3253143755274271E-3</v>
      </c>
      <c r="Q54" t="s">
        <v>251</v>
      </c>
      <c r="S54" t="s">
        <v>420</v>
      </c>
      <c r="T54" t="s">
        <v>294</v>
      </c>
      <c r="U54">
        <v>5.1175180867328723E-3</v>
      </c>
      <c r="V54" t="s">
        <v>251</v>
      </c>
      <c r="X54">
        <v>3.4246575342465752E-3</v>
      </c>
      <c r="Y54">
        <v>4.3358277602366805E-3</v>
      </c>
      <c r="Z54" t="s">
        <v>294</v>
      </c>
      <c r="AA54" t="s">
        <v>25</v>
      </c>
      <c r="AC54" t="s">
        <v>22</v>
      </c>
      <c r="AD54" t="s">
        <v>294</v>
      </c>
      <c r="AE54">
        <v>5.0888608855968742E-3</v>
      </c>
      <c r="AG54" t="s">
        <v>97</v>
      </c>
      <c r="AH54" t="s">
        <v>294</v>
      </c>
      <c r="AI54">
        <v>4.7880179351180274E-2</v>
      </c>
      <c r="AK54">
        <v>2025</v>
      </c>
      <c r="AL54" t="s">
        <v>158</v>
      </c>
      <c r="AM54">
        <v>0.70209999999999995</v>
      </c>
      <c r="AN54" t="s">
        <v>430</v>
      </c>
    </row>
    <row r="55" spans="5:40" x14ac:dyDescent="0.45">
      <c r="E55" t="s">
        <v>481</v>
      </c>
      <c r="G55" t="s">
        <v>160</v>
      </c>
      <c r="I55" t="s">
        <v>249</v>
      </c>
      <c r="J55" t="s">
        <v>295</v>
      </c>
      <c r="K55">
        <v>5.2408395071258398E-2</v>
      </c>
      <c r="L55" t="s">
        <v>251</v>
      </c>
      <c r="N55" t="s">
        <v>419</v>
      </c>
      <c r="O55" t="s">
        <v>295</v>
      </c>
      <c r="P55">
        <v>4.4149492272705773E-2</v>
      </c>
      <c r="Q55" t="s">
        <v>251</v>
      </c>
      <c r="S55" t="s">
        <v>420</v>
      </c>
      <c r="T55" t="s">
        <v>295</v>
      </c>
      <c r="U55">
        <v>3.8365477548783382E-2</v>
      </c>
      <c r="V55" t="s">
        <v>251</v>
      </c>
      <c r="X55">
        <v>2.3972602739726026E-2</v>
      </c>
      <c r="Y55">
        <v>3.3533053228252493E-2</v>
      </c>
      <c r="Z55" t="s">
        <v>295</v>
      </c>
      <c r="AA55" t="s">
        <v>25</v>
      </c>
      <c r="AC55" t="s">
        <v>22</v>
      </c>
      <c r="AD55" t="s">
        <v>295</v>
      </c>
      <c r="AE55">
        <v>3.6083706461427875E-2</v>
      </c>
      <c r="AG55" t="s">
        <v>97</v>
      </c>
      <c r="AH55" t="s">
        <v>295</v>
      </c>
      <c r="AI55">
        <v>0.12780921466955442</v>
      </c>
      <c r="AK55">
        <v>2025</v>
      </c>
      <c r="AL55" t="s">
        <v>162</v>
      </c>
      <c r="AM55">
        <v>0.76329999999999998</v>
      </c>
      <c r="AN55" t="s">
        <v>430</v>
      </c>
    </row>
    <row r="56" spans="5:40" x14ac:dyDescent="0.45">
      <c r="E56" t="s">
        <v>482</v>
      </c>
      <c r="G56" t="s">
        <v>160</v>
      </c>
      <c r="I56" t="s">
        <v>249</v>
      </c>
      <c r="J56" t="s">
        <v>296</v>
      </c>
      <c r="K56">
        <v>4.2724821694190831E-3</v>
      </c>
      <c r="L56" t="s">
        <v>251</v>
      </c>
      <c r="N56" t="s">
        <v>419</v>
      </c>
      <c r="O56" t="s">
        <v>296</v>
      </c>
      <c r="P56">
        <v>6.3009483613797098E-3</v>
      </c>
      <c r="Q56" t="s">
        <v>251</v>
      </c>
      <c r="S56" t="s">
        <v>420</v>
      </c>
      <c r="T56" t="s">
        <v>296</v>
      </c>
      <c r="U56">
        <v>5.8747546722316092E-3</v>
      </c>
      <c r="V56" t="s">
        <v>251</v>
      </c>
      <c r="X56">
        <v>3.4246575342465752E-3</v>
      </c>
      <c r="Y56">
        <v>6.662854585684809E-3</v>
      </c>
      <c r="Z56" t="s">
        <v>296</v>
      </c>
      <c r="AA56" t="s">
        <v>25</v>
      </c>
      <c r="AC56" t="s">
        <v>22</v>
      </c>
      <c r="AD56" t="s">
        <v>296</v>
      </c>
      <c r="AE56">
        <v>3.1423811851982193E-3</v>
      </c>
      <c r="AG56" t="s">
        <v>97</v>
      </c>
      <c r="AH56" t="s">
        <v>296</v>
      </c>
      <c r="AI56">
        <v>8.9423036891613572E-2</v>
      </c>
      <c r="AK56">
        <v>2025</v>
      </c>
      <c r="AL56" t="s">
        <v>175</v>
      </c>
      <c r="AM56">
        <v>0.5343</v>
      </c>
      <c r="AN56" t="s">
        <v>430</v>
      </c>
    </row>
    <row r="57" spans="5:40" x14ac:dyDescent="0.45">
      <c r="E57" t="s">
        <v>483</v>
      </c>
      <c r="G57" t="s">
        <v>160</v>
      </c>
      <c r="I57" t="s">
        <v>249</v>
      </c>
      <c r="J57" t="s">
        <v>297</v>
      </c>
      <c r="K57">
        <v>2.380249128749159E-3</v>
      </c>
      <c r="L57" t="s">
        <v>251</v>
      </c>
      <c r="N57" t="s">
        <v>419</v>
      </c>
      <c r="O57" t="s">
        <v>297</v>
      </c>
      <c r="P57">
        <v>6.4942321030568998E-3</v>
      </c>
      <c r="Q57" t="s">
        <v>251</v>
      </c>
      <c r="S57" t="s">
        <v>420</v>
      </c>
      <c r="T57" t="s">
        <v>297</v>
      </c>
      <c r="U57">
        <v>6.0119750941272799E-3</v>
      </c>
      <c r="V57" t="s">
        <v>251</v>
      </c>
      <c r="X57">
        <v>3.4246575342465752E-3</v>
      </c>
      <c r="Y57">
        <v>5.1711707232180593E-3</v>
      </c>
      <c r="Z57" t="s">
        <v>297</v>
      </c>
      <c r="AA57" t="s">
        <v>25</v>
      </c>
      <c r="AC57" t="s">
        <v>22</v>
      </c>
      <c r="AD57" t="s">
        <v>297</v>
      </c>
      <c r="AE57">
        <v>3.8905794267177396E-3</v>
      </c>
      <c r="AG57" t="s">
        <v>97</v>
      </c>
      <c r="AH57" t="s">
        <v>297</v>
      </c>
      <c r="AI57">
        <v>1.6280183193151831E-2</v>
      </c>
      <c r="AK57">
        <v>2025</v>
      </c>
      <c r="AL57" t="s">
        <v>166</v>
      </c>
      <c r="AM57">
        <v>0.37019999999999997</v>
      </c>
      <c r="AN57" t="s">
        <v>430</v>
      </c>
    </row>
    <row r="58" spans="5:40" x14ac:dyDescent="0.45">
      <c r="E58" t="s">
        <v>484</v>
      </c>
      <c r="G58" t="s">
        <v>160</v>
      </c>
      <c r="I58" t="s">
        <v>249</v>
      </c>
      <c r="J58" t="s">
        <v>298</v>
      </c>
      <c r="K58">
        <v>6.5942701400987245E-4</v>
      </c>
      <c r="L58" t="s">
        <v>251</v>
      </c>
      <c r="N58" t="s">
        <v>419</v>
      </c>
      <c r="O58" t="s">
        <v>298</v>
      </c>
      <c r="P58">
        <v>3.4052871775288797E-2</v>
      </c>
      <c r="Q58" t="s">
        <v>251</v>
      </c>
      <c r="S58" t="s">
        <v>420</v>
      </c>
      <c r="T58" t="s">
        <v>298</v>
      </c>
      <c r="U58">
        <v>3.0989048617552705E-2</v>
      </c>
      <c r="V58" t="s">
        <v>251</v>
      </c>
      <c r="X58">
        <v>1.7123287671232876E-2</v>
      </c>
      <c r="Y58">
        <v>1.2927926808045149E-2</v>
      </c>
      <c r="Z58" t="s">
        <v>298</v>
      </c>
      <c r="AA58" t="s">
        <v>25</v>
      </c>
      <c r="AC58" t="s">
        <v>22</v>
      </c>
      <c r="AD58" t="s">
        <v>298</v>
      </c>
      <c r="AE58">
        <v>1.7665221966811109E-2</v>
      </c>
      <c r="AG58" t="s">
        <v>97</v>
      </c>
      <c r="AH58" t="s">
        <v>298</v>
      </c>
      <c r="AI58">
        <v>5.6224292849093915E-2</v>
      </c>
      <c r="AK58">
        <v>2025</v>
      </c>
      <c r="AL58" t="s">
        <v>178</v>
      </c>
      <c r="AM58">
        <v>0.314</v>
      </c>
      <c r="AN58" t="s">
        <v>430</v>
      </c>
    </row>
    <row r="59" spans="5:40" x14ac:dyDescent="0.45">
      <c r="E59" t="s">
        <v>153</v>
      </c>
      <c r="G59" t="s">
        <v>164</v>
      </c>
      <c r="I59" t="s">
        <v>249</v>
      </c>
      <c r="J59" t="s">
        <v>299</v>
      </c>
      <c r="K59">
        <v>3.9949852694818087E-4</v>
      </c>
      <c r="L59" t="s">
        <v>251</v>
      </c>
      <c r="N59" t="s">
        <v>419</v>
      </c>
      <c r="O59" t="s">
        <v>299</v>
      </c>
      <c r="P59">
        <v>5.21461902063994E-2</v>
      </c>
      <c r="Q59" t="s">
        <v>251</v>
      </c>
      <c r="S59" t="s">
        <v>420</v>
      </c>
      <c r="T59" t="s">
        <v>299</v>
      </c>
      <c r="U59">
        <v>5.8266126603190097E-2</v>
      </c>
      <c r="V59" t="s">
        <v>251</v>
      </c>
      <c r="X59">
        <v>2.4771689497716895E-2</v>
      </c>
      <c r="Y59">
        <v>9.7827942553597048E-3</v>
      </c>
      <c r="Z59" t="s">
        <v>299</v>
      </c>
      <c r="AA59" t="s">
        <v>25</v>
      </c>
      <c r="AC59" t="s">
        <v>22</v>
      </c>
      <c r="AD59" t="s">
        <v>299</v>
      </c>
      <c r="AE59">
        <v>3.1290129919684682E-2</v>
      </c>
      <c r="AG59" t="s">
        <v>97</v>
      </c>
      <c r="AH59" t="s">
        <v>299</v>
      </c>
      <c r="AI59">
        <v>9.0557243741560711E-2</v>
      </c>
      <c r="AK59">
        <v>2026</v>
      </c>
      <c r="AL59" t="s">
        <v>151</v>
      </c>
      <c r="AM59">
        <v>0.25640000000000002</v>
      </c>
      <c r="AN59" t="s">
        <v>430</v>
      </c>
    </row>
    <row r="60" spans="5:40" x14ac:dyDescent="0.45">
      <c r="E60" t="s">
        <v>157</v>
      </c>
      <c r="G60" t="s">
        <v>164</v>
      </c>
      <c r="I60" t="s">
        <v>249</v>
      </c>
      <c r="J60" t="s">
        <v>300</v>
      </c>
      <c r="K60">
        <v>1.5950621698403843E-3</v>
      </c>
      <c r="L60" t="s">
        <v>251</v>
      </c>
      <c r="N60" t="s">
        <v>419</v>
      </c>
      <c r="O60" t="s">
        <v>300</v>
      </c>
      <c r="P60">
        <v>6.9797535869503E-3</v>
      </c>
      <c r="Q60" t="s">
        <v>251</v>
      </c>
      <c r="S60" t="s">
        <v>420</v>
      </c>
      <c r="T60" t="s">
        <v>300</v>
      </c>
      <c r="U60">
        <v>7.9219619050836E-3</v>
      </c>
      <c r="V60" t="s">
        <v>251</v>
      </c>
      <c r="X60">
        <v>3.5388127853881279E-3</v>
      </c>
      <c r="Y60">
        <v>5.9087255218821738E-3</v>
      </c>
      <c r="Z60" t="s">
        <v>300</v>
      </c>
      <c r="AA60" t="s">
        <v>25</v>
      </c>
      <c r="AC60" t="s">
        <v>22</v>
      </c>
      <c r="AD60" t="s">
        <v>300</v>
      </c>
      <c r="AE60">
        <v>4.878510750396468E-3</v>
      </c>
      <c r="AG60" t="s">
        <v>97</v>
      </c>
      <c r="AH60" t="s">
        <v>300</v>
      </c>
      <c r="AI60">
        <v>3.8525592846895274E-2</v>
      </c>
      <c r="AK60">
        <v>2026</v>
      </c>
      <c r="AL60" t="s">
        <v>156</v>
      </c>
      <c r="AM60">
        <v>0.2974</v>
      </c>
      <c r="AN60" t="s">
        <v>430</v>
      </c>
    </row>
    <row r="61" spans="5:40" x14ac:dyDescent="0.45">
      <c r="E61" t="s">
        <v>161</v>
      </c>
      <c r="G61" t="s">
        <v>164</v>
      </c>
      <c r="I61" t="s">
        <v>249</v>
      </c>
      <c r="J61" t="s">
        <v>301</v>
      </c>
      <c r="K61">
        <v>3.0283477756202618E-3</v>
      </c>
      <c r="L61" t="s">
        <v>251</v>
      </c>
      <c r="N61" t="s">
        <v>419</v>
      </c>
      <c r="O61" t="s">
        <v>301</v>
      </c>
      <c r="P61">
        <v>7.7421033792447001E-3</v>
      </c>
      <c r="Q61" t="s">
        <v>251</v>
      </c>
      <c r="S61" t="s">
        <v>420</v>
      </c>
      <c r="T61" t="s">
        <v>301</v>
      </c>
      <c r="U61">
        <v>7.8743154094812005E-3</v>
      </c>
      <c r="V61" t="s">
        <v>251</v>
      </c>
      <c r="X61">
        <v>3.5388127853881279E-3</v>
      </c>
      <c r="Y61">
        <v>4.521459529788099E-3</v>
      </c>
      <c r="Z61" t="s">
        <v>301</v>
      </c>
      <c r="AA61" t="s">
        <v>25</v>
      </c>
      <c r="AC61" t="s">
        <v>22</v>
      </c>
      <c r="AD61" t="s">
        <v>301</v>
      </c>
      <c r="AE61">
        <v>4.9283984321186322E-3</v>
      </c>
      <c r="AG61" t="s">
        <v>97</v>
      </c>
      <c r="AH61" t="s">
        <v>301</v>
      </c>
      <c r="AI61">
        <v>6.5790488331782804E-2</v>
      </c>
      <c r="AK61">
        <v>2026</v>
      </c>
      <c r="AL61" t="s">
        <v>159</v>
      </c>
      <c r="AM61">
        <v>0.30530000000000002</v>
      </c>
      <c r="AN61" t="s">
        <v>430</v>
      </c>
    </row>
    <row r="62" spans="5:40" x14ac:dyDescent="0.45">
      <c r="E62" t="s">
        <v>165</v>
      </c>
      <c r="G62" t="s">
        <v>164</v>
      </c>
      <c r="I62" t="s">
        <v>249</v>
      </c>
      <c r="J62" t="s">
        <v>302</v>
      </c>
      <c r="K62">
        <v>4.2983747799500358E-3</v>
      </c>
      <c r="L62" t="s">
        <v>251</v>
      </c>
      <c r="N62" t="s">
        <v>419</v>
      </c>
      <c r="O62" t="s">
        <v>302</v>
      </c>
      <c r="P62">
        <v>8.1553262393319007E-3</v>
      </c>
      <c r="Q62" t="s">
        <v>251</v>
      </c>
      <c r="S62" t="s">
        <v>420</v>
      </c>
      <c r="T62" t="s">
        <v>302</v>
      </c>
      <c r="U62">
        <v>7.8451054959140995E-3</v>
      </c>
      <c r="V62" t="s">
        <v>251</v>
      </c>
      <c r="X62">
        <v>3.5388127853881279E-3</v>
      </c>
      <c r="Y62">
        <v>4.4803553522445696E-3</v>
      </c>
      <c r="Z62" t="s">
        <v>302</v>
      </c>
      <c r="AA62" t="s">
        <v>25</v>
      </c>
      <c r="AC62" t="s">
        <v>22</v>
      </c>
      <c r="AD62" t="s">
        <v>302</v>
      </c>
      <c r="AE62">
        <v>4.937018504778355E-3</v>
      </c>
      <c r="AG62" t="s">
        <v>97</v>
      </c>
      <c r="AH62" t="s">
        <v>302</v>
      </c>
      <c r="AI62">
        <v>5.5477041993539533E-2</v>
      </c>
      <c r="AK62">
        <v>2026</v>
      </c>
      <c r="AL62" t="s">
        <v>163</v>
      </c>
      <c r="AM62">
        <v>0.34670000000000001</v>
      </c>
      <c r="AN62" t="s">
        <v>430</v>
      </c>
    </row>
    <row r="63" spans="5:40" x14ac:dyDescent="0.45">
      <c r="E63" t="s">
        <v>168</v>
      </c>
      <c r="G63" t="s">
        <v>164</v>
      </c>
      <c r="I63" t="s">
        <v>249</v>
      </c>
      <c r="J63" t="s">
        <v>303</v>
      </c>
      <c r="K63">
        <v>3.8843648177558546E-2</v>
      </c>
      <c r="L63" t="s">
        <v>251</v>
      </c>
      <c r="N63" t="s">
        <v>419</v>
      </c>
      <c r="O63" t="s">
        <v>303</v>
      </c>
      <c r="P63">
        <v>5.84657992409887E-2</v>
      </c>
      <c r="Q63" t="s">
        <v>251</v>
      </c>
      <c r="S63" t="s">
        <v>420</v>
      </c>
      <c r="T63" t="s">
        <v>303</v>
      </c>
      <c r="U63">
        <v>5.5983631985480599E-2</v>
      </c>
      <c r="V63" t="s">
        <v>251</v>
      </c>
      <c r="X63">
        <v>2.4771689497716895E-2</v>
      </c>
      <c r="Y63">
        <v>3.4650821669194247E-2</v>
      </c>
      <c r="Z63" t="s">
        <v>303</v>
      </c>
      <c r="AA63" t="s">
        <v>25</v>
      </c>
      <c r="AC63" t="s">
        <v>22</v>
      </c>
      <c r="AD63" t="s">
        <v>303</v>
      </c>
      <c r="AE63">
        <v>3.5605578723758191E-2</v>
      </c>
      <c r="AG63" t="s">
        <v>97</v>
      </c>
      <c r="AH63" t="s">
        <v>303</v>
      </c>
      <c r="AI63">
        <v>0.11764578777160528</v>
      </c>
      <c r="AK63">
        <v>2026</v>
      </c>
      <c r="AL63" t="s">
        <v>167</v>
      </c>
      <c r="AM63">
        <v>0.41049999999999998</v>
      </c>
      <c r="AN63" t="s">
        <v>430</v>
      </c>
    </row>
    <row r="64" spans="5:40" x14ac:dyDescent="0.45">
      <c r="E64" t="s">
        <v>170</v>
      </c>
      <c r="G64" t="s">
        <v>164</v>
      </c>
      <c r="I64" t="s">
        <v>249</v>
      </c>
      <c r="J64" t="s">
        <v>304</v>
      </c>
      <c r="K64">
        <v>2.7779154947420817E-3</v>
      </c>
      <c r="L64" t="s">
        <v>251</v>
      </c>
      <c r="N64" t="s">
        <v>419</v>
      </c>
      <c r="O64" t="s">
        <v>304</v>
      </c>
      <c r="P64">
        <v>8.3100494361197999E-3</v>
      </c>
      <c r="Q64" t="s">
        <v>251</v>
      </c>
      <c r="S64" t="s">
        <v>420</v>
      </c>
      <c r="T64" t="s">
        <v>304</v>
      </c>
      <c r="U64">
        <v>8.3495263949457006E-3</v>
      </c>
      <c r="V64" t="s">
        <v>251</v>
      </c>
      <c r="X64">
        <v>3.5388127853881279E-3</v>
      </c>
      <c r="Y64">
        <v>6.8849497385409693E-3</v>
      </c>
      <c r="Z64" t="s">
        <v>304</v>
      </c>
      <c r="AA64" t="s">
        <v>25</v>
      </c>
      <c r="AC64" t="s">
        <v>22</v>
      </c>
      <c r="AD64" t="s">
        <v>304</v>
      </c>
      <c r="AE64">
        <v>3.0673261932617898E-3</v>
      </c>
      <c r="AG64" t="s">
        <v>97</v>
      </c>
      <c r="AH64" t="s">
        <v>304</v>
      </c>
      <c r="AI64">
        <v>4.169317729613109E-2</v>
      </c>
      <c r="AK64">
        <v>2026</v>
      </c>
      <c r="AL64" t="s">
        <v>169</v>
      </c>
      <c r="AM64">
        <v>0.50549999999999995</v>
      </c>
      <c r="AN64" t="s">
        <v>430</v>
      </c>
    </row>
    <row r="65" spans="5:40" x14ac:dyDescent="0.45">
      <c r="E65" t="s">
        <v>172</v>
      </c>
      <c r="G65" t="s">
        <v>164</v>
      </c>
      <c r="I65" t="s">
        <v>249</v>
      </c>
      <c r="J65" t="s">
        <v>305</v>
      </c>
      <c r="K65">
        <v>1.4128730063523956E-3</v>
      </c>
      <c r="L65" t="s">
        <v>251</v>
      </c>
      <c r="N65" t="s">
        <v>419</v>
      </c>
      <c r="O65" t="s">
        <v>305</v>
      </c>
      <c r="P65">
        <v>8.4304595037270995E-3</v>
      </c>
      <c r="Q65" t="s">
        <v>251</v>
      </c>
      <c r="S65" t="s">
        <v>420</v>
      </c>
      <c r="T65" t="s">
        <v>305</v>
      </c>
      <c r="U65">
        <v>8.4649161656644E-3</v>
      </c>
      <c r="V65" t="s">
        <v>251</v>
      </c>
      <c r="X65">
        <v>3.5388127853881279E-3</v>
      </c>
      <c r="Y65">
        <v>5.3435430806586613E-3</v>
      </c>
      <c r="Z65" t="s">
        <v>305</v>
      </c>
      <c r="AA65" t="s">
        <v>25</v>
      </c>
      <c r="AC65" t="s">
        <v>22</v>
      </c>
      <c r="AD65" t="s">
        <v>305</v>
      </c>
      <c r="AE65">
        <v>3.7456547182714863E-3</v>
      </c>
      <c r="AG65" t="s">
        <v>97</v>
      </c>
      <c r="AH65" t="s">
        <v>305</v>
      </c>
      <c r="AI65">
        <v>1.8929036410713973E-2</v>
      </c>
      <c r="AK65">
        <v>2026</v>
      </c>
      <c r="AL65" t="s">
        <v>171</v>
      </c>
      <c r="AM65">
        <v>0.57340000000000002</v>
      </c>
      <c r="AN65" t="s">
        <v>430</v>
      </c>
    </row>
    <row r="66" spans="5:40" x14ac:dyDescent="0.45">
      <c r="E66" t="s">
        <v>173</v>
      </c>
      <c r="G66" t="s">
        <v>164</v>
      </c>
      <c r="I66" t="s">
        <v>249</v>
      </c>
      <c r="J66" t="s">
        <v>306</v>
      </c>
      <c r="K66">
        <v>3.1655616640138384E-4</v>
      </c>
      <c r="L66" t="s">
        <v>251</v>
      </c>
      <c r="N66" t="s">
        <v>419</v>
      </c>
      <c r="O66" t="s">
        <v>306</v>
      </c>
      <c r="P66">
        <v>4.2188424357887597E-2</v>
      </c>
      <c r="Q66" t="s">
        <v>251</v>
      </c>
      <c r="S66" t="s">
        <v>420</v>
      </c>
      <c r="T66" t="s">
        <v>306</v>
      </c>
      <c r="U66">
        <v>4.2296696757634797E-2</v>
      </c>
      <c r="V66" t="s">
        <v>251</v>
      </c>
      <c r="X66">
        <v>1.7694063926940638E-2</v>
      </c>
      <c r="Y66">
        <v>1.3358857701646654E-2</v>
      </c>
      <c r="Z66" t="s">
        <v>306</v>
      </c>
      <c r="AA66" t="s">
        <v>25</v>
      </c>
      <c r="AC66" t="s">
        <v>22</v>
      </c>
      <c r="AD66" t="s">
        <v>306</v>
      </c>
      <c r="AE66">
        <v>1.7309067814546067E-2</v>
      </c>
      <c r="AG66" t="s">
        <v>97</v>
      </c>
      <c r="AH66" t="s">
        <v>306</v>
      </c>
      <c r="AI66">
        <v>7.3955067275157216E-2</v>
      </c>
      <c r="AK66">
        <v>2026</v>
      </c>
      <c r="AL66" t="s">
        <v>158</v>
      </c>
      <c r="AM66">
        <v>0.76170000000000004</v>
      </c>
      <c r="AN66" t="s">
        <v>430</v>
      </c>
    </row>
    <row r="67" spans="5:40" x14ac:dyDescent="0.45">
      <c r="E67" t="s">
        <v>174</v>
      </c>
      <c r="G67" t="s">
        <v>164</v>
      </c>
      <c r="I67" t="s">
        <v>249</v>
      </c>
      <c r="J67" t="s">
        <v>307</v>
      </c>
      <c r="K67">
        <v>2.8380909462732479E-4</v>
      </c>
      <c r="L67" t="s">
        <v>251</v>
      </c>
      <c r="N67" t="s">
        <v>419</v>
      </c>
      <c r="O67" t="s">
        <v>307</v>
      </c>
      <c r="P67">
        <v>3.1657979524426588E-2</v>
      </c>
      <c r="Q67" t="s">
        <v>251</v>
      </c>
      <c r="S67" t="s">
        <v>420</v>
      </c>
      <c r="T67" t="s">
        <v>307</v>
      </c>
      <c r="U67">
        <v>3.594407818551143E-2</v>
      </c>
      <c r="V67" t="s">
        <v>251</v>
      </c>
      <c r="X67">
        <v>2.2374429223744292E-2</v>
      </c>
      <c r="Y67">
        <v>8.8360722306474754E-3</v>
      </c>
      <c r="Z67" t="s">
        <v>307</v>
      </c>
      <c r="AA67" t="s">
        <v>25</v>
      </c>
      <c r="AC67" t="s">
        <v>22</v>
      </c>
      <c r="AD67" t="s">
        <v>307</v>
      </c>
      <c r="AE67">
        <v>2.5253652865915084E-2</v>
      </c>
      <c r="AG67" t="s">
        <v>97</v>
      </c>
      <c r="AH67" t="s">
        <v>307</v>
      </c>
      <c r="AI67">
        <v>0.12588233711466956</v>
      </c>
      <c r="AK67">
        <v>2026</v>
      </c>
      <c r="AL67" t="s">
        <v>162</v>
      </c>
      <c r="AM67">
        <v>0.75239999999999996</v>
      </c>
      <c r="AN67" t="s">
        <v>430</v>
      </c>
    </row>
    <row r="68" spans="5:40" x14ac:dyDescent="0.45">
      <c r="E68" t="s">
        <v>176</v>
      </c>
      <c r="G68" t="s">
        <v>164</v>
      </c>
      <c r="I68" t="s">
        <v>249</v>
      </c>
      <c r="J68" t="s">
        <v>308</v>
      </c>
      <c r="K68">
        <v>1.5121095331550771E-3</v>
      </c>
      <c r="L68" t="s">
        <v>251</v>
      </c>
      <c r="N68" t="s">
        <v>419</v>
      </c>
      <c r="O68" t="s">
        <v>308</v>
      </c>
      <c r="P68">
        <v>4.2647589040355352E-3</v>
      </c>
      <c r="Q68" t="s">
        <v>251</v>
      </c>
      <c r="S68" t="s">
        <v>420</v>
      </c>
      <c r="T68" t="s">
        <v>308</v>
      </c>
      <c r="U68">
        <v>4.7565012642467146E-3</v>
      </c>
      <c r="V68" t="s">
        <v>251</v>
      </c>
      <c r="X68">
        <v>3.1963470319634705E-3</v>
      </c>
      <c r="Y68">
        <v>5.3369133746032542E-3</v>
      </c>
      <c r="Z68" t="s">
        <v>308</v>
      </c>
      <c r="AA68" t="s">
        <v>25</v>
      </c>
      <c r="AC68" t="s">
        <v>22</v>
      </c>
      <c r="AD68" t="s">
        <v>308</v>
      </c>
      <c r="AE68">
        <v>4.1840425851246022E-3</v>
      </c>
      <c r="AG68" t="s">
        <v>97</v>
      </c>
      <c r="AH68" t="s">
        <v>308</v>
      </c>
      <c r="AI68">
        <v>4.0581435672176536E-2</v>
      </c>
      <c r="AK68">
        <v>2026</v>
      </c>
      <c r="AL68" t="s">
        <v>175</v>
      </c>
      <c r="AM68">
        <v>0.48809999999999998</v>
      </c>
      <c r="AN68" t="s">
        <v>430</v>
      </c>
    </row>
    <row r="69" spans="5:40" x14ac:dyDescent="0.45">
      <c r="E69" t="s">
        <v>177</v>
      </c>
      <c r="G69" t="s">
        <v>164</v>
      </c>
      <c r="I69" t="s">
        <v>249</v>
      </c>
      <c r="J69" t="s">
        <v>309</v>
      </c>
      <c r="K69">
        <v>3.1015138880939753E-3</v>
      </c>
      <c r="L69" t="s">
        <v>251</v>
      </c>
      <c r="N69" t="s">
        <v>419</v>
      </c>
      <c r="O69" t="s">
        <v>309</v>
      </c>
      <c r="P69">
        <v>4.9932777140933018E-3</v>
      </c>
      <c r="Q69" t="s">
        <v>251</v>
      </c>
      <c r="S69" t="s">
        <v>420</v>
      </c>
      <c r="T69" t="s">
        <v>309</v>
      </c>
      <c r="U69">
        <v>4.6906916153356673E-3</v>
      </c>
      <c r="V69" t="s">
        <v>251</v>
      </c>
      <c r="X69">
        <v>3.1963470319634705E-3</v>
      </c>
      <c r="Y69">
        <v>4.0838989301311864E-3</v>
      </c>
      <c r="Z69" t="s">
        <v>309</v>
      </c>
      <c r="AA69" t="s">
        <v>25</v>
      </c>
      <c r="AC69" t="s">
        <v>22</v>
      </c>
      <c r="AD69" t="s">
        <v>309</v>
      </c>
      <c r="AE69">
        <v>4.2137588288857645E-3</v>
      </c>
      <c r="AG69" t="s">
        <v>97</v>
      </c>
      <c r="AH69" t="s">
        <v>309</v>
      </c>
      <c r="AI69">
        <v>3.8682271767342069E-2</v>
      </c>
      <c r="AK69">
        <v>2026</v>
      </c>
      <c r="AL69" t="s">
        <v>166</v>
      </c>
      <c r="AM69">
        <v>0.35849999999999999</v>
      </c>
      <c r="AN69" t="s">
        <v>430</v>
      </c>
    </row>
    <row r="70" spans="5:40" x14ac:dyDescent="0.45">
      <c r="E70" t="s">
        <v>179</v>
      </c>
      <c r="G70" t="s">
        <v>164</v>
      </c>
      <c r="I70" t="s">
        <v>249</v>
      </c>
      <c r="J70" t="s">
        <v>310</v>
      </c>
      <c r="K70">
        <v>4.4513773375356239E-3</v>
      </c>
      <c r="L70" t="s">
        <v>251</v>
      </c>
      <c r="N70" t="s">
        <v>419</v>
      </c>
      <c r="O70" t="s">
        <v>310</v>
      </c>
      <c r="P70">
        <v>5.0282288118744696E-3</v>
      </c>
      <c r="Q70" t="s">
        <v>251</v>
      </c>
      <c r="S70" t="s">
        <v>420</v>
      </c>
      <c r="T70" t="s">
        <v>310</v>
      </c>
      <c r="U70">
        <v>4.6329724516642285E-3</v>
      </c>
      <c r="V70" t="s">
        <v>251</v>
      </c>
      <c r="X70">
        <v>3.1963470319634705E-3</v>
      </c>
      <c r="Y70">
        <v>4.0467725762209023E-3</v>
      </c>
      <c r="Z70" t="s">
        <v>310</v>
      </c>
      <c r="AA70" t="s">
        <v>25</v>
      </c>
      <c r="AC70" t="s">
        <v>22</v>
      </c>
      <c r="AD70" t="s">
        <v>310</v>
      </c>
      <c r="AE70">
        <v>4.2055743835247303E-3</v>
      </c>
      <c r="AG70" t="s">
        <v>97</v>
      </c>
      <c r="AH70" t="s">
        <v>310</v>
      </c>
      <c r="AI70">
        <v>3.977766397901128E-2</v>
      </c>
      <c r="AK70">
        <v>2026</v>
      </c>
      <c r="AL70" t="s">
        <v>178</v>
      </c>
      <c r="AM70">
        <v>0.28820000000000001</v>
      </c>
      <c r="AN70" t="s">
        <v>430</v>
      </c>
    </row>
    <row r="71" spans="5:40" x14ac:dyDescent="0.45">
      <c r="E71" t="s">
        <v>180</v>
      </c>
      <c r="G71" t="s">
        <v>164</v>
      </c>
      <c r="I71" t="s">
        <v>249</v>
      </c>
      <c r="J71" t="s">
        <v>311</v>
      </c>
      <c r="K71">
        <v>3.8504217930232322E-2</v>
      </c>
      <c r="L71" t="s">
        <v>251</v>
      </c>
      <c r="N71" t="s">
        <v>419</v>
      </c>
      <c r="O71" t="s">
        <v>311</v>
      </c>
      <c r="P71">
        <v>3.6381345559575846E-2</v>
      </c>
      <c r="Q71" t="s">
        <v>251</v>
      </c>
      <c r="S71" t="s">
        <v>420</v>
      </c>
      <c r="T71" t="s">
        <v>311</v>
      </c>
      <c r="U71">
        <v>3.3141215273987501E-2</v>
      </c>
      <c r="V71" t="s">
        <v>251</v>
      </c>
      <c r="X71">
        <v>2.2374429223744292E-2</v>
      </c>
      <c r="Y71">
        <v>3.1297516346368993E-2</v>
      </c>
      <c r="Z71" t="s">
        <v>311</v>
      </c>
      <c r="AA71" t="s">
        <v>25</v>
      </c>
      <c r="AC71" t="s">
        <v>22</v>
      </c>
      <c r="AD71" t="s">
        <v>311</v>
      </c>
      <c r="AE71">
        <v>3.0864233884488387E-2</v>
      </c>
      <c r="AG71" t="s">
        <v>97</v>
      </c>
      <c r="AH71" t="s">
        <v>311</v>
      </c>
      <c r="AI71">
        <v>0.14749810625094928</v>
      </c>
      <c r="AK71">
        <v>2027</v>
      </c>
      <c r="AL71" t="s">
        <v>151</v>
      </c>
      <c r="AM71">
        <v>0.30059999999999998</v>
      </c>
      <c r="AN71" t="s">
        <v>430</v>
      </c>
    </row>
    <row r="72" spans="5:40" x14ac:dyDescent="0.45">
      <c r="E72" t="s">
        <v>181</v>
      </c>
      <c r="G72" t="s">
        <v>164</v>
      </c>
      <c r="I72" t="s">
        <v>249</v>
      </c>
      <c r="J72" t="s">
        <v>312</v>
      </c>
      <c r="K72">
        <v>2.8449564177768271E-3</v>
      </c>
      <c r="L72" t="s">
        <v>251</v>
      </c>
      <c r="N72" t="s">
        <v>419</v>
      </c>
      <c r="O72" t="s">
        <v>312</v>
      </c>
      <c r="P72">
        <v>4.950022229352498E-3</v>
      </c>
      <c r="Q72" t="s">
        <v>251</v>
      </c>
      <c r="S72" t="s">
        <v>420</v>
      </c>
      <c r="T72" t="s">
        <v>312</v>
      </c>
      <c r="U72">
        <v>4.8237398334086811E-3</v>
      </c>
      <c r="V72" t="s">
        <v>251</v>
      </c>
      <c r="X72">
        <v>3.1963470319634705E-3</v>
      </c>
      <c r="Y72">
        <v>6.2186642799724884E-3</v>
      </c>
      <c r="Z72" t="s">
        <v>312</v>
      </c>
      <c r="AA72" t="s">
        <v>25</v>
      </c>
      <c r="AC72" t="s">
        <v>22</v>
      </c>
      <c r="AD72" t="s">
        <v>312</v>
      </c>
      <c r="AE72">
        <v>2.4161778761423499E-3</v>
      </c>
      <c r="AG72" t="s">
        <v>97</v>
      </c>
      <c r="AH72" t="s">
        <v>312</v>
      </c>
      <c r="AI72">
        <v>3.7934084508520982E-2</v>
      </c>
      <c r="AK72">
        <v>2027</v>
      </c>
      <c r="AL72" t="s">
        <v>156</v>
      </c>
      <c r="AM72">
        <v>0.2923</v>
      </c>
      <c r="AN72" t="s">
        <v>430</v>
      </c>
    </row>
    <row r="73" spans="5:40" x14ac:dyDescent="0.45">
      <c r="E73" t="s">
        <v>182</v>
      </c>
      <c r="G73" t="s">
        <v>164</v>
      </c>
      <c r="I73" t="s">
        <v>249</v>
      </c>
      <c r="J73" t="s">
        <v>313</v>
      </c>
      <c r="K73">
        <v>1.3056301351524373E-3</v>
      </c>
      <c r="L73" t="s">
        <v>251</v>
      </c>
      <c r="N73" t="s">
        <v>419</v>
      </c>
      <c r="O73" t="s">
        <v>313</v>
      </c>
      <c r="P73">
        <v>5.001159265991045E-3</v>
      </c>
      <c r="Q73" t="s">
        <v>251</v>
      </c>
      <c r="S73" t="s">
        <v>420</v>
      </c>
      <c r="T73" t="s">
        <v>313</v>
      </c>
      <c r="U73">
        <v>4.866701680359309E-3</v>
      </c>
      <c r="V73" t="s">
        <v>251</v>
      </c>
      <c r="X73">
        <v>3.1963470319634705E-3</v>
      </c>
      <c r="Y73">
        <v>4.8264260083368555E-3</v>
      </c>
      <c r="Z73" t="s">
        <v>313</v>
      </c>
      <c r="AA73" t="s">
        <v>25</v>
      </c>
      <c r="AC73" t="s">
        <v>22</v>
      </c>
      <c r="AD73" t="s">
        <v>313</v>
      </c>
      <c r="AE73">
        <v>1.577741278024464E-3</v>
      </c>
      <c r="AG73" t="s">
        <v>97</v>
      </c>
      <c r="AH73" t="s">
        <v>313</v>
      </c>
      <c r="AI73">
        <v>4.0226580913055088E-2</v>
      </c>
      <c r="AK73">
        <v>2027</v>
      </c>
      <c r="AL73" t="s">
        <v>159</v>
      </c>
      <c r="AM73">
        <v>0.33539999999999998</v>
      </c>
      <c r="AN73" t="s">
        <v>430</v>
      </c>
    </row>
    <row r="74" spans="5:40" x14ac:dyDescent="0.45">
      <c r="E74" t="s">
        <v>183</v>
      </c>
      <c r="G74" t="s">
        <v>164</v>
      </c>
      <c r="I74" t="s">
        <v>249</v>
      </c>
      <c r="J74" t="s">
        <v>314</v>
      </c>
      <c r="K74">
        <v>1.7769079254161885E-4</v>
      </c>
      <c r="L74" t="s">
        <v>251</v>
      </c>
      <c r="N74" t="s">
        <v>419</v>
      </c>
      <c r="O74" t="s">
        <v>314</v>
      </c>
      <c r="P74">
        <v>2.4555959740167284E-2</v>
      </c>
      <c r="Q74" t="s">
        <v>251</v>
      </c>
      <c r="S74" t="s">
        <v>420</v>
      </c>
      <c r="T74" t="s">
        <v>314</v>
      </c>
      <c r="U74">
        <v>2.465946636533296E-2</v>
      </c>
      <c r="V74" t="s">
        <v>251</v>
      </c>
      <c r="X74">
        <v>1.5981735159817351E-2</v>
      </c>
      <c r="Y74">
        <v>1.2066065020842141E-2</v>
      </c>
      <c r="Z74" t="s">
        <v>314</v>
      </c>
      <c r="AA74" t="s">
        <v>25</v>
      </c>
      <c r="AC74" t="s">
        <v>22</v>
      </c>
      <c r="AD74" t="s">
        <v>314</v>
      </c>
      <c r="AE74">
        <v>8.245427212659728E-3</v>
      </c>
      <c r="AG74" t="s">
        <v>97</v>
      </c>
      <c r="AH74" t="s">
        <v>314</v>
      </c>
      <c r="AI74">
        <v>0.16895166440951637</v>
      </c>
      <c r="AK74">
        <v>2027</v>
      </c>
      <c r="AL74" t="s">
        <v>163</v>
      </c>
      <c r="AM74">
        <v>0.32800000000000001</v>
      </c>
      <c r="AN74" t="s">
        <v>430</v>
      </c>
    </row>
    <row r="75" spans="5:40" x14ac:dyDescent="0.45">
      <c r="E75" t="s">
        <v>184</v>
      </c>
      <c r="G75" t="s">
        <v>164</v>
      </c>
      <c r="I75" t="s">
        <v>249</v>
      </c>
      <c r="J75" t="s">
        <v>581</v>
      </c>
      <c r="K75">
        <v>0</v>
      </c>
      <c r="L75" t="s">
        <v>251</v>
      </c>
      <c r="N75" t="s">
        <v>419</v>
      </c>
      <c r="O75" t="s">
        <v>581</v>
      </c>
      <c r="P75">
        <v>1.2601112764770001E-4</v>
      </c>
      <c r="Q75" t="s">
        <v>251</v>
      </c>
      <c r="S75" t="s">
        <v>420</v>
      </c>
      <c r="T75" t="s">
        <v>581</v>
      </c>
      <c r="U75">
        <v>1.7798239725810001E-4</v>
      </c>
      <c r="V75" t="s">
        <v>251</v>
      </c>
      <c r="X75">
        <v>1.1415525114155251E-4</v>
      </c>
      <c r="Y75">
        <v>2.1546544680075254E-5</v>
      </c>
      <c r="Z75" t="s">
        <v>581</v>
      </c>
      <c r="AA75" t="s">
        <v>25</v>
      </c>
      <c r="AC75" t="s">
        <v>22</v>
      </c>
      <c r="AD75" t="s">
        <v>581</v>
      </c>
      <c r="AE75">
        <v>8.3562990104477759E-5</v>
      </c>
      <c r="AG75" t="s">
        <v>97</v>
      </c>
      <c r="AH75" t="s">
        <v>581</v>
      </c>
      <c r="AI75">
        <v>0</v>
      </c>
      <c r="AK75">
        <v>2027</v>
      </c>
      <c r="AL75" t="s">
        <v>167</v>
      </c>
      <c r="AM75">
        <v>0.43840000000000001</v>
      </c>
      <c r="AN75" t="s">
        <v>430</v>
      </c>
    </row>
    <row r="76" spans="5:40" x14ac:dyDescent="0.45">
      <c r="E76" t="s">
        <v>185</v>
      </c>
      <c r="G76" t="s">
        <v>164</v>
      </c>
      <c r="I76" t="s">
        <v>249</v>
      </c>
      <c r="J76" t="s">
        <v>582</v>
      </c>
      <c r="K76">
        <v>0</v>
      </c>
      <c r="L76" t="s">
        <v>251</v>
      </c>
      <c r="N76" t="s">
        <v>419</v>
      </c>
      <c r="O76" t="s">
        <v>582</v>
      </c>
      <c r="P76">
        <v>1.211834667305E-4</v>
      </c>
      <c r="Q76" t="s">
        <v>251</v>
      </c>
      <c r="S76" t="s">
        <v>420</v>
      </c>
      <c r="T76" t="s">
        <v>582</v>
      </c>
      <c r="U76">
        <v>1.8424080289859999E-4</v>
      </c>
      <c r="V76" t="s">
        <v>251</v>
      </c>
      <c r="X76">
        <v>1.1415525114155251E-4</v>
      </c>
      <c r="Y76">
        <v>1.4916838624667481E-5</v>
      </c>
      <c r="Z76" t="s">
        <v>582</v>
      </c>
      <c r="AA76" t="s">
        <v>25</v>
      </c>
      <c r="AC76" t="s">
        <v>22</v>
      </c>
      <c r="AD76" t="s">
        <v>582</v>
      </c>
      <c r="AE76">
        <v>9.805121872888376E-5</v>
      </c>
      <c r="AG76" t="s">
        <v>97</v>
      </c>
      <c r="AH76" t="s">
        <v>582</v>
      </c>
      <c r="AI76">
        <v>0</v>
      </c>
      <c r="AK76">
        <v>2027</v>
      </c>
      <c r="AL76" t="s">
        <v>169</v>
      </c>
      <c r="AM76">
        <v>0.49719999999999998</v>
      </c>
      <c r="AN76" t="s">
        <v>430</v>
      </c>
    </row>
    <row r="77" spans="5:40" x14ac:dyDescent="0.45">
      <c r="E77" t="s">
        <v>186</v>
      </c>
      <c r="G77" t="s">
        <v>164</v>
      </c>
      <c r="I77" t="s">
        <v>249</v>
      </c>
      <c r="J77" t="s">
        <v>583</v>
      </c>
      <c r="K77">
        <v>0</v>
      </c>
      <c r="L77" t="s">
        <v>251</v>
      </c>
      <c r="N77" t="s">
        <v>419</v>
      </c>
      <c r="O77" t="s">
        <v>583</v>
      </c>
      <c r="P77">
        <v>1.083316747056E-4</v>
      </c>
      <c r="Q77" t="s">
        <v>251</v>
      </c>
      <c r="S77" t="s">
        <v>420</v>
      </c>
      <c r="T77" t="s">
        <v>583</v>
      </c>
      <c r="U77">
        <v>1.8554314921530001E-4</v>
      </c>
      <c r="V77" t="s">
        <v>251</v>
      </c>
      <c r="X77">
        <v>1.1415525114155251E-4</v>
      </c>
      <c r="Y77">
        <v>1.6574265138519424E-5</v>
      </c>
      <c r="Z77" t="s">
        <v>583</v>
      </c>
      <c r="AA77" t="s">
        <v>25</v>
      </c>
      <c r="AC77" t="s">
        <v>22</v>
      </c>
      <c r="AD77" t="s">
        <v>583</v>
      </c>
      <c r="AE77">
        <v>1.2149933158871525E-4</v>
      </c>
      <c r="AG77" t="s">
        <v>97</v>
      </c>
      <c r="AH77" t="s">
        <v>583</v>
      </c>
      <c r="AI77">
        <v>0</v>
      </c>
      <c r="AK77">
        <v>2027</v>
      </c>
      <c r="AL77" t="s">
        <v>171</v>
      </c>
      <c r="AM77">
        <v>0.58409999999999995</v>
      </c>
      <c r="AN77" t="s">
        <v>430</v>
      </c>
    </row>
    <row r="78" spans="5:40" x14ac:dyDescent="0.45">
      <c r="E78" t="s">
        <v>187</v>
      </c>
      <c r="G78" t="s">
        <v>164</v>
      </c>
      <c r="I78" t="s">
        <v>249</v>
      </c>
      <c r="J78" t="s">
        <v>584</v>
      </c>
      <c r="K78">
        <v>0</v>
      </c>
      <c r="L78" t="s">
        <v>251</v>
      </c>
      <c r="N78" t="s">
        <v>419</v>
      </c>
      <c r="O78" t="s">
        <v>584</v>
      </c>
      <c r="P78">
        <v>9.8520048618432765E-5</v>
      </c>
      <c r="Q78" t="s">
        <v>251</v>
      </c>
      <c r="S78" t="s">
        <v>420</v>
      </c>
      <c r="T78" t="s">
        <v>584</v>
      </c>
      <c r="U78">
        <v>1.7961260235230001E-4</v>
      </c>
      <c r="V78" t="s">
        <v>251</v>
      </c>
      <c r="X78">
        <v>1.1415525114155251E-4</v>
      </c>
      <c r="Y78">
        <v>1.4585353321897093E-5</v>
      </c>
      <c r="Z78" t="s">
        <v>584</v>
      </c>
      <c r="AA78" t="s">
        <v>25</v>
      </c>
      <c r="AC78" t="s">
        <v>22</v>
      </c>
      <c r="AD78" t="s">
        <v>584</v>
      </c>
      <c r="AE78">
        <v>1.3843308942187017E-4</v>
      </c>
      <c r="AG78" t="s">
        <v>97</v>
      </c>
      <c r="AH78" t="s">
        <v>584</v>
      </c>
      <c r="AI78">
        <v>0</v>
      </c>
      <c r="AK78">
        <v>2027</v>
      </c>
      <c r="AL78" t="s">
        <v>158</v>
      </c>
      <c r="AM78">
        <v>0.70130000000000003</v>
      </c>
      <c r="AN78" t="s">
        <v>430</v>
      </c>
    </row>
    <row r="79" spans="5:40" x14ac:dyDescent="0.45">
      <c r="E79" t="s">
        <v>188</v>
      </c>
      <c r="G79" t="s">
        <v>164</v>
      </c>
      <c r="I79" t="s">
        <v>249</v>
      </c>
      <c r="J79" t="s">
        <v>585</v>
      </c>
      <c r="K79">
        <v>0</v>
      </c>
      <c r="L79" t="s">
        <v>251</v>
      </c>
      <c r="N79" t="s">
        <v>419</v>
      </c>
      <c r="O79" t="s">
        <v>585</v>
      </c>
      <c r="P79">
        <v>9.34572788900108E-5</v>
      </c>
      <c r="Q79" t="s">
        <v>251</v>
      </c>
      <c r="S79" t="s">
        <v>420</v>
      </c>
      <c r="T79" t="s">
        <v>585</v>
      </c>
      <c r="U79">
        <v>1.7526482950529999E-4</v>
      </c>
      <c r="V79" t="s">
        <v>251</v>
      </c>
      <c r="X79">
        <v>1.1415525114155251E-4</v>
      </c>
      <c r="Y79">
        <v>2.1215059377304864E-5</v>
      </c>
      <c r="Z79" t="s">
        <v>585</v>
      </c>
      <c r="AA79" t="s">
        <v>25</v>
      </c>
      <c r="AC79" t="s">
        <v>22</v>
      </c>
      <c r="AD79" t="s">
        <v>585</v>
      </c>
      <c r="AE79">
        <v>1.4317596770963519E-4</v>
      </c>
      <c r="AG79" t="s">
        <v>97</v>
      </c>
      <c r="AH79" t="s">
        <v>585</v>
      </c>
      <c r="AI79">
        <v>0</v>
      </c>
      <c r="AK79">
        <v>2027</v>
      </c>
      <c r="AL79" t="s">
        <v>162</v>
      </c>
      <c r="AM79">
        <v>0.6401</v>
      </c>
      <c r="AN79" t="s">
        <v>430</v>
      </c>
    </row>
    <row r="80" spans="5:40" x14ac:dyDescent="0.45">
      <c r="E80" t="s">
        <v>189</v>
      </c>
      <c r="G80" t="s">
        <v>164</v>
      </c>
      <c r="I80" t="s">
        <v>249</v>
      </c>
      <c r="J80" t="s">
        <v>586</v>
      </c>
      <c r="K80">
        <v>0</v>
      </c>
      <c r="L80" t="s">
        <v>251</v>
      </c>
      <c r="N80" t="s">
        <v>419</v>
      </c>
      <c r="O80" t="s">
        <v>586</v>
      </c>
      <c r="P80">
        <v>9.4784510750611122E-5</v>
      </c>
      <c r="Q80" t="s">
        <v>251</v>
      </c>
      <c r="S80" t="s">
        <v>420</v>
      </c>
      <c r="T80" t="s">
        <v>586</v>
      </c>
      <c r="U80">
        <v>1.693023390476E-4</v>
      </c>
      <c r="V80" t="s">
        <v>251</v>
      </c>
      <c r="X80">
        <v>1.1415525114155251E-4</v>
      </c>
      <c r="Y80">
        <v>5.7678442682047593E-5</v>
      </c>
      <c r="Z80" t="s">
        <v>586</v>
      </c>
      <c r="AA80" t="s">
        <v>25</v>
      </c>
      <c r="AC80" t="s">
        <v>22</v>
      </c>
      <c r="AD80" t="s">
        <v>586</v>
      </c>
      <c r="AE80">
        <v>1.4344001801600126E-4</v>
      </c>
      <c r="AG80" t="s">
        <v>97</v>
      </c>
      <c r="AH80" t="s">
        <v>586</v>
      </c>
      <c r="AI80">
        <v>0</v>
      </c>
      <c r="AK80">
        <v>2027</v>
      </c>
      <c r="AL80" t="s">
        <v>175</v>
      </c>
      <c r="AM80">
        <v>0.47910000000000003</v>
      </c>
      <c r="AN80" t="s">
        <v>430</v>
      </c>
    </row>
    <row r="81" spans="5:40" x14ac:dyDescent="0.45">
      <c r="E81" t="s">
        <v>190</v>
      </c>
      <c r="G81" t="s">
        <v>164</v>
      </c>
      <c r="I81" t="s">
        <v>249</v>
      </c>
      <c r="J81" t="s">
        <v>587</v>
      </c>
      <c r="K81">
        <v>5.8830506525029086E-6</v>
      </c>
      <c r="L81" t="s">
        <v>251</v>
      </c>
      <c r="N81" t="s">
        <v>419</v>
      </c>
      <c r="O81" t="s">
        <v>587</v>
      </c>
      <c r="P81">
        <v>9.12287856459073E-5</v>
      </c>
      <c r="Q81" t="s">
        <v>251</v>
      </c>
      <c r="S81" t="s">
        <v>420</v>
      </c>
      <c r="T81" t="s">
        <v>587</v>
      </c>
      <c r="U81">
        <v>1.601932940855E-4</v>
      </c>
      <c r="V81" t="s">
        <v>251</v>
      </c>
      <c r="X81">
        <v>1.1415525114155251E-4</v>
      </c>
      <c r="Y81">
        <v>1.6905750441289813E-4</v>
      </c>
      <c r="Z81" t="s">
        <v>587</v>
      </c>
      <c r="AA81" t="s">
        <v>25</v>
      </c>
      <c r="AC81" t="s">
        <v>22</v>
      </c>
      <c r="AD81" t="s">
        <v>587</v>
      </c>
      <c r="AE81">
        <v>1.4344001801600126E-4</v>
      </c>
      <c r="AG81" t="s">
        <v>97</v>
      </c>
      <c r="AH81" t="s">
        <v>587</v>
      </c>
      <c r="AI81">
        <v>0</v>
      </c>
      <c r="AK81">
        <v>2027</v>
      </c>
      <c r="AL81" t="s">
        <v>166</v>
      </c>
      <c r="AM81">
        <v>0.3034</v>
      </c>
      <c r="AN81" t="s">
        <v>430</v>
      </c>
    </row>
    <row r="82" spans="5:40" x14ac:dyDescent="0.45">
      <c r="E82" t="s">
        <v>191</v>
      </c>
      <c r="G82" t="s">
        <v>164</v>
      </c>
      <c r="I82" t="s">
        <v>249</v>
      </c>
      <c r="J82" t="s">
        <v>588</v>
      </c>
      <c r="K82">
        <v>2.6374471772130844E-5</v>
      </c>
      <c r="L82" t="s">
        <v>251</v>
      </c>
      <c r="N82" t="s">
        <v>419</v>
      </c>
      <c r="O82" t="s">
        <v>588</v>
      </c>
      <c r="P82">
        <v>1.054113109837E-4</v>
      </c>
      <c r="Q82" t="s">
        <v>251</v>
      </c>
      <c r="S82" t="s">
        <v>420</v>
      </c>
      <c r="T82" t="s">
        <v>588</v>
      </c>
      <c r="U82">
        <v>1.5540023864360001E-4</v>
      </c>
      <c r="V82" t="s">
        <v>251</v>
      </c>
      <c r="X82">
        <v>1.1415525114155251E-4</v>
      </c>
      <c r="Y82">
        <v>1.9060404909297337E-4</v>
      </c>
      <c r="Z82" t="s">
        <v>588</v>
      </c>
      <c r="AA82" t="s">
        <v>25</v>
      </c>
      <c r="AC82" t="s">
        <v>22</v>
      </c>
      <c r="AD82" t="s">
        <v>588</v>
      </c>
      <c r="AE82">
        <v>1.4369961177711219E-4</v>
      </c>
      <c r="AG82" t="s">
        <v>97</v>
      </c>
      <c r="AH82" t="s">
        <v>588</v>
      </c>
      <c r="AI82">
        <v>0</v>
      </c>
      <c r="AK82">
        <v>2027</v>
      </c>
      <c r="AL82" t="s">
        <v>178</v>
      </c>
      <c r="AM82">
        <v>0.30459999999999998</v>
      </c>
      <c r="AN82" t="s">
        <v>430</v>
      </c>
    </row>
    <row r="83" spans="5:40" x14ac:dyDescent="0.45">
      <c r="E83" t="s">
        <v>485</v>
      </c>
      <c r="G83" t="s">
        <v>435</v>
      </c>
      <c r="I83" t="s">
        <v>249</v>
      </c>
      <c r="J83" t="s">
        <v>589</v>
      </c>
      <c r="K83">
        <v>5.8718185060113219E-5</v>
      </c>
      <c r="L83" t="s">
        <v>251</v>
      </c>
      <c r="N83" t="s">
        <v>419</v>
      </c>
      <c r="O83" t="s">
        <v>589</v>
      </c>
      <c r="P83">
        <v>1.207104011835E-4</v>
      </c>
      <c r="Q83" t="s">
        <v>251</v>
      </c>
      <c r="S83" t="s">
        <v>420</v>
      </c>
      <c r="T83" t="s">
        <v>589</v>
      </c>
      <c r="U83">
        <v>1.5313587284409999E-4</v>
      </c>
      <c r="V83" t="s">
        <v>251</v>
      </c>
      <c r="X83">
        <v>1.1415525114155251E-4</v>
      </c>
      <c r="Y83">
        <v>1.4585353321897094E-4</v>
      </c>
      <c r="Z83" t="s">
        <v>589</v>
      </c>
      <c r="AA83" t="s">
        <v>25</v>
      </c>
      <c r="AC83" t="s">
        <v>22</v>
      </c>
      <c r="AD83" t="s">
        <v>589</v>
      </c>
      <c r="AE83">
        <v>1.4386338981523799E-4</v>
      </c>
      <c r="AG83" t="s">
        <v>97</v>
      </c>
      <c r="AH83" t="s">
        <v>589</v>
      </c>
      <c r="AI83">
        <v>0</v>
      </c>
      <c r="AK83">
        <v>2028</v>
      </c>
      <c r="AL83" t="s">
        <v>151</v>
      </c>
      <c r="AM83">
        <v>0.25540000000000002</v>
      </c>
      <c r="AN83" t="s">
        <v>430</v>
      </c>
    </row>
    <row r="84" spans="5:40" x14ac:dyDescent="0.45">
      <c r="E84" t="s">
        <v>486</v>
      </c>
      <c r="G84" t="s">
        <v>435</v>
      </c>
      <c r="I84" t="s">
        <v>249</v>
      </c>
      <c r="J84" t="s">
        <v>590</v>
      </c>
      <c r="K84">
        <v>9.1337058678560095E-5</v>
      </c>
      <c r="L84" t="s">
        <v>251</v>
      </c>
      <c r="N84" t="s">
        <v>419</v>
      </c>
      <c r="O84" t="s">
        <v>590</v>
      </c>
      <c r="P84">
        <v>1.3247918325539999E-4</v>
      </c>
      <c r="Q84" t="s">
        <v>251</v>
      </c>
      <c r="S84" t="s">
        <v>420</v>
      </c>
      <c r="T84" t="s">
        <v>590</v>
      </c>
      <c r="U84">
        <v>1.5541915171739999E-4</v>
      </c>
      <c r="V84" t="s">
        <v>251</v>
      </c>
      <c r="X84">
        <v>1.1415525114155251E-4</v>
      </c>
      <c r="Y84">
        <v>1.4452759200788939E-4</v>
      </c>
      <c r="Z84" t="s">
        <v>590</v>
      </c>
      <c r="AA84" t="s">
        <v>25</v>
      </c>
      <c r="AC84" t="s">
        <v>22</v>
      </c>
      <c r="AD84" t="s">
        <v>590</v>
      </c>
      <c r="AE84">
        <v>1.4386338981523799E-4</v>
      </c>
      <c r="AG84" t="s">
        <v>97</v>
      </c>
      <c r="AH84" t="s">
        <v>590</v>
      </c>
      <c r="AI84">
        <v>0</v>
      </c>
      <c r="AK84">
        <v>2028</v>
      </c>
      <c r="AL84" t="s">
        <v>156</v>
      </c>
      <c r="AM84">
        <v>0.25409999999999999</v>
      </c>
      <c r="AN84" t="s">
        <v>430</v>
      </c>
    </row>
    <row r="85" spans="5:40" x14ac:dyDescent="0.45">
      <c r="E85" t="s">
        <v>487</v>
      </c>
      <c r="G85" t="s">
        <v>435</v>
      </c>
      <c r="I85" t="s">
        <v>249</v>
      </c>
      <c r="J85" t="s">
        <v>591</v>
      </c>
      <c r="K85">
        <v>1.172473371246E-4</v>
      </c>
      <c r="L85" t="s">
        <v>251</v>
      </c>
      <c r="N85" t="s">
        <v>419</v>
      </c>
      <c r="O85" t="s">
        <v>591</v>
      </c>
      <c r="P85">
        <v>1.2802060636720001E-4</v>
      </c>
      <c r="Q85" t="s">
        <v>251</v>
      </c>
      <c r="S85" t="s">
        <v>420</v>
      </c>
      <c r="T85" t="s">
        <v>591</v>
      </c>
      <c r="U85">
        <v>1.604746370069E-4</v>
      </c>
      <c r="V85" t="s">
        <v>251</v>
      </c>
      <c r="X85">
        <v>1.1415525114155251E-4</v>
      </c>
      <c r="Y85">
        <v>1.408812536774151E-4</v>
      </c>
      <c r="Z85" t="s">
        <v>591</v>
      </c>
      <c r="AA85" t="s">
        <v>25</v>
      </c>
      <c r="AC85" t="s">
        <v>22</v>
      </c>
      <c r="AD85" t="s">
        <v>591</v>
      </c>
      <c r="AE85">
        <v>1.4387564531468953E-4</v>
      </c>
      <c r="AG85" t="s">
        <v>97</v>
      </c>
      <c r="AH85" t="s">
        <v>591</v>
      </c>
      <c r="AI85">
        <v>0</v>
      </c>
      <c r="AK85">
        <v>2028</v>
      </c>
      <c r="AL85" t="s">
        <v>159</v>
      </c>
      <c r="AM85">
        <v>0.24859999999999999</v>
      </c>
      <c r="AN85" t="s">
        <v>430</v>
      </c>
    </row>
    <row r="86" spans="5:40" x14ac:dyDescent="0.45">
      <c r="E86" t="s">
        <v>488</v>
      </c>
      <c r="G86" t="s">
        <v>435</v>
      </c>
      <c r="I86" t="s">
        <v>249</v>
      </c>
      <c r="J86" t="s">
        <v>592</v>
      </c>
      <c r="K86">
        <v>1.591540995549E-4</v>
      </c>
      <c r="L86" t="s">
        <v>251</v>
      </c>
      <c r="N86" t="s">
        <v>419</v>
      </c>
      <c r="O86" t="s">
        <v>592</v>
      </c>
      <c r="P86">
        <v>1.2249370299149999E-4</v>
      </c>
      <c r="Q86" t="s">
        <v>251</v>
      </c>
      <c r="S86" t="s">
        <v>420</v>
      </c>
      <c r="T86" t="s">
        <v>592</v>
      </c>
      <c r="U86">
        <v>1.6586853691730001E-4</v>
      </c>
      <c r="V86" t="s">
        <v>251</v>
      </c>
      <c r="X86">
        <v>1.1415525114155251E-4</v>
      </c>
      <c r="Y86">
        <v>1.4054976837464471E-4</v>
      </c>
      <c r="Z86" t="s">
        <v>592</v>
      </c>
      <c r="AA86" t="s">
        <v>25</v>
      </c>
      <c r="AC86" t="s">
        <v>22</v>
      </c>
      <c r="AD86" t="s">
        <v>592</v>
      </c>
      <c r="AE86">
        <v>1.4416086421101745E-4</v>
      </c>
      <c r="AG86" t="s">
        <v>97</v>
      </c>
      <c r="AH86" t="s">
        <v>592</v>
      </c>
      <c r="AI86">
        <v>0</v>
      </c>
      <c r="AK86">
        <v>2028</v>
      </c>
      <c r="AL86" t="s">
        <v>163</v>
      </c>
      <c r="AM86">
        <v>0.33439999999999998</v>
      </c>
      <c r="AN86" t="s">
        <v>430</v>
      </c>
    </row>
    <row r="87" spans="5:40" x14ac:dyDescent="0.45">
      <c r="E87" t="s">
        <v>489</v>
      </c>
      <c r="G87" t="s">
        <v>435</v>
      </c>
      <c r="I87" t="s">
        <v>249</v>
      </c>
      <c r="J87" t="s">
        <v>593</v>
      </c>
      <c r="K87">
        <v>1.884276671698E-4</v>
      </c>
      <c r="L87" t="s">
        <v>251</v>
      </c>
      <c r="N87" t="s">
        <v>419</v>
      </c>
      <c r="O87" t="s">
        <v>593</v>
      </c>
      <c r="P87">
        <v>1.214479262059E-4</v>
      </c>
      <c r="Q87" t="s">
        <v>251</v>
      </c>
      <c r="S87" t="s">
        <v>420</v>
      </c>
      <c r="T87" t="s">
        <v>593</v>
      </c>
      <c r="U87">
        <v>1.705950684063E-4</v>
      </c>
      <c r="V87" t="s">
        <v>251</v>
      </c>
      <c r="X87">
        <v>1.1415525114155251E-4</v>
      </c>
      <c r="Y87">
        <v>1.4253868019126702E-4</v>
      </c>
      <c r="Z87" t="s">
        <v>593</v>
      </c>
      <c r="AA87" t="s">
        <v>25</v>
      </c>
      <c r="AC87" t="s">
        <v>22</v>
      </c>
      <c r="AD87" t="s">
        <v>593</v>
      </c>
      <c r="AE87">
        <v>1.7197527728455604E-4</v>
      </c>
      <c r="AG87" t="s">
        <v>97</v>
      </c>
      <c r="AH87" t="s">
        <v>593</v>
      </c>
      <c r="AI87">
        <v>0</v>
      </c>
      <c r="AK87">
        <v>2028</v>
      </c>
      <c r="AL87" t="s">
        <v>167</v>
      </c>
      <c r="AM87">
        <v>0.39839999999999998</v>
      </c>
      <c r="AN87" t="s">
        <v>430</v>
      </c>
    </row>
    <row r="88" spans="5:40" x14ac:dyDescent="0.45">
      <c r="E88" t="s">
        <v>490</v>
      </c>
      <c r="G88" t="s">
        <v>435</v>
      </c>
      <c r="I88" t="s">
        <v>249</v>
      </c>
      <c r="J88" t="s">
        <v>594</v>
      </c>
      <c r="K88">
        <v>1.7529246306250001E-4</v>
      </c>
      <c r="L88" t="s">
        <v>251</v>
      </c>
      <c r="N88" t="s">
        <v>419</v>
      </c>
      <c r="O88" t="s">
        <v>594</v>
      </c>
      <c r="P88">
        <v>1.170295112227E-4</v>
      </c>
      <c r="Q88" t="s">
        <v>251</v>
      </c>
      <c r="S88" t="s">
        <v>420</v>
      </c>
      <c r="T88" t="s">
        <v>594</v>
      </c>
      <c r="U88">
        <v>1.647392022292E-4</v>
      </c>
      <c r="V88" t="s">
        <v>251</v>
      </c>
      <c r="X88">
        <v>1.1415525114155251E-4</v>
      </c>
      <c r="Y88">
        <v>1.4883690094390442E-4</v>
      </c>
      <c r="Z88" t="s">
        <v>594</v>
      </c>
      <c r="AA88" t="s">
        <v>25</v>
      </c>
      <c r="AC88" t="s">
        <v>22</v>
      </c>
      <c r="AD88" t="s">
        <v>594</v>
      </c>
      <c r="AE88">
        <v>1.7373338438770219E-4</v>
      </c>
      <c r="AG88" t="s">
        <v>97</v>
      </c>
      <c r="AH88" t="s">
        <v>594</v>
      </c>
      <c r="AI88">
        <v>0</v>
      </c>
      <c r="AK88">
        <v>2028</v>
      </c>
      <c r="AL88" t="s">
        <v>169</v>
      </c>
      <c r="AM88">
        <v>0.5161</v>
      </c>
      <c r="AN88" t="s">
        <v>430</v>
      </c>
    </row>
    <row r="89" spans="5:40" x14ac:dyDescent="0.45">
      <c r="E89" t="s">
        <v>491</v>
      </c>
      <c r="G89" t="s">
        <v>435</v>
      </c>
      <c r="I89" t="s">
        <v>249</v>
      </c>
      <c r="J89" t="s">
        <v>595</v>
      </c>
      <c r="K89">
        <v>1.8585651164819999E-4</v>
      </c>
      <c r="L89" t="s">
        <v>251</v>
      </c>
      <c r="N89" t="s">
        <v>419</v>
      </c>
      <c r="O89" t="s">
        <v>595</v>
      </c>
      <c r="P89">
        <v>1.2490181674820001E-4</v>
      </c>
      <c r="Q89" t="s">
        <v>251</v>
      </c>
      <c r="S89" t="s">
        <v>420</v>
      </c>
      <c r="T89" t="s">
        <v>595</v>
      </c>
      <c r="U89">
        <v>1.6790724781839999E-4</v>
      </c>
      <c r="V89" t="s">
        <v>251</v>
      </c>
      <c r="X89">
        <v>1.1415525114155251E-4</v>
      </c>
      <c r="Y89">
        <v>1.5049432745775637E-4</v>
      </c>
      <c r="Z89" t="s">
        <v>595</v>
      </c>
      <c r="AA89" t="s">
        <v>25</v>
      </c>
      <c r="AC89" t="s">
        <v>22</v>
      </c>
      <c r="AD89" t="s">
        <v>595</v>
      </c>
      <c r="AE89">
        <v>1.6688367433057759E-4</v>
      </c>
      <c r="AG89" t="s">
        <v>97</v>
      </c>
      <c r="AH89" t="s">
        <v>595</v>
      </c>
      <c r="AI89">
        <v>0</v>
      </c>
      <c r="AK89">
        <v>2028</v>
      </c>
      <c r="AL89" t="s">
        <v>171</v>
      </c>
      <c r="AM89">
        <v>0.59350000000000003</v>
      </c>
      <c r="AN89" t="s">
        <v>430</v>
      </c>
    </row>
    <row r="90" spans="5:40" x14ac:dyDescent="0.45">
      <c r="E90" t="s">
        <v>492</v>
      </c>
      <c r="G90" t="s">
        <v>435</v>
      </c>
      <c r="I90" t="s">
        <v>249</v>
      </c>
      <c r="J90" t="s">
        <v>596</v>
      </c>
      <c r="K90">
        <v>1.520995413796E-4</v>
      </c>
      <c r="L90" t="s">
        <v>251</v>
      </c>
      <c r="N90" t="s">
        <v>419</v>
      </c>
      <c r="O90" t="s">
        <v>596</v>
      </c>
      <c r="P90">
        <v>9.866894097634884E-5</v>
      </c>
      <c r="Q90" t="s">
        <v>251</v>
      </c>
      <c r="S90" t="s">
        <v>420</v>
      </c>
      <c r="T90" t="s">
        <v>596</v>
      </c>
      <c r="U90">
        <v>1.6725772135039999E-4</v>
      </c>
      <c r="V90" t="s">
        <v>251</v>
      </c>
      <c r="X90">
        <v>1.1415525114155251E-4</v>
      </c>
      <c r="Y90">
        <v>1.7237235744060203E-4</v>
      </c>
      <c r="Z90" t="s">
        <v>596</v>
      </c>
      <c r="AA90" t="s">
        <v>25</v>
      </c>
      <c r="AC90" t="s">
        <v>22</v>
      </c>
      <c r="AD90" t="s">
        <v>596</v>
      </c>
      <c r="AE90">
        <v>1.4592454199573252E-4</v>
      </c>
      <c r="AG90" t="s">
        <v>97</v>
      </c>
      <c r="AH90" t="s">
        <v>596</v>
      </c>
      <c r="AI90">
        <v>0</v>
      </c>
      <c r="AK90">
        <v>2028</v>
      </c>
      <c r="AL90" t="s">
        <v>158</v>
      </c>
      <c r="AM90">
        <v>0.58140000000000003</v>
      </c>
      <c r="AN90" t="s">
        <v>430</v>
      </c>
    </row>
    <row r="91" spans="5:40" x14ac:dyDescent="0.45">
      <c r="E91" t="s">
        <v>493</v>
      </c>
      <c r="G91" t="s">
        <v>435</v>
      </c>
      <c r="I91" t="s">
        <v>249</v>
      </c>
      <c r="J91" t="s">
        <v>597</v>
      </c>
      <c r="K91">
        <v>1.136335430105E-4</v>
      </c>
      <c r="L91" t="s">
        <v>251</v>
      </c>
      <c r="N91" t="s">
        <v>419</v>
      </c>
      <c r="O91" t="s">
        <v>597</v>
      </c>
      <c r="P91">
        <v>1.126746932942E-4</v>
      </c>
      <c r="Q91" t="s">
        <v>251</v>
      </c>
      <c r="S91" t="s">
        <v>420</v>
      </c>
      <c r="T91" t="s">
        <v>597</v>
      </c>
      <c r="U91">
        <v>1.7191431129749999E-4</v>
      </c>
      <c r="V91" t="s">
        <v>251</v>
      </c>
      <c r="X91">
        <v>1.1415525114155251E-4</v>
      </c>
      <c r="Y91">
        <v>2.2209515285616027E-4</v>
      </c>
      <c r="Z91" t="s">
        <v>597</v>
      </c>
      <c r="AA91" t="s">
        <v>25</v>
      </c>
      <c r="AC91" t="s">
        <v>22</v>
      </c>
      <c r="AD91" t="s">
        <v>597</v>
      </c>
      <c r="AE91">
        <v>1.2107150324422339E-4</v>
      </c>
      <c r="AG91" t="s">
        <v>97</v>
      </c>
      <c r="AH91" t="s">
        <v>597</v>
      </c>
      <c r="AI91">
        <v>0</v>
      </c>
      <c r="AK91">
        <v>2028</v>
      </c>
      <c r="AL91" t="s">
        <v>162</v>
      </c>
      <c r="AM91">
        <v>0.67200000000000004</v>
      </c>
      <c r="AN91" t="s">
        <v>430</v>
      </c>
    </row>
    <row r="92" spans="5:40" x14ac:dyDescent="0.45">
      <c r="E92" t="s">
        <v>494</v>
      </c>
      <c r="G92" t="s">
        <v>435</v>
      </c>
      <c r="I92" t="s">
        <v>249</v>
      </c>
      <c r="J92" t="s">
        <v>598</v>
      </c>
      <c r="K92">
        <v>6.8360790772152542E-5</v>
      </c>
      <c r="L92" t="s">
        <v>251</v>
      </c>
      <c r="N92" t="s">
        <v>419</v>
      </c>
      <c r="O92" t="s">
        <v>598</v>
      </c>
      <c r="P92">
        <v>1.087887152725E-4</v>
      </c>
      <c r="Q92" t="s">
        <v>251</v>
      </c>
      <c r="S92" t="s">
        <v>420</v>
      </c>
      <c r="T92" t="s">
        <v>598</v>
      </c>
      <c r="U92">
        <v>1.793667447263E-4</v>
      </c>
      <c r="V92" t="s">
        <v>251</v>
      </c>
      <c r="X92">
        <v>1.1415525114155251E-4</v>
      </c>
      <c r="Y92">
        <v>2.2209515285616027E-4</v>
      </c>
      <c r="Z92" t="s">
        <v>598</v>
      </c>
      <c r="AA92" t="s">
        <v>25</v>
      </c>
      <c r="AC92" t="s">
        <v>22</v>
      </c>
      <c r="AD92" t="s">
        <v>598</v>
      </c>
      <c r="AE92">
        <v>8.9962589090834873E-5</v>
      </c>
      <c r="AG92" t="s">
        <v>97</v>
      </c>
      <c r="AH92" t="s">
        <v>598</v>
      </c>
      <c r="AI92">
        <v>0</v>
      </c>
      <c r="AK92">
        <v>2028</v>
      </c>
      <c r="AL92" t="s">
        <v>175</v>
      </c>
      <c r="AM92">
        <v>0.48330000000000001</v>
      </c>
      <c r="AN92" t="s">
        <v>430</v>
      </c>
    </row>
    <row r="93" spans="5:40" x14ac:dyDescent="0.45">
      <c r="E93" t="s">
        <v>495</v>
      </c>
      <c r="G93" t="s">
        <v>435</v>
      </c>
      <c r="I93" t="s">
        <v>249</v>
      </c>
      <c r="J93" t="s">
        <v>599</v>
      </c>
      <c r="K93">
        <v>2.6584719071291404E-5</v>
      </c>
      <c r="L93" t="s">
        <v>251</v>
      </c>
      <c r="N93" t="s">
        <v>419</v>
      </c>
      <c r="O93" t="s">
        <v>599</v>
      </c>
      <c r="P93">
        <v>1.2208028738510001E-4</v>
      </c>
      <c r="Q93" t="s">
        <v>251</v>
      </c>
      <c r="S93" t="s">
        <v>420</v>
      </c>
      <c r="T93" t="s">
        <v>599</v>
      </c>
      <c r="U93">
        <v>1.807915951222E-4</v>
      </c>
      <c r="V93" t="s">
        <v>251</v>
      </c>
      <c r="X93">
        <v>1.1415525114155251E-4</v>
      </c>
      <c r="Y93">
        <v>1.7237235744060203E-4</v>
      </c>
      <c r="Z93" t="s">
        <v>599</v>
      </c>
      <c r="AA93" t="s">
        <v>25</v>
      </c>
      <c r="AC93" t="s">
        <v>22</v>
      </c>
      <c r="AD93" t="s">
        <v>599</v>
      </c>
      <c r="AE93">
        <v>5.4902947568779515E-5</v>
      </c>
      <c r="AG93" t="s">
        <v>97</v>
      </c>
      <c r="AH93" t="s">
        <v>599</v>
      </c>
      <c r="AI93">
        <v>0</v>
      </c>
      <c r="AK93">
        <v>2028</v>
      </c>
      <c r="AL93" t="s">
        <v>166</v>
      </c>
      <c r="AM93">
        <v>0.26340000000000002</v>
      </c>
      <c r="AN93" t="s">
        <v>430</v>
      </c>
    </row>
    <row r="94" spans="5:40" x14ac:dyDescent="0.45">
      <c r="E94" t="s">
        <v>496</v>
      </c>
      <c r="G94" t="s">
        <v>435</v>
      </c>
      <c r="I94" t="s">
        <v>249</v>
      </c>
      <c r="J94" t="s">
        <v>600</v>
      </c>
      <c r="K94">
        <v>2.8774524670806219E-6</v>
      </c>
      <c r="L94" t="s">
        <v>251</v>
      </c>
      <c r="N94" t="s">
        <v>419</v>
      </c>
      <c r="O94" t="s">
        <v>600</v>
      </c>
      <c r="P94">
        <v>1.2949964727649999E-4</v>
      </c>
      <c r="Q94" t="s">
        <v>251</v>
      </c>
      <c r="S94" t="s">
        <v>420</v>
      </c>
      <c r="T94" t="s">
        <v>600</v>
      </c>
      <c r="U94">
        <v>1.7827188201359999E-4</v>
      </c>
      <c r="V94" t="s">
        <v>251</v>
      </c>
      <c r="X94">
        <v>1.1415525114155251E-4</v>
      </c>
      <c r="Y94">
        <v>1.5579809230208258E-4</v>
      </c>
      <c r="Z94" t="s">
        <v>600</v>
      </c>
      <c r="AA94" t="s">
        <v>25</v>
      </c>
      <c r="AC94" t="s">
        <v>22</v>
      </c>
      <c r="AD94" t="s">
        <v>600</v>
      </c>
      <c r="AE94">
        <v>4.7263314865184305E-5</v>
      </c>
      <c r="AG94" t="s">
        <v>97</v>
      </c>
      <c r="AH94" t="s">
        <v>600</v>
      </c>
      <c r="AI94">
        <v>0</v>
      </c>
      <c r="AK94">
        <v>2028</v>
      </c>
      <c r="AL94" t="s">
        <v>178</v>
      </c>
      <c r="AM94">
        <v>0.23949999999999999</v>
      </c>
      <c r="AN94" t="s">
        <v>430</v>
      </c>
    </row>
    <row r="95" spans="5:40" x14ac:dyDescent="0.45">
      <c r="E95" t="s">
        <v>497</v>
      </c>
      <c r="G95" t="s">
        <v>435</v>
      </c>
      <c r="I95" t="s">
        <v>249</v>
      </c>
      <c r="J95" t="s">
        <v>601</v>
      </c>
      <c r="K95">
        <v>0</v>
      </c>
      <c r="L95" t="s">
        <v>251</v>
      </c>
      <c r="N95" t="s">
        <v>419</v>
      </c>
      <c r="O95" t="s">
        <v>601</v>
      </c>
      <c r="P95">
        <v>1.3893851906209999E-4</v>
      </c>
      <c r="Q95" t="s">
        <v>251</v>
      </c>
      <c r="S95" t="s">
        <v>420</v>
      </c>
      <c r="T95" t="s">
        <v>601</v>
      </c>
      <c r="U95">
        <v>1.688570018209E-4</v>
      </c>
      <c r="V95" t="s">
        <v>251</v>
      </c>
      <c r="X95">
        <v>1.1415525114155251E-4</v>
      </c>
      <c r="Y95">
        <v>1.093901499142282E-4</v>
      </c>
      <c r="Z95" t="s">
        <v>601</v>
      </c>
      <c r="AA95" t="s">
        <v>25</v>
      </c>
      <c r="AC95" t="s">
        <v>22</v>
      </c>
      <c r="AD95" t="s">
        <v>601</v>
      </c>
      <c r="AE95">
        <v>4.7298967227225342E-5</v>
      </c>
      <c r="AG95" t="s">
        <v>97</v>
      </c>
      <c r="AH95" t="s">
        <v>601</v>
      </c>
      <c r="AI95">
        <v>0</v>
      </c>
      <c r="AK95">
        <v>2029</v>
      </c>
      <c r="AL95" t="s">
        <v>151</v>
      </c>
      <c r="AM95">
        <v>0.2417</v>
      </c>
      <c r="AN95" t="s">
        <v>430</v>
      </c>
    </row>
    <row r="96" spans="5:40" x14ac:dyDescent="0.45">
      <c r="E96" t="s">
        <v>498</v>
      </c>
      <c r="G96" t="s">
        <v>435</v>
      </c>
      <c r="I96" t="s">
        <v>249</v>
      </c>
      <c r="J96" t="s">
        <v>602</v>
      </c>
      <c r="K96">
        <v>0</v>
      </c>
      <c r="L96" t="s">
        <v>251</v>
      </c>
      <c r="N96" t="s">
        <v>419</v>
      </c>
      <c r="O96" t="s">
        <v>602</v>
      </c>
      <c r="P96">
        <v>1.4628662882370001E-4</v>
      </c>
      <c r="Q96" t="s">
        <v>251</v>
      </c>
      <c r="S96" t="s">
        <v>420</v>
      </c>
      <c r="T96" t="s">
        <v>602</v>
      </c>
      <c r="U96">
        <v>1.612767549545E-4</v>
      </c>
      <c r="V96" t="s">
        <v>251</v>
      </c>
      <c r="X96">
        <v>1.1415525114155251E-4</v>
      </c>
      <c r="Y96">
        <v>7.9556472664893237E-5</v>
      </c>
      <c r="Z96" t="s">
        <v>602</v>
      </c>
      <c r="AA96" t="s">
        <v>25</v>
      </c>
      <c r="AC96" t="s">
        <v>22</v>
      </c>
      <c r="AD96" t="s">
        <v>602</v>
      </c>
      <c r="AE96">
        <v>4.8152395643581416E-5</v>
      </c>
      <c r="AG96" t="s">
        <v>97</v>
      </c>
      <c r="AH96" t="s">
        <v>602</v>
      </c>
      <c r="AI96">
        <v>0</v>
      </c>
      <c r="AK96">
        <v>2029</v>
      </c>
      <c r="AL96" t="s">
        <v>156</v>
      </c>
      <c r="AM96">
        <v>0.26079999999999998</v>
      </c>
      <c r="AN96" t="s">
        <v>430</v>
      </c>
    </row>
    <row r="97" spans="5:40" x14ac:dyDescent="0.45">
      <c r="E97" t="s">
        <v>499</v>
      </c>
      <c r="G97" t="s">
        <v>435</v>
      </c>
      <c r="I97" t="s">
        <v>249</v>
      </c>
      <c r="J97" t="s">
        <v>603</v>
      </c>
      <c r="K97">
        <v>0</v>
      </c>
      <c r="L97" t="s">
        <v>251</v>
      </c>
      <c r="N97" t="s">
        <v>419</v>
      </c>
      <c r="O97" t="s">
        <v>603</v>
      </c>
      <c r="P97">
        <v>1.5022555921660001E-4</v>
      </c>
      <c r="Q97" t="s">
        <v>251</v>
      </c>
      <c r="S97" t="s">
        <v>420</v>
      </c>
      <c r="T97" t="s">
        <v>603</v>
      </c>
      <c r="U97">
        <v>1.638423430661E-4</v>
      </c>
      <c r="V97" t="s">
        <v>251</v>
      </c>
      <c r="X97">
        <v>1.1415525114155251E-4</v>
      </c>
      <c r="Y97">
        <v>5.6352501470966035E-5</v>
      </c>
      <c r="Z97" t="s">
        <v>603</v>
      </c>
      <c r="AA97" t="s">
        <v>25</v>
      </c>
      <c r="AC97" t="s">
        <v>22</v>
      </c>
      <c r="AD97" t="s">
        <v>603</v>
      </c>
      <c r="AE97">
        <v>6.0099279336253349E-5</v>
      </c>
      <c r="AG97" t="s">
        <v>97</v>
      </c>
      <c r="AH97" t="s">
        <v>603</v>
      </c>
      <c r="AI97">
        <v>0</v>
      </c>
      <c r="AK97">
        <v>2029</v>
      </c>
      <c r="AL97" t="s">
        <v>159</v>
      </c>
      <c r="AM97">
        <v>0.27239999999999998</v>
      </c>
      <c r="AN97" t="s">
        <v>430</v>
      </c>
    </row>
    <row r="98" spans="5:40" x14ac:dyDescent="0.45">
      <c r="E98" t="s">
        <v>500</v>
      </c>
      <c r="G98" t="s">
        <v>435</v>
      </c>
      <c r="I98" t="s">
        <v>249</v>
      </c>
      <c r="J98" t="s">
        <v>604</v>
      </c>
      <c r="K98">
        <v>0</v>
      </c>
      <c r="L98" t="s">
        <v>251</v>
      </c>
      <c r="N98" t="s">
        <v>419</v>
      </c>
      <c r="O98" t="s">
        <v>604</v>
      </c>
      <c r="P98">
        <v>1.508597038331E-4</v>
      </c>
      <c r="Q98" t="s">
        <v>251</v>
      </c>
      <c r="S98" t="s">
        <v>420</v>
      </c>
      <c r="T98" t="s">
        <v>604</v>
      </c>
      <c r="U98">
        <v>1.6798672363750001E-4</v>
      </c>
      <c r="V98" t="s">
        <v>251</v>
      </c>
      <c r="X98">
        <v>1.1415525114155251E-4</v>
      </c>
      <c r="Y98">
        <v>2.9833677249334962E-5</v>
      </c>
      <c r="Z98" t="s">
        <v>604</v>
      </c>
      <c r="AA98" t="s">
        <v>25</v>
      </c>
      <c r="AC98" t="s">
        <v>22</v>
      </c>
      <c r="AD98" t="s">
        <v>604</v>
      </c>
      <c r="AE98">
        <v>8.3236548164539978E-5</v>
      </c>
      <c r="AG98" t="s">
        <v>97</v>
      </c>
      <c r="AH98" t="s">
        <v>604</v>
      </c>
      <c r="AI98">
        <v>0</v>
      </c>
      <c r="AK98">
        <v>2029</v>
      </c>
      <c r="AL98" t="s">
        <v>163</v>
      </c>
      <c r="AM98">
        <v>0.2833</v>
      </c>
      <c r="AN98" t="s">
        <v>430</v>
      </c>
    </row>
    <row r="99" spans="5:40" x14ac:dyDescent="0.45">
      <c r="E99" t="s">
        <v>501</v>
      </c>
      <c r="G99" t="s">
        <v>435</v>
      </c>
      <c r="I99" t="s">
        <v>249</v>
      </c>
      <c r="J99" t="s">
        <v>605</v>
      </c>
      <c r="K99">
        <v>0</v>
      </c>
      <c r="L99" t="s">
        <v>251</v>
      </c>
      <c r="N99" t="s">
        <v>419</v>
      </c>
      <c r="O99" t="s">
        <v>605</v>
      </c>
      <c r="P99">
        <v>1.7447405777680001E-4</v>
      </c>
      <c r="Q99" t="s">
        <v>251</v>
      </c>
      <c r="S99" t="s">
        <v>420</v>
      </c>
      <c r="T99" t="s">
        <v>605</v>
      </c>
      <c r="U99">
        <v>1.9427553844739999E-4</v>
      </c>
      <c r="V99" t="s">
        <v>251</v>
      </c>
      <c r="X99">
        <v>1.1415525114155251E-4</v>
      </c>
      <c r="Y99">
        <v>2.1546544680075254E-5</v>
      </c>
      <c r="Z99" t="s">
        <v>605</v>
      </c>
      <c r="AA99" t="s">
        <v>25</v>
      </c>
      <c r="AC99" t="s">
        <v>22</v>
      </c>
      <c r="AD99" t="s">
        <v>605</v>
      </c>
      <c r="AE99">
        <v>8.3562990104477759E-5</v>
      </c>
      <c r="AG99" t="s">
        <v>97</v>
      </c>
      <c r="AH99" t="s">
        <v>605</v>
      </c>
      <c r="AI99">
        <v>0</v>
      </c>
      <c r="AK99">
        <v>2029</v>
      </c>
      <c r="AL99" t="s">
        <v>167</v>
      </c>
      <c r="AM99">
        <v>0.36370000000000002</v>
      </c>
      <c r="AN99" t="s">
        <v>430</v>
      </c>
    </row>
    <row r="100" spans="5:40" x14ac:dyDescent="0.45">
      <c r="E100" t="s">
        <v>502</v>
      </c>
      <c r="G100" t="s">
        <v>435</v>
      </c>
      <c r="I100" t="s">
        <v>249</v>
      </c>
      <c r="J100" t="s">
        <v>606</v>
      </c>
      <c r="K100">
        <v>0</v>
      </c>
      <c r="L100" t="s">
        <v>251</v>
      </c>
      <c r="N100" t="s">
        <v>419</v>
      </c>
      <c r="O100" t="s">
        <v>606</v>
      </c>
      <c r="P100">
        <v>1.780906888052E-4</v>
      </c>
      <c r="Q100" t="s">
        <v>251</v>
      </c>
      <c r="S100" t="s">
        <v>420</v>
      </c>
      <c r="T100" t="s">
        <v>606</v>
      </c>
      <c r="U100">
        <v>2.0066699639759999E-4</v>
      </c>
      <c r="V100" t="s">
        <v>251</v>
      </c>
      <c r="X100">
        <v>1.1415525114155251E-4</v>
      </c>
      <c r="Y100">
        <v>1.4916838624667481E-5</v>
      </c>
      <c r="Z100" t="s">
        <v>606</v>
      </c>
      <c r="AA100" t="s">
        <v>25</v>
      </c>
      <c r="AC100" t="s">
        <v>22</v>
      </c>
      <c r="AD100" t="s">
        <v>606</v>
      </c>
      <c r="AE100">
        <v>9.805121872888376E-5</v>
      </c>
      <c r="AG100" t="s">
        <v>97</v>
      </c>
      <c r="AH100" t="s">
        <v>606</v>
      </c>
      <c r="AI100">
        <v>0</v>
      </c>
      <c r="AK100">
        <v>2029</v>
      </c>
      <c r="AL100" t="s">
        <v>169</v>
      </c>
      <c r="AM100">
        <v>0.43809999999999999</v>
      </c>
      <c r="AN100" t="s">
        <v>430</v>
      </c>
    </row>
    <row r="101" spans="5:40" x14ac:dyDescent="0.45">
      <c r="E101" t="s">
        <v>503</v>
      </c>
      <c r="G101" t="s">
        <v>435</v>
      </c>
      <c r="I101" t="s">
        <v>249</v>
      </c>
      <c r="J101" t="s">
        <v>607</v>
      </c>
      <c r="K101">
        <v>0</v>
      </c>
      <c r="L101" t="s">
        <v>251</v>
      </c>
      <c r="N101" t="s">
        <v>419</v>
      </c>
      <c r="O101" t="s">
        <v>607</v>
      </c>
      <c r="P101">
        <v>1.5996395073180001E-4</v>
      </c>
      <c r="Q101" t="s">
        <v>251</v>
      </c>
      <c r="S101" t="s">
        <v>420</v>
      </c>
      <c r="T101" t="s">
        <v>607</v>
      </c>
      <c r="U101">
        <v>1.937540190161E-4</v>
      </c>
      <c r="V101" t="s">
        <v>251</v>
      </c>
      <c r="X101">
        <v>1.1415525114155251E-4</v>
      </c>
      <c r="Y101">
        <v>1.6574265138519424E-5</v>
      </c>
      <c r="Z101" t="s">
        <v>607</v>
      </c>
      <c r="AA101" t="s">
        <v>25</v>
      </c>
      <c r="AC101" t="s">
        <v>22</v>
      </c>
      <c r="AD101" t="s">
        <v>607</v>
      </c>
      <c r="AE101">
        <v>1.2149933158871525E-4</v>
      </c>
      <c r="AG101" t="s">
        <v>97</v>
      </c>
      <c r="AH101" t="s">
        <v>607</v>
      </c>
      <c r="AI101">
        <v>0</v>
      </c>
      <c r="AK101">
        <v>2029</v>
      </c>
      <c r="AL101" t="s">
        <v>171</v>
      </c>
      <c r="AM101">
        <v>0.60219999999999996</v>
      </c>
      <c r="AN101" t="s">
        <v>430</v>
      </c>
    </row>
    <row r="102" spans="5:40" x14ac:dyDescent="0.45">
      <c r="E102" t="s">
        <v>504</v>
      </c>
      <c r="G102" t="s">
        <v>435</v>
      </c>
      <c r="I102" t="s">
        <v>249</v>
      </c>
      <c r="J102" t="s">
        <v>608</v>
      </c>
      <c r="K102">
        <v>0</v>
      </c>
      <c r="L102" t="s">
        <v>251</v>
      </c>
      <c r="N102" t="s">
        <v>419</v>
      </c>
      <c r="O102" t="s">
        <v>608</v>
      </c>
      <c r="P102">
        <v>1.2722194748509999E-4</v>
      </c>
      <c r="Q102" t="s">
        <v>251</v>
      </c>
      <c r="S102" t="s">
        <v>420</v>
      </c>
      <c r="T102" t="s">
        <v>608</v>
      </c>
      <c r="U102">
        <v>1.79892145683E-4</v>
      </c>
      <c r="V102" t="s">
        <v>251</v>
      </c>
      <c r="X102">
        <v>1.1415525114155251E-4</v>
      </c>
      <c r="Y102">
        <v>1.4585353321897093E-5</v>
      </c>
      <c r="Z102" t="s">
        <v>608</v>
      </c>
      <c r="AA102" t="s">
        <v>25</v>
      </c>
      <c r="AC102" t="s">
        <v>22</v>
      </c>
      <c r="AD102" t="s">
        <v>608</v>
      </c>
      <c r="AE102">
        <v>1.3827933861056843E-4</v>
      </c>
      <c r="AG102" t="s">
        <v>97</v>
      </c>
      <c r="AH102" t="s">
        <v>608</v>
      </c>
      <c r="AI102">
        <v>0</v>
      </c>
      <c r="AK102">
        <v>2029</v>
      </c>
      <c r="AL102" t="s">
        <v>158</v>
      </c>
      <c r="AM102">
        <v>0.62319999999999998</v>
      </c>
      <c r="AN102" t="s">
        <v>430</v>
      </c>
    </row>
    <row r="103" spans="5:40" x14ac:dyDescent="0.45">
      <c r="E103" t="s">
        <v>505</v>
      </c>
      <c r="G103" t="s">
        <v>435</v>
      </c>
      <c r="I103" t="s">
        <v>249</v>
      </c>
      <c r="J103" t="s">
        <v>609</v>
      </c>
      <c r="K103">
        <v>0</v>
      </c>
      <c r="L103" t="s">
        <v>251</v>
      </c>
      <c r="N103" t="s">
        <v>419</v>
      </c>
      <c r="O103" t="s">
        <v>609</v>
      </c>
      <c r="P103">
        <v>1.2294317104090001E-4</v>
      </c>
      <c r="Q103" t="s">
        <v>251</v>
      </c>
      <c r="S103" t="s">
        <v>420</v>
      </c>
      <c r="T103" t="s">
        <v>609</v>
      </c>
      <c r="U103">
        <v>1.6855805857409999E-4</v>
      </c>
      <c r="V103" t="s">
        <v>251</v>
      </c>
      <c r="X103">
        <v>1.1415525114155251E-4</v>
      </c>
      <c r="Y103">
        <v>2.1215059377304864E-5</v>
      </c>
      <c r="Z103" t="s">
        <v>609</v>
      </c>
      <c r="AA103" t="s">
        <v>25</v>
      </c>
      <c r="AC103" t="s">
        <v>22</v>
      </c>
      <c r="AD103" t="s">
        <v>609</v>
      </c>
      <c r="AE103">
        <v>1.4302221689833341E-4</v>
      </c>
      <c r="AG103" t="s">
        <v>97</v>
      </c>
      <c r="AH103" t="s">
        <v>609</v>
      </c>
      <c r="AI103">
        <v>0</v>
      </c>
      <c r="AK103">
        <v>2029</v>
      </c>
      <c r="AL103" t="s">
        <v>162</v>
      </c>
      <c r="AM103">
        <v>0.56759999999999999</v>
      </c>
      <c r="AN103" t="s">
        <v>430</v>
      </c>
    </row>
    <row r="104" spans="5:40" x14ac:dyDescent="0.45">
      <c r="E104" t="s">
        <v>506</v>
      </c>
      <c r="G104" t="s">
        <v>435</v>
      </c>
      <c r="I104" t="s">
        <v>249</v>
      </c>
      <c r="J104" t="s">
        <v>610</v>
      </c>
      <c r="K104">
        <v>0</v>
      </c>
      <c r="L104" t="s">
        <v>251</v>
      </c>
      <c r="N104" t="s">
        <v>419</v>
      </c>
      <c r="O104" t="s">
        <v>610</v>
      </c>
      <c r="P104">
        <v>1.2047602864509999E-4</v>
      </c>
      <c r="Q104" t="s">
        <v>251</v>
      </c>
      <c r="S104" t="s">
        <v>420</v>
      </c>
      <c r="T104" t="s">
        <v>610</v>
      </c>
      <c r="U104">
        <v>1.5770922912279999E-4</v>
      </c>
      <c r="V104" t="s">
        <v>251</v>
      </c>
      <c r="X104">
        <v>1.1415525114155251E-4</v>
      </c>
      <c r="Y104">
        <v>5.7678442682047593E-5</v>
      </c>
      <c r="Z104" t="s">
        <v>610</v>
      </c>
      <c r="AA104" t="s">
        <v>25</v>
      </c>
      <c r="AC104" t="s">
        <v>22</v>
      </c>
      <c r="AD104" t="s">
        <v>610</v>
      </c>
      <c r="AE104">
        <v>1.4326398447842389E-4</v>
      </c>
      <c r="AG104" t="s">
        <v>97</v>
      </c>
      <c r="AH104" t="s">
        <v>610</v>
      </c>
      <c r="AI104">
        <v>0</v>
      </c>
      <c r="AK104">
        <v>2029</v>
      </c>
      <c r="AL104" t="s">
        <v>175</v>
      </c>
      <c r="AM104">
        <v>0.42130000000000001</v>
      </c>
      <c r="AN104" t="s">
        <v>430</v>
      </c>
    </row>
    <row r="105" spans="5:40" x14ac:dyDescent="0.45">
      <c r="E105" t="s">
        <v>507</v>
      </c>
      <c r="G105" t="s">
        <v>435</v>
      </c>
      <c r="I105" t="s">
        <v>249</v>
      </c>
      <c r="J105" t="s">
        <v>611</v>
      </c>
      <c r="K105">
        <v>1.957163512402288E-6</v>
      </c>
      <c r="L105" t="s">
        <v>251</v>
      </c>
      <c r="N105" t="s">
        <v>419</v>
      </c>
      <c r="O105" t="s">
        <v>611</v>
      </c>
      <c r="P105">
        <v>1.1220589106289999E-4</v>
      </c>
      <c r="Q105" t="s">
        <v>251</v>
      </c>
      <c r="S105" t="s">
        <v>420</v>
      </c>
      <c r="T105" t="s">
        <v>611</v>
      </c>
      <c r="U105">
        <v>1.492706459301E-4</v>
      </c>
      <c r="V105" t="s">
        <v>251</v>
      </c>
      <c r="X105">
        <v>1.1415525114155251E-4</v>
      </c>
      <c r="Y105">
        <v>1.6905750441289813E-4</v>
      </c>
      <c r="Z105" t="s">
        <v>611</v>
      </c>
      <c r="AA105" t="s">
        <v>25</v>
      </c>
      <c r="AC105" t="s">
        <v>22</v>
      </c>
      <c r="AD105" t="s">
        <v>611</v>
      </c>
      <c r="AE105">
        <v>1.4330632165834755E-4</v>
      </c>
      <c r="AG105" t="s">
        <v>97</v>
      </c>
      <c r="AH105" t="s">
        <v>611</v>
      </c>
      <c r="AI105">
        <v>0</v>
      </c>
      <c r="AK105">
        <v>2029</v>
      </c>
      <c r="AL105" t="s">
        <v>166</v>
      </c>
      <c r="AM105">
        <v>0.26490000000000002</v>
      </c>
      <c r="AN105" t="s">
        <v>430</v>
      </c>
    </row>
    <row r="106" spans="5:40" x14ac:dyDescent="0.45">
      <c r="E106" t="s">
        <v>508</v>
      </c>
      <c r="G106" t="s">
        <v>435</v>
      </c>
      <c r="I106" t="s">
        <v>249</v>
      </c>
      <c r="J106" t="s">
        <v>612</v>
      </c>
      <c r="K106">
        <v>1.4991962399449421E-5</v>
      </c>
      <c r="L106" t="s">
        <v>251</v>
      </c>
      <c r="N106" t="s">
        <v>419</v>
      </c>
      <c r="O106" t="s">
        <v>612</v>
      </c>
      <c r="P106">
        <v>1.2189489217889999E-4</v>
      </c>
      <c r="Q106" t="s">
        <v>251</v>
      </c>
      <c r="S106" t="s">
        <v>420</v>
      </c>
      <c r="T106" t="s">
        <v>612</v>
      </c>
      <c r="U106">
        <v>1.4602742221040001E-4</v>
      </c>
      <c r="V106" t="s">
        <v>251</v>
      </c>
      <c r="X106">
        <v>1.1415525114155251E-4</v>
      </c>
      <c r="Y106">
        <v>1.9060404909297337E-4</v>
      </c>
      <c r="Z106" t="s">
        <v>612</v>
      </c>
      <c r="AA106" t="s">
        <v>25</v>
      </c>
      <c r="AC106" t="s">
        <v>22</v>
      </c>
      <c r="AD106" t="s">
        <v>612</v>
      </c>
      <c r="AE106">
        <v>1.4512682039506545E-4</v>
      </c>
      <c r="AG106" t="s">
        <v>97</v>
      </c>
      <c r="AH106" t="s">
        <v>612</v>
      </c>
      <c r="AI106">
        <v>0</v>
      </c>
      <c r="AK106">
        <v>2029</v>
      </c>
      <c r="AL106" t="s">
        <v>178</v>
      </c>
      <c r="AM106">
        <v>0.2467</v>
      </c>
      <c r="AN106" t="s">
        <v>430</v>
      </c>
    </row>
    <row r="107" spans="5:40" x14ac:dyDescent="0.45">
      <c r="E107" t="s">
        <v>192</v>
      </c>
      <c r="G107" t="s">
        <v>437</v>
      </c>
      <c r="I107" t="s">
        <v>249</v>
      </c>
      <c r="J107" t="s">
        <v>613</v>
      </c>
      <c r="K107">
        <v>3.7186029161178402E-5</v>
      </c>
      <c r="L107" t="s">
        <v>251</v>
      </c>
      <c r="N107" t="s">
        <v>419</v>
      </c>
      <c r="O107" t="s">
        <v>613</v>
      </c>
      <c r="P107">
        <v>1.5152041769570001E-4</v>
      </c>
      <c r="Q107" t="s">
        <v>251</v>
      </c>
      <c r="S107" t="s">
        <v>420</v>
      </c>
      <c r="T107" t="s">
        <v>613</v>
      </c>
      <c r="U107">
        <v>1.5009033357419999E-4</v>
      </c>
      <c r="V107" t="s">
        <v>251</v>
      </c>
      <c r="X107">
        <v>1.1415525114155251E-4</v>
      </c>
      <c r="Y107">
        <v>1.4585353321897094E-4</v>
      </c>
      <c r="Z107" t="s">
        <v>613</v>
      </c>
      <c r="AA107" t="s">
        <v>25</v>
      </c>
      <c r="AC107" t="s">
        <v>22</v>
      </c>
      <c r="AD107" t="s">
        <v>613</v>
      </c>
      <c r="AE107">
        <v>1.5393629622813051E-4</v>
      </c>
      <c r="AG107" t="s">
        <v>97</v>
      </c>
      <c r="AH107" t="s">
        <v>613</v>
      </c>
      <c r="AI107">
        <v>0</v>
      </c>
      <c r="AK107">
        <v>2030</v>
      </c>
      <c r="AL107" t="s">
        <v>151</v>
      </c>
      <c r="AM107">
        <v>0.23350000000000001</v>
      </c>
      <c r="AN107" t="s">
        <v>430</v>
      </c>
    </row>
    <row r="108" spans="5:40" x14ac:dyDescent="0.45">
      <c r="E108" t="s">
        <v>193</v>
      </c>
      <c r="G108" t="s">
        <v>437</v>
      </c>
      <c r="I108" t="s">
        <v>249</v>
      </c>
      <c r="J108" t="s">
        <v>614</v>
      </c>
      <c r="K108">
        <v>6.3693460825586202E-5</v>
      </c>
      <c r="L108" t="s">
        <v>251</v>
      </c>
      <c r="N108" t="s">
        <v>419</v>
      </c>
      <c r="O108" t="s">
        <v>614</v>
      </c>
      <c r="P108">
        <v>1.4890376840259999E-4</v>
      </c>
      <c r="Q108" t="s">
        <v>251</v>
      </c>
      <c r="S108" t="s">
        <v>420</v>
      </c>
      <c r="T108" t="s">
        <v>614</v>
      </c>
      <c r="U108">
        <v>1.5867796437189999E-4</v>
      </c>
      <c r="V108" t="s">
        <v>251</v>
      </c>
      <c r="X108">
        <v>1.1415525114155251E-4</v>
      </c>
      <c r="Y108">
        <v>1.4452759200788939E-4</v>
      </c>
      <c r="Z108" t="s">
        <v>614</v>
      </c>
      <c r="AA108" t="s">
        <v>25</v>
      </c>
      <c r="AC108" t="s">
        <v>22</v>
      </c>
      <c r="AD108" t="s">
        <v>614</v>
      </c>
      <c r="AE108">
        <v>1.581689000841839E-4</v>
      </c>
      <c r="AG108" t="s">
        <v>97</v>
      </c>
      <c r="AH108" t="s">
        <v>614</v>
      </c>
      <c r="AI108">
        <v>0</v>
      </c>
      <c r="AK108">
        <v>2030</v>
      </c>
      <c r="AL108" t="s">
        <v>156</v>
      </c>
      <c r="AM108">
        <v>0.26919999999999999</v>
      </c>
      <c r="AN108" t="s">
        <v>430</v>
      </c>
    </row>
    <row r="109" spans="5:40" x14ac:dyDescent="0.45">
      <c r="E109" t="s">
        <v>194</v>
      </c>
      <c r="G109" t="s">
        <v>437</v>
      </c>
      <c r="I109" t="s">
        <v>249</v>
      </c>
      <c r="J109" t="s">
        <v>615</v>
      </c>
      <c r="K109">
        <v>9.6675152775655576E-5</v>
      </c>
      <c r="L109" t="s">
        <v>251</v>
      </c>
      <c r="N109" t="s">
        <v>419</v>
      </c>
      <c r="O109" t="s">
        <v>615</v>
      </c>
      <c r="P109">
        <v>1.467369578177E-4</v>
      </c>
      <c r="Q109" t="s">
        <v>251</v>
      </c>
      <c r="S109" t="s">
        <v>420</v>
      </c>
      <c r="T109" t="s">
        <v>615</v>
      </c>
      <c r="U109">
        <v>1.710613436769E-4</v>
      </c>
      <c r="V109" t="s">
        <v>251</v>
      </c>
      <c r="X109">
        <v>1.1415525114155251E-4</v>
      </c>
      <c r="Y109">
        <v>1.408812536774151E-4</v>
      </c>
      <c r="Z109" t="s">
        <v>615</v>
      </c>
      <c r="AA109" t="s">
        <v>25</v>
      </c>
      <c r="AC109" t="s">
        <v>22</v>
      </c>
      <c r="AD109" t="s">
        <v>615</v>
      </c>
      <c r="AE109">
        <v>1.4369961177711221E-4</v>
      </c>
      <c r="AG109" t="s">
        <v>97</v>
      </c>
      <c r="AH109" t="s">
        <v>615</v>
      </c>
      <c r="AI109">
        <v>0</v>
      </c>
      <c r="AK109">
        <v>2030</v>
      </c>
      <c r="AL109" t="s">
        <v>159</v>
      </c>
      <c r="AM109">
        <v>0.29170000000000001</v>
      </c>
      <c r="AN109" t="s">
        <v>430</v>
      </c>
    </row>
    <row r="110" spans="5:40" x14ac:dyDescent="0.45">
      <c r="E110" t="s">
        <v>195</v>
      </c>
      <c r="G110" t="s">
        <v>437</v>
      </c>
      <c r="I110" t="s">
        <v>249</v>
      </c>
      <c r="J110" t="s">
        <v>616</v>
      </c>
      <c r="K110">
        <v>1.108768314426E-4</v>
      </c>
      <c r="L110" t="s">
        <v>251</v>
      </c>
      <c r="N110" t="s">
        <v>419</v>
      </c>
      <c r="O110" t="s">
        <v>616</v>
      </c>
      <c r="P110">
        <v>1.4446332632790001E-4</v>
      </c>
      <c r="Q110" t="s">
        <v>251</v>
      </c>
      <c r="S110" t="s">
        <v>420</v>
      </c>
      <c r="T110" t="s">
        <v>616</v>
      </c>
      <c r="U110">
        <v>1.7982820489190001E-4</v>
      </c>
      <c r="V110" t="s">
        <v>251</v>
      </c>
      <c r="X110">
        <v>1.1415525114155251E-4</v>
      </c>
      <c r="Y110">
        <v>1.4054976837464471E-4</v>
      </c>
      <c r="Z110" t="s">
        <v>616</v>
      </c>
      <c r="AA110" t="s">
        <v>25</v>
      </c>
      <c r="AC110" t="s">
        <v>22</v>
      </c>
      <c r="AD110" t="s">
        <v>616</v>
      </c>
      <c r="AE110">
        <v>1.4417311971046904E-4</v>
      </c>
      <c r="AG110" t="s">
        <v>97</v>
      </c>
      <c r="AH110" t="s">
        <v>616</v>
      </c>
      <c r="AI110">
        <v>0</v>
      </c>
      <c r="AK110">
        <v>2030</v>
      </c>
      <c r="AL110" t="s">
        <v>163</v>
      </c>
      <c r="AM110">
        <v>0.32640000000000002</v>
      </c>
      <c r="AN110" t="s">
        <v>430</v>
      </c>
    </row>
    <row r="111" spans="5:40" x14ac:dyDescent="0.45">
      <c r="E111" t="s">
        <v>196</v>
      </c>
      <c r="G111" t="s">
        <v>437</v>
      </c>
      <c r="I111" t="s">
        <v>249</v>
      </c>
      <c r="J111" t="s">
        <v>617</v>
      </c>
      <c r="K111">
        <v>1.228163010502E-4</v>
      </c>
      <c r="L111" t="s">
        <v>251</v>
      </c>
      <c r="N111" t="s">
        <v>419</v>
      </c>
      <c r="O111" t="s">
        <v>617</v>
      </c>
      <c r="P111">
        <v>1.4441447650520001E-4</v>
      </c>
      <c r="Q111" t="s">
        <v>251</v>
      </c>
      <c r="S111" t="s">
        <v>420</v>
      </c>
      <c r="T111" t="s">
        <v>617</v>
      </c>
      <c r="U111">
        <v>1.862374465613E-4</v>
      </c>
      <c r="V111" t="s">
        <v>251</v>
      </c>
      <c r="X111">
        <v>1.1415525114155251E-4</v>
      </c>
      <c r="Y111">
        <v>1.4253868019126702E-4</v>
      </c>
      <c r="Z111" t="s">
        <v>617</v>
      </c>
      <c r="AA111" t="s">
        <v>25</v>
      </c>
      <c r="AC111" t="s">
        <v>22</v>
      </c>
      <c r="AD111" t="s">
        <v>617</v>
      </c>
      <c r="AE111">
        <v>1.7417012582270433E-4</v>
      </c>
      <c r="AG111" t="s">
        <v>97</v>
      </c>
      <c r="AH111" t="s">
        <v>617</v>
      </c>
      <c r="AI111">
        <v>0</v>
      </c>
      <c r="AK111">
        <v>2030</v>
      </c>
      <c r="AL111" t="s">
        <v>167</v>
      </c>
      <c r="AM111">
        <v>0.37280000000000002</v>
      </c>
      <c r="AN111" t="s">
        <v>430</v>
      </c>
    </row>
    <row r="112" spans="5:40" x14ac:dyDescent="0.45">
      <c r="E112" t="s">
        <v>197</v>
      </c>
      <c r="G112" t="s">
        <v>437</v>
      </c>
      <c r="I112" t="s">
        <v>249</v>
      </c>
      <c r="J112" t="s">
        <v>618</v>
      </c>
      <c r="K112">
        <v>1.2845000609720001E-4</v>
      </c>
      <c r="L112" t="s">
        <v>251</v>
      </c>
      <c r="N112" t="s">
        <v>419</v>
      </c>
      <c r="O112" t="s">
        <v>618</v>
      </c>
      <c r="P112">
        <v>1.5050785518850001E-4</v>
      </c>
      <c r="Q112" t="s">
        <v>251</v>
      </c>
      <c r="S112" t="s">
        <v>420</v>
      </c>
      <c r="T112" t="s">
        <v>618</v>
      </c>
      <c r="U112">
        <v>1.9041447443699999E-4</v>
      </c>
      <c r="V112" t="s">
        <v>251</v>
      </c>
      <c r="X112">
        <v>1.1415525114155251E-4</v>
      </c>
      <c r="Y112">
        <v>1.4883690094390442E-4</v>
      </c>
      <c r="Z112" t="s">
        <v>618</v>
      </c>
      <c r="AA112" t="s">
        <v>25</v>
      </c>
      <c r="AC112" t="s">
        <v>22</v>
      </c>
      <c r="AD112" t="s">
        <v>618</v>
      </c>
      <c r="AE112">
        <v>1.7373338438770219E-4</v>
      </c>
      <c r="AG112" t="s">
        <v>97</v>
      </c>
      <c r="AH112" t="s">
        <v>618</v>
      </c>
      <c r="AI112">
        <v>0</v>
      </c>
      <c r="AK112">
        <v>2030</v>
      </c>
      <c r="AL112" t="s">
        <v>169</v>
      </c>
      <c r="AM112">
        <v>0.42849999999999999</v>
      </c>
      <c r="AN112" t="s">
        <v>430</v>
      </c>
    </row>
    <row r="113" spans="5:40" x14ac:dyDescent="0.45">
      <c r="E113" t="s">
        <v>198</v>
      </c>
      <c r="G113" t="s">
        <v>437</v>
      </c>
      <c r="I113" t="s">
        <v>249</v>
      </c>
      <c r="J113" t="s">
        <v>619</v>
      </c>
      <c r="K113">
        <v>1.265083198357E-4</v>
      </c>
      <c r="L113" t="s">
        <v>251</v>
      </c>
      <c r="N113" t="s">
        <v>419</v>
      </c>
      <c r="O113" t="s">
        <v>619</v>
      </c>
      <c r="P113">
        <v>1.4899065847860001E-4</v>
      </c>
      <c r="Q113" t="s">
        <v>251</v>
      </c>
      <c r="S113" t="s">
        <v>420</v>
      </c>
      <c r="T113" t="s">
        <v>619</v>
      </c>
      <c r="U113">
        <v>1.8210164614509999E-4</v>
      </c>
      <c r="V113" t="s">
        <v>251</v>
      </c>
      <c r="X113">
        <v>1.1415525114155251E-4</v>
      </c>
      <c r="Y113">
        <v>1.5049432745775637E-4</v>
      </c>
      <c r="Z113" t="s">
        <v>619</v>
      </c>
      <c r="AA113" t="s">
        <v>25</v>
      </c>
      <c r="AC113" t="s">
        <v>22</v>
      </c>
      <c r="AD113" t="s">
        <v>619</v>
      </c>
      <c r="AE113">
        <v>1.6688367433057762E-4</v>
      </c>
      <c r="AG113" t="s">
        <v>97</v>
      </c>
      <c r="AH113" t="s">
        <v>619</v>
      </c>
      <c r="AI113">
        <v>0</v>
      </c>
      <c r="AK113">
        <v>2030</v>
      </c>
      <c r="AL113" t="s">
        <v>171</v>
      </c>
      <c r="AM113">
        <v>0.55489999999999995</v>
      </c>
      <c r="AN113" t="s">
        <v>430</v>
      </c>
    </row>
    <row r="114" spans="5:40" x14ac:dyDescent="0.45">
      <c r="E114" t="s">
        <v>199</v>
      </c>
      <c r="G114" t="s">
        <v>437</v>
      </c>
      <c r="I114" t="s">
        <v>249</v>
      </c>
      <c r="J114" t="s">
        <v>620</v>
      </c>
      <c r="K114">
        <v>1.136848469396E-4</v>
      </c>
      <c r="L114" t="s">
        <v>251</v>
      </c>
      <c r="N114" t="s">
        <v>419</v>
      </c>
      <c r="O114" t="s">
        <v>620</v>
      </c>
      <c r="P114">
        <v>1.387700401032E-4</v>
      </c>
      <c r="Q114" t="s">
        <v>251</v>
      </c>
      <c r="S114" t="s">
        <v>420</v>
      </c>
      <c r="T114" t="s">
        <v>620</v>
      </c>
      <c r="U114">
        <v>1.6849401539710001E-4</v>
      </c>
      <c r="V114" t="s">
        <v>251</v>
      </c>
      <c r="X114">
        <v>1.1415525114155251E-4</v>
      </c>
      <c r="Y114">
        <v>1.7237235744060203E-4</v>
      </c>
      <c r="Z114" t="s">
        <v>620</v>
      </c>
      <c r="AA114" t="s">
        <v>25</v>
      </c>
      <c r="AC114" t="s">
        <v>22</v>
      </c>
      <c r="AD114" t="s">
        <v>620</v>
      </c>
      <c r="AE114">
        <v>1.4592454199573252E-4</v>
      </c>
      <c r="AG114" t="s">
        <v>97</v>
      </c>
      <c r="AH114" t="s">
        <v>620</v>
      </c>
      <c r="AI114">
        <v>0</v>
      </c>
      <c r="AK114">
        <v>2030</v>
      </c>
      <c r="AL114" t="s">
        <v>158</v>
      </c>
      <c r="AM114">
        <v>0.69620000000000004</v>
      </c>
      <c r="AN114" t="s">
        <v>430</v>
      </c>
    </row>
    <row r="115" spans="5:40" x14ac:dyDescent="0.45">
      <c r="E115" t="s">
        <v>200</v>
      </c>
      <c r="G115" t="s">
        <v>437</v>
      </c>
      <c r="I115" t="s">
        <v>249</v>
      </c>
      <c r="J115" t="s">
        <v>621</v>
      </c>
      <c r="K115">
        <v>8.8105713305392885E-5</v>
      </c>
      <c r="L115" t="s">
        <v>251</v>
      </c>
      <c r="N115" t="s">
        <v>419</v>
      </c>
      <c r="O115" t="s">
        <v>621</v>
      </c>
      <c r="P115">
        <v>1.3169828150460001E-4</v>
      </c>
      <c r="Q115" t="s">
        <v>251</v>
      </c>
      <c r="S115" t="s">
        <v>420</v>
      </c>
      <c r="T115" t="s">
        <v>621</v>
      </c>
      <c r="U115">
        <v>1.5634877814680001E-4</v>
      </c>
      <c r="V115" t="s">
        <v>251</v>
      </c>
      <c r="X115">
        <v>1.1415525114155251E-4</v>
      </c>
      <c r="Y115">
        <v>2.2209515285616027E-4</v>
      </c>
      <c r="Z115" t="s">
        <v>621</v>
      </c>
      <c r="AA115" t="s">
        <v>25</v>
      </c>
      <c r="AC115" t="s">
        <v>22</v>
      </c>
      <c r="AD115" t="s">
        <v>621</v>
      </c>
      <c r="AE115">
        <v>1.2107150324422339E-4</v>
      </c>
      <c r="AG115" t="s">
        <v>97</v>
      </c>
      <c r="AH115" t="s">
        <v>621</v>
      </c>
      <c r="AI115">
        <v>0</v>
      </c>
      <c r="AK115">
        <v>2030</v>
      </c>
      <c r="AL115" t="s">
        <v>162</v>
      </c>
      <c r="AM115">
        <v>0.57189999999999996</v>
      </c>
      <c r="AN115" t="s">
        <v>430</v>
      </c>
    </row>
    <row r="116" spans="5:40" x14ac:dyDescent="0.45">
      <c r="E116" t="s">
        <v>201</v>
      </c>
      <c r="G116" t="s">
        <v>437</v>
      </c>
      <c r="I116" t="s">
        <v>249</v>
      </c>
      <c r="J116" t="s">
        <v>622</v>
      </c>
      <c r="K116">
        <v>5.4106376793966952E-5</v>
      </c>
      <c r="L116" t="s">
        <v>251</v>
      </c>
      <c r="N116" t="s">
        <v>419</v>
      </c>
      <c r="O116" t="s">
        <v>622</v>
      </c>
      <c r="P116">
        <v>1.354696986229E-4</v>
      </c>
      <c r="Q116" t="s">
        <v>251</v>
      </c>
      <c r="S116" t="s">
        <v>420</v>
      </c>
      <c r="T116" t="s">
        <v>622</v>
      </c>
      <c r="U116">
        <v>1.5420835214700001E-4</v>
      </c>
      <c r="V116" t="s">
        <v>251</v>
      </c>
      <c r="X116">
        <v>1.1415525114155251E-4</v>
      </c>
      <c r="Y116">
        <v>2.2209515285616027E-4</v>
      </c>
      <c r="Z116" t="s">
        <v>622</v>
      </c>
      <c r="AA116" t="s">
        <v>25</v>
      </c>
      <c r="AC116" t="s">
        <v>22</v>
      </c>
      <c r="AD116" t="s">
        <v>622</v>
      </c>
      <c r="AE116">
        <v>8.9264025622094322E-5</v>
      </c>
      <c r="AG116" t="s">
        <v>97</v>
      </c>
      <c r="AH116" t="s">
        <v>622</v>
      </c>
      <c r="AI116">
        <v>0</v>
      </c>
      <c r="AK116">
        <v>2030</v>
      </c>
      <c r="AL116" t="s">
        <v>175</v>
      </c>
      <c r="AM116">
        <v>0.4728</v>
      </c>
      <c r="AN116" t="s">
        <v>430</v>
      </c>
    </row>
    <row r="117" spans="5:40" x14ac:dyDescent="0.45">
      <c r="E117" t="s">
        <v>202</v>
      </c>
      <c r="G117" t="s">
        <v>437</v>
      </c>
      <c r="I117" t="s">
        <v>249</v>
      </c>
      <c r="J117" t="s">
        <v>623</v>
      </c>
      <c r="K117">
        <v>2.5049259123457456E-5</v>
      </c>
      <c r="L117" t="s">
        <v>251</v>
      </c>
      <c r="N117" t="s">
        <v>419</v>
      </c>
      <c r="O117" t="s">
        <v>623</v>
      </c>
      <c r="P117">
        <v>1.3143111621430001E-4</v>
      </c>
      <c r="Q117" t="s">
        <v>251</v>
      </c>
      <c r="S117" t="s">
        <v>420</v>
      </c>
      <c r="T117" t="s">
        <v>623</v>
      </c>
      <c r="U117">
        <v>1.4959744463600001E-4</v>
      </c>
      <c r="V117" t="s">
        <v>251</v>
      </c>
      <c r="X117">
        <v>1.1415525114155251E-4</v>
      </c>
      <c r="Y117">
        <v>1.7237235744060203E-4</v>
      </c>
      <c r="Z117" t="s">
        <v>623</v>
      </c>
      <c r="AA117" t="s">
        <v>25</v>
      </c>
      <c r="AC117" t="s">
        <v>22</v>
      </c>
      <c r="AD117" t="s">
        <v>623</v>
      </c>
      <c r="AE117">
        <v>5.5787571801921499E-5</v>
      </c>
      <c r="AG117" t="s">
        <v>97</v>
      </c>
      <c r="AH117" t="s">
        <v>623</v>
      </c>
      <c r="AI117">
        <v>0</v>
      </c>
      <c r="AK117">
        <v>2030</v>
      </c>
      <c r="AL117" t="s">
        <v>166</v>
      </c>
      <c r="AM117">
        <v>0.2646</v>
      </c>
      <c r="AN117" t="s">
        <v>430</v>
      </c>
    </row>
    <row r="118" spans="5:40" x14ac:dyDescent="0.45">
      <c r="E118" t="s">
        <v>203</v>
      </c>
      <c r="G118" t="s">
        <v>437</v>
      </c>
      <c r="I118" t="s">
        <v>249</v>
      </c>
      <c r="J118" t="s">
        <v>624</v>
      </c>
      <c r="K118">
        <v>2.7458860145961398E-6</v>
      </c>
      <c r="L118" t="s">
        <v>251</v>
      </c>
      <c r="N118" t="s">
        <v>419</v>
      </c>
      <c r="O118" t="s">
        <v>624</v>
      </c>
      <c r="P118">
        <v>1.3067774365039999E-4</v>
      </c>
      <c r="Q118" t="s">
        <v>251</v>
      </c>
      <c r="S118" t="s">
        <v>420</v>
      </c>
      <c r="T118" t="s">
        <v>624</v>
      </c>
      <c r="U118">
        <v>1.4637082434460001E-4</v>
      </c>
      <c r="V118" t="s">
        <v>251</v>
      </c>
      <c r="X118">
        <v>1.1415525114155251E-4</v>
      </c>
      <c r="Y118">
        <v>1.5579809230208258E-4</v>
      </c>
      <c r="Z118" t="s">
        <v>624</v>
      </c>
      <c r="AA118" t="s">
        <v>25</v>
      </c>
      <c r="AC118" t="s">
        <v>22</v>
      </c>
      <c r="AD118" t="s">
        <v>624</v>
      </c>
      <c r="AE118">
        <v>5.0162297553642043E-5</v>
      </c>
      <c r="AG118" t="s">
        <v>97</v>
      </c>
      <c r="AH118" t="s">
        <v>624</v>
      </c>
      <c r="AI118">
        <v>0</v>
      </c>
      <c r="AK118">
        <v>2030</v>
      </c>
      <c r="AL118" t="s">
        <v>178</v>
      </c>
      <c r="AM118">
        <v>0.26090000000000002</v>
      </c>
      <c r="AN118" t="s">
        <v>430</v>
      </c>
    </row>
    <row r="119" spans="5:40" x14ac:dyDescent="0.45">
      <c r="E119" t="s">
        <v>204</v>
      </c>
      <c r="G119" t="s">
        <v>437</v>
      </c>
      <c r="I119" t="s">
        <v>249</v>
      </c>
      <c r="J119" t="s">
        <v>625</v>
      </c>
      <c r="K119">
        <v>0</v>
      </c>
      <c r="L119" t="s">
        <v>251</v>
      </c>
      <c r="N119" t="s">
        <v>419</v>
      </c>
      <c r="O119" t="s">
        <v>625</v>
      </c>
      <c r="P119">
        <v>1.334555266663E-4</v>
      </c>
      <c r="Q119" t="s">
        <v>251</v>
      </c>
      <c r="S119" t="s">
        <v>420</v>
      </c>
      <c r="T119" t="s">
        <v>625</v>
      </c>
      <c r="U119">
        <v>1.4489624812490001E-4</v>
      </c>
      <c r="V119" t="s">
        <v>251</v>
      </c>
      <c r="X119">
        <v>1.1415525114155251E-4</v>
      </c>
      <c r="Y119">
        <v>1.093901499142282E-4</v>
      </c>
      <c r="Z119" t="s">
        <v>625</v>
      </c>
      <c r="AA119" t="s">
        <v>25</v>
      </c>
      <c r="AC119" t="s">
        <v>22</v>
      </c>
      <c r="AD119" t="s">
        <v>625</v>
      </c>
      <c r="AE119">
        <v>4.7298967227225342E-5</v>
      </c>
      <c r="AG119" t="s">
        <v>97</v>
      </c>
      <c r="AH119" t="s">
        <v>625</v>
      </c>
      <c r="AI119">
        <v>0</v>
      </c>
      <c r="AK119">
        <v>2031</v>
      </c>
      <c r="AL119" t="s">
        <v>151</v>
      </c>
      <c r="AM119">
        <v>0.23710000000000001</v>
      </c>
      <c r="AN119" t="s">
        <v>430</v>
      </c>
    </row>
    <row r="120" spans="5:40" x14ac:dyDescent="0.45">
      <c r="E120" t="s">
        <v>205</v>
      </c>
      <c r="G120" t="s">
        <v>437</v>
      </c>
      <c r="I120" t="s">
        <v>249</v>
      </c>
      <c r="J120" t="s">
        <v>626</v>
      </c>
      <c r="K120">
        <v>0</v>
      </c>
      <c r="L120" t="s">
        <v>251</v>
      </c>
      <c r="N120" t="s">
        <v>419</v>
      </c>
      <c r="O120" t="s">
        <v>626</v>
      </c>
      <c r="P120">
        <v>1.373468540685E-4</v>
      </c>
      <c r="Q120" t="s">
        <v>251</v>
      </c>
      <c r="S120" t="s">
        <v>420</v>
      </c>
      <c r="T120" t="s">
        <v>626</v>
      </c>
      <c r="U120">
        <v>1.4197240594019999E-4</v>
      </c>
      <c r="V120" t="s">
        <v>251</v>
      </c>
      <c r="X120">
        <v>1.1415525114155251E-4</v>
      </c>
      <c r="Y120">
        <v>7.9556472664893237E-5</v>
      </c>
      <c r="Z120" t="s">
        <v>626</v>
      </c>
      <c r="AA120" t="s">
        <v>25</v>
      </c>
      <c r="AC120" t="s">
        <v>22</v>
      </c>
      <c r="AD120" t="s">
        <v>626</v>
      </c>
      <c r="AE120">
        <v>4.8739545480943938E-5</v>
      </c>
      <c r="AG120" t="s">
        <v>97</v>
      </c>
      <c r="AH120" t="s">
        <v>626</v>
      </c>
      <c r="AI120">
        <v>0</v>
      </c>
      <c r="AK120">
        <v>2031</v>
      </c>
      <c r="AL120" t="s">
        <v>156</v>
      </c>
      <c r="AM120">
        <v>0.28249999999999997</v>
      </c>
      <c r="AN120" t="s">
        <v>430</v>
      </c>
    </row>
    <row r="121" spans="5:40" x14ac:dyDescent="0.45">
      <c r="E121" t="s">
        <v>206</v>
      </c>
      <c r="G121" t="s">
        <v>437</v>
      </c>
      <c r="I121" t="s">
        <v>249</v>
      </c>
      <c r="J121" t="s">
        <v>627</v>
      </c>
      <c r="K121">
        <v>0</v>
      </c>
      <c r="L121" t="s">
        <v>251</v>
      </c>
      <c r="N121" t="s">
        <v>419</v>
      </c>
      <c r="O121" t="s">
        <v>627</v>
      </c>
      <c r="P121">
        <v>1.412226500217E-4</v>
      </c>
      <c r="Q121" t="s">
        <v>251</v>
      </c>
      <c r="S121" t="s">
        <v>420</v>
      </c>
      <c r="T121" t="s">
        <v>627</v>
      </c>
      <c r="U121">
        <v>1.4649756552019999E-4</v>
      </c>
      <c r="V121" t="s">
        <v>251</v>
      </c>
      <c r="X121">
        <v>1.1415525114155251E-4</v>
      </c>
      <c r="Y121">
        <v>5.6352501470966035E-5</v>
      </c>
      <c r="Z121" t="s">
        <v>627</v>
      </c>
      <c r="AA121" t="s">
        <v>25</v>
      </c>
      <c r="AC121" t="s">
        <v>22</v>
      </c>
      <c r="AD121" t="s">
        <v>627</v>
      </c>
      <c r="AE121">
        <v>6.0099279336253349E-5</v>
      </c>
      <c r="AG121" t="s">
        <v>97</v>
      </c>
      <c r="AH121" t="s">
        <v>627</v>
      </c>
      <c r="AI121">
        <v>0</v>
      </c>
      <c r="AK121">
        <v>2031</v>
      </c>
      <c r="AL121" t="s">
        <v>159</v>
      </c>
      <c r="AM121">
        <v>0.28789999999999999</v>
      </c>
      <c r="AN121" t="s">
        <v>430</v>
      </c>
    </row>
    <row r="122" spans="5:40" x14ac:dyDescent="0.45">
      <c r="E122" t="s">
        <v>207</v>
      </c>
      <c r="G122" t="s">
        <v>437</v>
      </c>
      <c r="I122" t="s">
        <v>249</v>
      </c>
      <c r="J122" t="s">
        <v>628</v>
      </c>
      <c r="K122">
        <v>0</v>
      </c>
      <c r="L122" t="s">
        <v>251</v>
      </c>
      <c r="N122" t="s">
        <v>419</v>
      </c>
      <c r="O122" t="s">
        <v>628</v>
      </c>
      <c r="P122">
        <v>1.4871904274609999E-4</v>
      </c>
      <c r="Q122" t="s">
        <v>251</v>
      </c>
      <c r="S122" t="s">
        <v>420</v>
      </c>
      <c r="T122" t="s">
        <v>628</v>
      </c>
      <c r="U122">
        <v>1.581364678058E-4</v>
      </c>
      <c r="V122" t="s">
        <v>251</v>
      </c>
      <c r="X122">
        <v>1.1415525114155251E-4</v>
      </c>
      <c r="Y122">
        <v>2.9833677249334962E-5</v>
      </c>
      <c r="Z122" t="s">
        <v>628</v>
      </c>
      <c r="AA122" t="s">
        <v>25</v>
      </c>
      <c r="AC122" t="s">
        <v>22</v>
      </c>
      <c r="AD122" t="s">
        <v>628</v>
      </c>
      <c r="AE122">
        <v>8.3236548164539978E-5</v>
      </c>
      <c r="AG122" t="s">
        <v>97</v>
      </c>
      <c r="AH122" t="s">
        <v>628</v>
      </c>
      <c r="AI122">
        <v>0</v>
      </c>
      <c r="AK122">
        <v>2031</v>
      </c>
      <c r="AL122" t="s">
        <v>163</v>
      </c>
      <c r="AM122">
        <v>0.30680000000000002</v>
      </c>
      <c r="AN122" t="s">
        <v>430</v>
      </c>
    </row>
    <row r="123" spans="5:40" x14ac:dyDescent="0.45">
      <c r="E123" t="s">
        <v>208</v>
      </c>
      <c r="G123" t="s">
        <v>437</v>
      </c>
      <c r="I123" t="s">
        <v>249</v>
      </c>
      <c r="J123" t="s">
        <v>629</v>
      </c>
      <c r="K123">
        <v>0</v>
      </c>
      <c r="L123" t="s">
        <v>251</v>
      </c>
      <c r="N123" t="s">
        <v>419</v>
      </c>
      <c r="O123" t="s">
        <v>629</v>
      </c>
      <c r="P123">
        <v>1.522182912795E-4</v>
      </c>
      <c r="Q123" t="s">
        <v>251</v>
      </c>
      <c r="S123" t="s">
        <v>420</v>
      </c>
      <c r="T123" t="s">
        <v>629</v>
      </c>
      <c r="U123">
        <v>1.72999940041E-4</v>
      </c>
      <c r="V123" t="s">
        <v>251</v>
      </c>
      <c r="X123">
        <v>1.1415525114155251E-4</v>
      </c>
      <c r="Y123">
        <v>2.1546544680075254E-5</v>
      </c>
      <c r="Z123" t="s">
        <v>629</v>
      </c>
      <c r="AA123" t="s">
        <v>25</v>
      </c>
      <c r="AC123" t="s">
        <v>22</v>
      </c>
      <c r="AD123" t="s">
        <v>629</v>
      </c>
      <c r="AE123">
        <v>8.3562990104477759E-5</v>
      </c>
      <c r="AG123" t="s">
        <v>97</v>
      </c>
      <c r="AH123" t="s">
        <v>629</v>
      </c>
      <c r="AI123">
        <v>0</v>
      </c>
      <c r="AK123">
        <v>2031</v>
      </c>
      <c r="AL123" t="s">
        <v>167</v>
      </c>
      <c r="AM123">
        <v>0.41089999999999999</v>
      </c>
      <c r="AN123" t="s">
        <v>430</v>
      </c>
    </row>
    <row r="124" spans="5:40" x14ac:dyDescent="0.45">
      <c r="E124" t="s">
        <v>209</v>
      </c>
      <c r="G124" t="s">
        <v>437</v>
      </c>
      <c r="I124" t="s">
        <v>249</v>
      </c>
      <c r="J124" t="s">
        <v>630</v>
      </c>
      <c r="K124">
        <v>0</v>
      </c>
      <c r="L124" t="s">
        <v>251</v>
      </c>
      <c r="N124" t="s">
        <v>419</v>
      </c>
      <c r="O124" t="s">
        <v>630</v>
      </c>
      <c r="P124">
        <v>1.5556342747259999E-4</v>
      </c>
      <c r="Q124" t="s">
        <v>251</v>
      </c>
      <c r="S124" t="s">
        <v>420</v>
      </c>
      <c r="T124" t="s">
        <v>630</v>
      </c>
      <c r="U124">
        <v>1.8480932242049999E-4</v>
      </c>
      <c r="V124" t="s">
        <v>251</v>
      </c>
      <c r="X124">
        <v>1.1415525114155251E-4</v>
      </c>
      <c r="Y124">
        <v>1.4916838624667481E-5</v>
      </c>
      <c r="Z124" t="s">
        <v>630</v>
      </c>
      <c r="AA124" t="s">
        <v>25</v>
      </c>
      <c r="AC124" t="s">
        <v>22</v>
      </c>
      <c r="AD124" t="s">
        <v>630</v>
      </c>
      <c r="AE124">
        <v>9.805121872888376E-5</v>
      </c>
      <c r="AG124" t="s">
        <v>97</v>
      </c>
      <c r="AH124" t="s">
        <v>630</v>
      </c>
      <c r="AI124">
        <v>0</v>
      </c>
      <c r="AK124">
        <v>2031</v>
      </c>
      <c r="AL124" t="s">
        <v>169</v>
      </c>
      <c r="AM124">
        <v>0.4637</v>
      </c>
      <c r="AN124" t="s">
        <v>430</v>
      </c>
    </row>
    <row r="125" spans="5:40" x14ac:dyDescent="0.45">
      <c r="E125" t="s">
        <v>210</v>
      </c>
      <c r="G125" t="s">
        <v>437</v>
      </c>
      <c r="I125" t="s">
        <v>249</v>
      </c>
      <c r="J125" t="s">
        <v>631</v>
      </c>
      <c r="K125">
        <v>0</v>
      </c>
      <c r="L125" t="s">
        <v>251</v>
      </c>
      <c r="N125" t="s">
        <v>419</v>
      </c>
      <c r="O125" t="s">
        <v>631</v>
      </c>
      <c r="P125">
        <v>1.5156053006789999E-4</v>
      </c>
      <c r="Q125" t="s">
        <v>251</v>
      </c>
      <c r="S125" t="s">
        <v>420</v>
      </c>
      <c r="T125" t="s">
        <v>631</v>
      </c>
      <c r="U125">
        <v>1.7533524937699999E-4</v>
      </c>
      <c r="V125" t="s">
        <v>251</v>
      </c>
      <c r="X125">
        <v>1.1415525114155251E-4</v>
      </c>
      <c r="Y125">
        <v>1.6574265138519424E-5</v>
      </c>
      <c r="Z125" t="s">
        <v>631</v>
      </c>
      <c r="AA125" t="s">
        <v>25</v>
      </c>
      <c r="AC125" t="s">
        <v>22</v>
      </c>
      <c r="AD125" t="s">
        <v>631</v>
      </c>
      <c r="AE125">
        <v>1.2160963108377956E-4</v>
      </c>
      <c r="AG125" t="s">
        <v>97</v>
      </c>
      <c r="AH125" t="s">
        <v>631</v>
      </c>
      <c r="AI125">
        <v>0</v>
      </c>
      <c r="AK125">
        <v>2031</v>
      </c>
      <c r="AL125" t="s">
        <v>171</v>
      </c>
      <c r="AM125">
        <v>0.54390000000000005</v>
      </c>
      <c r="AN125" t="s">
        <v>430</v>
      </c>
    </row>
    <row r="126" spans="5:40" x14ac:dyDescent="0.45">
      <c r="E126" t="s">
        <v>211</v>
      </c>
      <c r="G126" t="s">
        <v>437</v>
      </c>
      <c r="I126" t="s">
        <v>249</v>
      </c>
      <c r="J126" t="s">
        <v>632</v>
      </c>
      <c r="K126">
        <v>0</v>
      </c>
      <c r="L126" t="s">
        <v>251</v>
      </c>
      <c r="N126" t="s">
        <v>419</v>
      </c>
      <c r="O126" t="s">
        <v>632</v>
      </c>
      <c r="P126">
        <v>1.491149919242E-4</v>
      </c>
      <c r="Q126" t="s">
        <v>251</v>
      </c>
      <c r="S126" t="s">
        <v>420</v>
      </c>
      <c r="T126" t="s">
        <v>632</v>
      </c>
      <c r="U126">
        <v>1.5492316797329999E-4</v>
      </c>
      <c r="V126" t="s">
        <v>251</v>
      </c>
      <c r="X126">
        <v>1.1415525114155251E-4</v>
      </c>
      <c r="Y126">
        <v>1.4585353321897093E-5</v>
      </c>
      <c r="Z126" t="s">
        <v>632</v>
      </c>
      <c r="AA126" t="s">
        <v>25</v>
      </c>
      <c r="AC126" t="s">
        <v>22</v>
      </c>
      <c r="AD126" t="s">
        <v>632</v>
      </c>
      <c r="AE126">
        <v>1.3827933861056843E-4</v>
      </c>
      <c r="AG126" t="s">
        <v>97</v>
      </c>
      <c r="AH126" t="s">
        <v>632</v>
      </c>
      <c r="AI126">
        <v>0</v>
      </c>
      <c r="AK126">
        <v>2031</v>
      </c>
      <c r="AL126" t="s">
        <v>158</v>
      </c>
      <c r="AM126">
        <v>0.67930000000000001</v>
      </c>
      <c r="AN126" t="s">
        <v>430</v>
      </c>
    </row>
    <row r="127" spans="5:40" x14ac:dyDescent="0.45">
      <c r="E127" t="s">
        <v>212</v>
      </c>
      <c r="G127" t="s">
        <v>437</v>
      </c>
      <c r="I127" t="s">
        <v>249</v>
      </c>
      <c r="J127" t="s">
        <v>633</v>
      </c>
      <c r="K127">
        <v>0</v>
      </c>
      <c r="L127" t="s">
        <v>251</v>
      </c>
      <c r="N127" t="s">
        <v>419</v>
      </c>
      <c r="O127" t="s">
        <v>633</v>
      </c>
      <c r="P127">
        <v>1.4664908931249999E-4</v>
      </c>
      <c r="Q127" t="s">
        <v>251</v>
      </c>
      <c r="S127" t="s">
        <v>420</v>
      </c>
      <c r="T127" t="s">
        <v>633</v>
      </c>
      <c r="U127">
        <v>1.5688211176880001E-4</v>
      </c>
      <c r="V127" t="s">
        <v>251</v>
      </c>
      <c r="X127">
        <v>1.1415525114155251E-4</v>
      </c>
      <c r="Y127">
        <v>2.1215059377304864E-5</v>
      </c>
      <c r="Z127" t="s">
        <v>633</v>
      </c>
      <c r="AA127" t="s">
        <v>25</v>
      </c>
      <c r="AC127" t="s">
        <v>22</v>
      </c>
      <c r="AD127" t="s">
        <v>633</v>
      </c>
      <c r="AE127">
        <v>1.4302221689833341E-4</v>
      </c>
      <c r="AG127" t="s">
        <v>97</v>
      </c>
      <c r="AH127" t="s">
        <v>633</v>
      </c>
      <c r="AI127">
        <v>0</v>
      </c>
      <c r="AK127">
        <v>2031</v>
      </c>
      <c r="AL127" t="s">
        <v>162</v>
      </c>
      <c r="AM127">
        <v>0.55269999999999997</v>
      </c>
      <c r="AN127" t="s">
        <v>430</v>
      </c>
    </row>
    <row r="128" spans="5:40" x14ac:dyDescent="0.45">
      <c r="E128" t="s">
        <v>213</v>
      </c>
      <c r="G128" t="s">
        <v>437</v>
      </c>
      <c r="I128" t="s">
        <v>249</v>
      </c>
      <c r="J128" t="s">
        <v>634</v>
      </c>
      <c r="K128">
        <v>0</v>
      </c>
      <c r="L128" t="s">
        <v>251</v>
      </c>
      <c r="N128" t="s">
        <v>419</v>
      </c>
      <c r="O128" t="s">
        <v>634</v>
      </c>
      <c r="P128">
        <v>1.2664495596369999E-4</v>
      </c>
      <c r="Q128" t="s">
        <v>251</v>
      </c>
      <c r="S128" t="s">
        <v>420</v>
      </c>
      <c r="T128" t="s">
        <v>634</v>
      </c>
      <c r="U128">
        <v>1.547847777319E-4</v>
      </c>
      <c r="V128" t="s">
        <v>251</v>
      </c>
      <c r="X128">
        <v>1.1415525114155251E-4</v>
      </c>
      <c r="Y128">
        <v>5.7678442682047593E-5</v>
      </c>
      <c r="Z128" t="s">
        <v>634</v>
      </c>
      <c r="AA128" t="s">
        <v>25</v>
      </c>
      <c r="AC128" t="s">
        <v>22</v>
      </c>
      <c r="AD128" t="s">
        <v>634</v>
      </c>
      <c r="AE128">
        <v>1.4345227351545288E-4</v>
      </c>
      <c r="AG128" t="s">
        <v>97</v>
      </c>
      <c r="AH128" t="s">
        <v>634</v>
      </c>
      <c r="AI128">
        <v>0</v>
      </c>
      <c r="AK128">
        <v>2031</v>
      </c>
      <c r="AL128" t="s">
        <v>175</v>
      </c>
      <c r="AM128">
        <v>0.4325</v>
      </c>
      <c r="AN128" t="s">
        <v>430</v>
      </c>
    </row>
    <row r="129" spans="5:40" x14ac:dyDescent="0.45">
      <c r="E129" t="s">
        <v>214</v>
      </c>
      <c r="G129" t="s">
        <v>437</v>
      </c>
      <c r="I129" t="s">
        <v>249</v>
      </c>
      <c r="J129" t="s">
        <v>635</v>
      </c>
      <c r="K129">
        <v>1.0016384880752499E-6</v>
      </c>
      <c r="L129" t="s">
        <v>251</v>
      </c>
      <c r="N129" t="s">
        <v>419</v>
      </c>
      <c r="O129" t="s">
        <v>635</v>
      </c>
      <c r="P129">
        <v>1.121684820416E-4</v>
      </c>
      <c r="Q129" t="s">
        <v>251</v>
      </c>
      <c r="S129" t="s">
        <v>420</v>
      </c>
      <c r="T129" t="s">
        <v>635</v>
      </c>
      <c r="U129">
        <v>1.509465832036E-4</v>
      </c>
      <c r="V129" t="s">
        <v>251</v>
      </c>
      <c r="X129">
        <v>1.1415525114155251E-4</v>
      </c>
      <c r="Y129">
        <v>1.6905750441289813E-4</v>
      </c>
      <c r="Z129" t="s">
        <v>635</v>
      </c>
      <c r="AA129" t="s">
        <v>25</v>
      </c>
      <c r="AC129" t="s">
        <v>22</v>
      </c>
      <c r="AD129" t="s">
        <v>635</v>
      </c>
      <c r="AE129">
        <v>1.4344001801600128E-4</v>
      </c>
      <c r="AG129" t="s">
        <v>97</v>
      </c>
      <c r="AH129" t="s">
        <v>635</v>
      </c>
      <c r="AI129">
        <v>0</v>
      </c>
      <c r="AK129">
        <v>2031</v>
      </c>
      <c r="AL129" t="s">
        <v>166</v>
      </c>
      <c r="AM129">
        <v>0.28139999999999998</v>
      </c>
      <c r="AN129" t="s">
        <v>430</v>
      </c>
    </row>
    <row r="130" spans="5:40" x14ac:dyDescent="0.45">
      <c r="E130" t="s">
        <v>215</v>
      </c>
      <c r="G130" t="s">
        <v>437</v>
      </c>
      <c r="I130" t="s">
        <v>249</v>
      </c>
      <c r="J130" t="s">
        <v>636</v>
      </c>
      <c r="K130">
        <v>1.2264346700012346E-5</v>
      </c>
      <c r="L130" t="s">
        <v>251</v>
      </c>
      <c r="N130" t="s">
        <v>419</v>
      </c>
      <c r="O130" t="s">
        <v>636</v>
      </c>
      <c r="P130">
        <v>1.125957765695E-4</v>
      </c>
      <c r="Q130" t="s">
        <v>251</v>
      </c>
      <c r="S130" t="s">
        <v>420</v>
      </c>
      <c r="T130" t="s">
        <v>636</v>
      </c>
      <c r="U130">
        <v>1.4935013351649999E-4</v>
      </c>
      <c r="V130" t="s">
        <v>251</v>
      </c>
      <c r="X130">
        <v>1.1415525114155251E-4</v>
      </c>
      <c r="Y130">
        <v>1.9060404909297337E-4</v>
      </c>
      <c r="Z130" t="s">
        <v>636</v>
      </c>
      <c r="AA130" t="s">
        <v>25</v>
      </c>
      <c r="AC130" t="s">
        <v>22</v>
      </c>
      <c r="AD130" t="s">
        <v>636</v>
      </c>
      <c r="AE130">
        <v>1.4386338981523797E-4</v>
      </c>
      <c r="AG130" t="s">
        <v>97</v>
      </c>
      <c r="AH130" t="s">
        <v>636</v>
      </c>
      <c r="AI130">
        <v>0</v>
      </c>
      <c r="AK130">
        <v>2031</v>
      </c>
      <c r="AL130" t="s">
        <v>178</v>
      </c>
      <c r="AM130">
        <v>0.24030000000000001</v>
      </c>
      <c r="AN130" t="s">
        <v>430</v>
      </c>
    </row>
    <row r="131" spans="5:40" x14ac:dyDescent="0.45">
      <c r="E131" t="s">
        <v>509</v>
      </c>
      <c r="G131" t="s">
        <v>439</v>
      </c>
      <c r="I131" t="s">
        <v>249</v>
      </c>
      <c r="J131" t="s">
        <v>637</v>
      </c>
      <c r="K131">
        <v>4.0403304803000852E-5</v>
      </c>
      <c r="L131" t="s">
        <v>251</v>
      </c>
      <c r="N131" t="s">
        <v>419</v>
      </c>
      <c r="O131" t="s">
        <v>637</v>
      </c>
      <c r="P131">
        <v>1.3180757916779999E-4</v>
      </c>
      <c r="Q131" t="s">
        <v>251</v>
      </c>
      <c r="S131" t="s">
        <v>420</v>
      </c>
      <c r="T131" t="s">
        <v>637</v>
      </c>
      <c r="U131">
        <v>1.444660143032E-4</v>
      </c>
      <c r="V131" t="s">
        <v>251</v>
      </c>
      <c r="X131">
        <v>1.1415525114155251E-4</v>
      </c>
      <c r="Y131">
        <v>1.4585353321897094E-4</v>
      </c>
      <c r="Z131" t="s">
        <v>637</v>
      </c>
      <c r="AA131" t="s">
        <v>25</v>
      </c>
      <c r="AC131" t="s">
        <v>22</v>
      </c>
      <c r="AD131" t="s">
        <v>637</v>
      </c>
      <c r="AE131">
        <v>1.4423105479878564E-4</v>
      </c>
      <c r="AG131" t="s">
        <v>97</v>
      </c>
      <c r="AH131" t="s">
        <v>637</v>
      </c>
      <c r="AI131">
        <v>0</v>
      </c>
      <c r="AK131">
        <v>2032</v>
      </c>
      <c r="AL131" t="s">
        <v>151</v>
      </c>
      <c r="AM131">
        <v>0.22370000000000001</v>
      </c>
      <c r="AN131" t="s">
        <v>430</v>
      </c>
    </row>
    <row r="132" spans="5:40" x14ac:dyDescent="0.45">
      <c r="E132" t="s">
        <v>510</v>
      </c>
      <c r="G132" t="s">
        <v>439</v>
      </c>
      <c r="I132" t="s">
        <v>249</v>
      </c>
      <c r="J132" t="s">
        <v>638</v>
      </c>
      <c r="K132">
        <v>7.7349394411548513E-5</v>
      </c>
      <c r="L132" t="s">
        <v>251</v>
      </c>
      <c r="N132" t="s">
        <v>419</v>
      </c>
      <c r="O132" t="s">
        <v>638</v>
      </c>
      <c r="P132">
        <v>1.2635197286859999E-4</v>
      </c>
      <c r="Q132" t="s">
        <v>251</v>
      </c>
      <c r="S132" t="s">
        <v>420</v>
      </c>
      <c r="T132" t="s">
        <v>638</v>
      </c>
      <c r="U132">
        <v>1.313742460076E-4</v>
      </c>
      <c r="V132" t="s">
        <v>251</v>
      </c>
      <c r="X132">
        <v>1.1415525114155251E-4</v>
      </c>
      <c r="Y132">
        <v>1.4452759200788939E-4</v>
      </c>
      <c r="Z132" t="s">
        <v>638</v>
      </c>
      <c r="AA132" t="s">
        <v>25</v>
      </c>
      <c r="AC132" t="s">
        <v>22</v>
      </c>
      <c r="AD132" t="s">
        <v>638</v>
      </c>
      <c r="AE132">
        <v>1.4474021509418346E-4</v>
      </c>
      <c r="AG132" t="s">
        <v>97</v>
      </c>
      <c r="AH132" t="s">
        <v>638</v>
      </c>
      <c r="AI132">
        <v>0</v>
      </c>
      <c r="AK132">
        <v>2032</v>
      </c>
      <c r="AL132" t="s">
        <v>156</v>
      </c>
      <c r="AM132">
        <v>0.27400000000000002</v>
      </c>
      <c r="AN132" t="s">
        <v>430</v>
      </c>
    </row>
    <row r="133" spans="5:40" x14ac:dyDescent="0.45">
      <c r="E133" t="s">
        <v>511</v>
      </c>
      <c r="G133" t="s">
        <v>439</v>
      </c>
      <c r="I133" t="s">
        <v>249</v>
      </c>
      <c r="J133" t="s">
        <v>639</v>
      </c>
      <c r="K133">
        <v>9.0247097637856179E-5</v>
      </c>
      <c r="L133" t="s">
        <v>251</v>
      </c>
      <c r="N133" t="s">
        <v>419</v>
      </c>
      <c r="O133" t="s">
        <v>639</v>
      </c>
      <c r="P133">
        <v>1.119760005833E-4</v>
      </c>
      <c r="Q133" t="s">
        <v>251</v>
      </c>
      <c r="S133" t="s">
        <v>420</v>
      </c>
      <c r="T133" t="s">
        <v>639</v>
      </c>
      <c r="U133">
        <v>1.225665406667E-4</v>
      </c>
      <c r="V133" t="s">
        <v>251</v>
      </c>
      <c r="X133">
        <v>1.1415525114155251E-4</v>
      </c>
      <c r="Y133">
        <v>1.408812536774151E-4</v>
      </c>
      <c r="Z133" t="s">
        <v>639</v>
      </c>
      <c r="AA133" t="s">
        <v>25</v>
      </c>
      <c r="AC133" t="s">
        <v>22</v>
      </c>
      <c r="AD133" t="s">
        <v>639</v>
      </c>
      <c r="AE133">
        <v>1.4369961177711221E-4</v>
      </c>
      <c r="AG133" t="s">
        <v>97</v>
      </c>
      <c r="AH133" t="s">
        <v>639</v>
      </c>
      <c r="AI133">
        <v>0</v>
      </c>
      <c r="AK133">
        <v>2032</v>
      </c>
      <c r="AL133" t="s">
        <v>159</v>
      </c>
      <c r="AM133">
        <v>0.26619999999999999</v>
      </c>
      <c r="AN133" t="s">
        <v>430</v>
      </c>
    </row>
    <row r="134" spans="5:40" x14ac:dyDescent="0.45">
      <c r="E134" t="s">
        <v>512</v>
      </c>
      <c r="G134" t="s">
        <v>439</v>
      </c>
      <c r="I134" t="s">
        <v>249</v>
      </c>
      <c r="J134" t="s">
        <v>640</v>
      </c>
      <c r="K134">
        <v>1.114519257104E-4</v>
      </c>
      <c r="L134" t="s">
        <v>251</v>
      </c>
      <c r="N134" t="s">
        <v>419</v>
      </c>
      <c r="O134" t="s">
        <v>640</v>
      </c>
      <c r="P134">
        <v>1.150207252312E-4</v>
      </c>
      <c r="Q134" t="s">
        <v>251</v>
      </c>
      <c r="S134" t="s">
        <v>420</v>
      </c>
      <c r="T134" t="s">
        <v>640</v>
      </c>
      <c r="U134">
        <v>1.197502085009E-4</v>
      </c>
      <c r="V134" t="s">
        <v>251</v>
      </c>
      <c r="X134">
        <v>1.1415525114155251E-4</v>
      </c>
      <c r="Y134">
        <v>1.4054976837464471E-4</v>
      </c>
      <c r="Z134" t="s">
        <v>640</v>
      </c>
      <c r="AA134" t="s">
        <v>25</v>
      </c>
      <c r="AC134" t="s">
        <v>22</v>
      </c>
      <c r="AD134" t="s">
        <v>640</v>
      </c>
      <c r="AE134">
        <v>1.4396031967453692E-4</v>
      </c>
      <c r="AG134" t="s">
        <v>97</v>
      </c>
      <c r="AH134" t="s">
        <v>640</v>
      </c>
      <c r="AI134">
        <v>0</v>
      </c>
      <c r="AK134">
        <v>2032</v>
      </c>
      <c r="AL134" t="s">
        <v>163</v>
      </c>
      <c r="AM134">
        <v>0.30599999999999999</v>
      </c>
      <c r="AN134" t="s">
        <v>430</v>
      </c>
    </row>
    <row r="135" spans="5:40" x14ac:dyDescent="0.45">
      <c r="E135" t="s">
        <v>513</v>
      </c>
      <c r="G135" t="s">
        <v>439</v>
      </c>
      <c r="I135" t="s">
        <v>249</v>
      </c>
      <c r="J135" t="s">
        <v>641</v>
      </c>
      <c r="K135">
        <v>1.263560227172E-4</v>
      </c>
      <c r="L135" t="s">
        <v>251</v>
      </c>
      <c r="N135" t="s">
        <v>419</v>
      </c>
      <c r="O135" t="s">
        <v>641</v>
      </c>
      <c r="P135">
        <v>1.0843902749799999E-4</v>
      </c>
      <c r="Q135" t="s">
        <v>251</v>
      </c>
      <c r="S135" t="s">
        <v>420</v>
      </c>
      <c r="T135" t="s">
        <v>641</v>
      </c>
      <c r="U135">
        <v>1.227293088413E-4</v>
      </c>
      <c r="V135" t="s">
        <v>251</v>
      </c>
      <c r="X135">
        <v>1.1415525114155251E-4</v>
      </c>
      <c r="Y135">
        <v>1.4253868019126702E-4</v>
      </c>
      <c r="Z135" t="s">
        <v>641</v>
      </c>
      <c r="AA135" t="s">
        <v>25</v>
      </c>
      <c r="AC135" t="s">
        <v>22</v>
      </c>
      <c r="AD135" t="s">
        <v>641</v>
      </c>
      <c r="AE135">
        <v>1.7210674536958216E-4</v>
      </c>
      <c r="AG135" t="s">
        <v>97</v>
      </c>
      <c r="AH135" t="s">
        <v>641</v>
      </c>
      <c r="AI135">
        <v>0</v>
      </c>
      <c r="AK135">
        <v>2032</v>
      </c>
      <c r="AL135" t="s">
        <v>167</v>
      </c>
      <c r="AM135">
        <v>0.41270000000000001</v>
      </c>
      <c r="AN135" t="s">
        <v>430</v>
      </c>
    </row>
    <row r="136" spans="5:40" x14ac:dyDescent="0.45">
      <c r="E136" t="s">
        <v>514</v>
      </c>
      <c r="G136" t="s">
        <v>439</v>
      </c>
      <c r="I136" t="s">
        <v>249</v>
      </c>
      <c r="J136" t="s">
        <v>642</v>
      </c>
      <c r="K136">
        <v>1.3429775905430001E-4</v>
      </c>
      <c r="L136" t="s">
        <v>251</v>
      </c>
      <c r="N136" t="s">
        <v>419</v>
      </c>
      <c r="O136" t="s">
        <v>642</v>
      </c>
      <c r="P136">
        <v>9.6493860490854446E-5</v>
      </c>
      <c r="Q136" t="s">
        <v>251</v>
      </c>
      <c r="S136" t="s">
        <v>420</v>
      </c>
      <c r="T136" t="s">
        <v>642</v>
      </c>
      <c r="U136">
        <v>1.2629683515210001E-4</v>
      </c>
      <c r="V136" t="s">
        <v>251</v>
      </c>
      <c r="X136">
        <v>1.1415525114155251E-4</v>
      </c>
      <c r="Y136">
        <v>1.4883690094390442E-4</v>
      </c>
      <c r="Z136" t="s">
        <v>642</v>
      </c>
      <c r="AA136" t="s">
        <v>25</v>
      </c>
      <c r="AC136" t="s">
        <v>22</v>
      </c>
      <c r="AD136" t="s">
        <v>642</v>
      </c>
      <c r="AE136">
        <v>1.7386373833641453E-4</v>
      </c>
      <c r="AG136" t="s">
        <v>97</v>
      </c>
      <c r="AH136" t="s">
        <v>642</v>
      </c>
      <c r="AI136">
        <v>0</v>
      </c>
      <c r="AK136">
        <v>2032</v>
      </c>
      <c r="AL136" t="s">
        <v>169</v>
      </c>
      <c r="AM136">
        <v>0.51</v>
      </c>
      <c r="AN136" t="s">
        <v>430</v>
      </c>
    </row>
    <row r="137" spans="5:40" x14ac:dyDescent="0.45">
      <c r="E137" t="s">
        <v>515</v>
      </c>
      <c r="G137" t="s">
        <v>439</v>
      </c>
      <c r="I137" t="s">
        <v>249</v>
      </c>
      <c r="J137" t="s">
        <v>643</v>
      </c>
      <c r="K137">
        <v>1.2505550460319999E-4</v>
      </c>
      <c r="L137" t="s">
        <v>251</v>
      </c>
      <c r="N137" t="s">
        <v>419</v>
      </c>
      <c r="O137" t="s">
        <v>643</v>
      </c>
      <c r="P137">
        <v>9.2534016871152443E-5</v>
      </c>
      <c r="Q137" t="s">
        <v>251</v>
      </c>
      <c r="S137" t="s">
        <v>420</v>
      </c>
      <c r="T137" t="s">
        <v>643</v>
      </c>
      <c r="U137">
        <v>1.2372389283090001E-4</v>
      </c>
      <c r="V137" t="s">
        <v>251</v>
      </c>
      <c r="X137">
        <v>1.1415525114155251E-4</v>
      </c>
      <c r="Y137">
        <v>1.5049432745775637E-4</v>
      </c>
      <c r="Z137" t="s">
        <v>643</v>
      </c>
      <c r="AA137" t="s">
        <v>25</v>
      </c>
      <c r="AC137" t="s">
        <v>22</v>
      </c>
      <c r="AD137" t="s">
        <v>643</v>
      </c>
      <c r="AE137">
        <v>1.6485037555792761E-4</v>
      </c>
      <c r="AG137" t="s">
        <v>97</v>
      </c>
      <c r="AH137" t="s">
        <v>643</v>
      </c>
      <c r="AI137">
        <v>0</v>
      </c>
      <c r="AK137">
        <v>2032</v>
      </c>
      <c r="AL137" t="s">
        <v>171</v>
      </c>
      <c r="AM137">
        <v>0.51129999999999998</v>
      </c>
      <c r="AN137" t="s">
        <v>430</v>
      </c>
    </row>
    <row r="138" spans="5:40" x14ac:dyDescent="0.45">
      <c r="E138" t="s">
        <v>516</v>
      </c>
      <c r="G138" t="s">
        <v>439</v>
      </c>
      <c r="I138" t="s">
        <v>249</v>
      </c>
      <c r="J138" t="s">
        <v>644</v>
      </c>
      <c r="K138">
        <v>1.162281446827E-4</v>
      </c>
      <c r="L138" t="s">
        <v>251</v>
      </c>
      <c r="N138" t="s">
        <v>419</v>
      </c>
      <c r="O138" t="s">
        <v>644</v>
      </c>
      <c r="P138">
        <v>8.7721266161673657E-5</v>
      </c>
      <c r="Q138" t="s">
        <v>251</v>
      </c>
      <c r="S138" t="s">
        <v>420</v>
      </c>
      <c r="T138" t="s">
        <v>644</v>
      </c>
      <c r="U138">
        <v>1.2782555083930001E-4</v>
      </c>
      <c r="V138" t="s">
        <v>251</v>
      </c>
      <c r="X138">
        <v>1.1415525114155251E-4</v>
      </c>
      <c r="Y138">
        <v>1.7237235744060203E-4</v>
      </c>
      <c r="Z138" t="s">
        <v>644</v>
      </c>
      <c r="AA138" t="s">
        <v>25</v>
      </c>
      <c r="AC138" t="s">
        <v>22</v>
      </c>
      <c r="AD138" t="s">
        <v>644</v>
      </c>
      <c r="AE138">
        <v>1.4592454199573252E-4</v>
      </c>
      <c r="AG138" t="s">
        <v>97</v>
      </c>
      <c r="AH138" t="s">
        <v>644</v>
      </c>
      <c r="AI138">
        <v>0</v>
      </c>
      <c r="AK138">
        <v>2032</v>
      </c>
      <c r="AL138" t="s">
        <v>158</v>
      </c>
      <c r="AM138">
        <v>0.61519999999999997</v>
      </c>
      <c r="AN138" t="s">
        <v>430</v>
      </c>
    </row>
    <row r="139" spans="5:40" x14ac:dyDescent="0.45">
      <c r="E139" t="s">
        <v>517</v>
      </c>
      <c r="G139" t="s">
        <v>439</v>
      </c>
      <c r="I139" t="s">
        <v>249</v>
      </c>
      <c r="J139" t="s">
        <v>645</v>
      </c>
      <c r="K139">
        <v>1.001166033133E-4</v>
      </c>
      <c r="L139" t="s">
        <v>251</v>
      </c>
      <c r="N139" t="s">
        <v>419</v>
      </c>
      <c r="O139" t="s">
        <v>645</v>
      </c>
      <c r="P139">
        <v>9.6005790921314919E-5</v>
      </c>
      <c r="Q139" t="s">
        <v>251</v>
      </c>
      <c r="S139" t="s">
        <v>420</v>
      </c>
      <c r="T139" t="s">
        <v>645</v>
      </c>
      <c r="U139">
        <v>1.303405722746E-4</v>
      </c>
      <c r="V139" t="s">
        <v>251</v>
      </c>
      <c r="X139">
        <v>1.1415525114155251E-4</v>
      </c>
      <c r="Y139">
        <v>2.2209515285616027E-4</v>
      </c>
      <c r="Z139" t="s">
        <v>645</v>
      </c>
      <c r="AA139" t="s">
        <v>25</v>
      </c>
      <c r="AC139" t="s">
        <v>22</v>
      </c>
      <c r="AD139" t="s">
        <v>645</v>
      </c>
      <c r="AE139">
        <v>1.2107150324422339E-4</v>
      </c>
      <c r="AG139" t="s">
        <v>97</v>
      </c>
      <c r="AH139" t="s">
        <v>645</v>
      </c>
      <c r="AI139">
        <v>0</v>
      </c>
      <c r="AK139">
        <v>2032</v>
      </c>
      <c r="AL139" t="s">
        <v>162</v>
      </c>
      <c r="AM139">
        <v>0.57240000000000002</v>
      </c>
      <c r="AN139" t="s">
        <v>430</v>
      </c>
    </row>
    <row r="140" spans="5:40" x14ac:dyDescent="0.45">
      <c r="E140" t="s">
        <v>518</v>
      </c>
      <c r="G140" t="s">
        <v>439</v>
      </c>
      <c r="I140" t="s">
        <v>249</v>
      </c>
      <c r="J140" t="s">
        <v>646</v>
      </c>
      <c r="K140">
        <v>6.9923083710151008E-5</v>
      </c>
      <c r="L140" t="s">
        <v>251</v>
      </c>
      <c r="N140" t="s">
        <v>419</v>
      </c>
      <c r="O140" t="s">
        <v>646</v>
      </c>
      <c r="P140">
        <v>1.061613581649E-4</v>
      </c>
      <c r="Q140" t="s">
        <v>251</v>
      </c>
      <c r="S140" t="s">
        <v>420</v>
      </c>
      <c r="T140" t="s">
        <v>646</v>
      </c>
      <c r="U140">
        <v>1.3289879262599999E-4</v>
      </c>
      <c r="V140" t="s">
        <v>251</v>
      </c>
      <c r="X140">
        <v>1.1415525114155251E-4</v>
      </c>
      <c r="Y140">
        <v>2.2209515285616027E-4</v>
      </c>
      <c r="Z140" t="s">
        <v>646</v>
      </c>
      <c r="AA140" t="s">
        <v>25</v>
      </c>
      <c r="AC140" t="s">
        <v>22</v>
      </c>
      <c r="AD140" t="s">
        <v>646</v>
      </c>
      <c r="AE140">
        <v>8.4663756782493238E-5</v>
      </c>
      <c r="AG140" t="s">
        <v>97</v>
      </c>
      <c r="AH140" t="s">
        <v>646</v>
      </c>
      <c r="AI140">
        <v>0</v>
      </c>
      <c r="AK140">
        <v>2032</v>
      </c>
      <c r="AL140" t="s">
        <v>175</v>
      </c>
      <c r="AM140">
        <v>0.41599999999999998</v>
      </c>
      <c r="AN140" t="s">
        <v>430</v>
      </c>
    </row>
    <row r="141" spans="5:40" x14ac:dyDescent="0.45">
      <c r="E141" t="s">
        <v>519</v>
      </c>
      <c r="G141" t="s">
        <v>439</v>
      </c>
      <c r="I141" t="s">
        <v>249</v>
      </c>
      <c r="J141" t="s">
        <v>647</v>
      </c>
      <c r="K141">
        <v>2.6837152104686377E-5</v>
      </c>
      <c r="L141" t="s">
        <v>251</v>
      </c>
      <c r="N141" t="s">
        <v>419</v>
      </c>
      <c r="O141" t="s">
        <v>647</v>
      </c>
      <c r="P141">
        <v>1.239597736025E-4</v>
      </c>
      <c r="Q141" t="s">
        <v>251</v>
      </c>
      <c r="S141" t="s">
        <v>420</v>
      </c>
      <c r="T141" t="s">
        <v>647</v>
      </c>
      <c r="U141">
        <v>1.3788531098379999E-4</v>
      </c>
      <c r="V141" t="s">
        <v>251</v>
      </c>
      <c r="X141">
        <v>1.1415525114155251E-4</v>
      </c>
      <c r="Y141">
        <v>1.7237235744060203E-4</v>
      </c>
      <c r="Z141" t="s">
        <v>647</v>
      </c>
      <c r="AA141" t="s">
        <v>25</v>
      </c>
      <c r="AC141" t="s">
        <v>22</v>
      </c>
      <c r="AD141" t="s">
        <v>647</v>
      </c>
      <c r="AE141">
        <v>5.2888589113463753E-5</v>
      </c>
      <c r="AG141" t="s">
        <v>97</v>
      </c>
      <c r="AH141" t="s">
        <v>647</v>
      </c>
      <c r="AI141">
        <v>0</v>
      </c>
      <c r="AK141">
        <v>2032</v>
      </c>
      <c r="AL141" t="s">
        <v>166</v>
      </c>
      <c r="AM141">
        <v>0.27539999999999998</v>
      </c>
      <c r="AN141" t="s">
        <v>430</v>
      </c>
    </row>
    <row r="142" spans="5:40" x14ac:dyDescent="0.45">
      <c r="E142" t="s">
        <v>520</v>
      </c>
      <c r="G142" t="s">
        <v>439</v>
      </c>
      <c r="I142" t="s">
        <v>249</v>
      </c>
      <c r="J142" t="s">
        <v>648</v>
      </c>
      <c r="K142">
        <v>3.3244923971372358E-6</v>
      </c>
      <c r="L142" t="s">
        <v>251</v>
      </c>
      <c r="N142" t="s">
        <v>419</v>
      </c>
      <c r="O142" t="s">
        <v>648</v>
      </c>
      <c r="P142">
        <v>1.3209043763599999E-4</v>
      </c>
      <c r="Q142" t="s">
        <v>251</v>
      </c>
      <c r="S142" t="s">
        <v>420</v>
      </c>
      <c r="T142" t="s">
        <v>648</v>
      </c>
      <c r="U142">
        <v>1.362121431499E-4</v>
      </c>
      <c r="V142" t="s">
        <v>251</v>
      </c>
      <c r="X142">
        <v>1.1415525114155251E-4</v>
      </c>
      <c r="Y142">
        <v>1.5579809230208258E-4</v>
      </c>
      <c r="Z142" t="s">
        <v>648</v>
      </c>
      <c r="AA142" t="s">
        <v>25</v>
      </c>
      <c r="AC142" t="s">
        <v>22</v>
      </c>
      <c r="AD142" t="s">
        <v>648</v>
      </c>
      <c r="AE142">
        <v>4.7263314865184305E-5</v>
      </c>
      <c r="AG142" t="s">
        <v>97</v>
      </c>
      <c r="AH142" t="s">
        <v>648</v>
      </c>
      <c r="AI142">
        <v>0</v>
      </c>
      <c r="AK142">
        <v>2032</v>
      </c>
      <c r="AL142" t="s">
        <v>178</v>
      </c>
      <c r="AM142">
        <v>0.2432</v>
      </c>
      <c r="AN142" t="s">
        <v>430</v>
      </c>
    </row>
    <row r="143" spans="5:40" x14ac:dyDescent="0.45">
      <c r="E143" t="s">
        <v>521</v>
      </c>
      <c r="G143" t="s">
        <v>439</v>
      </c>
      <c r="I143" t="s">
        <v>249</v>
      </c>
      <c r="J143" t="s">
        <v>649</v>
      </c>
      <c r="K143">
        <v>0</v>
      </c>
      <c r="L143" t="s">
        <v>251</v>
      </c>
      <c r="N143" t="s">
        <v>419</v>
      </c>
      <c r="O143" t="s">
        <v>649</v>
      </c>
      <c r="P143">
        <v>1.3520520032260001E-4</v>
      </c>
      <c r="Q143" t="s">
        <v>251</v>
      </c>
      <c r="S143" t="s">
        <v>420</v>
      </c>
      <c r="T143" t="s">
        <v>649</v>
      </c>
      <c r="U143">
        <v>1.278840178342E-4</v>
      </c>
      <c r="V143" t="s">
        <v>251</v>
      </c>
      <c r="X143">
        <v>1.1415525114155251E-4</v>
      </c>
      <c r="Y143">
        <v>1.093901499142282E-4</v>
      </c>
      <c r="Z143" t="s">
        <v>649</v>
      </c>
      <c r="AA143" t="s">
        <v>25</v>
      </c>
      <c r="AC143" t="s">
        <v>22</v>
      </c>
      <c r="AD143" t="s">
        <v>649</v>
      </c>
      <c r="AE143">
        <v>4.7298967227225321E-5</v>
      </c>
      <c r="AG143" t="s">
        <v>97</v>
      </c>
      <c r="AH143" t="s">
        <v>649</v>
      </c>
      <c r="AI143">
        <v>0</v>
      </c>
      <c r="AK143">
        <v>2033</v>
      </c>
      <c r="AL143" t="s">
        <v>151</v>
      </c>
      <c r="AM143">
        <v>0.26369999999999999</v>
      </c>
      <c r="AN143" t="s">
        <v>430</v>
      </c>
    </row>
    <row r="144" spans="5:40" x14ac:dyDescent="0.45">
      <c r="E144" t="s">
        <v>522</v>
      </c>
      <c r="G144" t="s">
        <v>439</v>
      </c>
      <c r="I144" t="s">
        <v>249</v>
      </c>
      <c r="J144" t="s">
        <v>650</v>
      </c>
      <c r="K144">
        <v>0</v>
      </c>
      <c r="L144" t="s">
        <v>251</v>
      </c>
      <c r="N144" t="s">
        <v>419</v>
      </c>
      <c r="O144" t="s">
        <v>650</v>
      </c>
      <c r="P144">
        <v>1.3896008921179999E-4</v>
      </c>
      <c r="Q144" t="s">
        <v>251</v>
      </c>
      <c r="S144" t="s">
        <v>420</v>
      </c>
      <c r="T144" t="s">
        <v>650</v>
      </c>
      <c r="U144">
        <v>1.2512968424220001E-4</v>
      </c>
      <c r="V144" t="s">
        <v>251</v>
      </c>
      <c r="X144">
        <v>1.1415525114155251E-4</v>
      </c>
      <c r="Y144">
        <v>7.9556472664893237E-5</v>
      </c>
      <c r="Z144" t="s">
        <v>650</v>
      </c>
      <c r="AA144" t="s">
        <v>25</v>
      </c>
      <c r="AC144" t="s">
        <v>22</v>
      </c>
      <c r="AD144" t="s">
        <v>650</v>
      </c>
      <c r="AE144">
        <v>4.6179260231875592E-5</v>
      </c>
      <c r="AG144" t="s">
        <v>97</v>
      </c>
      <c r="AH144" t="s">
        <v>650</v>
      </c>
      <c r="AI144">
        <v>0</v>
      </c>
      <c r="AK144">
        <v>2033</v>
      </c>
      <c r="AL144" t="s">
        <v>156</v>
      </c>
      <c r="AM144">
        <v>0.28339999999999999</v>
      </c>
      <c r="AN144" t="s">
        <v>430</v>
      </c>
    </row>
    <row r="145" spans="5:40" x14ac:dyDescent="0.45">
      <c r="E145" t="s">
        <v>523</v>
      </c>
      <c r="G145" t="s">
        <v>439</v>
      </c>
      <c r="I145" t="s">
        <v>249</v>
      </c>
      <c r="J145" t="s">
        <v>651</v>
      </c>
      <c r="K145">
        <v>0</v>
      </c>
      <c r="L145" t="s">
        <v>251</v>
      </c>
      <c r="N145" t="s">
        <v>419</v>
      </c>
      <c r="O145" t="s">
        <v>651</v>
      </c>
      <c r="P145">
        <v>1.4424933989709999E-4</v>
      </c>
      <c r="Q145" t="s">
        <v>251</v>
      </c>
      <c r="S145" t="s">
        <v>420</v>
      </c>
      <c r="T145" t="s">
        <v>651</v>
      </c>
      <c r="U145">
        <v>1.2428973334729999E-4</v>
      </c>
      <c r="V145" t="s">
        <v>251</v>
      </c>
      <c r="X145">
        <v>1.1415525114155251E-4</v>
      </c>
      <c r="Y145">
        <v>5.6352501470966035E-5</v>
      </c>
      <c r="Z145" t="s">
        <v>651</v>
      </c>
      <c r="AA145" t="s">
        <v>25</v>
      </c>
      <c r="AC145" t="s">
        <v>22</v>
      </c>
      <c r="AD145" t="s">
        <v>651</v>
      </c>
      <c r="AE145">
        <v>5.4651152761865029E-5</v>
      </c>
      <c r="AG145" t="s">
        <v>97</v>
      </c>
      <c r="AH145" t="s">
        <v>651</v>
      </c>
      <c r="AI145">
        <v>0</v>
      </c>
      <c r="AK145">
        <v>2033</v>
      </c>
      <c r="AL145" t="s">
        <v>159</v>
      </c>
      <c r="AM145">
        <v>0.26419999999999999</v>
      </c>
      <c r="AN145" t="s">
        <v>430</v>
      </c>
    </row>
    <row r="146" spans="5:40" x14ac:dyDescent="0.45">
      <c r="E146" t="s">
        <v>524</v>
      </c>
      <c r="G146" t="s">
        <v>439</v>
      </c>
      <c r="I146" t="s">
        <v>249</v>
      </c>
      <c r="J146" t="s">
        <v>652</v>
      </c>
      <c r="K146">
        <v>0</v>
      </c>
      <c r="L146" t="s">
        <v>251</v>
      </c>
      <c r="N146" t="s">
        <v>419</v>
      </c>
      <c r="O146" t="s">
        <v>652</v>
      </c>
      <c r="P146">
        <v>1.4531272148810001E-4</v>
      </c>
      <c r="Q146" t="s">
        <v>251</v>
      </c>
      <c r="S146" t="s">
        <v>420</v>
      </c>
      <c r="T146" t="s">
        <v>652</v>
      </c>
      <c r="U146">
        <v>1.2528797295160001E-4</v>
      </c>
      <c r="V146" t="s">
        <v>251</v>
      </c>
      <c r="X146">
        <v>1.1415525114155251E-4</v>
      </c>
      <c r="Y146">
        <v>2.9833677249334962E-5</v>
      </c>
      <c r="Z146" t="s">
        <v>652</v>
      </c>
      <c r="AA146" t="s">
        <v>25</v>
      </c>
      <c r="AC146" t="s">
        <v>22</v>
      </c>
      <c r="AD146" t="s">
        <v>652</v>
      </c>
      <c r="AE146">
        <v>8.1274554115971892E-5</v>
      </c>
      <c r="AG146" t="s">
        <v>97</v>
      </c>
      <c r="AH146" t="s">
        <v>652</v>
      </c>
      <c r="AI146">
        <v>0</v>
      </c>
      <c r="AK146">
        <v>2033</v>
      </c>
      <c r="AL146" t="s">
        <v>163</v>
      </c>
      <c r="AM146">
        <v>0.30669999999999997</v>
      </c>
      <c r="AN146" t="s">
        <v>430</v>
      </c>
    </row>
    <row r="147" spans="5:40" x14ac:dyDescent="0.45">
      <c r="E147" t="s">
        <v>525</v>
      </c>
      <c r="G147" t="s">
        <v>439</v>
      </c>
      <c r="I147" t="s">
        <v>249</v>
      </c>
      <c r="J147" t="s">
        <v>339</v>
      </c>
      <c r="K147">
        <v>4.2104518792505534E-4</v>
      </c>
      <c r="L147" t="s">
        <v>251</v>
      </c>
      <c r="N147" t="s">
        <v>419</v>
      </c>
      <c r="O147" t="s">
        <v>339</v>
      </c>
      <c r="P147">
        <v>1.8066902526525649E-2</v>
      </c>
      <c r="Q147" t="s">
        <v>251</v>
      </c>
      <c r="S147" t="s">
        <v>420</v>
      </c>
      <c r="T147" t="s">
        <v>339</v>
      </c>
      <c r="U147">
        <v>1.7857172975928579E-2</v>
      </c>
      <c r="V147" t="s">
        <v>251</v>
      </c>
      <c r="X147">
        <v>2.1575342465753426E-2</v>
      </c>
      <c r="Y147">
        <v>8.5204982224100657E-3</v>
      </c>
      <c r="Z147" t="s">
        <v>339</v>
      </c>
      <c r="AA147" t="s">
        <v>25</v>
      </c>
      <c r="AC147" t="s">
        <v>22</v>
      </c>
      <c r="AD147" t="s">
        <v>339</v>
      </c>
      <c r="AE147">
        <v>2.2326107482445751E-2</v>
      </c>
      <c r="AG147" t="s">
        <v>97</v>
      </c>
      <c r="AH147" t="s">
        <v>339</v>
      </c>
      <c r="AI147">
        <v>0.11853975174272735</v>
      </c>
      <c r="AK147">
        <v>2033</v>
      </c>
      <c r="AL147" t="s">
        <v>167</v>
      </c>
      <c r="AM147">
        <v>0.41010000000000002</v>
      </c>
      <c r="AN147" t="s">
        <v>430</v>
      </c>
    </row>
    <row r="148" spans="5:40" x14ac:dyDescent="0.45">
      <c r="E148" t="s">
        <v>526</v>
      </c>
      <c r="G148" t="s">
        <v>439</v>
      </c>
      <c r="I148" t="s">
        <v>249</v>
      </c>
      <c r="J148" t="s">
        <v>340</v>
      </c>
      <c r="K148">
        <v>2.3408064984811812E-3</v>
      </c>
      <c r="L148" t="s">
        <v>251</v>
      </c>
      <c r="N148" t="s">
        <v>419</v>
      </c>
      <c r="O148" t="s">
        <v>340</v>
      </c>
      <c r="P148">
        <v>2.2420708620201398E-3</v>
      </c>
      <c r="Q148" t="s">
        <v>251</v>
      </c>
      <c r="S148" t="s">
        <v>420</v>
      </c>
      <c r="T148" t="s">
        <v>340</v>
      </c>
      <c r="U148">
        <v>2.3144272925575984E-3</v>
      </c>
      <c r="V148" t="s">
        <v>251</v>
      </c>
      <c r="X148">
        <v>3.0821917808219177E-3</v>
      </c>
      <c r="Y148">
        <v>5.146309325510281E-3</v>
      </c>
      <c r="Z148" t="s">
        <v>340</v>
      </c>
      <c r="AA148" t="s">
        <v>25</v>
      </c>
      <c r="AC148" t="s">
        <v>22</v>
      </c>
      <c r="AD148" t="s">
        <v>340</v>
      </c>
      <c r="AE148">
        <v>3.6954394376810615E-3</v>
      </c>
      <c r="AG148" t="s">
        <v>97</v>
      </c>
      <c r="AH148" t="s">
        <v>340</v>
      </c>
      <c r="AI148">
        <v>5.7430139477359976E-2</v>
      </c>
      <c r="AK148">
        <v>2033</v>
      </c>
      <c r="AL148" t="s">
        <v>169</v>
      </c>
      <c r="AM148">
        <v>0.51259999999999994</v>
      </c>
      <c r="AN148" t="s">
        <v>430</v>
      </c>
    </row>
    <row r="149" spans="5:40" x14ac:dyDescent="0.45">
      <c r="E149" t="s">
        <v>527</v>
      </c>
      <c r="G149" t="s">
        <v>439</v>
      </c>
      <c r="I149" t="s">
        <v>249</v>
      </c>
      <c r="J149" t="s">
        <v>341</v>
      </c>
      <c r="K149">
        <v>4.46687545454536E-3</v>
      </c>
      <c r="L149" t="s">
        <v>251</v>
      </c>
      <c r="N149" t="s">
        <v>419</v>
      </c>
      <c r="O149" t="s">
        <v>341</v>
      </c>
      <c r="P149">
        <v>2.3917247052375706E-3</v>
      </c>
      <c r="Q149" t="s">
        <v>251</v>
      </c>
      <c r="S149" t="s">
        <v>420</v>
      </c>
      <c r="T149" t="s">
        <v>341</v>
      </c>
      <c r="U149">
        <v>2.2658108697930636E-3</v>
      </c>
      <c r="V149" t="s">
        <v>251</v>
      </c>
      <c r="X149">
        <v>3.0821917808219177E-3</v>
      </c>
      <c r="Y149">
        <v>3.9380453969122152E-3</v>
      </c>
      <c r="Z149" t="s">
        <v>341</v>
      </c>
      <c r="AA149" t="s">
        <v>25</v>
      </c>
      <c r="AC149" t="s">
        <v>22</v>
      </c>
      <c r="AD149" t="s">
        <v>341</v>
      </c>
      <c r="AE149">
        <v>3.7527762347971646E-3</v>
      </c>
      <c r="AG149" t="s">
        <v>97</v>
      </c>
      <c r="AH149" t="s">
        <v>341</v>
      </c>
      <c r="AI149">
        <v>5.8683041897870325E-2</v>
      </c>
      <c r="AK149">
        <v>2033</v>
      </c>
      <c r="AL149" t="s">
        <v>171</v>
      </c>
      <c r="AM149">
        <v>0.50719999999999998</v>
      </c>
      <c r="AN149" t="s">
        <v>430</v>
      </c>
    </row>
    <row r="150" spans="5:40" x14ac:dyDescent="0.45">
      <c r="E150" t="s">
        <v>528</v>
      </c>
      <c r="G150" t="s">
        <v>439</v>
      </c>
      <c r="I150" t="s">
        <v>249</v>
      </c>
      <c r="J150" t="s">
        <v>342</v>
      </c>
      <c r="K150">
        <v>5.9704696003187998E-3</v>
      </c>
      <c r="L150" t="s">
        <v>251</v>
      </c>
      <c r="N150" t="s">
        <v>419</v>
      </c>
      <c r="O150" t="s">
        <v>342</v>
      </c>
      <c r="P150">
        <v>2.3749304550516057E-3</v>
      </c>
      <c r="Q150" t="s">
        <v>251</v>
      </c>
      <c r="S150" t="s">
        <v>420</v>
      </c>
      <c r="T150" t="s">
        <v>342</v>
      </c>
      <c r="U150">
        <v>2.2391068628261688E-3</v>
      </c>
      <c r="V150" t="s">
        <v>251</v>
      </c>
      <c r="X150">
        <v>3.0821917808219177E-3</v>
      </c>
      <c r="Y150">
        <v>3.9022449842130132E-3</v>
      </c>
      <c r="Z150" t="s">
        <v>342</v>
      </c>
      <c r="AA150" t="s">
        <v>25</v>
      </c>
      <c r="AC150" t="s">
        <v>22</v>
      </c>
      <c r="AD150" t="s">
        <v>342</v>
      </c>
      <c r="AE150">
        <v>3.7597886087561011E-3</v>
      </c>
      <c r="AG150" t="s">
        <v>97</v>
      </c>
      <c r="AH150" t="s">
        <v>342</v>
      </c>
      <c r="AI150">
        <v>5.5727685443681896E-2</v>
      </c>
      <c r="AK150">
        <v>2033</v>
      </c>
      <c r="AL150" t="s">
        <v>158</v>
      </c>
      <c r="AM150">
        <v>0.70079999999999998</v>
      </c>
      <c r="AN150" t="s">
        <v>430</v>
      </c>
    </row>
    <row r="151" spans="5:40" x14ac:dyDescent="0.45">
      <c r="E151" t="s">
        <v>529</v>
      </c>
      <c r="G151" t="s">
        <v>439</v>
      </c>
      <c r="I151" t="s">
        <v>249</v>
      </c>
      <c r="J151" t="s">
        <v>343</v>
      </c>
      <c r="K151">
        <v>4.6267888354214394E-2</v>
      </c>
      <c r="L151" t="s">
        <v>251</v>
      </c>
      <c r="N151" t="s">
        <v>419</v>
      </c>
      <c r="O151" t="s">
        <v>343</v>
      </c>
      <c r="P151">
        <v>1.7214522737004384E-2</v>
      </c>
      <c r="Q151" t="s">
        <v>251</v>
      </c>
      <c r="S151" t="s">
        <v>420</v>
      </c>
      <c r="T151" t="s">
        <v>343</v>
      </c>
      <c r="U151">
        <v>1.8138510826042609E-2</v>
      </c>
      <c r="V151" t="s">
        <v>251</v>
      </c>
      <c r="X151">
        <v>2.1575342465753426E-2</v>
      </c>
      <c r="Y151">
        <v>3.0179747905427243E-2</v>
      </c>
      <c r="Z151" t="s">
        <v>343</v>
      </c>
      <c r="AA151" t="s">
        <v>25</v>
      </c>
      <c r="AC151" t="s">
        <v>22</v>
      </c>
      <c r="AD151" t="s">
        <v>343</v>
      </c>
      <c r="AE151">
        <v>2.7065138657519288E-2</v>
      </c>
      <c r="AG151" t="s">
        <v>97</v>
      </c>
      <c r="AH151" t="s">
        <v>343</v>
      </c>
      <c r="AI151">
        <v>0.1379123927227357</v>
      </c>
      <c r="AK151">
        <v>2033</v>
      </c>
      <c r="AL151" t="s">
        <v>162</v>
      </c>
      <c r="AM151">
        <v>0.58540000000000003</v>
      </c>
      <c r="AN151" t="s">
        <v>430</v>
      </c>
    </row>
    <row r="152" spans="5:40" x14ac:dyDescent="0.45">
      <c r="E152" t="s">
        <v>530</v>
      </c>
      <c r="G152" t="s">
        <v>439</v>
      </c>
      <c r="I152" t="s">
        <v>249</v>
      </c>
      <c r="J152" t="s">
        <v>344</v>
      </c>
      <c r="K152">
        <v>3.3735252892827818E-3</v>
      </c>
      <c r="L152" t="s">
        <v>251</v>
      </c>
      <c r="N152" t="s">
        <v>419</v>
      </c>
      <c r="O152" t="s">
        <v>344</v>
      </c>
      <c r="P152">
        <v>2.6642712754671371E-3</v>
      </c>
      <c r="Q152" t="s">
        <v>251</v>
      </c>
      <c r="S152" t="s">
        <v>420</v>
      </c>
      <c r="T152" t="s">
        <v>344</v>
      </c>
      <c r="U152">
        <v>2.9806214366295217E-3</v>
      </c>
      <c r="V152" t="s">
        <v>251</v>
      </c>
      <c r="X152">
        <v>3.0821917808219177E-3</v>
      </c>
      <c r="Y152">
        <v>5.9965691271163281E-3</v>
      </c>
      <c r="Z152" t="s">
        <v>344</v>
      </c>
      <c r="AA152" t="s">
        <v>25</v>
      </c>
      <c r="AC152" t="s">
        <v>22</v>
      </c>
      <c r="AD152" t="s">
        <v>344</v>
      </c>
      <c r="AE152">
        <v>1.8505076916019612E-3</v>
      </c>
      <c r="AG152" t="s">
        <v>97</v>
      </c>
      <c r="AH152" t="s">
        <v>344</v>
      </c>
      <c r="AI152">
        <v>5.8881341491210382E-2</v>
      </c>
      <c r="AK152">
        <v>2033</v>
      </c>
      <c r="AL152" t="s">
        <v>175</v>
      </c>
      <c r="AM152">
        <v>0.44950000000000001</v>
      </c>
      <c r="AN152" t="s">
        <v>430</v>
      </c>
    </row>
    <row r="153" spans="5:40" x14ac:dyDescent="0.45">
      <c r="E153" t="s">
        <v>531</v>
      </c>
      <c r="G153" t="s">
        <v>439</v>
      </c>
      <c r="I153" t="s">
        <v>249</v>
      </c>
      <c r="J153" t="s">
        <v>345</v>
      </c>
      <c r="K153">
        <v>1.3020251454278328E-3</v>
      </c>
      <c r="L153" t="s">
        <v>251</v>
      </c>
      <c r="N153" t="s">
        <v>419</v>
      </c>
      <c r="O153" t="s">
        <v>345</v>
      </c>
      <c r="P153">
        <v>2.8738388091839664E-3</v>
      </c>
      <c r="Q153" t="s">
        <v>251</v>
      </c>
      <c r="S153" t="s">
        <v>420</v>
      </c>
      <c r="T153" t="s">
        <v>345</v>
      </c>
      <c r="U153">
        <v>2.9555538635203729E-3</v>
      </c>
      <c r="V153" t="s">
        <v>251</v>
      </c>
      <c r="X153">
        <v>3.0821917808219177E-3</v>
      </c>
      <c r="Y153">
        <v>4.6540536508962536E-3</v>
      </c>
      <c r="Z153" t="s">
        <v>345</v>
      </c>
      <c r="AA153" t="s">
        <v>25</v>
      </c>
      <c r="AC153" t="s">
        <v>22</v>
      </c>
      <c r="AD153" t="s">
        <v>345</v>
      </c>
      <c r="AE153">
        <v>1.5709129553860325E-3</v>
      </c>
      <c r="AG153" t="s">
        <v>97</v>
      </c>
      <c r="AH153" t="s">
        <v>345</v>
      </c>
      <c r="AI153">
        <v>4.465684776848744E-2</v>
      </c>
      <c r="AK153">
        <v>2033</v>
      </c>
      <c r="AL153" t="s">
        <v>166</v>
      </c>
      <c r="AM153">
        <v>0.31309999999999999</v>
      </c>
      <c r="AN153" t="s">
        <v>430</v>
      </c>
    </row>
    <row r="154" spans="5:40" x14ac:dyDescent="0.45">
      <c r="E154" t="s">
        <v>532</v>
      </c>
      <c r="G154" t="s">
        <v>439</v>
      </c>
      <c r="I154" t="s">
        <v>249</v>
      </c>
      <c r="J154" t="s">
        <v>346</v>
      </c>
      <c r="K154">
        <v>0</v>
      </c>
      <c r="L154" t="s">
        <v>251</v>
      </c>
      <c r="N154" t="s">
        <v>419</v>
      </c>
      <c r="O154" t="s">
        <v>346</v>
      </c>
      <c r="P154">
        <v>1.4990818305440714E-2</v>
      </c>
      <c r="Q154" t="s">
        <v>251</v>
      </c>
      <c r="S154" t="s">
        <v>420</v>
      </c>
      <c r="T154" t="s">
        <v>346</v>
      </c>
      <c r="U154">
        <v>1.3682332362244904E-2</v>
      </c>
      <c r="V154" t="s">
        <v>251</v>
      </c>
      <c r="X154">
        <v>1.5410958904109588E-2</v>
      </c>
      <c r="Y154">
        <v>1.1635134127240635E-2</v>
      </c>
      <c r="Z154" t="s">
        <v>346</v>
      </c>
      <c r="AA154" t="s">
        <v>25</v>
      </c>
      <c r="AC154" t="s">
        <v>22</v>
      </c>
      <c r="AD154" t="s">
        <v>346</v>
      </c>
      <c r="AE154">
        <v>7.4481022245276966E-3</v>
      </c>
      <c r="AG154" t="s">
        <v>97</v>
      </c>
      <c r="AH154" t="s">
        <v>346</v>
      </c>
      <c r="AI154">
        <v>0.13017230873087438</v>
      </c>
      <c r="AK154">
        <v>2033</v>
      </c>
      <c r="AL154" t="s">
        <v>178</v>
      </c>
      <c r="AM154">
        <v>0.24959999999999999</v>
      </c>
      <c r="AN154" t="s">
        <v>430</v>
      </c>
    </row>
    <row r="155" spans="5:40" x14ac:dyDescent="0.45">
      <c r="E155" t="s">
        <v>216</v>
      </c>
      <c r="G155" t="s">
        <v>441</v>
      </c>
      <c r="I155" t="s">
        <v>249</v>
      </c>
      <c r="J155" t="s">
        <v>653</v>
      </c>
      <c r="K155">
        <v>0</v>
      </c>
      <c r="L155" t="s">
        <v>251</v>
      </c>
      <c r="N155" t="s">
        <v>419</v>
      </c>
      <c r="O155" t="s">
        <v>653</v>
      </c>
      <c r="P155">
        <v>1.4738084178620001E-4</v>
      </c>
      <c r="Q155" t="s">
        <v>251</v>
      </c>
      <c r="S155" t="s">
        <v>420</v>
      </c>
      <c r="T155" t="s">
        <v>653</v>
      </c>
      <c r="U155">
        <v>1.194244949177E-4</v>
      </c>
      <c r="V155" t="s">
        <v>251</v>
      </c>
      <c r="X155">
        <v>1.1415525114155251E-4</v>
      </c>
      <c r="Y155">
        <v>2.1546544680075254E-5</v>
      </c>
      <c r="Z155" t="s">
        <v>653</v>
      </c>
      <c r="AA155" t="s">
        <v>25</v>
      </c>
      <c r="AC155" t="s">
        <v>22</v>
      </c>
      <c r="AD155" t="s">
        <v>653</v>
      </c>
      <c r="AE155">
        <v>7.582909649903181E-5</v>
      </c>
      <c r="AG155" t="s">
        <v>97</v>
      </c>
      <c r="AH155" t="s">
        <v>653</v>
      </c>
      <c r="AI155">
        <v>0</v>
      </c>
      <c r="AK155">
        <v>2034</v>
      </c>
      <c r="AL155" t="s">
        <v>151</v>
      </c>
      <c r="AM155">
        <v>0.23400000000000001</v>
      </c>
      <c r="AN155" t="s">
        <v>430</v>
      </c>
    </row>
    <row r="156" spans="5:40" x14ac:dyDescent="0.45">
      <c r="E156" t="s">
        <v>217</v>
      </c>
      <c r="G156" t="s">
        <v>441</v>
      </c>
      <c r="I156" t="s">
        <v>249</v>
      </c>
      <c r="J156" t="s">
        <v>654</v>
      </c>
      <c r="K156">
        <v>0</v>
      </c>
      <c r="L156" t="s">
        <v>251</v>
      </c>
      <c r="N156" t="s">
        <v>419</v>
      </c>
      <c r="O156" t="s">
        <v>654</v>
      </c>
      <c r="P156">
        <v>1.564095469237E-4</v>
      </c>
      <c r="Q156" t="s">
        <v>251</v>
      </c>
      <c r="S156" t="s">
        <v>420</v>
      </c>
      <c r="T156" t="s">
        <v>654</v>
      </c>
      <c r="U156">
        <v>1.297605120251E-4</v>
      </c>
      <c r="V156" t="s">
        <v>251</v>
      </c>
      <c r="X156">
        <v>1.1415525114155251E-4</v>
      </c>
      <c r="Y156">
        <v>1.4916838624667481E-5</v>
      </c>
      <c r="Z156" t="s">
        <v>654</v>
      </c>
      <c r="AA156" t="s">
        <v>25</v>
      </c>
      <c r="AC156" t="s">
        <v>22</v>
      </c>
      <c r="AD156" t="s">
        <v>654</v>
      </c>
      <c r="AE156">
        <v>9.5322025444941327E-5</v>
      </c>
      <c r="AG156" t="s">
        <v>97</v>
      </c>
      <c r="AH156" t="s">
        <v>654</v>
      </c>
      <c r="AI156">
        <v>0</v>
      </c>
      <c r="AK156">
        <v>2034</v>
      </c>
      <c r="AL156" t="s">
        <v>156</v>
      </c>
      <c r="AM156">
        <v>0.28210000000000002</v>
      </c>
      <c r="AN156" t="s">
        <v>430</v>
      </c>
    </row>
    <row r="157" spans="5:40" x14ac:dyDescent="0.45">
      <c r="E157" t="s">
        <v>218</v>
      </c>
      <c r="G157" t="s">
        <v>441</v>
      </c>
      <c r="I157" t="s">
        <v>249</v>
      </c>
      <c r="J157" t="s">
        <v>655</v>
      </c>
      <c r="K157">
        <v>0</v>
      </c>
      <c r="L157" t="s">
        <v>251</v>
      </c>
      <c r="N157" t="s">
        <v>419</v>
      </c>
      <c r="O157" t="s">
        <v>655</v>
      </c>
      <c r="P157">
        <v>1.637287879131E-4</v>
      </c>
      <c r="Q157" t="s">
        <v>251</v>
      </c>
      <c r="S157" t="s">
        <v>420</v>
      </c>
      <c r="T157" t="s">
        <v>655</v>
      </c>
      <c r="U157">
        <v>1.5064438861339999E-4</v>
      </c>
      <c r="V157" t="s">
        <v>251</v>
      </c>
      <c r="X157">
        <v>1.1415525114155251E-4</v>
      </c>
      <c r="Y157">
        <v>1.6574265138519424E-5</v>
      </c>
      <c r="Z157" t="s">
        <v>655</v>
      </c>
      <c r="AA157" t="s">
        <v>25</v>
      </c>
      <c r="AC157" t="s">
        <v>22</v>
      </c>
      <c r="AD157" t="s">
        <v>655</v>
      </c>
      <c r="AE157">
        <v>1.1561936080940059E-4</v>
      </c>
      <c r="AG157" t="s">
        <v>97</v>
      </c>
      <c r="AH157" t="s">
        <v>655</v>
      </c>
      <c r="AI157">
        <v>0</v>
      </c>
      <c r="AK157">
        <v>2034</v>
      </c>
      <c r="AL157" t="s">
        <v>159</v>
      </c>
      <c r="AM157">
        <v>0.27650000000000002</v>
      </c>
      <c r="AN157" t="s">
        <v>430</v>
      </c>
    </row>
    <row r="158" spans="5:40" x14ac:dyDescent="0.45">
      <c r="E158" t="s">
        <v>219</v>
      </c>
      <c r="G158" t="s">
        <v>441</v>
      </c>
      <c r="I158" t="s">
        <v>249</v>
      </c>
      <c r="J158" t="s">
        <v>656</v>
      </c>
      <c r="K158">
        <v>0</v>
      </c>
      <c r="L158" t="s">
        <v>251</v>
      </c>
      <c r="N158" t="s">
        <v>419</v>
      </c>
      <c r="O158" t="s">
        <v>656</v>
      </c>
      <c r="P158">
        <v>1.471165285746E-4</v>
      </c>
      <c r="Q158" t="s">
        <v>251</v>
      </c>
      <c r="S158" t="s">
        <v>420</v>
      </c>
      <c r="T158" t="s">
        <v>656</v>
      </c>
      <c r="U158">
        <v>1.4433065450460001E-4</v>
      </c>
      <c r="V158" t="s">
        <v>251</v>
      </c>
      <c r="X158">
        <v>1.1415525114155251E-4</v>
      </c>
      <c r="Y158">
        <v>1.4585353321897093E-5</v>
      </c>
      <c r="Z158" t="s">
        <v>656</v>
      </c>
      <c r="AA158" t="s">
        <v>25</v>
      </c>
      <c r="AC158" t="s">
        <v>22</v>
      </c>
      <c r="AD158" t="s">
        <v>656</v>
      </c>
      <c r="AE158">
        <v>1.2855114100345476E-4</v>
      </c>
      <c r="AG158" t="s">
        <v>97</v>
      </c>
      <c r="AH158" t="s">
        <v>656</v>
      </c>
      <c r="AI158">
        <v>0</v>
      </c>
      <c r="AK158">
        <v>2034</v>
      </c>
      <c r="AL158" t="s">
        <v>163</v>
      </c>
      <c r="AM158">
        <v>0.31869999999999998</v>
      </c>
      <c r="AN158" t="s">
        <v>430</v>
      </c>
    </row>
    <row r="159" spans="5:40" x14ac:dyDescent="0.45">
      <c r="E159" t="s">
        <v>220</v>
      </c>
      <c r="G159" t="s">
        <v>441</v>
      </c>
      <c r="I159" t="s">
        <v>249</v>
      </c>
      <c r="J159" t="s">
        <v>657</v>
      </c>
      <c r="K159">
        <v>0</v>
      </c>
      <c r="L159" t="s">
        <v>251</v>
      </c>
      <c r="N159" t="s">
        <v>419</v>
      </c>
      <c r="O159" t="s">
        <v>657</v>
      </c>
      <c r="P159">
        <v>1.520526650959E-4</v>
      </c>
      <c r="Q159" t="s">
        <v>251</v>
      </c>
      <c r="S159" t="s">
        <v>420</v>
      </c>
      <c r="T159" t="s">
        <v>657</v>
      </c>
      <c r="U159">
        <v>1.418331329701E-4</v>
      </c>
      <c r="V159" t="s">
        <v>251</v>
      </c>
      <c r="X159">
        <v>1.1415525114155251E-4</v>
      </c>
      <c r="Y159">
        <v>2.1215059377304864E-5</v>
      </c>
      <c r="Z159" t="s">
        <v>657</v>
      </c>
      <c r="AA159" t="s">
        <v>25</v>
      </c>
      <c r="AC159" t="s">
        <v>22</v>
      </c>
      <c r="AD159" t="s">
        <v>657</v>
      </c>
      <c r="AE159">
        <v>1.291962259291339E-4</v>
      </c>
      <c r="AG159" t="s">
        <v>97</v>
      </c>
      <c r="AH159" t="s">
        <v>657</v>
      </c>
      <c r="AI159">
        <v>0</v>
      </c>
      <c r="AK159">
        <v>2034</v>
      </c>
      <c r="AL159" t="s">
        <v>167</v>
      </c>
      <c r="AM159">
        <v>0.37459999999999999</v>
      </c>
      <c r="AN159" t="s">
        <v>430</v>
      </c>
    </row>
    <row r="160" spans="5:40" x14ac:dyDescent="0.45">
      <c r="E160" t="s">
        <v>221</v>
      </c>
      <c r="G160" t="s">
        <v>441</v>
      </c>
      <c r="I160" t="s">
        <v>249</v>
      </c>
      <c r="J160" t="s">
        <v>658</v>
      </c>
      <c r="K160">
        <v>0</v>
      </c>
      <c r="L160" t="s">
        <v>251</v>
      </c>
      <c r="N160" t="s">
        <v>419</v>
      </c>
      <c r="O160" t="s">
        <v>658</v>
      </c>
      <c r="P160">
        <v>1.4785121347690001E-4</v>
      </c>
      <c r="Q160" t="s">
        <v>251</v>
      </c>
      <c r="S160" t="s">
        <v>420</v>
      </c>
      <c r="T160" t="s">
        <v>658</v>
      </c>
      <c r="U160">
        <v>1.4599145146459999E-4</v>
      </c>
      <c r="V160" t="s">
        <v>251</v>
      </c>
      <c r="X160">
        <v>1.1415525114155251E-4</v>
      </c>
      <c r="Y160">
        <v>5.7678442682047593E-5</v>
      </c>
      <c r="Z160" t="s">
        <v>658</v>
      </c>
      <c r="AA160" t="s">
        <v>25</v>
      </c>
      <c r="AC160" t="s">
        <v>22</v>
      </c>
      <c r="AD160" t="s">
        <v>658</v>
      </c>
      <c r="AE160">
        <v>1.2891434944174734E-4</v>
      </c>
      <c r="AG160" t="s">
        <v>97</v>
      </c>
      <c r="AH160" t="s">
        <v>658</v>
      </c>
      <c r="AI160">
        <v>0</v>
      </c>
      <c r="AK160">
        <v>2034</v>
      </c>
      <c r="AL160" t="s">
        <v>169</v>
      </c>
      <c r="AM160">
        <v>0.47089999999999999</v>
      </c>
      <c r="AN160" t="s">
        <v>430</v>
      </c>
    </row>
    <row r="161" spans="5:40" x14ac:dyDescent="0.45">
      <c r="E161" t="s">
        <v>222</v>
      </c>
      <c r="G161" t="s">
        <v>441</v>
      </c>
      <c r="I161" t="s">
        <v>249</v>
      </c>
      <c r="J161" t="s">
        <v>659</v>
      </c>
      <c r="K161">
        <v>2.0573676031596501E-5</v>
      </c>
      <c r="L161" t="s">
        <v>251</v>
      </c>
      <c r="N161" t="s">
        <v>419</v>
      </c>
      <c r="O161" t="s">
        <v>659</v>
      </c>
      <c r="P161">
        <v>1.3698461492839999E-4</v>
      </c>
      <c r="Q161" t="s">
        <v>251</v>
      </c>
      <c r="S161" t="s">
        <v>420</v>
      </c>
      <c r="T161" t="s">
        <v>659</v>
      </c>
      <c r="U161">
        <v>1.4685295177870001E-4</v>
      </c>
      <c r="V161" t="s">
        <v>251</v>
      </c>
      <c r="X161">
        <v>1.1415525114155251E-4</v>
      </c>
      <c r="Y161">
        <v>1.6905750441289813E-4</v>
      </c>
      <c r="Z161" t="s">
        <v>659</v>
      </c>
      <c r="AA161" t="s">
        <v>25</v>
      </c>
      <c r="AC161" t="s">
        <v>22</v>
      </c>
      <c r="AD161" t="s">
        <v>659</v>
      </c>
      <c r="AE161">
        <v>1.2891434944174734E-4</v>
      </c>
      <c r="AG161" t="s">
        <v>97</v>
      </c>
      <c r="AH161" t="s">
        <v>659</v>
      </c>
      <c r="AI161">
        <v>0</v>
      </c>
      <c r="AK161">
        <v>2034</v>
      </c>
      <c r="AL161" t="s">
        <v>171</v>
      </c>
      <c r="AM161">
        <v>0.56269999999999998</v>
      </c>
      <c r="AN161" t="s">
        <v>430</v>
      </c>
    </row>
    <row r="162" spans="5:40" x14ac:dyDescent="0.45">
      <c r="E162" t="s">
        <v>223</v>
      </c>
      <c r="G162" t="s">
        <v>441</v>
      </c>
      <c r="I162" t="s">
        <v>249</v>
      </c>
      <c r="J162" t="s">
        <v>660</v>
      </c>
      <c r="K162">
        <v>1.189384617988E-4</v>
      </c>
      <c r="L162" t="s">
        <v>251</v>
      </c>
      <c r="N162" t="s">
        <v>419</v>
      </c>
      <c r="O162" t="s">
        <v>660</v>
      </c>
      <c r="P162">
        <v>1.3867904437940001E-4</v>
      </c>
      <c r="Q162" t="s">
        <v>251</v>
      </c>
      <c r="S162" t="s">
        <v>420</v>
      </c>
      <c r="T162" t="s">
        <v>660</v>
      </c>
      <c r="U162">
        <v>1.4421635882380001E-4</v>
      </c>
      <c r="V162" t="s">
        <v>251</v>
      </c>
      <c r="X162">
        <v>1.1415525114155251E-4</v>
      </c>
      <c r="Y162">
        <v>1.9060404909297337E-4</v>
      </c>
      <c r="Z162" t="s">
        <v>660</v>
      </c>
      <c r="AA162" t="s">
        <v>25</v>
      </c>
      <c r="AC162" t="s">
        <v>22</v>
      </c>
      <c r="AD162" t="s">
        <v>660</v>
      </c>
      <c r="AE162">
        <v>1.2899456725633954E-4</v>
      </c>
      <c r="AG162" t="s">
        <v>97</v>
      </c>
      <c r="AH162" t="s">
        <v>660</v>
      </c>
      <c r="AI162">
        <v>0</v>
      </c>
      <c r="AK162">
        <v>2034</v>
      </c>
      <c r="AL162" t="s">
        <v>158</v>
      </c>
      <c r="AM162">
        <v>0.65029999999999999</v>
      </c>
      <c r="AN162" t="s">
        <v>430</v>
      </c>
    </row>
    <row r="163" spans="5:40" x14ac:dyDescent="0.45">
      <c r="E163" t="s">
        <v>224</v>
      </c>
      <c r="G163" t="s">
        <v>441</v>
      </c>
      <c r="I163" t="s">
        <v>249</v>
      </c>
      <c r="J163" t="s">
        <v>661</v>
      </c>
      <c r="K163">
        <v>2.2055624032120001E-4</v>
      </c>
      <c r="L163" t="s">
        <v>251</v>
      </c>
      <c r="N163" t="s">
        <v>419</v>
      </c>
      <c r="O163" t="s">
        <v>661</v>
      </c>
      <c r="P163">
        <v>1.5591276139329999E-4</v>
      </c>
      <c r="Q163" t="s">
        <v>251</v>
      </c>
      <c r="S163" t="s">
        <v>420</v>
      </c>
      <c r="T163" t="s">
        <v>661</v>
      </c>
      <c r="U163">
        <v>1.4432070039599999E-4</v>
      </c>
      <c r="V163" t="s">
        <v>251</v>
      </c>
      <c r="X163">
        <v>1.1415525114155251E-4</v>
      </c>
      <c r="Y163">
        <v>1.4585353321897094E-4</v>
      </c>
      <c r="Z163" t="s">
        <v>661</v>
      </c>
      <c r="AA163" t="s">
        <v>25</v>
      </c>
      <c r="AC163" t="s">
        <v>22</v>
      </c>
      <c r="AD163" t="s">
        <v>661</v>
      </c>
      <c r="AE163">
        <v>1.3823075729758267E-4</v>
      </c>
      <c r="AG163" t="s">
        <v>97</v>
      </c>
      <c r="AH163" t="s">
        <v>661</v>
      </c>
      <c r="AI163">
        <v>0</v>
      </c>
      <c r="AK163">
        <v>2034</v>
      </c>
      <c r="AL163" t="s">
        <v>162</v>
      </c>
      <c r="AM163">
        <v>0.62109999999999999</v>
      </c>
      <c r="AN163" t="s">
        <v>430</v>
      </c>
    </row>
    <row r="164" spans="5:40" x14ac:dyDescent="0.45">
      <c r="E164" t="s">
        <v>225</v>
      </c>
      <c r="G164" t="s">
        <v>441</v>
      </c>
      <c r="I164" t="s">
        <v>249</v>
      </c>
      <c r="J164" t="s">
        <v>662</v>
      </c>
      <c r="K164">
        <v>2.827808690086E-4</v>
      </c>
      <c r="L164" t="s">
        <v>251</v>
      </c>
      <c r="N164" t="s">
        <v>419</v>
      </c>
      <c r="O164" t="s">
        <v>662</v>
      </c>
      <c r="P164">
        <v>1.5287714767609999E-4</v>
      </c>
      <c r="Q164" t="s">
        <v>251</v>
      </c>
      <c r="S164" t="s">
        <v>420</v>
      </c>
      <c r="T164" t="s">
        <v>662</v>
      </c>
      <c r="U164">
        <v>1.435381168322E-4</v>
      </c>
      <c r="V164" t="s">
        <v>251</v>
      </c>
      <c r="X164">
        <v>1.1415525114155251E-4</v>
      </c>
      <c r="Y164">
        <v>1.4452759200788939E-4</v>
      </c>
      <c r="Z164" t="s">
        <v>662</v>
      </c>
      <c r="AA164" t="s">
        <v>25</v>
      </c>
      <c r="AC164" t="s">
        <v>22</v>
      </c>
      <c r="AD164" t="s">
        <v>662</v>
      </c>
      <c r="AE164">
        <v>1.3822852902495511E-4</v>
      </c>
      <c r="AG164" t="s">
        <v>97</v>
      </c>
      <c r="AH164" t="s">
        <v>662</v>
      </c>
      <c r="AI164">
        <v>0</v>
      </c>
      <c r="AK164">
        <v>2034</v>
      </c>
      <c r="AL164" t="s">
        <v>175</v>
      </c>
      <c r="AM164">
        <v>0.40689999999999998</v>
      </c>
      <c r="AN164" t="s">
        <v>430</v>
      </c>
    </row>
    <row r="165" spans="5:40" x14ac:dyDescent="0.45">
      <c r="E165" t="s">
        <v>226</v>
      </c>
      <c r="G165" t="s">
        <v>441</v>
      </c>
      <c r="I165" t="s">
        <v>249</v>
      </c>
      <c r="J165" t="s">
        <v>663</v>
      </c>
      <c r="K165">
        <v>3.1195224113920002E-4</v>
      </c>
      <c r="L165" t="s">
        <v>251</v>
      </c>
      <c r="N165" t="s">
        <v>419</v>
      </c>
      <c r="O165" t="s">
        <v>663</v>
      </c>
      <c r="P165">
        <v>1.5287550432409999E-4</v>
      </c>
      <c r="Q165" t="s">
        <v>251</v>
      </c>
      <c r="S165" t="s">
        <v>420</v>
      </c>
      <c r="T165" t="s">
        <v>663</v>
      </c>
      <c r="U165">
        <v>1.411437753593E-4</v>
      </c>
      <c r="V165" t="s">
        <v>251</v>
      </c>
      <c r="X165">
        <v>1.1415525114155251E-4</v>
      </c>
      <c r="Y165">
        <v>1.408812536774151E-4</v>
      </c>
      <c r="Z165" t="s">
        <v>663</v>
      </c>
      <c r="AA165" t="s">
        <v>25</v>
      </c>
      <c r="AC165" t="s">
        <v>22</v>
      </c>
      <c r="AD165" t="s">
        <v>663</v>
      </c>
      <c r="AE165">
        <v>1.2883635989978265E-4</v>
      </c>
      <c r="AG165" t="s">
        <v>97</v>
      </c>
      <c r="AH165" t="s">
        <v>663</v>
      </c>
      <c r="AI165">
        <v>0</v>
      </c>
      <c r="AK165">
        <v>2034</v>
      </c>
      <c r="AL165" t="s">
        <v>166</v>
      </c>
      <c r="AM165">
        <v>0.28749999999999998</v>
      </c>
      <c r="AN165" t="s">
        <v>430</v>
      </c>
    </row>
    <row r="166" spans="5:40" x14ac:dyDescent="0.45">
      <c r="E166" t="s">
        <v>227</v>
      </c>
      <c r="G166" t="s">
        <v>441</v>
      </c>
      <c r="I166" t="s">
        <v>249</v>
      </c>
      <c r="J166" t="s">
        <v>664</v>
      </c>
      <c r="K166">
        <v>3.2406716665540002E-4</v>
      </c>
      <c r="L166" t="s">
        <v>251</v>
      </c>
      <c r="N166" t="s">
        <v>419</v>
      </c>
      <c r="O166" t="s">
        <v>664</v>
      </c>
      <c r="P166">
        <v>1.5331651818150001E-4</v>
      </c>
      <c r="Q166" t="s">
        <v>251</v>
      </c>
      <c r="S166" t="s">
        <v>420</v>
      </c>
      <c r="T166" t="s">
        <v>664</v>
      </c>
      <c r="U166">
        <v>1.441340597609E-4</v>
      </c>
      <c r="V166" t="s">
        <v>251</v>
      </c>
      <c r="X166">
        <v>1.1415525114155251E-4</v>
      </c>
      <c r="Y166">
        <v>1.4054976837464471E-4</v>
      </c>
      <c r="Z166" t="s">
        <v>664</v>
      </c>
      <c r="AA166" t="s">
        <v>25</v>
      </c>
      <c r="AC166" t="s">
        <v>22</v>
      </c>
      <c r="AD166" t="s">
        <v>664</v>
      </c>
      <c r="AE166">
        <v>1.2951152650593384E-4</v>
      </c>
      <c r="AG166" t="s">
        <v>97</v>
      </c>
      <c r="AH166" t="s">
        <v>664</v>
      </c>
      <c r="AI166">
        <v>0</v>
      </c>
      <c r="AK166">
        <v>2034</v>
      </c>
      <c r="AL166" t="s">
        <v>178</v>
      </c>
      <c r="AM166">
        <v>0.27529999999999999</v>
      </c>
      <c r="AN166" t="s">
        <v>430</v>
      </c>
    </row>
    <row r="167" spans="5:40" x14ac:dyDescent="0.45">
      <c r="E167" t="s">
        <v>228</v>
      </c>
      <c r="G167" t="s">
        <v>441</v>
      </c>
      <c r="I167" t="s">
        <v>249</v>
      </c>
      <c r="J167" t="s">
        <v>665</v>
      </c>
      <c r="K167">
        <v>3.1783142968190001E-4</v>
      </c>
      <c r="L167" t="s">
        <v>251</v>
      </c>
      <c r="N167" t="s">
        <v>419</v>
      </c>
      <c r="O167" t="s">
        <v>665</v>
      </c>
      <c r="P167">
        <v>1.528527048745E-4</v>
      </c>
      <c r="Q167" t="s">
        <v>251</v>
      </c>
      <c r="S167" t="s">
        <v>420</v>
      </c>
      <c r="T167" t="s">
        <v>665</v>
      </c>
      <c r="U167">
        <v>1.480188208017E-4</v>
      </c>
      <c r="V167" t="s">
        <v>251</v>
      </c>
      <c r="X167">
        <v>1.1415525114155251E-4</v>
      </c>
      <c r="Y167">
        <v>1.4253868019126702E-4</v>
      </c>
      <c r="Z167" t="s">
        <v>665</v>
      </c>
      <c r="AA167" t="s">
        <v>25</v>
      </c>
      <c r="AC167" t="s">
        <v>22</v>
      </c>
      <c r="AD167" t="s">
        <v>665</v>
      </c>
      <c r="AE167">
        <v>1.6777876647536424E-4</v>
      </c>
      <c r="AG167" t="s">
        <v>97</v>
      </c>
      <c r="AH167" t="s">
        <v>665</v>
      </c>
      <c r="AI167">
        <v>0</v>
      </c>
      <c r="AK167">
        <v>2035</v>
      </c>
      <c r="AL167" t="s">
        <v>151</v>
      </c>
      <c r="AM167">
        <v>0.26050000000000001</v>
      </c>
      <c r="AN167" t="s">
        <v>430</v>
      </c>
    </row>
    <row r="168" spans="5:40" x14ac:dyDescent="0.45">
      <c r="E168" t="s">
        <v>229</v>
      </c>
      <c r="G168" t="s">
        <v>441</v>
      </c>
      <c r="I168" t="s">
        <v>249</v>
      </c>
      <c r="J168" t="s">
        <v>666</v>
      </c>
      <c r="K168">
        <v>3.1026109113330001E-4</v>
      </c>
      <c r="L168" t="s">
        <v>251</v>
      </c>
      <c r="N168" t="s">
        <v>419</v>
      </c>
      <c r="O168" t="s">
        <v>666</v>
      </c>
      <c r="P168">
        <v>1.5939414323529999E-4</v>
      </c>
      <c r="Q168" t="s">
        <v>251</v>
      </c>
      <c r="S168" t="s">
        <v>420</v>
      </c>
      <c r="T168" t="s">
        <v>666</v>
      </c>
      <c r="U168">
        <v>1.5381012087660001E-4</v>
      </c>
      <c r="V168" t="s">
        <v>251</v>
      </c>
      <c r="X168">
        <v>1.1415525114155251E-4</v>
      </c>
      <c r="Y168">
        <v>1.4883690094390442E-4</v>
      </c>
      <c r="Z168" t="s">
        <v>666</v>
      </c>
      <c r="AA168" t="s">
        <v>25</v>
      </c>
      <c r="AC168" t="s">
        <v>22</v>
      </c>
      <c r="AD168" t="s">
        <v>666</v>
      </c>
      <c r="AE168">
        <v>1.681809696846391E-4</v>
      </c>
      <c r="AG168" t="s">
        <v>97</v>
      </c>
      <c r="AH168" t="s">
        <v>666</v>
      </c>
      <c r="AI168">
        <v>0</v>
      </c>
      <c r="AK168">
        <v>2035</v>
      </c>
      <c r="AL168" t="s">
        <v>156</v>
      </c>
      <c r="AM168">
        <v>0.2777</v>
      </c>
      <c r="AN168" t="s">
        <v>430</v>
      </c>
    </row>
    <row r="169" spans="5:40" x14ac:dyDescent="0.45">
      <c r="E169" t="s">
        <v>230</v>
      </c>
      <c r="G169" t="s">
        <v>441</v>
      </c>
      <c r="I169" t="s">
        <v>249</v>
      </c>
      <c r="J169" t="s">
        <v>667</v>
      </c>
      <c r="K169">
        <v>3.0489941854780001E-4</v>
      </c>
      <c r="L169" t="s">
        <v>251</v>
      </c>
      <c r="N169" t="s">
        <v>419</v>
      </c>
      <c r="O169" t="s">
        <v>667</v>
      </c>
      <c r="P169">
        <v>1.5450426124770001E-4</v>
      </c>
      <c r="Q169" t="s">
        <v>251</v>
      </c>
      <c r="S169" t="s">
        <v>420</v>
      </c>
      <c r="T169" t="s">
        <v>667</v>
      </c>
      <c r="U169">
        <v>1.6008243321270001E-4</v>
      </c>
      <c r="V169" t="s">
        <v>251</v>
      </c>
      <c r="X169">
        <v>1.1415525114155251E-4</v>
      </c>
      <c r="Y169">
        <v>1.5049432745775637E-4</v>
      </c>
      <c r="Z169" t="s">
        <v>667</v>
      </c>
      <c r="AA169" t="s">
        <v>25</v>
      </c>
      <c r="AC169" t="s">
        <v>22</v>
      </c>
      <c r="AD169" t="s">
        <v>667</v>
      </c>
      <c r="AE169">
        <v>1.604611191664517E-4</v>
      </c>
      <c r="AG169" t="s">
        <v>97</v>
      </c>
      <c r="AH169" t="s">
        <v>667</v>
      </c>
      <c r="AI169">
        <v>0</v>
      </c>
      <c r="AK169">
        <v>2035</v>
      </c>
      <c r="AL169" t="s">
        <v>159</v>
      </c>
      <c r="AM169">
        <v>0.2737</v>
      </c>
      <c r="AN169" t="s">
        <v>430</v>
      </c>
    </row>
    <row r="170" spans="5:40" x14ac:dyDescent="0.45">
      <c r="E170" t="s">
        <v>231</v>
      </c>
      <c r="G170" t="s">
        <v>441</v>
      </c>
      <c r="I170" t="s">
        <v>249</v>
      </c>
      <c r="J170" t="s">
        <v>668</v>
      </c>
      <c r="K170">
        <v>2.7835611640140002E-4</v>
      </c>
      <c r="L170" t="s">
        <v>251</v>
      </c>
      <c r="N170" t="s">
        <v>419</v>
      </c>
      <c r="O170" t="s">
        <v>668</v>
      </c>
      <c r="P170">
        <v>1.437568908254E-4</v>
      </c>
      <c r="Q170" t="s">
        <v>251</v>
      </c>
      <c r="S170" t="s">
        <v>420</v>
      </c>
      <c r="T170" t="s">
        <v>668</v>
      </c>
      <c r="U170">
        <v>1.534939567083E-4</v>
      </c>
      <c r="V170" t="s">
        <v>251</v>
      </c>
      <c r="X170">
        <v>1.1415525114155251E-4</v>
      </c>
      <c r="Y170">
        <v>1.7237235744060203E-4</v>
      </c>
      <c r="Z170" t="s">
        <v>668</v>
      </c>
      <c r="AA170" t="s">
        <v>25</v>
      </c>
      <c r="AC170" t="s">
        <v>22</v>
      </c>
      <c r="AD170" t="s">
        <v>668</v>
      </c>
      <c r="AE170">
        <v>1.3022011720149846E-4</v>
      </c>
      <c r="AG170" t="s">
        <v>97</v>
      </c>
      <c r="AH170" t="s">
        <v>668</v>
      </c>
      <c r="AI170">
        <v>0</v>
      </c>
      <c r="AK170">
        <v>2035</v>
      </c>
      <c r="AL170" t="s">
        <v>163</v>
      </c>
      <c r="AM170">
        <v>0.29349999999999998</v>
      </c>
      <c r="AN170" t="s">
        <v>430</v>
      </c>
    </row>
    <row r="171" spans="5:40" x14ac:dyDescent="0.45">
      <c r="E171" t="s">
        <v>232</v>
      </c>
      <c r="G171" t="s">
        <v>441</v>
      </c>
      <c r="I171" t="s">
        <v>249</v>
      </c>
      <c r="J171" t="s">
        <v>669</v>
      </c>
      <c r="K171">
        <v>2.297503983619E-4</v>
      </c>
      <c r="L171" t="s">
        <v>251</v>
      </c>
      <c r="N171" t="s">
        <v>419</v>
      </c>
      <c r="O171" t="s">
        <v>669</v>
      </c>
      <c r="P171">
        <v>1.3961233272040001E-4</v>
      </c>
      <c r="Q171" t="s">
        <v>251</v>
      </c>
      <c r="S171" t="s">
        <v>420</v>
      </c>
      <c r="T171" t="s">
        <v>669</v>
      </c>
      <c r="U171">
        <v>1.620909241303E-4</v>
      </c>
      <c r="V171" t="s">
        <v>251</v>
      </c>
      <c r="X171">
        <v>1.1415525114155251E-4</v>
      </c>
      <c r="Y171">
        <v>2.2209515285616027E-4</v>
      </c>
      <c r="Z171" t="s">
        <v>669</v>
      </c>
      <c r="AA171" t="s">
        <v>25</v>
      </c>
      <c r="AC171" t="s">
        <v>22</v>
      </c>
      <c r="AD171" t="s">
        <v>669</v>
      </c>
      <c r="AE171">
        <v>1.0574254238773351E-4</v>
      </c>
      <c r="AG171" t="s">
        <v>97</v>
      </c>
      <c r="AH171" t="s">
        <v>669</v>
      </c>
      <c r="AI171">
        <v>0</v>
      </c>
      <c r="AK171">
        <v>2035</v>
      </c>
      <c r="AL171" t="s">
        <v>167</v>
      </c>
      <c r="AM171">
        <v>0.37319999999999998</v>
      </c>
      <c r="AN171" t="s">
        <v>430</v>
      </c>
    </row>
    <row r="172" spans="5:40" x14ac:dyDescent="0.45">
      <c r="E172" t="s">
        <v>233</v>
      </c>
      <c r="G172" t="s">
        <v>441</v>
      </c>
      <c r="I172" t="s">
        <v>249</v>
      </c>
      <c r="J172" t="s">
        <v>670</v>
      </c>
      <c r="K172">
        <v>1.5911886281569999E-4</v>
      </c>
      <c r="L172" t="s">
        <v>251</v>
      </c>
      <c r="N172" t="s">
        <v>419</v>
      </c>
      <c r="O172" t="s">
        <v>670</v>
      </c>
      <c r="P172">
        <v>1.382248986595E-4</v>
      </c>
      <c r="Q172" t="s">
        <v>251</v>
      </c>
      <c r="S172" t="s">
        <v>420</v>
      </c>
      <c r="T172" t="s">
        <v>670</v>
      </c>
      <c r="U172">
        <v>1.7447458399529999E-4</v>
      </c>
      <c r="V172" t="s">
        <v>251</v>
      </c>
      <c r="X172">
        <v>1.1415525114155251E-4</v>
      </c>
      <c r="Y172">
        <v>2.2209515285616027E-4</v>
      </c>
      <c r="Z172" t="s">
        <v>670</v>
      </c>
      <c r="AA172" t="s">
        <v>25</v>
      </c>
      <c r="AC172" t="s">
        <v>22</v>
      </c>
      <c r="AD172" t="s">
        <v>670</v>
      </c>
      <c r="AE172">
        <v>6.8807809449584977E-5</v>
      </c>
      <c r="AG172" t="s">
        <v>97</v>
      </c>
      <c r="AH172" t="s">
        <v>670</v>
      </c>
      <c r="AI172">
        <v>0</v>
      </c>
      <c r="AK172">
        <v>2035</v>
      </c>
      <c r="AL172" t="s">
        <v>169</v>
      </c>
      <c r="AM172">
        <v>0.48170000000000002</v>
      </c>
      <c r="AN172" t="s">
        <v>430</v>
      </c>
    </row>
    <row r="173" spans="5:40" x14ac:dyDescent="0.45">
      <c r="E173" t="s">
        <v>234</v>
      </c>
      <c r="G173" t="s">
        <v>441</v>
      </c>
      <c r="I173" t="s">
        <v>249</v>
      </c>
      <c r="J173" t="s">
        <v>671</v>
      </c>
      <c r="K173">
        <v>6.3220941542839918E-5</v>
      </c>
      <c r="L173" t="s">
        <v>251</v>
      </c>
      <c r="N173" t="s">
        <v>419</v>
      </c>
      <c r="O173" t="s">
        <v>671</v>
      </c>
      <c r="P173">
        <v>1.430060331129E-4</v>
      </c>
      <c r="Q173" t="s">
        <v>251</v>
      </c>
      <c r="S173" t="s">
        <v>420</v>
      </c>
      <c r="T173" t="s">
        <v>671</v>
      </c>
      <c r="U173">
        <v>1.7932846222109999E-4</v>
      </c>
      <c r="V173" t="s">
        <v>251</v>
      </c>
      <c r="X173">
        <v>1.1415525114155251E-4</v>
      </c>
      <c r="Y173">
        <v>1.7237235744060203E-4</v>
      </c>
      <c r="Z173" t="s">
        <v>671</v>
      </c>
      <c r="AA173" t="s">
        <v>25</v>
      </c>
      <c r="AC173" t="s">
        <v>22</v>
      </c>
      <c r="AD173" t="s">
        <v>671</v>
      </c>
      <c r="AE173">
        <v>5.7538320635691829E-5</v>
      </c>
      <c r="AG173" t="s">
        <v>97</v>
      </c>
      <c r="AH173" t="s">
        <v>671</v>
      </c>
      <c r="AI173">
        <v>0</v>
      </c>
      <c r="AK173">
        <v>2035</v>
      </c>
      <c r="AL173" t="s">
        <v>171</v>
      </c>
      <c r="AM173">
        <v>0.50290000000000001</v>
      </c>
      <c r="AN173" t="s">
        <v>430</v>
      </c>
    </row>
    <row r="174" spans="5:40" x14ac:dyDescent="0.45">
      <c r="E174" t="s">
        <v>235</v>
      </c>
      <c r="G174" t="s">
        <v>441</v>
      </c>
      <c r="I174" t="s">
        <v>249</v>
      </c>
      <c r="J174" t="s">
        <v>672</v>
      </c>
      <c r="K174">
        <v>0</v>
      </c>
      <c r="L174" t="s">
        <v>251</v>
      </c>
      <c r="N174" t="s">
        <v>419</v>
      </c>
      <c r="O174" t="s">
        <v>672</v>
      </c>
      <c r="P174">
        <v>1.5292986408980001E-4</v>
      </c>
      <c r="Q174" t="s">
        <v>251</v>
      </c>
      <c r="S174" t="s">
        <v>420</v>
      </c>
      <c r="T174" t="s">
        <v>672</v>
      </c>
      <c r="U174">
        <v>1.7322451662509999E-4</v>
      </c>
      <c r="V174" t="s">
        <v>251</v>
      </c>
      <c r="X174">
        <v>1.1415525114155251E-4</v>
      </c>
      <c r="Y174">
        <v>1.5579809230208258E-4</v>
      </c>
      <c r="Z174" t="s">
        <v>672</v>
      </c>
      <c r="AA174" t="s">
        <v>25</v>
      </c>
      <c r="AC174" t="s">
        <v>22</v>
      </c>
      <c r="AD174" t="s">
        <v>672</v>
      </c>
      <c r="AE174">
        <v>5.2031144836673149E-5</v>
      </c>
      <c r="AG174" t="s">
        <v>97</v>
      </c>
      <c r="AH174" t="s">
        <v>672</v>
      </c>
      <c r="AI174">
        <v>0</v>
      </c>
      <c r="AK174">
        <v>2035</v>
      </c>
      <c r="AL174" t="s">
        <v>158</v>
      </c>
      <c r="AM174">
        <v>0.66069999999999995</v>
      </c>
      <c r="AN174" t="s">
        <v>430</v>
      </c>
    </row>
    <row r="175" spans="5:40" x14ac:dyDescent="0.45">
      <c r="E175" t="s">
        <v>236</v>
      </c>
      <c r="G175" t="s">
        <v>441</v>
      </c>
      <c r="I175" t="s">
        <v>249</v>
      </c>
      <c r="J175" t="s">
        <v>673</v>
      </c>
      <c r="K175">
        <v>0</v>
      </c>
      <c r="L175" t="s">
        <v>251</v>
      </c>
      <c r="N175" t="s">
        <v>419</v>
      </c>
      <c r="O175" t="s">
        <v>673</v>
      </c>
      <c r="P175">
        <v>1.6063956918839999E-4</v>
      </c>
      <c r="Q175" t="s">
        <v>251</v>
      </c>
      <c r="S175" t="s">
        <v>420</v>
      </c>
      <c r="T175" t="s">
        <v>673</v>
      </c>
      <c r="U175">
        <v>1.6128488859090001E-4</v>
      </c>
      <c r="V175" t="s">
        <v>251</v>
      </c>
      <c r="X175">
        <v>1.1415525114155251E-4</v>
      </c>
      <c r="Y175">
        <v>1.093901499142282E-4</v>
      </c>
      <c r="Z175" t="s">
        <v>673</v>
      </c>
      <c r="AA175" t="s">
        <v>25</v>
      </c>
      <c r="AC175" t="s">
        <v>22</v>
      </c>
      <c r="AD175" t="s">
        <v>673</v>
      </c>
      <c r="AE175">
        <v>4.7497724175898911E-5</v>
      </c>
      <c r="AG175" t="s">
        <v>97</v>
      </c>
      <c r="AH175" t="s">
        <v>673</v>
      </c>
      <c r="AI175">
        <v>0</v>
      </c>
      <c r="AK175">
        <v>2035</v>
      </c>
      <c r="AL175" t="s">
        <v>162</v>
      </c>
      <c r="AM175">
        <v>0.60460000000000003</v>
      </c>
      <c r="AN175" t="s">
        <v>430</v>
      </c>
    </row>
    <row r="176" spans="5:40" x14ac:dyDescent="0.45">
      <c r="E176" t="s">
        <v>237</v>
      </c>
      <c r="G176" t="s">
        <v>441</v>
      </c>
      <c r="I176" t="s">
        <v>249</v>
      </c>
      <c r="J176" t="s">
        <v>674</v>
      </c>
      <c r="K176">
        <v>0</v>
      </c>
      <c r="L176" t="s">
        <v>251</v>
      </c>
      <c r="N176" t="s">
        <v>419</v>
      </c>
      <c r="O176" t="s">
        <v>674</v>
      </c>
      <c r="P176">
        <v>1.686127878721E-4</v>
      </c>
      <c r="Q176" t="s">
        <v>251</v>
      </c>
      <c r="S176" t="s">
        <v>420</v>
      </c>
      <c r="T176" t="s">
        <v>674</v>
      </c>
      <c r="U176">
        <v>1.5029806677250001E-4</v>
      </c>
      <c r="V176" t="s">
        <v>251</v>
      </c>
      <c r="X176">
        <v>1.1415525114155251E-4</v>
      </c>
      <c r="Y176">
        <v>7.9556472664893237E-5</v>
      </c>
      <c r="Z176" t="s">
        <v>674</v>
      </c>
      <c r="AA176" t="s">
        <v>25</v>
      </c>
      <c r="AC176" t="s">
        <v>22</v>
      </c>
      <c r="AD176" t="s">
        <v>674</v>
      </c>
      <c r="AE176">
        <v>4.7348429909852287E-5</v>
      </c>
      <c r="AG176" t="s">
        <v>97</v>
      </c>
      <c r="AH176" t="s">
        <v>674</v>
      </c>
      <c r="AI176">
        <v>0</v>
      </c>
      <c r="AK176">
        <v>2035</v>
      </c>
      <c r="AL176" t="s">
        <v>175</v>
      </c>
      <c r="AM176">
        <v>0.42499999999999999</v>
      </c>
      <c r="AN176" t="s">
        <v>430</v>
      </c>
    </row>
    <row r="177" spans="5:40" x14ac:dyDescent="0.45">
      <c r="E177" t="s">
        <v>238</v>
      </c>
      <c r="G177" t="s">
        <v>441</v>
      </c>
      <c r="I177" t="s">
        <v>249</v>
      </c>
      <c r="J177" t="s">
        <v>675</v>
      </c>
      <c r="K177">
        <v>0</v>
      </c>
      <c r="L177" t="s">
        <v>251</v>
      </c>
      <c r="N177" t="s">
        <v>419</v>
      </c>
      <c r="O177" t="s">
        <v>675</v>
      </c>
      <c r="P177">
        <v>1.843839602637E-4</v>
      </c>
      <c r="Q177" t="s">
        <v>251</v>
      </c>
      <c r="S177" t="s">
        <v>420</v>
      </c>
      <c r="T177" t="s">
        <v>675</v>
      </c>
      <c r="U177">
        <v>1.4997094349259999E-4</v>
      </c>
      <c r="V177" t="s">
        <v>251</v>
      </c>
      <c r="X177">
        <v>1.1415525114155251E-4</v>
      </c>
      <c r="Y177">
        <v>5.6352501470966035E-5</v>
      </c>
      <c r="Z177" t="s">
        <v>675</v>
      </c>
      <c r="AA177" t="s">
        <v>25</v>
      </c>
      <c r="AC177" t="s">
        <v>22</v>
      </c>
      <c r="AD177" t="s">
        <v>675</v>
      </c>
      <c r="AE177">
        <v>5.4682789263471524E-5</v>
      </c>
      <c r="AG177" t="s">
        <v>97</v>
      </c>
      <c r="AH177" t="s">
        <v>675</v>
      </c>
      <c r="AI177">
        <v>0</v>
      </c>
      <c r="AK177">
        <v>2035</v>
      </c>
      <c r="AL177" t="s">
        <v>166</v>
      </c>
      <c r="AM177">
        <v>0.27539999999999998</v>
      </c>
      <c r="AN177" t="s">
        <v>430</v>
      </c>
    </row>
    <row r="178" spans="5:40" x14ac:dyDescent="0.45">
      <c r="E178" t="s">
        <v>239</v>
      </c>
      <c r="G178" t="s">
        <v>441</v>
      </c>
      <c r="I178" t="s">
        <v>249</v>
      </c>
      <c r="J178" t="s">
        <v>676</v>
      </c>
      <c r="K178">
        <v>0</v>
      </c>
      <c r="L178" t="s">
        <v>251</v>
      </c>
      <c r="N178" t="s">
        <v>419</v>
      </c>
      <c r="O178" t="s">
        <v>676</v>
      </c>
      <c r="P178">
        <v>1.9700654614290001E-4</v>
      </c>
      <c r="Q178" t="s">
        <v>251</v>
      </c>
      <c r="S178" t="s">
        <v>420</v>
      </c>
      <c r="T178" t="s">
        <v>676</v>
      </c>
      <c r="U178">
        <v>1.5233657166389999E-4</v>
      </c>
      <c r="V178" t="s">
        <v>251</v>
      </c>
      <c r="X178">
        <v>1.1415525114155251E-4</v>
      </c>
      <c r="Y178">
        <v>2.9833677249334962E-5</v>
      </c>
      <c r="Z178" t="s">
        <v>676</v>
      </c>
      <c r="AA178" t="s">
        <v>25</v>
      </c>
      <c r="AC178" t="s">
        <v>22</v>
      </c>
      <c r="AD178" t="s">
        <v>676</v>
      </c>
      <c r="AE178">
        <v>7.2562448827026408E-5</v>
      </c>
      <c r="AG178" t="s">
        <v>97</v>
      </c>
      <c r="AH178" t="s">
        <v>676</v>
      </c>
      <c r="AI178">
        <v>0</v>
      </c>
      <c r="AK178">
        <v>2035</v>
      </c>
      <c r="AL178" t="s">
        <v>178</v>
      </c>
      <c r="AM178">
        <v>0.23300000000000001</v>
      </c>
      <c r="AN178" t="s">
        <v>430</v>
      </c>
    </row>
    <row r="179" spans="5:40" x14ac:dyDescent="0.45">
      <c r="E179" t="s">
        <v>533</v>
      </c>
      <c r="G179" t="s">
        <v>443</v>
      </c>
      <c r="I179" t="s">
        <v>249</v>
      </c>
      <c r="J179" t="s">
        <v>677</v>
      </c>
      <c r="K179">
        <v>0</v>
      </c>
      <c r="L179" t="s">
        <v>251</v>
      </c>
      <c r="N179" t="s">
        <v>419</v>
      </c>
      <c r="O179" t="s">
        <v>677</v>
      </c>
      <c r="P179">
        <v>2.0766178773389999E-4</v>
      </c>
      <c r="Q179" t="s">
        <v>251</v>
      </c>
      <c r="S179" t="s">
        <v>420</v>
      </c>
      <c r="T179" t="s">
        <v>677</v>
      </c>
      <c r="U179">
        <v>1.5970407224059999E-4</v>
      </c>
      <c r="V179" t="s">
        <v>251</v>
      </c>
      <c r="X179">
        <v>1.1415525114155251E-4</v>
      </c>
      <c r="Y179">
        <v>2.1546544680075254E-5</v>
      </c>
      <c r="Z179" t="s">
        <v>677</v>
      </c>
      <c r="AA179" t="s">
        <v>25</v>
      </c>
      <c r="AC179" t="s">
        <v>22</v>
      </c>
      <c r="AD179" t="s">
        <v>677</v>
      </c>
      <c r="AE179">
        <v>7.6304832705016221E-5</v>
      </c>
      <c r="AG179" t="s">
        <v>97</v>
      </c>
      <c r="AH179" t="s">
        <v>677</v>
      </c>
      <c r="AI179">
        <v>0</v>
      </c>
      <c r="AK179">
        <v>2036</v>
      </c>
      <c r="AL179" t="s">
        <v>151</v>
      </c>
      <c r="AM179">
        <v>0.22989999999999999</v>
      </c>
      <c r="AN179" t="s">
        <v>430</v>
      </c>
    </row>
    <row r="180" spans="5:40" x14ac:dyDescent="0.45">
      <c r="E180" t="s">
        <v>534</v>
      </c>
      <c r="G180" t="s">
        <v>443</v>
      </c>
      <c r="I180" t="s">
        <v>249</v>
      </c>
      <c r="J180" t="s">
        <v>678</v>
      </c>
      <c r="K180">
        <v>0</v>
      </c>
      <c r="L180" t="s">
        <v>251</v>
      </c>
      <c r="N180" t="s">
        <v>419</v>
      </c>
      <c r="O180" t="s">
        <v>678</v>
      </c>
      <c r="P180">
        <v>2.1347837247980001E-4</v>
      </c>
      <c r="Q180" t="s">
        <v>251</v>
      </c>
      <c r="S180" t="s">
        <v>420</v>
      </c>
      <c r="T180" t="s">
        <v>678</v>
      </c>
      <c r="U180">
        <v>1.711391942759E-4</v>
      </c>
      <c r="V180" t="s">
        <v>251</v>
      </c>
      <c r="X180">
        <v>1.1415525114155251E-4</v>
      </c>
      <c r="Y180">
        <v>1.4916838624667481E-5</v>
      </c>
      <c r="Z180" t="s">
        <v>678</v>
      </c>
      <c r="AA180" t="s">
        <v>25</v>
      </c>
      <c r="AC180" t="s">
        <v>22</v>
      </c>
      <c r="AD180" t="s">
        <v>678</v>
      </c>
      <c r="AE180">
        <v>9.3688701608938605E-5</v>
      </c>
      <c r="AG180" t="s">
        <v>97</v>
      </c>
      <c r="AH180" t="s">
        <v>678</v>
      </c>
      <c r="AI180">
        <v>0</v>
      </c>
      <c r="AK180">
        <v>2036</v>
      </c>
      <c r="AL180" t="s">
        <v>156</v>
      </c>
      <c r="AM180">
        <v>0.27160000000000001</v>
      </c>
      <c r="AN180" t="s">
        <v>430</v>
      </c>
    </row>
    <row r="181" spans="5:40" x14ac:dyDescent="0.45">
      <c r="E181" t="s">
        <v>535</v>
      </c>
      <c r="G181" t="s">
        <v>443</v>
      </c>
      <c r="I181" t="s">
        <v>249</v>
      </c>
      <c r="J181" t="s">
        <v>679</v>
      </c>
      <c r="K181">
        <v>0</v>
      </c>
      <c r="L181" t="s">
        <v>251</v>
      </c>
      <c r="N181" t="s">
        <v>419</v>
      </c>
      <c r="O181" t="s">
        <v>679</v>
      </c>
      <c r="P181">
        <v>2.14187079297E-4</v>
      </c>
      <c r="Q181" t="s">
        <v>251</v>
      </c>
      <c r="S181" t="s">
        <v>420</v>
      </c>
      <c r="T181" t="s">
        <v>679</v>
      </c>
      <c r="U181">
        <v>1.7921568731760001E-4</v>
      </c>
      <c r="V181" t="s">
        <v>251</v>
      </c>
      <c r="X181">
        <v>1.1415525114155251E-4</v>
      </c>
      <c r="Y181">
        <v>1.6574265138519424E-5</v>
      </c>
      <c r="Z181" t="s">
        <v>679</v>
      </c>
      <c r="AA181" t="s">
        <v>25</v>
      </c>
      <c r="AC181" t="s">
        <v>22</v>
      </c>
      <c r="AD181" t="s">
        <v>679</v>
      </c>
      <c r="AE181">
        <v>1.1616751587578077E-4</v>
      </c>
      <c r="AG181" t="s">
        <v>97</v>
      </c>
      <c r="AH181" t="s">
        <v>679</v>
      </c>
      <c r="AI181">
        <v>0</v>
      </c>
      <c r="AK181">
        <v>2036</v>
      </c>
      <c r="AL181" t="s">
        <v>159</v>
      </c>
      <c r="AM181">
        <v>0.24759999999999999</v>
      </c>
      <c r="AN181" t="s">
        <v>430</v>
      </c>
    </row>
    <row r="182" spans="5:40" x14ac:dyDescent="0.45">
      <c r="E182" t="s">
        <v>536</v>
      </c>
      <c r="G182" t="s">
        <v>443</v>
      </c>
      <c r="I182" t="s">
        <v>249</v>
      </c>
      <c r="J182" t="s">
        <v>680</v>
      </c>
      <c r="K182">
        <v>0</v>
      </c>
      <c r="L182" t="s">
        <v>251</v>
      </c>
      <c r="N182" t="s">
        <v>419</v>
      </c>
      <c r="O182" t="s">
        <v>680</v>
      </c>
      <c r="P182">
        <v>1.8401655240089999E-4</v>
      </c>
      <c r="Q182" t="s">
        <v>251</v>
      </c>
      <c r="S182" t="s">
        <v>420</v>
      </c>
      <c r="T182" t="s">
        <v>680</v>
      </c>
      <c r="U182">
        <v>1.671429840906E-4</v>
      </c>
      <c r="V182" t="s">
        <v>251</v>
      </c>
      <c r="X182">
        <v>1.1415525114155251E-4</v>
      </c>
      <c r="Y182">
        <v>1.4585353321897093E-5</v>
      </c>
      <c r="Z182" t="s">
        <v>680</v>
      </c>
      <c r="AA182" t="s">
        <v>25</v>
      </c>
      <c r="AC182" t="s">
        <v>22</v>
      </c>
      <c r="AD182" t="s">
        <v>680</v>
      </c>
      <c r="AE182">
        <v>1.2855114100345476E-4</v>
      </c>
      <c r="AG182" t="s">
        <v>97</v>
      </c>
      <c r="AH182" t="s">
        <v>680</v>
      </c>
      <c r="AI182">
        <v>0</v>
      </c>
      <c r="AK182">
        <v>2036</v>
      </c>
      <c r="AL182" t="s">
        <v>163</v>
      </c>
      <c r="AM182">
        <v>0.28820000000000001</v>
      </c>
      <c r="AN182" t="s">
        <v>430</v>
      </c>
    </row>
    <row r="183" spans="5:40" x14ac:dyDescent="0.45">
      <c r="E183" t="s">
        <v>537</v>
      </c>
      <c r="G183" t="s">
        <v>443</v>
      </c>
      <c r="I183" t="s">
        <v>249</v>
      </c>
      <c r="J183" t="s">
        <v>681</v>
      </c>
      <c r="K183">
        <v>0</v>
      </c>
      <c r="L183" t="s">
        <v>251</v>
      </c>
      <c r="N183" t="s">
        <v>419</v>
      </c>
      <c r="O183" t="s">
        <v>681</v>
      </c>
      <c r="P183">
        <v>1.842748975716E-4</v>
      </c>
      <c r="Q183" t="s">
        <v>251</v>
      </c>
      <c r="S183" t="s">
        <v>420</v>
      </c>
      <c r="T183" t="s">
        <v>681</v>
      </c>
      <c r="U183">
        <v>1.8199441360269999E-4</v>
      </c>
      <c r="V183" t="s">
        <v>251</v>
      </c>
      <c r="X183">
        <v>1.1415525114155251E-4</v>
      </c>
      <c r="Y183">
        <v>2.1215059377304864E-5</v>
      </c>
      <c r="Z183" t="s">
        <v>681</v>
      </c>
      <c r="AA183" t="s">
        <v>25</v>
      </c>
      <c r="AC183" t="s">
        <v>22</v>
      </c>
      <c r="AD183" t="s">
        <v>681</v>
      </c>
      <c r="AE183">
        <v>1.291962259291339E-4</v>
      </c>
      <c r="AG183" t="s">
        <v>97</v>
      </c>
      <c r="AH183" t="s">
        <v>681</v>
      </c>
      <c r="AI183">
        <v>0</v>
      </c>
      <c r="AK183">
        <v>2036</v>
      </c>
      <c r="AL183" t="s">
        <v>167</v>
      </c>
      <c r="AM183">
        <v>0.37619999999999998</v>
      </c>
      <c r="AN183" t="s">
        <v>430</v>
      </c>
    </row>
    <row r="184" spans="5:40" x14ac:dyDescent="0.45">
      <c r="E184" t="s">
        <v>538</v>
      </c>
      <c r="G184" t="s">
        <v>443</v>
      </c>
      <c r="I184" t="s">
        <v>249</v>
      </c>
      <c r="J184" t="s">
        <v>682</v>
      </c>
      <c r="K184">
        <v>0</v>
      </c>
      <c r="L184" t="s">
        <v>251</v>
      </c>
      <c r="N184" t="s">
        <v>419</v>
      </c>
      <c r="O184" t="s">
        <v>682</v>
      </c>
      <c r="P184">
        <v>1.774848406302E-4</v>
      </c>
      <c r="Q184" t="s">
        <v>251</v>
      </c>
      <c r="S184" t="s">
        <v>420</v>
      </c>
      <c r="T184" t="s">
        <v>682</v>
      </c>
      <c r="U184">
        <v>1.893422553422E-4</v>
      </c>
      <c r="V184" t="s">
        <v>251</v>
      </c>
      <c r="X184">
        <v>1.1415525114155251E-4</v>
      </c>
      <c r="Y184">
        <v>5.7678442682047593E-5</v>
      </c>
      <c r="Z184" t="s">
        <v>682</v>
      </c>
      <c r="AA184" t="s">
        <v>25</v>
      </c>
      <c r="AC184" t="s">
        <v>22</v>
      </c>
      <c r="AD184" t="s">
        <v>682</v>
      </c>
      <c r="AE184">
        <v>1.2891434944174734E-4</v>
      </c>
      <c r="AG184" t="s">
        <v>97</v>
      </c>
      <c r="AH184" t="s">
        <v>682</v>
      </c>
      <c r="AI184">
        <v>0</v>
      </c>
      <c r="AK184">
        <v>2036</v>
      </c>
      <c r="AL184" t="s">
        <v>169</v>
      </c>
      <c r="AM184">
        <v>0.44330000000000003</v>
      </c>
      <c r="AN184" t="s">
        <v>430</v>
      </c>
    </row>
    <row r="185" spans="5:40" x14ac:dyDescent="0.45">
      <c r="E185" t="s">
        <v>539</v>
      </c>
      <c r="G185" t="s">
        <v>443</v>
      </c>
      <c r="I185" t="s">
        <v>249</v>
      </c>
      <c r="J185" t="s">
        <v>683</v>
      </c>
      <c r="K185">
        <v>1.8794390421985543E-5</v>
      </c>
      <c r="L185" t="s">
        <v>251</v>
      </c>
      <c r="N185" t="s">
        <v>419</v>
      </c>
      <c r="O185" t="s">
        <v>683</v>
      </c>
      <c r="P185">
        <v>1.750182259011E-4</v>
      </c>
      <c r="Q185" t="s">
        <v>251</v>
      </c>
      <c r="S185" t="s">
        <v>420</v>
      </c>
      <c r="T185" t="s">
        <v>683</v>
      </c>
      <c r="U185">
        <v>1.9123956533889999E-4</v>
      </c>
      <c r="V185" t="s">
        <v>251</v>
      </c>
      <c r="X185">
        <v>1.1415525114155251E-4</v>
      </c>
      <c r="Y185">
        <v>1.6905750441289813E-4</v>
      </c>
      <c r="Z185" t="s">
        <v>683</v>
      </c>
      <c r="AA185" t="s">
        <v>25</v>
      </c>
      <c r="AC185" t="s">
        <v>22</v>
      </c>
      <c r="AD185" t="s">
        <v>683</v>
      </c>
      <c r="AE185">
        <v>1.3260436891298946E-4</v>
      </c>
      <c r="AG185" t="s">
        <v>97</v>
      </c>
      <c r="AH185" t="s">
        <v>683</v>
      </c>
      <c r="AI185">
        <v>0</v>
      </c>
      <c r="AK185">
        <v>2036</v>
      </c>
      <c r="AL185" t="s">
        <v>171</v>
      </c>
      <c r="AM185">
        <v>0.56479999999999997</v>
      </c>
      <c r="AN185" t="s">
        <v>430</v>
      </c>
    </row>
    <row r="186" spans="5:40" x14ac:dyDescent="0.45">
      <c r="E186" t="s">
        <v>540</v>
      </c>
      <c r="G186" t="s">
        <v>443</v>
      </c>
      <c r="I186" t="s">
        <v>249</v>
      </c>
      <c r="J186" t="s">
        <v>684</v>
      </c>
      <c r="K186">
        <v>1.183863417333E-4</v>
      </c>
      <c r="L186" t="s">
        <v>251</v>
      </c>
      <c r="N186" t="s">
        <v>419</v>
      </c>
      <c r="O186" t="s">
        <v>684</v>
      </c>
      <c r="P186">
        <v>1.725423546264E-4</v>
      </c>
      <c r="Q186" t="s">
        <v>251</v>
      </c>
      <c r="S186" t="s">
        <v>420</v>
      </c>
      <c r="T186" t="s">
        <v>684</v>
      </c>
      <c r="U186">
        <v>1.853321435779E-4</v>
      </c>
      <c r="V186" t="s">
        <v>251</v>
      </c>
      <c r="X186">
        <v>1.1415525114155251E-4</v>
      </c>
      <c r="Y186">
        <v>1.9060404909297337E-4</v>
      </c>
      <c r="Z186" t="s">
        <v>684</v>
      </c>
      <c r="AA186" t="s">
        <v>25</v>
      </c>
      <c r="AC186" t="s">
        <v>22</v>
      </c>
      <c r="AD186" t="s">
        <v>684</v>
      </c>
      <c r="AE186">
        <v>1.2938340082984905E-4</v>
      </c>
      <c r="AG186" t="s">
        <v>97</v>
      </c>
      <c r="AH186" t="s">
        <v>684</v>
      </c>
      <c r="AI186">
        <v>0</v>
      </c>
      <c r="AK186">
        <v>2036</v>
      </c>
      <c r="AL186" t="s">
        <v>158</v>
      </c>
      <c r="AM186">
        <v>0.6623</v>
      </c>
      <c r="AN186" t="s">
        <v>430</v>
      </c>
    </row>
    <row r="187" spans="5:40" x14ac:dyDescent="0.45">
      <c r="E187" t="s">
        <v>541</v>
      </c>
      <c r="G187" t="s">
        <v>443</v>
      </c>
      <c r="I187" t="s">
        <v>249</v>
      </c>
      <c r="J187" t="s">
        <v>685</v>
      </c>
      <c r="K187">
        <v>2.2200264471580001E-4</v>
      </c>
      <c r="L187" t="s">
        <v>251</v>
      </c>
      <c r="N187" t="s">
        <v>419</v>
      </c>
      <c r="O187" t="s">
        <v>685</v>
      </c>
      <c r="P187">
        <v>1.771889372087E-4</v>
      </c>
      <c r="Q187" t="s">
        <v>251</v>
      </c>
      <c r="S187" t="s">
        <v>420</v>
      </c>
      <c r="T187" t="s">
        <v>685</v>
      </c>
      <c r="U187">
        <v>1.7759294244639999E-4</v>
      </c>
      <c r="V187" t="s">
        <v>251</v>
      </c>
      <c r="X187">
        <v>1.1415525114155251E-4</v>
      </c>
      <c r="Y187">
        <v>1.4585353321897094E-4</v>
      </c>
      <c r="Z187" t="s">
        <v>685</v>
      </c>
      <c r="AA187" t="s">
        <v>25</v>
      </c>
      <c r="AC187" t="s">
        <v>22</v>
      </c>
      <c r="AD187" t="s">
        <v>685</v>
      </c>
      <c r="AE187">
        <v>1.2883635989978265E-4</v>
      </c>
      <c r="AG187" t="s">
        <v>97</v>
      </c>
      <c r="AH187" t="s">
        <v>685</v>
      </c>
      <c r="AI187">
        <v>0</v>
      </c>
      <c r="AK187">
        <v>2036</v>
      </c>
      <c r="AL187" t="s">
        <v>162</v>
      </c>
      <c r="AM187">
        <v>0.56359999999999999</v>
      </c>
      <c r="AN187" t="s">
        <v>430</v>
      </c>
    </row>
    <row r="188" spans="5:40" x14ac:dyDescent="0.45">
      <c r="E188" t="s">
        <v>542</v>
      </c>
      <c r="G188" t="s">
        <v>443</v>
      </c>
      <c r="I188" t="s">
        <v>249</v>
      </c>
      <c r="J188" t="s">
        <v>686</v>
      </c>
      <c r="K188">
        <v>2.8461061394519999E-4</v>
      </c>
      <c r="L188" t="s">
        <v>251</v>
      </c>
      <c r="N188" t="s">
        <v>419</v>
      </c>
      <c r="O188" t="s">
        <v>686</v>
      </c>
      <c r="P188">
        <v>1.8256115212570001E-4</v>
      </c>
      <c r="Q188" t="s">
        <v>251</v>
      </c>
      <c r="S188" t="s">
        <v>420</v>
      </c>
      <c r="T188" t="s">
        <v>686</v>
      </c>
      <c r="U188">
        <v>1.7020757370490001E-4</v>
      </c>
      <c r="V188" t="s">
        <v>251</v>
      </c>
      <c r="X188">
        <v>1.1415525114155251E-4</v>
      </c>
      <c r="Y188">
        <v>1.4452759200788939E-4</v>
      </c>
      <c r="Z188" t="s">
        <v>686</v>
      </c>
      <c r="AA188" t="s">
        <v>25</v>
      </c>
      <c r="AC188" t="s">
        <v>22</v>
      </c>
      <c r="AD188" t="s">
        <v>686</v>
      </c>
      <c r="AE188">
        <v>1.2984688153638187E-4</v>
      </c>
      <c r="AG188" t="s">
        <v>97</v>
      </c>
      <c r="AH188" t="s">
        <v>686</v>
      </c>
      <c r="AI188">
        <v>0</v>
      </c>
      <c r="AK188">
        <v>2036</v>
      </c>
      <c r="AL188" t="s">
        <v>175</v>
      </c>
      <c r="AM188">
        <v>0.48159999999999997</v>
      </c>
      <c r="AN188" t="s">
        <v>430</v>
      </c>
    </row>
    <row r="189" spans="5:40" x14ac:dyDescent="0.45">
      <c r="E189" t="s">
        <v>543</v>
      </c>
      <c r="G189" t="s">
        <v>443</v>
      </c>
      <c r="I189" t="s">
        <v>249</v>
      </c>
      <c r="J189" t="s">
        <v>687</v>
      </c>
      <c r="K189">
        <v>3.1527131174559998E-4</v>
      </c>
      <c r="L189" t="s">
        <v>251</v>
      </c>
      <c r="N189" t="s">
        <v>419</v>
      </c>
      <c r="O189" t="s">
        <v>687</v>
      </c>
      <c r="P189">
        <v>1.9693935425190001E-4</v>
      </c>
      <c r="Q189" t="s">
        <v>251</v>
      </c>
      <c r="S189" t="s">
        <v>420</v>
      </c>
      <c r="T189" t="s">
        <v>687</v>
      </c>
      <c r="U189">
        <v>1.6620215658310001E-4</v>
      </c>
      <c r="V189" t="s">
        <v>251</v>
      </c>
      <c r="X189">
        <v>1.1415525114155251E-4</v>
      </c>
      <c r="Y189">
        <v>1.408812536774151E-4</v>
      </c>
      <c r="Z189" t="s">
        <v>687</v>
      </c>
      <c r="AA189" t="s">
        <v>25</v>
      </c>
      <c r="AC189" t="s">
        <v>22</v>
      </c>
      <c r="AD189" t="s">
        <v>687</v>
      </c>
      <c r="AE189">
        <v>1.2987362080791261E-4</v>
      </c>
      <c r="AG189" t="s">
        <v>97</v>
      </c>
      <c r="AH189" t="s">
        <v>687</v>
      </c>
      <c r="AI189">
        <v>0</v>
      </c>
      <c r="AK189">
        <v>2036</v>
      </c>
      <c r="AL189" t="s">
        <v>166</v>
      </c>
      <c r="AM189">
        <v>0.26840000000000003</v>
      </c>
      <c r="AN189" t="s">
        <v>430</v>
      </c>
    </row>
    <row r="190" spans="5:40" x14ac:dyDescent="0.45">
      <c r="E190" t="s">
        <v>544</v>
      </c>
      <c r="G190" t="s">
        <v>443</v>
      </c>
      <c r="I190" t="s">
        <v>249</v>
      </c>
      <c r="J190" t="s">
        <v>688</v>
      </c>
      <c r="K190">
        <v>3.2639458754219998E-4</v>
      </c>
      <c r="L190" t="s">
        <v>251</v>
      </c>
      <c r="N190" t="s">
        <v>419</v>
      </c>
      <c r="O190" t="s">
        <v>688</v>
      </c>
      <c r="P190">
        <v>1.956956100719E-4</v>
      </c>
      <c r="Q190" t="s">
        <v>251</v>
      </c>
      <c r="S190" t="s">
        <v>420</v>
      </c>
      <c r="T190" t="s">
        <v>688</v>
      </c>
      <c r="U190">
        <v>1.6540467120669999E-4</v>
      </c>
      <c r="V190" t="s">
        <v>251</v>
      </c>
      <c r="X190">
        <v>1.1415525114155251E-4</v>
      </c>
      <c r="Y190">
        <v>1.4054976837464471E-4</v>
      </c>
      <c r="Z190" t="s">
        <v>688</v>
      </c>
      <c r="AA190" t="s">
        <v>25</v>
      </c>
      <c r="AC190" t="s">
        <v>22</v>
      </c>
      <c r="AD190" t="s">
        <v>688</v>
      </c>
      <c r="AE190">
        <v>1.3054878741406377E-4</v>
      </c>
      <c r="AG190" t="s">
        <v>97</v>
      </c>
      <c r="AH190" t="s">
        <v>688</v>
      </c>
      <c r="AI190">
        <v>0</v>
      </c>
      <c r="AK190">
        <v>2036</v>
      </c>
      <c r="AL190" t="s">
        <v>178</v>
      </c>
      <c r="AM190">
        <v>0.23630000000000001</v>
      </c>
      <c r="AN190" t="s">
        <v>430</v>
      </c>
    </row>
    <row r="191" spans="5:40" x14ac:dyDescent="0.45">
      <c r="E191" t="s">
        <v>545</v>
      </c>
      <c r="G191" t="s">
        <v>443</v>
      </c>
      <c r="I191" t="s">
        <v>249</v>
      </c>
      <c r="J191" t="s">
        <v>689</v>
      </c>
      <c r="K191">
        <v>3.2322029180900002E-4</v>
      </c>
      <c r="L191" t="s">
        <v>251</v>
      </c>
      <c r="N191" t="s">
        <v>419</v>
      </c>
      <c r="O191" t="s">
        <v>689</v>
      </c>
      <c r="P191">
        <v>2.05800816537E-4</v>
      </c>
      <c r="Q191" t="s">
        <v>251</v>
      </c>
      <c r="S191" t="s">
        <v>420</v>
      </c>
      <c r="T191" t="s">
        <v>689</v>
      </c>
      <c r="U191">
        <v>1.6797050695960001E-4</v>
      </c>
      <c r="V191" t="s">
        <v>251</v>
      </c>
      <c r="X191">
        <v>1.1415525114155251E-4</v>
      </c>
      <c r="Y191">
        <v>1.4253868019126702E-4</v>
      </c>
      <c r="Z191" t="s">
        <v>689</v>
      </c>
      <c r="AA191" t="s">
        <v>25</v>
      </c>
      <c r="AC191" t="s">
        <v>22</v>
      </c>
      <c r="AD191" t="s">
        <v>689</v>
      </c>
      <c r="AE191">
        <v>1.6625239972548449E-4</v>
      </c>
      <c r="AG191" t="s">
        <v>97</v>
      </c>
      <c r="AH191" t="s">
        <v>689</v>
      </c>
      <c r="AI191">
        <v>0</v>
      </c>
      <c r="AK191">
        <v>2037</v>
      </c>
      <c r="AL191" t="s">
        <v>151</v>
      </c>
      <c r="AM191">
        <v>0.25280000000000002</v>
      </c>
      <c r="AN191" t="s">
        <v>430</v>
      </c>
    </row>
    <row r="192" spans="5:40" x14ac:dyDescent="0.45">
      <c r="E192" t="s">
        <v>546</v>
      </c>
      <c r="G192" t="s">
        <v>443</v>
      </c>
      <c r="I192" t="s">
        <v>249</v>
      </c>
      <c r="J192" t="s">
        <v>690</v>
      </c>
      <c r="K192">
        <v>3.2158472172189999E-4</v>
      </c>
      <c r="L192" t="s">
        <v>251</v>
      </c>
      <c r="N192" t="s">
        <v>419</v>
      </c>
      <c r="O192" t="s">
        <v>690</v>
      </c>
      <c r="P192">
        <v>2.1101451022960001E-4</v>
      </c>
      <c r="Q192" t="s">
        <v>251</v>
      </c>
      <c r="S192" t="s">
        <v>420</v>
      </c>
      <c r="T192" t="s">
        <v>690</v>
      </c>
      <c r="U192">
        <v>1.7283814611719999E-4</v>
      </c>
      <c r="V192" t="s">
        <v>251</v>
      </c>
      <c r="X192">
        <v>1.1415525114155251E-4</v>
      </c>
      <c r="Y192">
        <v>1.4883690094390442E-4</v>
      </c>
      <c r="Z192" t="s">
        <v>690</v>
      </c>
      <c r="AA192" t="s">
        <v>25</v>
      </c>
      <c r="AC192" t="s">
        <v>22</v>
      </c>
      <c r="AD192" t="s">
        <v>690</v>
      </c>
      <c r="AE192">
        <v>1.6706683337085827E-4</v>
      </c>
      <c r="AG192" t="s">
        <v>97</v>
      </c>
      <c r="AH192" t="s">
        <v>690</v>
      </c>
      <c r="AI192">
        <v>0</v>
      </c>
      <c r="AK192">
        <v>2037</v>
      </c>
      <c r="AL192" t="s">
        <v>156</v>
      </c>
      <c r="AM192">
        <v>0.27289999999999998</v>
      </c>
      <c r="AN192" t="s">
        <v>430</v>
      </c>
    </row>
    <row r="193" spans="5:40" x14ac:dyDescent="0.45">
      <c r="E193" t="s">
        <v>547</v>
      </c>
      <c r="G193" t="s">
        <v>443</v>
      </c>
      <c r="I193" t="s">
        <v>249</v>
      </c>
      <c r="J193" t="s">
        <v>691</v>
      </c>
      <c r="K193">
        <v>3.156218752383E-4</v>
      </c>
      <c r="L193" t="s">
        <v>251</v>
      </c>
      <c r="N193" t="s">
        <v>419</v>
      </c>
      <c r="O193" t="s">
        <v>691</v>
      </c>
      <c r="P193">
        <v>2.1948800771510001E-4</v>
      </c>
      <c r="Q193" t="s">
        <v>251</v>
      </c>
      <c r="S193" t="s">
        <v>420</v>
      </c>
      <c r="T193" t="s">
        <v>691</v>
      </c>
      <c r="U193">
        <v>1.791203957583E-4</v>
      </c>
      <c r="V193" t="s">
        <v>251</v>
      </c>
      <c r="X193">
        <v>1.1415525114155251E-4</v>
      </c>
      <c r="Y193">
        <v>1.5049432745775637E-4</v>
      </c>
      <c r="Z193" t="s">
        <v>691</v>
      </c>
      <c r="AA193" t="s">
        <v>25</v>
      </c>
      <c r="AC193" t="s">
        <v>22</v>
      </c>
      <c r="AD193" t="s">
        <v>691</v>
      </c>
      <c r="AE193">
        <v>1.5633324412389369E-4</v>
      </c>
      <c r="AG193" t="s">
        <v>97</v>
      </c>
      <c r="AH193" t="s">
        <v>691</v>
      </c>
      <c r="AI193">
        <v>0</v>
      </c>
      <c r="AK193">
        <v>2037</v>
      </c>
      <c r="AL193" t="s">
        <v>159</v>
      </c>
      <c r="AM193">
        <v>0.28689999999999999</v>
      </c>
      <c r="AN193" t="s">
        <v>430</v>
      </c>
    </row>
    <row r="194" spans="5:40" x14ac:dyDescent="0.45">
      <c r="E194" t="s">
        <v>548</v>
      </c>
      <c r="G194" t="s">
        <v>443</v>
      </c>
      <c r="I194" t="s">
        <v>249</v>
      </c>
      <c r="J194" t="s">
        <v>692</v>
      </c>
      <c r="K194">
        <v>2.9485825278740001E-4</v>
      </c>
      <c r="L194" t="s">
        <v>251</v>
      </c>
      <c r="N194" t="s">
        <v>419</v>
      </c>
      <c r="O194" t="s">
        <v>692</v>
      </c>
      <c r="P194">
        <v>1.841693668616E-4</v>
      </c>
      <c r="Q194" t="s">
        <v>251</v>
      </c>
      <c r="S194" t="s">
        <v>420</v>
      </c>
      <c r="T194" t="s">
        <v>692</v>
      </c>
      <c r="U194">
        <v>1.8136718929710001E-4</v>
      </c>
      <c r="V194" t="s">
        <v>251</v>
      </c>
      <c r="X194">
        <v>1.1415525114155251E-4</v>
      </c>
      <c r="Y194">
        <v>1.7237235744060203E-4</v>
      </c>
      <c r="Z194" t="s">
        <v>692</v>
      </c>
      <c r="AA194" t="s">
        <v>25</v>
      </c>
      <c r="AC194" t="s">
        <v>22</v>
      </c>
      <c r="AD194" t="s">
        <v>692</v>
      </c>
      <c r="AE194">
        <v>1.2633623801165848E-4</v>
      </c>
      <c r="AG194" t="s">
        <v>97</v>
      </c>
      <c r="AH194" t="s">
        <v>692</v>
      </c>
      <c r="AI194">
        <v>0</v>
      </c>
      <c r="AK194">
        <v>2037</v>
      </c>
      <c r="AL194" t="s">
        <v>163</v>
      </c>
      <c r="AM194">
        <v>0.33589999999999998</v>
      </c>
      <c r="AN194" t="s">
        <v>430</v>
      </c>
    </row>
    <row r="195" spans="5:40" x14ac:dyDescent="0.45">
      <c r="E195" t="s">
        <v>549</v>
      </c>
      <c r="G195" t="s">
        <v>443</v>
      </c>
      <c r="I195" t="s">
        <v>249</v>
      </c>
      <c r="J195" t="s">
        <v>693</v>
      </c>
      <c r="K195">
        <v>2.4740565046389999E-4</v>
      </c>
      <c r="L195" t="s">
        <v>251</v>
      </c>
      <c r="N195" t="s">
        <v>419</v>
      </c>
      <c r="O195" t="s">
        <v>693</v>
      </c>
      <c r="P195">
        <v>2.158703245973E-4</v>
      </c>
      <c r="Q195" t="s">
        <v>251</v>
      </c>
      <c r="S195" t="s">
        <v>420</v>
      </c>
      <c r="T195" t="s">
        <v>693</v>
      </c>
      <c r="U195">
        <v>1.878500342068E-4</v>
      </c>
      <c r="V195" t="s">
        <v>251</v>
      </c>
      <c r="X195">
        <v>1.1415525114155251E-4</v>
      </c>
      <c r="Y195">
        <v>2.2209515285616027E-4</v>
      </c>
      <c r="Z195" t="s">
        <v>693</v>
      </c>
      <c r="AA195" t="s">
        <v>25</v>
      </c>
      <c r="AC195" t="s">
        <v>22</v>
      </c>
      <c r="AD195" t="s">
        <v>693</v>
      </c>
      <c r="AE195">
        <v>1.0185866319789348E-4</v>
      </c>
      <c r="AG195" t="s">
        <v>97</v>
      </c>
      <c r="AH195" t="s">
        <v>693</v>
      </c>
      <c r="AI195">
        <v>0</v>
      </c>
      <c r="AK195">
        <v>2037</v>
      </c>
      <c r="AL195" t="s">
        <v>167</v>
      </c>
      <c r="AM195">
        <v>0.35089999999999999</v>
      </c>
      <c r="AN195" t="s">
        <v>430</v>
      </c>
    </row>
    <row r="196" spans="5:40" x14ac:dyDescent="0.45">
      <c r="E196" t="s">
        <v>550</v>
      </c>
      <c r="G196" t="s">
        <v>443</v>
      </c>
      <c r="I196" t="s">
        <v>249</v>
      </c>
      <c r="J196" t="s">
        <v>694</v>
      </c>
      <c r="K196">
        <v>1.7430925399790001E-4</v>
      </c>
      <c r="L196" t="s">
        <v>251</v>
      </c>
      <c r="N196" t="s">
        <v>419</v>
      </c>
      <c r="O196" t="s">
        <v>694</v>
      </c>
      <c r="P196">
        <v>2.4750241241250001E-4</v>
      </c>
      <c r="Q196" t="s">
        <v>251</v>
      </c>
      <c r="S196" t="s">
        <v>420</v>
      </c>
      <c r="T196" t="s">
        <v>694</v>
      </c>
      <c r="U196">
        <v>1.9634541735209999E-4</v>
      </c>
      <c r="V196" t="s">
        <v>251</v>
      </c>
      <c r="X196">
        <v>1.1415525114155251E-4</v>
      </c>
      <c r="Y196">
        <v>2.2209515285616027E-4</v>
      </c>
      <c r="Z196" t="s">
        <v>694</v>
      </c>
      <c r="AA196" t="s">
        <v>25</v>
      </c>
      <c r="AC196" t="s">
        <v>22</v>
      </c>
      <c r="AD196" t="s">
        <v>694</v>
      </c>
      <c r="AE196">
        <v>7.3087207030817172E-5</v>
      </c>
      <c r="AG196" t="s">
        <v>97</v>
      </c>
      <c r="AH196" t="s">
        <v>694</v>
      </c>
      <c r="AI196">
        <v>0</v>
      </c>
      <c r="AK196">
        <v>2037</v>
      </c>
      <c r="AL196" t="s">
        <v>169</v>
      </c>
      <c r="AM196">
        <v>0.48730000000000001</v>
      </c>
      <c r="AN196" t="s">
        <v>430</v>
      </c>
    </row>
    <row r="197" spans="5:40" x14ac:dyDescent="0.45">
      <c r="E197" t="s">
        <v>551</v>
      </c>
      <c r="G197" t="s">
        <v>443</v>
      </c>
      <c r="I197" t="s">
        <v>249</v>
      </c>
      <c r="J197" t="s">
        <v>695</v>
      </c>
      <c r="K197">
        <v>6.6977024383169209E-5</v>
      </c>
      <c r="L197" t="s">
        <v>251</v>
      </c>
      <c r="N197" t="s">
        <v>419</v>
      </c>
      <c r="O197" t="s">
        <v>695</v>
      </c>
      <c r="P197">
        <v>2.5909155303880001E-4</v>
      </c>
      <c r="Q197" t="s">
        <v>251</v>
      </c>
      <c r="S197" t="s">
        <v>420</v>
      </c>
      <c r="T197" t="s">
        <v>695</v>
      </c>
      <c r="U197">
        <v>1.97077642811E-4</v>
      </c>
      <c r="V197" t="s">
        <v>251</v>
      </c>
      <c r="X197">
        <v>1.1415525114155251E-4</v>
      </c>
      <c r="Y197">
        <v>1.7237235744060203E-4</v>
      </c>
      <c r="Z197" t="s">
        <v>695</v>
      </c>
      <c r="AA197" t="s">
        <v>25</v>
      </c>
      <c r="AC197" t="s">
        <v>22</v>
      </c>
      <c r="AD197" t="s">
        <v>695</v>
      </c>
      <c r="AE197">
        <v>5.5359070005936496E-5</v>
      </c>
      <c r="AG197" t="s">
        <v>97</v>
      </c>
      <c r="AH197" t="s">
        <v>695</v>
      </c>
      <c r="AI197">
        <v>0</v>
      </c>
      <c r="AK197">
        <v>2037</v>
      </c>
      <c r="AL197" t="s">
        <v>171</v>
      </c>
      <c r="AM197">
        <v>0.49869999999999998</v>
      </c>
      <c r="AN197" t="s">
        <v>430</v>
      </c>
    </row>
    <row r="198" spans="5:40" x14ac:dyDescent="0.45">
      <c r="E198" t="s">
        <v>552</v>
      </c>
      <c r="G198" t="s">
        <v>443</v>
      </c>
      <c r="I198" t="s">
        <v>249</v>
      </c>
      <c r="J198" t="s">
        <v>696</v>
      </c>
      <c r="K198">
        <v>0</v>
      </c>
      <c r="L198" t="s">
        <v>251</v>
      </c>
      <c r="N198" t="s">
        <v>419</v>
      </c>
      <c r="O198" t="s">
        <v>696</v>
      </c>
      <c r="P198">
        <v>2.6911438450469998E-4</v>
      </c>
      <c r="Q198" t="s">
        <v>251</v>
      </c>
      <c r="S198" t="s">
        <v>420</v>
      </c>
      <c r="T198" t="s">
        <v>696</v>
      </c>
      <c r="U198">
        <v>1.9343479284309999E-4</v>
      </c>
      <c r="V198" t="s">
        <v>251</v>
      </c>
      <c r="X198">
        <v>1.1415525114155251E-4</v>
      </c>
      <c r="Y198">
        <v>1.5579809230208258E-4</v>
      </c>
      <c r="Z198" t="s">
        <v>696</v>
      </c>
      <c r="AA198" t="s">
        <v>25</v>
      </c>
      <c r="AC198" t="s">
        <v>22</v>
      </c>
      <c r="AD198" t="s">
        <v>696</v>
      </c>
      <c r="AE198">
        <v>5.0842361389868984E-5</v>
      </c>
      <c r="AG198" t="s">
        <v>97</v>
      </c>
      <c r="AH198" t="s">
        <v>696</v>
      </c>
      <c r="AI198">
        <v>0</v>
      </c>
      <c r="AK198">
        <v>2037</v>
      </c>
      <c r="AL198" t="s">
        <v>158</v>
      </c>
      <c r="AM198">
        <v>0.6482</v>
      </c>
      <c r="AN198" t="s">
        <v>430</v>
      </c>
    </row>
    <row r="199" spans="5:40" x14ac:dyDescent="0.45">
      <c r="E199" t="s">
        <v>553</v>
      </c>
      <c r="G199" t="s">
        <v>443</v>
      </c>
      <c r="I199" t="s">
        <v>249</v>
      </c>
      <c r="J199" t="s">
        <v>697</v>
      </c>
      <c r="K199">
        <v>0</v>
      </c>
      <c r="L199" t="s">
        <v>251</v>
      </c>
      <c r="N199" t="s">
        <v>419</v>
      </c>
      <c r="O199" t="s">
        <v>697</v>
      </c>
      <c r="P199">
        <v>2.768001867081E-4</v>
      </c>
      <c r="Q199" t="s">
        <v>251</v>
      </c>
      <c r="S199" t="s">
        <v>420</v>
      </c>
      <c r="T199" t="s">
        <v>697</v>
      </c>
      <c r="U199">
        <v>1.8975049941419999E-4</v>
      </c>
      <c r="V199" t="s">
        <v>251</v>
      </c>
      <c r="X199">
        <v>1.1415525114155251E-4</v>
      </c>
      <c r="Y199">
        <v>1.093901499142282E-4</v>
      </c>
      <c r="Z199" t="s">
        <v>697</v>
      </c>
      <c r="AA199" t="s">
        <v>25</v>
      </c>
      <c r="AC199" t="s">
        <v>22</v>
      </c>
      <c r="AD199" t="s">
        <v>697</v>
      </c>
      <c r="AE199">
        <v>4.9173385191825293E-5</v>
      </c>
      <c r="AG199" t="s">
        <v>97</v>
      </c>
      <c r="AH199" t="s">
        <v>697</v>
      </c>
      <c r="AI199">
        <v>0</v>
      </c>
      <c r="AK199">
        <v>2037</v>
      </c>
      <c r="AL199" t="s">
        <v>162</v>
      </c>
      <c r="AM199">
        <v>0.5504</v>
      </c>
      <c r="AN199" t="s">
        <v>430</v>
      </c>
    </row>
    <row r="200" spans="5:40" x14ac:dyDescent="0.45">
      <c r="E200" t="s">
        <v>554</v>
      </c>
      <c r="G200" t="s">
        <v>443</v>
      </c>
      <c r="I200" t="s">
        <v>249</v>
      </c>
      <c r="J200" t="s">
        <v>698</v>
      </c>
      <c r="K200">
        <v>0</v>
      </c>
      <c r="L200" t="s">
        <v>251</v>
      </c>
      <c r="N200" t="s">
        <v>419</v>
      </c>
      <c r="O200" t="s">
        <v>698</v>
      </c>
      <c r="P200">
        <v>2.8206184108399998E-4</v>
      </c>
      <c r="Q200" t="s">
        <v>251</v>
      </c>
      <c r="S200" t="s">
        <v>420</v>
      </c>
      <c r="T200" t="s">
        <v>698</v>
      </c>
      <c r="U200">
        <v>1.9041637668470001E-4</v>
      </c>
      <c r="V200" t="s">
        <v>251</v>
      </c>
      <c r="X200">
        <v>1.1415525114155251E-4</v>
      </c>
      <c r="Y200">
        <v>7.9556472664893237E-5</v>
      </c>
      <c r="Z200" t="s">
        <v>698</v>
      </c>
      <c r="AA200" t="s">
        <v>25</v>
      </c>
      <c r="AC200" t="s">
        <v>22</v>
      </c>
      <c r="AD200" t="s">
        <v>698</v>
      </c>
      <c r="AE200">
        <v>5.0280836687723458E-5</v>
      </c>
      <c r="AG200" t="s">
        <v>97</v>
      </c>
      <c r="AH200" t="s">
        <v>698</v>
      </c>
      <c r="AI200">
        <v>0</v>
      </c>
      <c r="AK200">
        <v>2037</v>
      </c>
      <c r="AL200" t="s">
        <v>175</v>
      </c>
      <c r="AM200">
        <v>0.46239999999999998</v>
      </c>
      <c r="AN200" t="s">
        <v>430</v>
      </c>
    </row>
    <row r="201" spans="5:40" x14ac:dyDescent="0.45">
      <c r="E201" t="s">
        <v>555</v>
      </c>
      <c r="G201" t="s">
        <v>443</v>
      </c>
      <c r="I201" t="s">
        <v>249</v>
      </c>
      <c r="J201" t="s">
        <v>699</v>
      </c>
      <c r="K201">
        <v>0</v>
      </c>
      <c r="L201" t="s">
        <v>251</v>
      </c>
      <c r="N201" t="s">
        <v>419</v>
      </c>
      <c r="O201" t="s">
        <v>699</v>
      </c>
      <c r="P201">
        <v>2.907673734256E-4</v>
      </c>
      <c r="Q201" t="s">
        <v>251</v>
      </c>
      <c r="S201" t="s">
        <v>420</v>
      </c>
      <c r="T201" t="s">
        <v>699</v>
      </c>
      <c r="U201">
        <v>1.9810828326999999E-4</v>
      </c>
      <c r="V201" t="s">
        <v>251</v>
      </c>
      <c r="X201">
        <v>1.1415525114155251E-4</v>
      </c>
      <c r="Y201">
        <v>5.6352501470966035E-5</v>
      </c>
      <c r="Z201" t="s">
        <v>699</v>
      </c>
      <c r="AA201" t="s">
        <v>25</v>
      </c>
      <c r="AC201" t="s">
        <v>22</v>
      </c>
      <c r="AD201" t="s">
        <v>699</v>
      </c>
      <c r="AE201">
        <v>6.4639825499730857E-5</v>
      </c>
      <c r="AG201" t="s">
        <v>97</v>
      </c>
      <c r="AH201" t="s">
        <v>699</v>
      </c>
      <c r="AI201">
        <v>0</v>
      </c>
      <c r="AK201">
        <v>2037</v>
      </c>
      <c r="AL201" t="s">
        <v>166</v>
      </c>
      <c r="AM201">
        <v>0.31819999999999998</v>
      </c>
      <c r="AN201" t="s">
        <v>430</v>
      </c>
    </row>
    <row r="202" spans="5:40" x14ac:dyDescent="0.45">
      <c r="E202" t="s">
        <v>556</v>
      </c>
      <c r="G202" t="s">
        <v>443</v>
      </c>
      <c r="I202" t="s">
        <v>249</v>
      </c>
      <c r="J202" t="s">
        <v>700</v>
      </c>
      <c r="K202">
        <v>0</v>
      </c>
      <c r="L202" t="s">
        <v>251</v>
      </c>
      <c r="N202" t="s">
        <v>419</v>
      </c>
      <c r="O202" t="s">
        <v>700</v>
      </c>
      <c r="P202">
        <v>3.0086870076910001E-4</v>
      </c>
      <c r="Q202" t="s">
        <v>251</v>
      </c>
      <c r="S202" t="s">
        <v>420</v>
      </c>
      <c r="T202" t="s">
        <v>700</v>
      </c>
      <c r="U202">
        <v>2.041726988663E-4</v>
      </c>
      <c r="V202" t="s">
        <v>251</v>
      </c>
      <c r="X202">
        <v>1.1415525114155251E-4</v>
      </c>
      <c r="Y202">
        <v>2.9833677249334962E-5</v>
      </c>
      <c r="Z202" t="s">
        <v>700</v>
      </c>
      <c r="AA202" t="s">
        <v>25</v>
      </c>
      <c r="AC202" t="s">
        <v>22</v>
      </c>
      <c r="AD202" t="s">
        <v>700</v>
      </c>
      <c r="AE202">
        <v>8.0477273200125441E-5</v>
      </c>
      <c r="AG202" t="s">
        <v>97</v>
      </c>
      <c r="AH202" t="s">
        <v>700</v>
      </c>
      <c r="AI202">
        <v>0</v>
      </c>
      <c r="AK202">
        <v>2037</v>
      </c>
      <c r="AL202" t="s">
        <v>178</v>
      </c>
      <c r="AM202">
        <v>0.24579999999999999</v>
      </c>
      <c r="AN202" t="s">
        <v>430</v>
      </c>
    </row>
    <row r="203" spans="5:40" x14ac:dyDescent="0.45">
      <c r="E203" t="s">
        <v>557</v>
      </c>
      <c r="G203" t="s">
        <v>445</v>
      </c>
      <c r="I203" t="s">
        <v>249</v>
      </c>
      <c r="J203" t="s">
        <v>701</v>
      </c>
      <c r="K203">
        <v>0</v>
      </c>
      <c r="L203" t="s">
        <v>251</v>
      </c>
      <c r="N203" t="s">
        <v>419</v>
      </c>
      <c r="O203" t="s">
        <v>701</v>
      </c>
      <c r="P203">
        <v>3.0448017418200003E-4</v>
      </c>
      <c r="Q203" t="s">
        <v>251</v>
      </c>
      <c r="S203" t="s">
        <v>420</v>
      </c>
      <c r="T203" t="s">
        <v>701</v>
      </c>
      <c r="U203">
        <v>2.034218940266E-4</v>
      </c>
      <c r="V203" t="s">
        <v>251</v>
      </c>
      <c r="X203">
        <v>1.1415525114155251E-4</v>
      </c>
      <c r="Y203">
        <v>2.1546544680075254E-5</v>
      </c>
      <c r="Z203" t="s">
        <v>701</v>
      </c>
      <c r="AA203" t="s">
        <v>25</v>
      </c>
      <c r="AC203" t="s">
        <v>22</v>
      </c>
      <c r="AD203" t="s">
        <v>701</v>
      </c>
      <c r="AE203">
        <v>8.5124335764905307E-5</v>
      </c>
      <c r="AG203" t="s">
        <v>97</v>
      </c>
      <c r="AH203" t="s">
        <v>701</v>
      </c>
      <c r="AI203">
        <v>0</v>
      </c>
      <c r="AK203">
        <v>2038</v>
      </c>
      <c r="AL203" t="s">
        <v>151</v>
      </c>
      <c r="AM203">
        <v>0.25800000000000001</v>
      </c>
      <c r="AN203" t="s">
        <v>430</v>
      </c>
    </row>
    <row r="204" spans="5:40" x14ac:dyDescent="0.45">
      <c r="E204" t="s">
        <v>558</v>
      </c>
      <c r="G204" t="s">
        <v>445</v>
      </c>
      <c r="I204" t="s">
        <v>249</v>
      </c>
      <c r="J204" t="s">
        <v>702</v>
      </c>
      <c r="K204">
        <v>0</v>
      </c>
      <c r="L204" t="s">
        <v>251</v>
      </c>
      <c r="N204" t="s">
        <v>419</v>
      </c>
      <c r="O204" t="s">
        <v>702</v>
      </c>
      <c r="P204">
        <v>2.9725454780980001E-4</v>
      </c>
      <c r="Q204" t="s">
        <v>251</v>
      </c>
      <c r="S204" t="s">
        <v>420</v>
      </c>
      <c r="T204" t="s">
        <v>702</v>
      </c>
      <c r="U204">
        <v>1.9646118992950001E-4</v>
      </c>
      <c r="V204" t="s">
        <v>251</v>
      </c>
      <c r="X204">
        <v>1.1415525114155251E-4</v>
      </c>
      <c r="Y204">
        <v>1.4916838624667481E-5</v>
      </c>
      <c r="Z204" t="s">
        <v>702</v>
      </c>
      <c r="AA204" t="s">
        <v>25</v>
      </c>
      <c r="AC204" t="s">
        <v>22</v>
      </c>
      <c r="AD204" t="s">
        <v>702</v>
      </c>
      <c r="AE204">
        <v>9.8911772647943173E-5</v>
      </c>
      <c r="AG204" t="s">
        <v>97</v>
      </c>
      <c r="AH204" t="s">
        <v>702</v>
      </c>
      <c r="AI204">
        <v>0</v>
      </c>
      <c r="AK204">
        <v>2038</v>
      </c>
      <c r="AL204" t="s">
        <v>156</v>
      </c>
      <c r="AM204">
        <v>0.2656</v>
      </c>
      <c r="AN204" t="s">
        <v>430</v>
      </c>
    </row>
    <row r="205" spans="5:40" x14ac:dyDescent="0.45">
      <c r="E205" t="s">
        <v>559</v>
      </c>
      <c r="G205" t="s">
        <v>445</v>
      </c>
      <c r="I205" t="s">
        <v>249</v>
      </c>
      <c r="J205" t="s">
        <v>703</v>
      </c>
      <c r="K205">
        <v>0</v>
      </c>
      <c r="L205" t="s">
        <v>251</v>
      </c>
      <c r="N205" t="s">
        <v>419</v>
      </c>
      <c r="O205" t="s">
        <v>703</v>
      </c>
      <c r="P205">
        <v>2.8014084277650002E-4</v>
      </c>
      <c r="Q205" t="s">
        <v>251</v>
      </c>
      <c r="S205" t="s">
        <v>420</v>
      </c>
      <c r="T205" t="s">
        <v>703</v>
      </c>
      <c r="U205">
        <v>1.883313555996E-4</v>
      </c>
      <c r="V205" t="s">
        <v>251</v>
      </c>
      <c r="X205">
        <v>1.1415525114155251E-4</v>
      </c>
      <c r="Y205">
        <v>1.6574265138519424E-5</v>
      </c>
      <c r="Z205" t="s">
        <v>703</v>
      </c>
      <c r="AA205" t="s">
        <v>25</v>
      </c>
      <c r="AC205" t="s">
        <v>22</v>
      </c>
      <c r="AD205" t="s">
        <v>703</v>
      </c>
      <c r="AE205">
        <v>1.2726765596997924E-4</v>
      </c>
      <c r="AG205" t="s">
        <v>97</v>
      </c>
      <c r="AH205" t="s">
        <v>703</v>
      </c>
      <c r="AI205">
        <v>0</v>
      </c>
      <c r="AK205">
        <v>2038</v>
      </c>
      <c r="AL205" t="s">
        <v>159</v>
      </c>
      <c r="AM205">
        <v>0.29360000000000003</v>
      </c>
      <c r="AN205" t="s">
        <v>430</v>
      </c>
    </row>
    <row r="206" spans="5:40" x14ac:dyDescent="0.45">
      <c r="E206" t="s">
        <v>560</v>
      </c>
      <c r="G206" t="s">
        <v>445</v>
      </c>
      <c r="I206" t="s">
        <v>249</v>
      </c>
      <c r="J206" t="s">
        <v>704</v>
      </c>
      <c r="K206">
        <v>0</v>
      </c>
      <c r="L206" t="s">
        <v>251</v>
      </c>
      <c r="N206" t="s">
        <v>419</v>
      </c>
      <c r="O206" t="s">
        <v>704</v>
      </c>
      <c r="P206">
        <v>2.2878523234230001E-4</v>
      </c>
      <c r="Q206" t="s">
        <v>251</v>
      </c>
      <c r="S206" t="s">
        <v>420</v>
      </c>
      <c r="T206" t="s">
        <v>704</v>
      </c>
      <c r="U206">
        <v>1.664839532431E-4</v>
      </c>
      <c r="V206" t="s">
        <v>251</v>
      </c>
      <c r="X206">
        <v>1.1415525114155251E-4</v>
      </c>
      <c r="Y206">
        <v>1.4585353321897093E-5</v>
      </c>
      <c r="Z206" t="s">
        <v>704</v>
      </c>
      <c r="AA206" t="s">
        <v>25</v>
      </c>
      <c r="AC206" t="s">
        <v>22</v>
      </c>
      <c r="AD206" t="s">
        <v>704</v>
      </c>
      <c r="AE206">
        <v>1.3946856274219316E-4</v>
      </c>
      <c r="AG206" t="s">
        <v>97</v>
      </c>
      <c r="AH206" t="s">
        <v>704</v>
      </c>
      <c r="AI206">
        <v>0</v>
      </c>
      <c r="AK206">
        <v>2038</v>
      </c>
      <c r="AL206" t="s">
        <v>163</v>
      </c>
      <c r="AM206">
        <v>0.32190000000000002</v>
      </c>
      <c r="AN206" t="s">
        <v>430</v>
      </c>
    </row>
    <row r="207" spans="5:40" x14ac:dyDescent="0.45">
      <c r="E207" t="s">
        <v>561</v>
      </c>
      <c r="G207" t="s">
        <v>445</v>
      </c>
      <c r="I207" t="s">
        <v>249</v>
      </c>
      <c r="J207" t="s">
        <v>705</v>
      </c>
      <c r="K207">
        <v>0</v>
      </c>
      <c r="L207" t="s">
        <v>251</v>
      </c>
      <c r="N207" t="s">
        <v>419</v>
      </c>
      <c r="O207" t="s">
        <v>705</v>
      </c>
      <c r="P207">
        <v>2.1594029085499999E-4</v>
      </c>
      <c r="Q207" t="s">
        <v>251</v>
      </c>
      <c r="S207" t="s">
        <v>420</v>
      </c>
      <c r="T207" t="s">
        <v>705</v>
      </c>
      <c r="U207">
        <v>1.6294513786660001E-4</v>
      </c>
      <c r="V207" t="s">
        <v>251</v>
      </c>
      <c r="X207">
        <v>1.1415525114155251E-4</v>
      </c>
      <c r="Y207">
        <v>2.1215059377304864E-5</v>
      </c>
      <c r="Z207" t="s">
        <v>705</v>
      </c>
      <c r="AA207" t="s">
        <v>25</v>
      </c>
      <c r="AC207" t="s">
        <v>22</v>
      </c>
      <c r="AD207" t="s">
        <v>705</v>
      </c>
      <c r="AE207">
        <v>1.368091193611983E-4</v>
      </c>
      <c r="AG207" t="s">
        <v>97</v>
      </c>
      <c r="AH207" t="s">
        <v>705</v>
      </c>
      <c r="AI207">
        <v>0</v>
      </c>
      <c r="AK207">
        <v>2038</v>
      </c>
      <c r="AL207" t="s">
        <v>167</v>
      </c>
      <c r="AM207">
        <v>0.37019999999999997</v>
      </c>
      <c r="AN207" t="s">
        <v>430</v>
      </c>
    </row>
    <row r="208" spans="5:40" x14ac:dyDescent="0.45">
      <c r="E208" t="s">
        <v>562</v>
      </c>
      <c r="G208" t="s">
        <v>445</v>
      </c>
      <c r="I208" t="s">
        <v>249</v>
      </c>
      <c r="J208" t="s">
        <v>706</v>
      </c>
      <c r="K208">
        <v>0</v>
      </c>
      <c r="L208" t="s">
        <v>251</v>
      </c>
      <c r="N208" t="s">
        <v>419</v>
      </c>
      <c r="O208" t="s">
        <v>706</v>
      </c>
      <c r="P208">
        <v>2.1279267916699999E-4</v>
      </c>
      <c r="Q208" t="s">
        <v>251</v>
      </c>
      <c r="S208" t="s">
        <v>420</v>
      </c>
      <c r="T208" t="s">
        <v>706</v>
      </c>
      <c r="U208">
        <v>1.681263697274E-4</v>
      </c>
      <c r="V208" t="s">
        <v>251</v>
      </c>
      <c r="X208">
        <v>1.1415525114155251E-4</v>
      </c>
      <c r="Y208">
        <v>5.7678442682047593E-5</v>
      </c>
      <c r="Z208" t="s">
        <v>706</v>
      </c>
      <c r="AA208" t="s">
        <v>25</v>
      </c>
      <c r="AC208" t="s">
        <v>22</v>
      </c>
      <c r="AD208" t="s">
        <v>706</v>
      </c>
      <c r="AE208">
        <v>1.3823409970652403E-4</v>
      </c>
      <c r="AG208" t="s">
        <v>97</v>
      </c>
      <c r="AH208" t="s">
        <v>706</v>
      </c>
      <c r="AI208">
        <v>0</v>
      </c>
      <c r="AK208">
        <v>2038</v>
      </c>
      <c r="AL208" t="s">
        <v>169</v>
      </c>
      <c r="AM208">
        <v>0.50539999999999996</v>
      </c>
      <c r="AN208" t="s">
        <v>430</v>
      </c>
    </row>
    <row r="209" spans="5:40" x14ac:dyDescent="0.45">
      <c r="E209" t="s">
        <v>563</v>
      </c>
      <c r="G209" t="s">
        <v>445</v>
      </c>
      <c r="I209" t="s">
        <v>249</v>
      </c>
      <c r="J209" t="s">
        <v>707</v>
      </c>
      <c r="K209">
        <v>1.9950996497769257E-5</v>
      </c>
      <c r="L209" t="s">
        <v>251</v>
      </c>
      <c r="N209" t="s">
        <v>419</v>
      </c>
      <c r="O209" t="s">
        <v>707</v>
      </c>
      <c r="P209">
        <v>2.0411398424090001E-4</v>
      </c>
      <c r="Q209" t="s">
        <v>251</v>
      </c>
      <c r="S209" t="s">
        <v>420</v>
      </c>
      <c r="T209" t="s">
        <v>707</v>
      </c>
      <c r="U209">
        <v>1.716533689164E-4</v>
      </c>
      <c r="V209" t="s">
        <v>251</v>
      </c>
      <c r="X209">
        <v>1.1415525114155251E-4</v>
      </c>
      <c r="Y209">
        <v>1.6905750441289813E-4</v>
      </c>
      <c r="Z209" t="s">
        <v>707</v>
      </c>
      <c r="AA209" t="s">
        <v>25</v>
      </c>
      <c r="AC209" t="s">
        <v>22</v>
      </c>
      <c r="AD209" t="s">
        <v>707</v>
      </c>
      <c r="AE209">
        <v>1.3831654579374379E-4</v>
      </c>
      <c r="AG209" t="s">
        <v>97</v>
      </c>
      <c r="AH209" t="s">
        <v>707</v>
      </c>
      <c r="AI209">
        <v>0</v>
      </c>
      <c r="AK209">
        <v>2038</v>
      </c>
      <c r="AL209" t="s">
        <v>171</v>
      </c>
      <c r="AM209">
        <v>0.6018</v>
      </c>
      <c r="AN209" t="s">
        <v>430</v>
      </c>
    </row>
    <row r="210" spans="5:40" x14ac:dyDescent="0.45">
      <c r="E210" t="s">
        <v>564</v>
      </c>
      <c r="G210" t="s">
        <v>445</v>
      </c>
      <c r="I210" t="s">
        <v>249</v>
      </c>
      <c r="J210" t="s">
        <v>708</v>
      </c>
      <c r="K210">
        <v>9.5626630561243433E-5</v>
      </c>
      <c r="L210" t="s">
        <v>251</v>
      </c>
      <c r="N210" t="s">
        <v>419</v>
      </c>
      <c r="O210" t="s">
        <v>708</v>
      </c>
      <c r="P210">
        <v>2.1248900303439999E-4</v>
      </c>
      <c r="Q210" t="s">
        <v>251</v>
      </c>
      <c r="S210" t="s">
        <v>420</v>
      </c>
      <c r="T210" t="s">
        <v>708</v>
      </c>
      <c r="U210">
        <v>1.68280137885E-4</v>
      </c>
      <c r="V210" t="s">
        <v>251</v>
      </c>
      <c r="X210">
        <v>1.1415525114155251E-4</v>
      </c>
      <c r="Y210">
        <v>1.9060404909297337E-4</v>
      </c>
      <c r="Z210" t="s">
        <v>708</v>
      </c>
      <c r="AA210" t="s">
        <v>25</v>
      </c>
      <c r="AC210" t="s">
        <v>22</v>
      </c>
      <c r="AD210" t="s">
        <v>708</v>
      </c>
      <c r="AE210">
        <v>1.3657403659899056E-4</v>
      </c>
      <c r="AG210" t="s">
        <v>97</v>
      </c>
      <c r="AH210" t="s">
        <v>708</v>
      </c>
      <c r="AI210">
        <v>0</v>
      </c>
      <c r="AK210">
        <v>2038</v>
      </c>
      <c r="AL210" t="s">
        <v>158</v>
      </c>
      <c r="AM210">
        <v>0.68220000000000003</v>
      </c>
      <c r="AN210" t="s">
        <v>430</v>
      </c>
    </row>
    <row r="211" spans="5:40" x14ac:dyDescent="0.45">
      <c r="E211" t="s">
        <v>565</v>
      </c>
      <c r="G211" t="s">
        <v>445</v>
      </c>
      <c r="I211" t="s">
        <v>249</v>
      </c>
      <c r="J211" t="s">
        <v>709</v>
      </c>
      <c r="K211">
        <v>1.778259179761E-4</v>
      </c>
      <c r="L211" t="s">
        <v>251</v>
      </c>
      <c r="N211" t="s">
        <v>419</v>
      </c>
      <c r="O211" t="s">
        <v>709</v>
      </c>
      <c r="P211">
        <v>2.361427805255E-4</v>
      </c>
      <c r="Q211" t="s">
        <v>251</v>
      </c>
      <c r="S211" t="s">
        <v>420</v>
      </c>
      <c r="T211" t="s">
        <v>709</v>
      </c>
      <c r="U211">
        <v>1.5915838329789999E-4</v>
      </c>
      <c r="V211" t="s">
        <v>251</v>
      </c>
      <c r="X211">
        <v>1.1415525114155251E-4</v>
      </c>
      <c r="Y211">
        <v>1.4585353321897094E-4</v>
      </c>
      <c r="Z211" t="s">
        <v>709</v>
      </c>
      <c r="AA211" t="s">
        <v>25</v>
      </c>
      <c r="AC211" t="s">
        <v>22</v>
      </c>
      <c r="AD211" t="s">
        <v>709</v>
      </c>
      <c r="AE211">
        <v>1.378786902224279E-4</v>
      </c>
      <c r="AG211" t="s">
        <v>97</v>
      </c>
      <c r="AH211" t="s">
        <v>709</v>
      </c>
      <c r="AI211">
        <v>0</v>
      </c>
      <c r="AK211">
        <v>2038</v>
      </c>
      <c r="AL211" t="s">
        <v>162</v>
      </c>
      <c r="AM211">
        <v>0.6694</v>
      </c>
      <c r="AN211" t="s">
        <v>430</v>
      </c>
    </row>
    <row r="212" spans="5:40" x14ac:dyDescent="0.45">
      <c r="E212" t="s">
        <v>566</v>
      </c>
      <c r="G212" t="s">
        <v>445</v>
      </c>
      <c r="I212" t="s">
        <v>249</v>
      </c>
      <c r="J212" t="s">
        <v>710</v>
      </c>
      <c r="K212">
        <v>2.2556559978650001E-4</v>
      </c>
      <c r="L212" t="s">
        <v>251</v>
      </c>
      <c r="N212" t="s">
        <v>419</v>
      </c>
      <c r="O212" t="s">
        <v>710</v>
      </c>
      <c r="P212">
        <v>2.3718005519890001E-4</v>
      </c>
      <c r="Q212" t="s">
        <v>251</v>
      </c>
      <c r="S212" t="s">
        <v>420</v>
      </c>
      <c r="T212" t="s">
        <v>710</v>
      </c>
      <c r="U212">
        <v>1.503424897695E-4</v>
      </c>
      <c r="V212" t="s">
        <v>251</v>
      </c>
      <c r="X212">
        <v>1.1415525114155251E-4</v>
      </c>
      <c r="Y212">
        <v>1.4452759200788939E-4</v>
      </c>
      <c r="Z212" t="s">
        <v>710</v>
      </c>
      <c r="AA212" t="s">
        <v>25</v>
      </c>
      <c r="AC212" t="s">
        <v>22</v>
      </c>
      <c r="AD212" t="s">
        <v>710</v>
      </c>
      <c r="AE212">
        <v>1.3667876541248596E-4</v>
      </c>
      <c r="AG212" t="s">
        <v>97</v>
      </c>
      <c r="AH212" t="s">
        <v>710</v>
      </c>
      <c r="AI212">
        <v>0</v>
      </c>
      <c r="AK212">
        <v>2038</v>
      </c>
      <c r="AL212" t="s">
        <v>175</v>
      </c>
      <c r="AM212">
        <v>0.47549999999999998</v>
      </c>
      <c r="AN212" t="s">
        <v>430</v>
      </c>
    </row>
    <row r="213" spans="5:40" x14ac:dyDescent="0.45">
      <c r="E213" t="s">
        <v>567</v>
      </c>
      <c r="G213" t="s">
        <v>445</v>
      </c>
      <c r="I213" t="s">
        <v>249</v>
      </c>
      <c r="J213" t="s">
        <v>711</v>
      </c>
      <c r="K213">
        <v>2.4967423461939999E-4</v>
      </c>
      <c r="L213" t="s">
        <v>251</v>
      </c>
      <c r="N213" t="s">
        <v>419</v>
      </c>
      <c r="O213" t="s">
        <v>711</v>
      </c>
      <c r="P213">
        <v>2.36402326187E-4</v>
      </c>
      <c r="Q213" t="s">
        <v>251</v>
      </c>
      <c r="S213" t="s">
        <v>420</v>
      </c>
      <c r="T213" t="s">
        <v>711</v>
      </c>
      <c r="U213">
        <v>1.4278728398690001E-4</v>
      </c>
      <c r="V213" t="s">
        <v>251</v>
      </c>
      <c r="X213">
        <v>1.1415525114155251E-4</v>
      </c>
      <c r="Y213">
        <v>1.408812536774151E-4</v>
      </c>
      <c r="Z213" t="s">
        <v>711</v>
      </c>
      <c r="AA213" t="s">
        <v>25</v>
      </c>
      <c r="AC213" t="s">
        <v>22</v>
      </c>
      <c r="AD213" t="s">
        <v>711</v>
      </c>
      <c r="AE213">
        <v>1.3423992102161973E-4</v>
      </c>
      <c r="AG213" t="s">
        <v>97</v>
      </c>
      <c r="AH213" t="s">
        <v>711</v>
      </c>
      <c r="AI213">
        <v>0</v>
      </c>
      <c r="AK213">
        <v>2038</v>
      </c>
      <c r="AL213" t="s">
        <v>166</v>
      </c>
      <c r="AM213">
        <v>0.2802</v>
      </c>
      <c r="AN213" t="s">
        <v>430</v>
      </c>
    </row>
    <row r="214" spans="5:40" x14ac:dyDescent="0.45">
      <c r="E214" t="s">
        <v>568</v>
      </c>
      <c r="G214" t="s">
        <v>445</v>
      </c>
      <c r="I214" t="s">
        <v>249</v>
      </c>
      <c r="J214" t="s">
        <v>712</v>
      </c>
      <c r="K214">
        <v>2.5534996256659998E-4</v>
      </c>
      <c r="L214" t="s">
        <v>251</v>
      </c>
      <c r="N214" t="s">
        <v>419</v>
      </c>
      <c r="O214" t="s">
        <v>712</v>
      </c>
      <c r="P214">
        <v>2.4005857599E-4</v>
      </c>
      <c r="Q214" t="s">
        <v>251</v>
      </c>
      <c r="S214" t="s">
        <v>420</v>
      </c>
      <c r="T214" t="s">
        <v>712</v>
      </c>
      <c r="U214">
        <v>1.3685744494769999E-4</v>
      </c>
      <c r="V214" t="s">
        <v>251</v>
      </c>
      <c r="X214">
        <v>1.1415525114155251E-4</v>
      </c>
      <c r="Y214">
        <v>1.4054976837464471E-4</v>
      </c>
      <c r="Z214" t="s">
        <v>712</v>
      </c>
      <c r="AA214" t="s">
        <v>25</v>
      </c>
      <c r="AC214" t="s">
        <v>22</v>
      </c>
      <c r="AD214" t="s">
        <v>712</v>
      </c>
      <c r="AE214">
        <v>1.3558691182498077E-4</v>
      </c>
      <c r="AG214" t="s">
        <v>97</v>
      </c>
      <c r="AH214" t="s">
        <v>712</v>
      </c>
      <c r="AI214">
        <v>0</v>
      </c>
      <c r="AK214">
        <v>2038</v>
      </c>
      <c r="AL214" t="s">
        <v>178</v>
      </c>
      <c r="AM214">
        <v>0.23430000000000001</v>
      </c>
      <c r="AN214" t="s">
        <v>430</v>
      </c>
    </row>
    <row r="215" spans="5:40" x14ac:dyDescent="0.45">
      <c r="E215" t="s">
        <v>569</v>
      </c>
      <c r="G215" t="s">
        <v>445</v>
      </c>
      <c r="I215" t="s">
        <v>249</v>
      </c>
      <c r="J215" t="s">
        <v>713</v>
      </c>
      <c r="K215">
        <v>2.4647421666699999E-4</v>
      </c>
      <c r="L215" t="s">
        <v>251</v>
      </c>
      <c r="N215" t="s">
        <v>419</v>
      </c>
      <c r="O215" t="s">
        <v>713</v>
      </c>
      <c r="P215">
        <v>2.3981355003220001E-4</v>
      </c>
      <c r="Q215" t="s">
        <v>251</v>
      </c>
      <c r="S215" t="s">
        <v>420</v>
      </c>
      <c r="T215" t="s">
        <v>713</v>
      </c>
      <c r="U215">
        <v>1.4114387043400001E-4</v>
      </c>
      <c r="V215" t="s">
        <v>251</v>
      </c>
      <c r="X215">
        <v>1.1415525114155251E-4</v>
      </c>
      <c r="Y215">
        <v>1.4253868019126702E-4</v>
      </c>
      <c r="Z215" t="s">
        <v>713</v>
      </c>
      <c r="AA215" t="s">
        <v>25</v>
      </c>
      <c r="AC215" t="s">
        <v>22</v>
      </c>
      <c r="AD215" t="s">
        <v>713</v>
      </c>
      <c r="AE215">
        <v>1.7660272608050848E-4</v>
      </c>
      <c r="AG215" t="s">
        <v>97</v>
      </c>
      <c r="AH215" t="s">
        <v>713</v>
      </c>
      <c r="AI215">
        <v>0</v>
      </c>
      <c r="AK215">
        <v>2039</v>
      </c>
      <c r="AL215" t="s">
        <v>151</v>
      </c>
      <c r="AM215">
        <v>0.26140000000000002</v>
      </c>
      <c r="AN215" t="s">
        <v>430</v>
      </c>
    </row>
    <row r="216" spans="5:40" x14ac:dyDescent="0.45">
      <c r="E216" t="s">
        <v>570</v>
      </c>
      <c r="G216" t="s">
        <v>445</v>
      </c>
      <c r="I216" t="s">
        <v>249</v>
      </c>
      <c r="J216" t="s">
        <v>714</v>
      </c>
      <c r="K216">
        <v>2.3817434424810001E-4</v>
      </c>
      <c r="L216" t="s">
        <v>251</v>
      </c>
      <c r="N216" t="s">
        <v>419</v>
      </c>
      <c r="O216" t="s">
        <v>714</v>
      </c>
      <c r="P216">
        <v>2.486752263917E-4</v>
      </c>
      <c r="Q216" t="s">
        <v>251</v>
      </c>
      <c r="S216" t="s">
        <v>420</v>
      </c>
      <c r="T216" t="s">
        <v>714</v>
      </c>
      <c r="U216">
        <v>1.575961240306E-4</v>
      </c>
      <c r="V216" t="s">
        <v>251</v>
      </c>
      <c r="X216">
        <v>1.1415525114155251E-4</v>
      </c>
      <c r="Y216">
        <v>1.4883690094390442E-4</v>
      </c>
      <c r="Z216" t="s">
        <v>714</v>
      </c>
      <c r="AA216" t="s">
        <v>25</v>
      </c>
      <c r="AC216" t="s">
        <v>22</v>
      </c>
      <c r="AD216" t="s">
        <v>714</v>
      </c>
      <c r="AE216">
        <v>1.7884771075277683E-4</v>
      </c>
      <c r="AG216" t="s">
        <v>97</v>
      </c>
      <c r="AH216" t="s">
        <v>714</v>
      </c>
      <c r="AI216">
        <v>0</v>
      </c>
      <c r="AK216">
        <v>2039</v>
      </c>
      <c r="AL216" t="s">
        <v>156</v>
      </c>
      <c r="AM216">
        <v>0.27189999999999998</v>
      </c>
      <c r="AN216" t="s">
        <v>430</v>
      </c>
    </row>
    <row r="217" spans="5:40" x14ac:dyDescent="0.45">
      <c r="E217" t="s">
        <v>571</v>
      </c>
      <c r="G217" t="s">
        <v>445</v>
      </c>
      <c r="I217" t="s">
        <v>249</v>
      </c>
      <c r="J217" t="s">
        <v>715</v>
      </c>
      <c r="K217">
        <v>2.239089359479E-4</v>
      </c>
      <c r="L217" t="s">
        <v>251</v>
      </c>
      <c r="N217" t="s">
        <v>419</v>
      </c>
      <c r="O217" t="s">
        <v>715</v>
      </c>
      <c r="P217">
        <v>2.4210196771079999E-4</v>
      </c>
      <c r="Q217" t="s">
        <v>251</v>
      </c>
      <c r="S217" t="s">
        <v>420</v>
      </c>
      <c r="T217" t="s">
        <v>715</v>
      </c>
      <c r="U217">
        <v>1.612703508766E-4</v>
      </c>
      <c r="V217" t="s">
        <v>251</v>
      </c>
      <c r="X217">
        <v>1.1415525114155251E-4</v>
      </c>
      <c r="Y217">
        <v>1.5049432745775637E-4</v>
      </c>
      <c r="Z217" t="s">
        <v>715</v>
      </c>
      <c r="AA217" t="s">
        <v>25</v>
      </c>
      <c r="AC217" t="s">
        <v>22</v>
      </c>
      <c r="AD217" t="s">
        <v>715</v>
      </c>
      <c r="AE217">
        <v>1.6998252810402272E-4</v>
      </c>
      <c r="AG217" t="s">
        <v>97</v>
      </c>
      <c r="AH217" t="s">
        <v>715</v>
      </c>
      <c r="AI217">
        <v>0</v>
      </c>
      <c r="AK217">
        <v>2039</v>
      </c>
      <c r="AL217" t="s">
        <v>159</v>
      </c>
      <c r="AM217">
        <v>0.26619999999999999</v>
      </c>
      <c r="AN217" t="s">
        <v>430</v>
      </c>
    </row>
    <row r="218" spans="5:40" x14ac:dyDescent="0.45">
      <c r="E218" t="s">
        <v>572</v>
      </c>
      <c r="G218" t="s">
        <v>445</v>
      </c>
      <c r="I218" t="s">
        <v>249</v>
      </c>
      <c r="J218" t="s">
        <v>716</v>
      </c>
      <c r="K218">
        <v>1.984075830012E-4</v>
      </c>
      <c r="L218" t="s">
        <v>251</v>
      </c>
      <c r="N218" t="s">
        <v>419</v>
      </c>
      <c r="O218" t="s">
        <v>716</v>
      </c>
      <c r="P218">
        <v>2.2302214972660001E-4</v>
      </c>
      <c r="Q218" t="s">
        <v>251</v>
      </c>
      <c r="S218" t="s">
        <v>420</v>
      </c>
      <c r="T218" t="s">
        <v>716</v>
      </c>
      <c r="U218">
        <v>1.6114489316479999E-4</v>
      </c>
      <c r="V218" t="s">
        <v>251</v>
      </c>
      <c r="X218">
        <v>1.1415525114155251E-4</v>
      </c>
      <c r="Y218">
        <v>1.7237235744060203E-4</v>
      </c>
      <c r="Z218" t="s">
        <v>716</v>
      </c>
      <c r="AA218" t="s">
        <v>25</v>
      </c>
      <c r="AC218" t="s">
        <v>22</v>
      </c>
      <c r="AD218" t="s">
        <v>716</v>
      </c>
      <c r="AE218">
        <v>1.3430119851887766E-4</v>
      </c>
      <c r="AG218" t="s">
        <v>97</v>
      </c>
      <c r="AH218" t="s">
        <v>716</v>
      </c>
      <c r="AI218">
        <v>0</v>
      </c>
      <c r="AK218">
        <v>2039</v>
      </c>
      <c r="AL218" t="s">
        <v>163</v>
      </c>
      <c r="AM218">
        <v>0.29189999999999999</v>
      </c>
      <c r="AN218" t="s">
        <v>430</v>
      </c>
    </row>
    <row r="219" spans="5:40" x14ac:dyDescent="0.45">
      <c r="E219" t="s">
        <v>573</v>
      </c>
      <c r="G219" t="s">
        <v>445</v>
      </c>
      <c r="I219" t="s">
        <v>249</v>
      </c>
      <c r="J219" t="s">
        <v>717</v>
      </c>
      <c r="K219">
        <v>1.541430318089E-4</v>
      </c>
      <c r="L219" t="s">
        <v>251</v>
      </c>
      <c r="N219" t="s">
        <v>419</v>
      </c>
      <c r="O219" t="s">
        <v>717</v>
      </c>
      <c r="P219">
        <v>2.248306533483E-4</v>
      </c>
      <c r="Q219" t="s">
        <v>251</v>
      </c>
      <c r="S219" t="s">
        <v>420</v>
      </c>
      <c r="T219" t="s">
        <v>717</v>
      </c>
      <c r="U219">
        <v>1.6292579327149999E-4</v>
      </c>
      <c r="V219" t="s">
        <v>251</v>
      </c>
      <c r="X219">
        <v>1.1415525114155251E-4</v>
      </c>
      <c r="Y219">
        <v>2.2209515285616027E-4</v>
      </c>
      <c r="Z219" t="s">
        <v>717</v>
      </c>
      <c r="AA219" t="s">
        <v>25</v>
      </c>
      <c r="AC219" t="s">
        <v>22</v>
      </c>
      <c r="AD219" t="s">
        <v>717</v>
      </c>
      <c r="AE219">
        <v>8.8715197104220973E-5</v>
      </c>
      <c r="AG219" t="s">
        <v>97</v>
      </c>
      <c r="AH219" t="s">
        <v>717</v>
      </c>
      <c r="AI219">
        <v>0</v>
      </c>
      <c r="AK219">
        <v>2039</v>
      </c>
      <c r="AL219" t="s">
        <v>167</v>
      </c>
      <c r="AM219">
        <v>0.41860000000000003</v>
      </c>
      <c r="AN219" t="s">
        <v>430</v>
      </c>
    </row>
    <row r="220" spans="5:40" x14ac:dyDescent="0.45">
      <c r="E220" t="s">
        <v>574</v>
      </c>
      <c r="G220" t="s">
        <v>445</v>
      </c>
      <c r="I220" t="s">
        <v>249</v>
      </c>
      <c r="J220" t="s">
        <v>718</v>
      </c>
      <c r="K220">
        <v>9.4635246970091761E-5</v>
      </c>
      <c r="L220" t="s">
        <v>251</v>
      </c>
      <c r="N220" t="s">
        <v>419</v>
      </c>
      <c r="O220" t="s">
        <v>718</v>
      </c>
      <c r="P220">
        <v>2.3536014892130001E-4</v>
      </c>
      <c r="Q220" t="s">
        <v>251</v>
      </c>
      <c r="S220" t="s">
        <v>420</v>
      </c>
      <c r="T220" t="s">
        <v>718</v>
      </c>
      <c r="U220">
        <v>1.664676977194E-4</v>
      </c>
      <c r="V220" t="s">
        <v>251</v>
      </c>
      <c r="X220">
        <v>1.1415525114155251E-4</v>
      </c>
      <c r="Y220">
        <v>2.2209515285616027E-4</v>
      </c>
      <c r="Z220" t="s">
        <v>718</v>
      </c>
      <c r="AA220" t="s">
        <v>25</v>
      </c>
      <c r="AC220" t="s">
        <v>22</v>
      </c>
      <c r="AD220" t="s">
        <v>718</v>
      </c>
      <c r="AE220">
        <v>5.4917872025679289E-5</v>
      </c>
      <c r="AG220" t="s">
        <v>97</v>
      </c>
      <c r="AH220" t="s">
        <v>718</v>
      </c>
      <c r="AI220">
        <v>0</v>
      </c>
      <c r="AK220">
        <v>2039</v>
      </c>
      <c r="AL220" t="s">
        <v>169</v>
      </c>
      <c r="AM220">
        <v>0.44879999999999998</v>
      </c>
      <c r="AN220" t="s">
        <v>430</v>
      </c>
    </row>
    <row r="221" spans="5:40" x14ac:dyDescent="0.45">
      <c r="E221" t="s">
        <v>575</v>
      </c>
      <c r="G221" t="s">
        <v>445</v>
      </c>
      <c r="I221" t="s">
        <v>249</v>
      </c>
      <c r="J221" t="s">
        <v>719</v>
      </c>
      <c r="K221">
        <v>2.822090409670705E-5</v>
      </c>
      <c r="L221" t="s">
        <v>251</v>
      </c>
      <c r="N221" t="s">
        <v>419</v>
      </c>
      <c r="O221" t="s">
        <v>719</v>
      </c>
      <c r="P221">
        <v>2.5209350272319998E-4</v>
      </c>
      <c r="Q221" t="s">
        <v>251</v>
      </c>
      <c r="S221" t="s">
        <v>420</v>
      </c>
      <c r="T221" t="s">
        <v>719</v>
      </c>
      <c r="U221">
        <v>1.664034153305E-4</v>
      </c>
      <c r="V221" t="s">
        <v>251</v>
      </c>
      <c r="X221">
        <v>1.1415525114155251E-4</v>
      </c>
      <c r="Y221">
        <v>1.7237235744060203E-4</v>
      </c>
      <c r="Z221" t="s">
        <v>719</v>
      </c>
      <c r="AA221" t="s">
        <v>25</v>
      </c>
      <c r="AC221" t="s">
        <v>22</v>
      </c>
      <c r="AD221" t="s">
        <v>719</v>
      </c>
      <c r="AE221">
        <v>5.4840996620028397E-5</v>
      </c>
      <c r="AG221" t="s">
        <v>97</v>
      </c>
      <c r="AH221" t="s">
        <v>719</v>
      </c>
      <c r="AI221">
        <v>0</v>
      </c>
      <c r="AK221">
        <v>2039</v>
      </c>
      <c r="AL221" t="s">
        <v>171</v>
      </c>
      <c r="AM221">
        <v>0.50519999999999998</v>
      </c>
      <c r="AN221" t="s">
        <v>430</v>
      </c>
    </row>
    <row r="222" spans="5:40" x14ac:dyDescent="0.45">
      <c r="E222" t="s">
        <v>576</v>
      </c>
      <c r="G222" t="s">
        <v>445</v>
      </c>
      <c r="I222" t="s">
        <v>249</v>
      </c>
      <c r="J222" t="s">
        <v>720</v>
      </c>
      <c r="K222">
        <v>0</v>
      </c>
      <c r="L222" t="s">
        <v>251</v>
      </c>
      <c r="N222" t="s">
        <v>419</v>
      </c>
      <c r="O222" t="s">
        <v>720</v>
      </c>
      <c r="P222">
        <v>2.5840671559639999E-4</v>
      </c>
      <c r="Q222" t="s">
        <v>251</v>
      </c>
      <c r="S222" t="s">
        <v>420</v>
      </c>
      <c r="T222" t="s">
        <v>720</v>
      </c>
      <c r="U222">
        <v>1.7051926654800001E-4</v>
      </c>
      <c r="V222" t="s">
        <v>251</v>
      </c>
      <c r="X222">
        <v>1.1415525114155251E-4</v>
      </c>
      <c r="Y222">
        <v>1.5579809230208258E-4</v>
      </c>
      <c r="Z222" t="s">
        <v>720</v>
      </c>
      <c r="AA222" t="s">
        <v>25</v>
      </c>
      <c r="AC222" t="s">
        <v>22</v>
      </c>
      <c r="AD222" t="s">
        <v>720</v>
      </c>
      <c r="AE222">
        <v>5.0324288003960878E-5</v>
      </c>
      <c r="AG222" t="s">
        <v>97</v>
      </c>
      <c r="AH222" t="s">
        <v>720</v>
      </c>
      <c r="AI222">
        <v>0</v>
      </c>
      <c r="AK222">
        <v>2039</v>
      </c>
      <c r="AL222" t="s">
        <v>158</v>
      </c>
      <c r="AM222">
        <v>0.62219999999999998</v>
      </c>
      <c r="AN222" t="s">
        <v>430</v>
      </c>
    </row>
    <row r="223" spans="5:40" x14ac:dyDescent="0.45">
      <c r="E223" t="s">
        <v>577</v>
      </c>
      <c r="G223" t="s">
        <v>445</v>
      </c>
      <c r="I223" t="s">
        <v>249</v>
      </c>
      <c r="J223" t="s">
        <v>721</v>
      </c>
      <c r="K223">
        <v>0</v>
      </c>
      <c r="L223" t="s">
        <v>251</v>
      </c>
      <c r="N223" t="s">
        <v>419</v>
      </c>
      <c r="O223" t="s">
        <v>721</v>
      </c>
      <c r="P223">
        <v>2.5414486127610001E-4</v>
      </c>
      <c r="Q223" t="s">
        <v>251</v>
      </c>
      <c r="S223" t="s">
        <v>420</v>
      </c>
      <c r="T223" t="s">
        <v>721</v>
      </c>
      <c r="U223">
        <v>1.706210527805E-4</v>
      </c>
      <c r="V223" t="s">
        <v>251</v>
      </c>
      <c r="X223">
        <v>1.1415525114155251E-4</v>
      </c>
      <c r="Y223">
        <v>1.093901499142282E-4</v>
      </c>
      <c r="Z223" t="s">
        <v>721</v>
      </c>
      <c r="AA223" t="s">
        <v>25</v>
      </c>
      <c r="AC223" t="s">
        <v>22</v>
      </c>
      <c r="AD223" t="s">
        <v>721</v>
      </c>
      <c r="AE223">
        <v>4.9173385191825293E-5</v>
      </c>
      <c r="AG223" t="s">
        <v>97</v>
      </c>
      <c r="AH223" t="s">
        <v>721</v>
      </c>
      <c r="AI223">
        <v>0</v>
      </c>
      <c r="AK223">
        <v>2039</v>
      </c>
      <c r="AL223" t="s">
        <v>162</v>
      </c>
      <c r="AM223">
        <v>0.55089999999999995</v>
      </c>
      <c r="AN223" t="s">
        <v>430</v>
      </c>
    </row>
    <row r="224" spans="5:40" x14ac:dyDescent="0.45">
      <c r="E224" t="s">
        <v>578</v>
      </c>
      <c r="G224" t="s">
        <v>445</v>
      </c>
      <c r="I224" t="s">
        <v>249</v>
      </c>
      <c r="J224" t="s">
        <v>722</v>
      </c>
      <c r="K224">
        <v>0</v>
      </c>
      <c r="L224" t="s">
        <v>251</v>
      </c>
      <c r="N224" t="s">
        <v>419</v>
      </c>
      <c r="O224" t="s">
        <v>722</v>
      </c>
      <c r="P224">
        <v>2.5030531389610001E-4</v>
      </c>
      <c r="Q224" t="s">
        <v>251</v>
      </c>
      <c r="S224" t="s">
        <v>420</v>
      </c>
      <c r="T224" t="s">
        <v>722</v>
      </c>
      <c r="U224">
        <v>1.6867670240689999E-4</v>
      </c>
      <c r="V224" t="s">
        <v>251</v>
      </c>
      <c r="X224">
        <v>1.1415525114155251E-4</v>
      </c>
      <c r="Y224">
        <v>7.9556472664893237E-5</v>
      </c>
      <c r="Z224" t="s">
        <v>722</v>
      </c>
      <c r="AA224" t="s">
        <v>25</v>
      </c>
      <c r="AC224" t="s">
        <v>22</v>
      </c>
      <c r="AD224" t="s">
        <v>722</v>
      </c>
      <c r="AE224">
        <v>5.2177096693778417E-5</v>
      </c>
      <c r="AG224" t="s">
        <v>97</v>
      </c>
      <c r="AH224" t="s">
        <v>722</v>
      </c>
      <c r="AI224">
        <v>0</v>
      </c>
      <c r="AK224">
        <v>2039</v>
      </c>
      <c r="AL224" t="s">
        <v>175</v>
      </c>
      <c r="AM224">
        <v>0.43419999999999997</v>
      </c>
      <c r="AN224" t="s">
        <v>430</v>
      </c>
    </row>
    <row r="225" spans="5:40" x14ac:dyDescent="0.45">
      <c r="E225" t="s">
        <v>579</v>
      </c>
      <c r="G225" t="s">
        <v>445</v>
      </c>
      <c r="I225" t="s">
        <v>249</v>
      </c>
      <c r="J225" t="s">
        <v>723</v>
      </c>
      <c r="K225">
        <v>0</v>
      </c>
      <c r="L225" t="s">
        <v>251</v>
      </c>
      <c r="N225" t="s">
        <v>419</v>
      </c>
      <c r="O225" t="s">
        <v>723</v>
      </c>
      <c r="P225">
        <v>2.433275568798E-4</v>
      </c>
      <c r="Q225" t="s">
        <v>251</v>
      </c>
      <c r="S225" t="s">
        <v>420</v>
      </c>
      <c r="T225" t="s">
        <v>723</v>
      </c>
      <c r="U225">
        <v>1.677568389307E-4</v>
      </c>
      <c r="V225" t="s">
        <v>251</v>
      </c>
      <c r="X225">
        <v>1.1415525114155251E-4</v>
      </c>
      <c r="Y225">
        <v>5.6352501470966035E-5</v>
      </c>
      <c r="Z225" t="s">
        <v>723</v>
      </c>
      <c r="AA225" t="s">
        <v>25</v>
      </c>
      <c r="AC225" t="s">
        <v>22</v>
      </c>
      <c r="AD225" t="s">
        <v>723</v>
      </c>
      <c r="AE225">
        <v>6.4639825499730857E-5</v>
      </c>
      <c r="AG225" t="s">
        <v>97</v>
      </c>
      <c r="AH225" t="s">
        <v>723</v>
      </c>
      <c r="AI225">
        <v>0</v>
      </c>
      <c r="AK225">
        <v>2039</v>
      </c>
      <c r="AL225" t="s">
        <v>166</v>
      </c>
      <c r="AM225">
        <v>0.30220000000000002</v>
      </c>
      <c r="AN225" t="s">
        <v>430</v>
      </c>
    </row>
    <row r="226" spans="5:40" x14ac:dyDescent="0.45">
      <c r="E226" t="s">
        <v>580</v>
      </c>
      <c r="G226" t="s">
        <v>445</v>
      </c>
      <c r="I226" t="s">
        <v>249</v>
      </c>
      <c r="J226" t="s">
        <v>724</v>
      </c>
      <c r="K226">
        <v>0</v>
      </c>
      <c r="L226" t="s">
        <v>251</v>
      </c>
      <c r="N226" t="s">
        <v>419</v>
      </c>
      <c r="O226" t="s">
        <v>724</v>
      </c>
      <c r="P226">
        <v>2.416898982741E-4</v>
      </c>
      <c r="Q226" t="s">
        <v>251</v>
      </c>
      <c r="S226" t="s">
        <v>420</v>
      </c>
      <c r="T226" t="s">
        <v>724</v>
      </c>
      <c r="U226">
        <v>1.7174100174189999E-4</v>
      </c>
      <c r="V226" t="s">
        <v>251</v>
      </c>
      <c r="X226">
        <v>1.1415525114155251E-4</v>
      </c>
      <c r="Y226">
        <v>2.9833677249334962E-5</v>
      </c>
      <c r="Z226" t="s">
        <v>724</v>
      </c>
      <c r="AA226" t="s">
        <v>25</v>
      </c>
      <c r="AC226" t="s">
        <v>22</v>
      </c>
      <c r="AD226" t="s">
        <v>724</v>
      </c>
      <c r="AE226">
        <v>8.0477273200125441E-5</v>
      </c>
      <c r="AG226" t="s">
        <v>97</v>
      </c>
      <c r="AH226" t="s">
        <v>724</v>
      </c>
      <c r="AI226">
        <v>0</v>
      </c>
      <c r="AK226">
        <v>2039</v>
      </c>
      <c r="AL226" t="s">
        <v>178</v>
      </c>
      <c r="AM226">
        <v>0.24940000000000001</v>
      </c>
      <c r="AN226" t="s">
        <v>430</v>
      </c>
    </row>
    <row r="227" spans="5:40" x14ac:dyDescent="0.45">
      <c r="E227" t="s">
        <v>240</v>
      </c>
      <c r="G227" t="s">
        <v>152</v>
      </c>
      <c r="I227" t="s">
        <v>249</v>
      </c>
      <c r="J227" t="s">
        <v>371</v>
      </c>
      <c r="K227">
        <v>6.3403489372097896E-4</v>
      </c>
      <c r="L227" t="s">
        <v>251</v>
      </c>
      <c r="N227" t="s">
        <v>419</v>
      </c>
      <c r="O227" t="s">
        <v>371</v>
      </c>
      <c r="P227">
        <v>1.2435653056473135E-2</v>
      </c>
      <c r="Q227" t="s">
        <v>251</v>
      </c>
      <c r="S227" t="s">
        <v>420</v>
      </c>
      <c r="T227" t="s">
        <v>371</v>
      </c>
      <c r="U227">
        <v>1.5488070688631525E-2</v>
      </c>
      <c r="V227" t="s">
        <v>251</v>
      </c>
      <c r="X227">
        <v>2.4771689497716895E-2</v>
      </c>
      <c r="Y227">
        <v>9.7827942553597048E-3</v>
      </c>
      <c r="Z227" t="s">
        <v>371</v>
      </c>
      <c r="AA227" t="s">
        <v>25</v>
      </c>
      <c r="AC227" t="s">
        <v>22</v>
      </c>
      <c r="AD227" t="s">
        <v>371</v>
      </c>
      <c r="AE227">
        <v>2.3934028632773042E-2</v>
      </c>
      <c r="AG227" t="s">
        <v>97</v>
      </c>
      <c r="AH227" t="s">
        <v>371</v>
      </c>
      <c r="AI227">
        <v>0.13679072694273109</v>
      </c>
      <c r="AK227">
        <v>2040</v>
      </c>
      <c r="AL227" t="s">
        <v>151</v>
      </c>
      <c r="AM227">
        <v>0.25440000000000002</v>
      </c>
      <c r="AN227" t="s">
        <v>430</v>
      </c>
    </row>
    <row r="228" spans="5:40" x14ac:dyDescent="0.45">
      <c r="E228" t="s">
        <v>241</v>
      </c>
      <c r="G228" t="s">
        <v>152</v>
      </c>
      <c r="I228" t="s">
        <v>249</v>
      </c>
      <c r="J228" t="s">
        <v>372</v>
      </c>
      <c r="K228">
        <v>3.8263330103221272E-3</v>
      </c>
      <c r="L228" t="s">
        <v>251</v>
      </c>
      <c r="N228" t="s">
        <v>419</v>
      </c>
      <c r="O228" t="s">
        <v>372</v>
      </c>
      <c r="P228">
        <v>1.3649581269337327E-3</v>
      </c>
      <c r="Q228" t="s">
        <v>251</v>
      </c>
      <c r="S228" t="s">
        <v>420</v>
      </c>
      <c r="T228" t="s">
        <v>372</v>
      </c>
      <c r="U228">
        <v>1.995264486450884E-3</v>
      </c>
      <c r="V228" t="s">
        <v>251</v>
      </c>
      <c r="X228">
        <v>3.5388127853881279E-3</v>
      </c>
      <c r="Y228">
        <v>5.9087255218821738E-3</v>
      </c>
      <c r="Z228" t="s">
        <v>372</v>
      </c>
      <c r="AA228" t="s">
        <v>25</v>
      </c>
      <c r="AC228" t="s">
        <v>22</v>
      </c>
      <c r="AD228" t="s">
        <v>372</v>
      </c>
      <c r="AE228">
        <v>3.9657988848695565E-3</v>
      </c>
      <c r="AG228" t="s">
        <v>97</v>
      </c>
      <c r="AH228" t="s">
        <v>372</v>
      </c>
      <c r="AI228">
        <v>5.6729088378576265E-2</v>
      </c>
      <c r="AK228">
        <v>2040</v>
      </c>
      <c r="AL228" t="s">
        <v>156</v>
      </c>
      <c r="AM228">
        <v>0.2412</v>
      </c>
      <c r="AN228" t="s">
        <v>430</v>
      </c>
    </row>
    <row r="229" spans="5:40" x14ac:dyDescent="0.45">
      <c r="E229" t="s">
        <v>242</v>
      </c>
      <c r="G229" t="s">
        <v>152</v>
      </c>
      <c r="I229" t="s">
        <v>249</v>
      </c>
      <c r="J229" t="s">
        <v>373</v>
      </c>
      <c r="K229">
        <v>6.7150870858792002E-3</v>
      </c>
      <c r="L229" t="s">
        <v>251</v>
      </c>
      <c r="N229" t="s">
        <v>419</v>
      </c>
      <c r="O229" t="s">
        <v>373</v>
      </c>
      <c r="P229">
        <v>1.3225329764351757E-3</v>
      </c>
      <c r="Q229" t="s">
        <v>251</v>
      </c>
      <c r="S229" t="s">
        <v>420</v>
      </c>
      <c r="T229" t="s">
        <v>373</v>
      </c>
      <c r="U229">
        <v>1.9162130597774412E-3</v>
      </c>
      <c r="V229" t="s">
        <v>251</v>
      </c>
      <c r="X229">
        <v>3.5388127853881279E-3</v>
      </c>
      <c r="Y229">
        <v>4.521459529788099E-3</v>
      </c>
      <c r="Z229" t="s">
        <v>373</v>
      </c>
      <c r="AA229" t="s">
        <v>25</v>
      </c>
      <c r="AC229" t="s">
        <v>22</v>
      </c>
      <c r="AD229" t="s">
        <v>373</v>
      </c>
      <c r="AE229">
        <v>4.0884697495620825E-3</v>
      </c>
      <c r="AG229" t="s">
        <v>97</v>
      </c>
      <c r="AH229" t="s">
        <v>373</v>
      </c>
      <c r="AI229">
        <v>5.4226425435626613E-2</v>
      </c>
      <c r="AK229">
        <v>2040</v>
      </c>
      <c r="AL229" t="s">
        <v>159</v>
      </c>
      <c r="AM229">
        <v>0.27050000000000002</v>
      </c>
      <c r="AN229" t="s">
        <v>430</v>
      </c>
    </row>
    <row r="230" spans="5:40" x14ac:dyDescent="0.45">
      <c r="E230" t="s">
        <v>243</v>
      </c>
      <c r="G230" t="s">
        <v>152</v>
      </c>
      <c r="I230" t="s">
        <v>249</v>
      </c>
      <c r="J230" t="s">
        <v>374</v>
      </c>
      <c r="K230">
        <v>8.6003159860488006E-3</v>
      </c>
      <c r="L230" t="s">
        <v>251</v>
      </c>
      <c r="N230" t="s">
        <v>419</v>
      </c>
      <c r="O230" t="s">
        <v>374</v>
      </c>
      <c r="P230">
        <v>1.2776880862943592E-3</v>
      </c>
      <c r="Q230" t="s">
        <v>251</v>
      </c>
      <c r="S230" t="s">
        <v>420</v>
      </c>
      <c r="T230" t="s">
        <v>374</v>
      </c>
      <c r="U230">
        <v>1.8593174914847584E-3</v>
      </c>
      <c r="V230" t="s">
        <v>251</v>
      </c>
      <c r="X230">
        <v>3.5388127853881279E-3</v>
      </c>
      <c r="Y230">
        <v>4.4803553522445696E-3</v>
      </c>
      <c r="Z230" t="s">
        <v>374</v>
      </c>
      <c r="AA230" t="s">
        <v>25</v>
      </c>
      <c r="AC230" t="s">
        <v>22</v>
      </c>
      <c r="AD230" t="s">
        <v>374</v>
      </c>
      <c r="AE230">
        <v>4.1133094186778258E-3</v>
      </c>
      <c r="AG230" t="s">
        <v>97</v>
      </c>
      <c r="AH230" t="s">
        <v>374</v>
      </c>
      <c r="AI230">
        <v>5.6011285725877658E-2</v>
      </c>
      <c r="AK230">
        <v>2040</v>
      </c>
      <c r="AL230" t="s">
        <v>163</v>
      </c>
      <c r="AM230">
        <v>0.28489999999999999</v>
      </c>
      <c r="AN230" t="s">
        <v>430</v>
      </c>
    </row>
    <row r="231" spans="5:40" x14ac:dyDescent="0.45">
      <c r="E231" t="s">
        <v>244</v>
      </c>
      <c r="G231" t="s">
        <v>152</v>
      </c>
      <c r="I231" t="s">
        <v>249</v>
      </c>
      <c r="J231" t="s">
        <v>375</v>
      </c>
      <c r="K231">
        <v>6.1191362657387602E-2</v>
      </c>
      <c r="L231" t="s">
        <v>251</v>
      </c>
      <c r="N231" t="s">
        <v>419</v>
      </c>
      <c r="O231" t="s">
        <v>375</v>
      </c>
      <c r="P231">
        <v>9.5770533182397716E-3</v>
      </c>
      <c r="Q231" t="s">
        <v>251</v>
      </c>
      <c r="S231" t="s">
        <v>420</v>
      </c>
      <c r="T231" t="s">
        <v>375</v>
      </c>
      <c r="U231">
        <v>1.3953211337061788E-2</v>
      </c>
      <c r="V231" t="s">
        <v>251</v>
      </c>
      <c r="X231">
        <v>2.4771689497716895E-2</v>
      </c>
      <c r="Y231">
        <v>3.4650821669194247E-2</v>
      </c>
      <c r="Z231" t="s">
        <v>375</v>
      </c>
      <c r="AA231" t="s">
        <v>25</v>
      </c>
      <c r="AC231" t="s">
        <v>22</v>
      </c>
      <c r="AD231" t="s">
        <v>375</v>
      </c>
      <c r="AE231">
        <v>3.0280118994388212E-2</v>
      </c>
      <c r="AG231" t="s">
        <v>97</v>
      </c>
      <c r="AH231" t="s">
        <v>375</v>
      </c>
      <c r="AI231">
        <v>0.17824252174205646</v>
      </c>
      <c r="AK231">
        <v>2040</v>
      </c>
      <c r="AL231" t="s">
        <v>167</v>
      </c>
      <c r="AM231">
        <v>0.3493</v>
      </c>
      <c r="AN231" t="s">
        <v>430</v>
      </c>
    </row>
    <row r="232" spans="5:40" x14ac:dyDescent="0.45">
      <c r="E232" t="s">
        <v>245</v>
      </c>
      <c r="G232" t="s">
        <v>152</v>
      </c>
      <c r="I232" t="s">
        <v>249</v>
      </c>
      <c r="J232" t="s">
        <v>376</v>
      </c>
      <c r="K232">
        <v>4.3842810569849856E-3</v>
      </c>
      <c r="L232" t="s">
        <v>251</v>
      </c>
      <c r="N232" t="s">
        <v>419</v>
      </c>
      <c r="O232" t="s">
        <v>376</v>
      </c>
      <c r="P232">
        <v>1.6358779065967408E-3</v>
      </c>
      <c r="Q232" t="s">
        <v>251</v>
      </c>
      <c r="S232" t="s">
        <v>420</v>
      </c>
      <c r="T232" t="s">
        <v>376</v>
      </c>
      <c r="U232">
        <v>2.2921375853948737E-3</v>
      </c>
      <c r="V232" t="s">
        <v>251</v>
      </c>
      <c r="X232">
        <v>3.5388127853881279E-3</v>
      </c>
      <c r="Y232">
        <v>6.8849497385409693E-3</v>
      </c>
      <c r="Z232" t="s">
        <v>376</v>
      </c>
      <c r="AA232" t="s">
        <v>25</v>
      </c>
      <c r="AC232" t="s">
        <v>22</v>
      </c>
      <c r="AD232" t="s">
        <v>376</v>
      </c>
      <c r="AE232">
        <v>1.7822153789899473E-3</v>
      </c>
      <c r="AG232" t="s">
        <v>97</v>
      </c>
      <c r="AH232" t="s">
        <v>376</v>
      </c>
      <c r="AI232">
        <v>7.3099190615680376E-2</v>
      </c>
      <c r="AK232">
        <v>2040</v>
      </c>
      <c r="AL232" t="s">
        <v>169</v>
      </c>
      <c r="AM232">
        <v>0.45989999999999998</v>
      </c>
      <c r="AN232" t="s">
        <v>430</v>
      </c>
    </row>
    <row r="233" spans="5:40" x14ac:dyDescent="0.45">
      <c r="E233" t="s">
        <v>246</v>
      </c>
      <c r="G233" t="s">
        <v>152</v>
      </c>
      <c r="I233" t="s">
        <v>249</v>
      </c>
      <c r="J233" t="s">
        <v>377</v>
      </c>
      <c r="K233">
        <v>1.0263553428467634E-3</v>
      </c>
      <c r="L233" t="s">
        <v>251</v>
      </c>
      <c r="N233" t="s">
        <v>419</v>
      </c>
      <c r="O233" t="s">
        <v>377</v>
      </c>
      <c r="P233">
        <v>1.8979731676521288E-3</v>
      </c>
      <c r="Q233" t="s">
        <v>251</v>
      </c>
      <c r="S233" t="s">
        <v>420</v>
      </c>
      <c r="T233" t="s">
        <v>377</v>
      </c>
      <c r="U233">
        <v>2.3093357354052341E-3</v>
      </c>
      <c r="V233" t="s">
        <v>251</v>
      </c>
      <c r="X233">
        <v>3.5388127853881279E-3</v>
      </c>
      <c r="Y233">
        <v>5.3435430806586613E-3</v>
      </c>
      <c r="Z233" t="s">
        <v>377</v>
      </c>
      <c r="AA233" t="s">
        <v>25</v>
      </c>
      <c r="AC233" t="s">
        <v>22</v>
      </c>
      <c r="AD233" t="s">
        <v>377</v>
      </c>
      <c r="AE233">
        <v>1.1503686209911866E-3</v>
      </c>
      <c r="AG233" t="s">
        <v>97</v>
      </c>
      <c r="AH233" t="s">
        <v>377</v>
      </c>
      <c r="AI233">
        <v>3.5983219578911374E-2</v>
      </c>
      <c r="AK233">
        <v>2040</v>
      </c>
      <c r="AL233" t="s">
        <v>171</v>
      </c>
      <c r="AM233">
        <v>0.56399999999999995</v>
      </c>
      <c r="AN233" t="s">
        <v>430</v>
      </c>
    </row>
    <row r="234" spans="5:40" x14ac:dyDescent="0.45">
      <c r="E234" t="s">
        <v>247</v>
      </c>
      <c r="G234" t="s">
        <v>152</v>
      </c>
      <c r="I234" t="s">
        <v>249</v>
      </c>
      <c r="J234" t="s">
        <v>378</v>
      </c>
      <c r="K234">
        <v>0</v>
      </c>
      <c r="L234" t="s">
        <v>251</v>
      </c>
      <c r="N234" t="s">
        <v>419</v>
      </c>
      <c r="O234" t="s">
        <v>378</v>
      </c>
      <c r="P234">
        <v>1.0784711380233942E-2</v>
      </c>
      <c r="Q234" t="s">
        <v>251</v>
      </c>
      <c r="S234" t="s">
        <v>420</v>
      </c>
      <c r="T234" t="s">
        <v>378</v>
      </c>
      <c r="U234">
        <v>1.1047602570597012E-2</v>
      </c>
      <c r="V234" t="s">
        <v>251</v>
      </c>
      <c r="X234">
        <v>1.7694063926940638E-2</v>
      </c>
      <c r="Y234">
        <v>1.3358857701646654E-2</v>
      </c>
      <c r="Z234" t="s">
        <v>378</v>
      </c>
      <c r="AA234" t="s">
        <v>25</v>
      </c>
      <c r="AC234" t="s">
        <v>22</v>
      </c>
      <c r="AD234" t="s">
        <v>378</v>
      </c>
      <c r="AE234">
        <v>6.4498617610390784E-3</v>
      </c>
      <c r="AG234" t="s">
        <v>97</v>
      </c>
      <c r="AH234" t="s">
        <v>378</v>
      </c>
      <c r="AI234">
        <v>0.17538812015677752</v>
      </c>
      <c r="AK234">
        <v>2040</v>
      </c>
      <c r="AL234" t="s">
        <v>158</v>
      </c>
      <c r="AM234">
        <v>0.65269999999999995</v>
      </c>
      <c r="AN234" t="s">
        <v>430</v>
      </c>
    </row>
    <row r="235" spans="5:40" x14ac:dyDescent="0.45">
      <c r="I235" t="s">
        <v>249</v>
      </c>
      <c r="J235" t="s">
        <v>379</v>
      </c>
      <c r="K235">
        <v>1.9482941716715063E-5</v>
      </c>
      <c r="L235" t="s">
        <v>251</v>
      </c>
      <c r="N235" t="s">
        <v>419</v>
      </c>
      <c r="O235" t="s">
        <v>379</v>
      </c>
      <c r="P235">
        <v>1.257992318500274E-2</v>
      </c>
      <c r="Q235" t="s">
        <v>251</v>
      </c>
      <c r="S235" t="s">
        <v>420</v>
      </c>
      <c r="T235" t="s">
        <v>379</v>
      </c>
      <c r="U235">
        <v>1.2930286134160683E-2</v>
      </c>
      <c r="V235" t="s">
        <v>251</v>
      </c>
      <c r="X235">
        <v>2.1575342465753426E-2</v>
      </c>
      <c r="Y235">
        <v>8.5204982224100657E-3</v>
      </c>
      <c r="Z235" t="s">
        <v>379</v>
      </c>
      <c r="AA235" t="s">
        <v>25</v>
      </c>
      <c r="AC235" t="s">
        <v>22</v>
      </c>
      <c r="AD235" t="s">
        <v>379</v>
      </c>
      <c r="AE235">
        <v>1.7919987802606261E-2</v>
      </c>
      <c r="AG235" t="s">
        <v>97</v>
      </c>
      <c r="AH235" t="s">
        <v>379</v>
      </c>
      <c r="AI235">
        <v>0.12028029114922134</v>
      </c>
      <c r="AK235">
        <v>2040</v>
      </c>
      <c r="AL235" t="s">
        <v>162</v>
      </c>
      <c r="AM235">
        <v>0.61629999999999996</v>
      </c>
      <c r="AN235" t="s">
        <v>430</v>
      </c>
    </row>
    <row r="236" spans="5:40" x14ac:dyDescent="0.45">
      <c r="I236" t="s">
        <v>249</v>
      </c>
      <c r="J236" t="s">
        <v>380</v>
      </c>
      <c r="K236">
        <v>2.4388050805400105E-3</v>
      </c>
      <c r="L236" t="s">
        <v>251</v>
      </c>
      <c r="N236" t="s">
        <v>419</v>
      </c>
      <c r="O236" t="s">
        <v>380</v>
      </c>
      <c r="P236">
        <v>1.5185300183489774E-3</v>
      </c>
      <c r="Q236" t="s">
        <v>251</v>
      </c>
      <c r="S236" t="s">
        <v>420</v>
      </c>
      <c r="T236" t="s">
        <v>380</v>
      </c>
      <c r="U236">
        <v>2.084485018544874E-3</v>
      </c>
      <c r="V236" t="s">
        <v>251</v>
      </c>
      <c r="X236">
        <v>3.0821917808219177E-3</v>
      </c>
      <c r="Y236">
        <v>5.146309325510281E-3</v>
      </c>
      <c r="Z236" t="s">
        <v>380</v>
      </c>
      <c r="AA236" t="s">
        <v>25</v>
      </c>
      <c r="AC236" t="s">
        <v>22</v>
      </c>
      <c r="AD236" t="s">
        <v>380</v>
      </c>
      <c r="AE236">
        <v>3.1187479644277545E-3</v>
      </c>
      <c r="AG236" t="s">
        <v>97</v>
      </c>
      <c r="AH236" t="s">
        <v>380</v>
      </c>
      <c r="AI236">
        <v>2.4153766867966553E-2</v>
      </c>
      <c r="AK236">
        <v>2040</v>
      </c>
      <c r="AL236" t="s">
        <v>175</v>
      </c>
      <c r="AM236">
        <v>0.45469999999999999</v>
      </c>
      <c r="AN236" t="s">
        <v>430</v>
      </c>
    </row>
    <row r="237" spans="5:40" x14ac:dyDescent="0.45">
      <c r="I237" t="s">
        <v>249</v>
      </c>
      <c r="J237" t="s">
        <v>381</v>
      </c>
      <c r="K237">
        <v>6.2302626257783001E-3</v>
      </c>
      <c r="L237" t="s">
        <v>251</v>
      </c>
      <c r="N237" t="s">
        <v>419</v>
      </c>
      <c r="O237" t="s">
        <v>381</v>
      </c>
      <c r="P237">
        <v>1.1751603094243596E-3</v>
      </c>
      <c r="Q237" t="s">
        <v>251</v>
      </c>
      <c r="S237" t="s">
        <v>420</v>
      </c>
      <c r="T237" t="s">
        <v>381</v>
      </c>
      <c r="U237">
        <v>2.1082724514727728E-3</v>
      </c>
      <c r="V237" t="s">
        <v>251</v>
      </c>
      <c r="X237">
        <v>3.0821917808219177E-3</v>
      </c>
      <c r="Y237">
        <v>3.9380453969122152E-3</v>
      </c>
      <c r="Z237" t="s">
        <v>381</v>
      </c>
      <c r="AA237" t="s">
        <v>25</v>
      </c>
      <c r="AC237" t="s">
        <v>22</v>
      </c>
      <c r="AD237" t="s">
        <v>381</v>
      </c>
      <c r="AE237">
        <v>3.1517442254966879E-3</v>
      </c>
      <c r="AG237" t="s">
        <v>97</v>
      </c>
      <c r="AH237" t="s">
        <v>381</v>
      </c>
      <c r="AI237">
        <v>3.465439011570326E-2</v>
      </c>
      <c r="AK237">
        <v>2040</v>
      </c>
      <c r="AL237" t="s">
        <v>166</v>
      </c>
      <c r="AM237">
        <v>0.29720000000000002</v>
      </c>
      <c r="AN237" t="s">
        <v>430</v>
      </c>
    </row>
    <row r="238" spans="5:40" x14ac:dyDescent="0.45">
      <c r="I238" t="s">
        <v>249</v>
      </c>
      <c r="J238" t="s">
        <v>382</v>
      </c>
      <c r="K238">
        <v>8.0361261498493996E-3</v>
      </c>
      <c r="L238" t="s">
        <v>251</v>
      </c>
      <c r="N238" t="s">
        <v>419</v>
      </c>
      <c r="O238" t="s">
        <v>382</v>
      </c>
      <c r="P238">
        <v>1.1920917281290373E-3</v>
      </c>
      <c r="Q238" t="s">
        <v>251</v>
      </c>
      <c r="S238" t="s">
        <v>420</v>
      </c>
      <c r="T238" t="s">
        <v>382</v>
      </c>
      <c r="U238">
        <v>2.0871040878634789E-3</v>
      </c>
      <c r="V238" t="s">
        <v>251</v>
      </c>
      <c r="X238">
        <v>3.0821917808219177E-3</v>
      </c>
      <c r="Y238">
        <v>3.9022449842130132E-3</v>
      </c>
      <c r="Z238" t="s">
        <v>382</v>
      </c>
      <c r="AA238" t="s">
        <v>25</v>
      </c>
      <c r="AC238" t="s">
        <v>22</v>
      </c>
      <c r="AD238" t="s">
        <v>382</v>
      </c>
      <c r="AE238">
        <v>3.1576747730949436E-3</v>
      </c>
      <c r="AG238" t="s">
        <v>97</v>
      </c>
      <c r="AH238" t="s">
        <v>382</v>
      </c>
      <c r="AI238">
        <v>3.9998906511269805E-2</v>
      </c>
      <c r="AK238">
        <v>2040</v>
      </c>
      <c r="AL238" t="s">
        <v>178</v>
      </c>
      <c r="AM238">
        <v>0.26290000000000002</v>
      </c>
      <c r="AN238" t="s">
        <v>430</v>
      </c>
    </row>
    <row r="239" spans="5:40" x14ac:dyDescent="0.45">
      <c r="I239" t="s">
        <v>249</v>
      </c>
      <c r="J239" t="s">
        <v>383</v>
      </c>
      <c r="K239">
        <v>5.6334746597909297E-2</v>
      </c>
      <c r="L239" t="s">
        <v>251</v>
      </c>
      <c r="N239" t="s">
        <v>419</v>
      </c>
      <c r="O239" t="s">
        <v>383</v>
      </c>
      <c r="P239">
        <v>6.8616144316667382E-3</v>
      </c>
      <c r="Q239" t="s">
        <v>251</v>
      </c>
      <c r="S239" t="s">
        <v>420</v>
      </c>
      <c r="T239" t="s">
        <v>383</v>
      </c>
      <c r="U239">
        <v>1.0628665359294015E-2</v>
      </c>
      <c r="V239" t="s">
        <v>251</v>
      </c>
      <c r="X239">
        <v>2.1575342465753426E-2</v>
      </c>
      <c r="Y239">
        <v>3.0179747905427243E-2</v>
      </c>
      <c r="Z239" t="s">
        <v>383</v>
      </c>
      <c r="AA239" t="s">
        <v>25</v>
      </c>
      <c r="AC239" t="s">
        <v>22</v>
      </c>
      <c r="AD239" t="s">
        <v>383</v>
      </c>
      <c r="AE239">
        <v>2.2598844475372495E-2</v>
      </c>
      <c r="AG239" t="s">
        <v>97</v>
      </c>
      <c r="AH239" t="s">
        <v>383</v>
      </c>
      <c r="AI239">
        <v>0.17852981474066354</v>
      </c>
      <c r="AK239">
        <v>2041</v>
      </c>
      <c r="AL239" t="s">
        <v>151</v>
      </c>
      <c r="AM239">
        <v>0.1925</v>
      </c>
      <c r="AN239" t="s">
        <v>430</v>
      </c>
    </row>
    <row r="240" spans="5:40" x14ac:dyDescent="0.45">
      <c r="I240" t="s">
        <v>249</v>
      </c>
      <c r="J240" t="s">
        <v>384</v>
      </c>
      <c r="K240">
        <v>3.4330580036791222E-3</v>
      </c>
      <c r="L240" t="s">
        <v>251</v>
      </c>
      <c r="N240" t="s">
        <v>419</v>
      </c>
      <c r="O240" t="s">
        <v>384</v>
      </c>
      <c r="P240">
        <v>1.063943564307882E-3</v>
      </c>
      <c r="Q240" t="s">
        <v>251</v>
      </c>
      <c r="S240" t="s">
        <v>420</v>
      </c>
      <c r="T240" t="s">
        <v>384</v>
      </c>
      <c r="U240">
        <v>1.2555867552981829E-3</v>
      </c>
      <c r="V240" t="s">
        <v>251</v>
      </c>
      <c r="X240">
        <v>3.0821917808219177E-3</v>
      </c>
      <c r="Y240">
        <v>5.9965691271163281E-3</v>
      </c>
      <c r="Z240" t="s">
        <v>384</v>
      </c>
      <c r="AA240" t="s">
        <v>25</v>
      </c>
      <c r="AC240" t="s">
        <v>22</v>
      </c>
      <c r="AD240" t="s">
        <v>384</v>
      </c>
      <c r="AE240">
        <v>1.5380715257964483E-3</v>
      </c>
      <c r="AG240" t="s">
        <v>97</v>
      </c>
      <c r="AH240" t="s">
        <v>384</v>
      </c>
      <c r="AI240">
        <v>3.2589704362540939E-2</v>
      </c>
      <c r="AK240">
        <v>2041</v>
      </c>
      <c r="AL240" t="s">
        <v>156</v>
      </c>
      <c r="AM240">
        <v>0.21129999999999999</v>
      </c>
      <c r="AN240" t="s">
        <v>430</v>
      </c>
    </row>
    <row r="241" spans="9:40" x14ac:dyDescent="0.45">
      <c r="I241" t="s">
        <v>249</v>
      </c>
      <c r="J241" t="s">
        <v>385</v>
      </c>
      <c r="K241">
        <v>5.4434138824243538E-6</v>
      </c>
      <c r="L241" t="s">
        <v>251</v>
      </c>
      <c r="N241" t="s">
        <v>419</v>
      </c>
      <c r="O241" t="s">
        <v>385</v>
      </c>
      <c r="P241">
        <v>1.5088792701476151E-3</v>
      </c>
      <c r="Q241" t="s">
        <v>251</v>
      </c>
      <c r="S241" t="s">
        <v>420</v>
      </c>
      <c r="T241" t="s">
        <v>385</v>
      </c>
      <c r="U241">
        <v>1.3087208857753298E-3</v>
      </c>
      <c r="V241" t="s">
        <v>251</v>
      </c>
      <c r="X241">
        <v>3.0821917808219177E-3</v>
      </c>
      <c r="Y241">
        <v>4.6540536508962536E-3</v>
      </c>
      <c r="Z241" t="s">
        <v>385</v>
      </c>
      <c r="AA241" t="s">
        <v>25</v>
      </c>
      <c r="AC241" t="s">
        <v>22</v>
      </c>
      <c r="AD241" t="s">
        <v>385</v>
      </c>
      <c r="AE241">
        <v>8.8433087509558065E-4</v>
      </c>
      <c r="AG241" t="s">
        <v>97</v>
      </c>
      <c r="AH241" t="s">
        <v>385</v>
      </c>
      <c r="AI241">
        <v>2.5129628290378569E-2</v>
      </c>
      <c r="AK241">
        <v>2041</v>
      </c>
      <c r="AL241" t="s">
        <v>159</v>
      </c>
      <c r="AM241">
        <v>0.2382</v>
      </c>
      <c r="AN241" t="s">
        <v>430</v>
      </c>
    </row>
    <row r="242" spans="9:40" x14ac:dyDescent="0.45">
      <c r="I242" t="s">
        <v>249</v>
      </c>
      <c r="J242" t="s">
        <v>386</v>
      </c>
      <c r="K242">
        <v>0</v>
      </c>
      <c r="L242" t="s">
        <v>251</v>
      </c>
      <c r="N242" t="s">
        <v>419</v>
      </c>
      <c r="O242" t="s">
        <v>386</v>
      </c>
      <c r="P242">
        <v>1.0818441746631395E-2</v>
      </c>
      <c r="Q242" t="s">
        <v>251</v>
      </c>
      <c r="S242" t="s">
        <v>420</v>
      </c>
      <c r="T242" t="s">
        <v>386</v>
      </c>
      <c r="U242">
        <v>7.5707782800127138E-3</v>
      </c>
      <c r="V242" t="s">
        <v>251</v>
      </c>
      <c r="X242">
        <v>1.5410958904109588E-2</v>
      </c>
      <c r="Y242">
        <v>1.1635134127240635E-2</v>
      </c>
      <c r="Z242" t="s">
        <v>386</v>
      </c>
      <c r="AA242" t="s">
        <v>25</v>
      </c>
      <c r="AC242" t="s">
        <v>22</v>
      </c>
      <c r="AD242" t="s">
        <v>386</v>
      </c>
      <c r="AE242">
        <v>4.3190312796155495E-3</v>
      </c>
      <c r="AG242" t="s">
        <v>97</v>
      </c>
      <c r="AH242" t="s">
        <v>386</v>
      </c>
      <c r="AI242">
        <v>0.15813200086576251</v>
      </c>
      <c r="AK242">
        <v>2041</v>
      </c>
      <c r="AL242" t="s">
        <v>163</v>
      </c>
      <c r="AM242">
        <v>0.2394</v>
      </c>
      <c r="AN242" t="s">
        <v>430</v>
      </c>
    </row>
    <row r="243" spans="9:40" x14ac:dyDescent="0.45">
      <c r="I243" t="s">
        <v>249</v>
      </c>
      <c r="J243" t="s">
        <v>725</v>
      </c>
      <c r="K243">
        <v>0</v>
      </c>
      <c r="L243" t="s">
        <v>251</v>
      </c>
      <c r="N243" t="s">
        <v>419</v>
      </c>
      <c r="O243" t="s">
        <v>725</v>
      </c>
      <c r="P243">
        <v>3.935762903476973E-5</v>
      </c>
      <c r="Q243" t="s">
        <v>251</v>
      </c>
      <c r="S243" t="s">
        <v>420</v>
      </c>
      <c r="T243" t="s">
        <v>725</v>
      </c>
      <c r="U243">
        <v>1.365998078695816E-5</v>
      </c>
      <c r="V243" t="s">
        <v>251</v>
      </c>
      <c r="X243">
        <v>1.1415525114155251E-4</v>
      </c>
      <c r="Y243">
        <v>2.1546544680075254E-5</v>
      </c>
      <c r="Z243" t="s">
        <v>725</v>
      </c>
      <c r="AA243" t="s">
        <v>25</v>
      </c>
      <c r="AC243" t="s">
        <v>22</v>
      </c>
      <c r="AD243" t="s">
        <v>725</v>
      </c>
      <c r="AE243">
        <v>4.9039852651837843E-5</v>
      </c>
      <c r="AG243" t="s">
        <v>97</v>
      </c>
      <c r="AH243" t="s">
        <v>725</v>
      </c>
      <c r="AI243">
        <v>0</v>
      </c>
      <c r="AK243">
        <v>2041</v>
      </c>
      <c r="AL243" t="s">
        <v>167</v>
      </c>
      <c r="AM243">
        <v>0.34799999999999998</v>
      </c>
      <c r="AN243" t="s">
        <v>430</v>
      </c>
    </row>
    <row r="244" spans="9:40" x14ac:dyDescent="0.45">
      <c r="I244" t="s">
        <v>249</v>
      </c>
      <c r="J244" t="s">
        <v>726</v>
      </c>
      <c r="K244">
        <v>0</v>
      </c>
      <c r="L244" t="s">
        <v>251</v>
      </c>
      <c r="N244" t="s">
        <v>419</v>
      </c>
      <c r="O244" t="s">
        <v>726</v>
      </c>
      <c r="P244">
        <v>3.4795485332622528E-5</v>
      </c>
      <c r="Q244" t="s">
        <v>251</v>
      </c>
      <c r="S244" t="s">
        <v>420</v>
      </c>
      <c r="T244" t="s">
        <v>726</v>
      </c>
      <c r="U244">
        <v>1.4060861537275903E-5</v>
      </c>
      <c r="V244" t="s">
        <v>251</v>
      </c>
      <c r="X244">
        <v>1.1415525114155251E-4</v>
      </c>
      <c r="Y244">
        <v>1.4916838624667481E-5</v>
      </c>
      <c r="Z244" t="s">
        <v>726</v>
      </c>
      <c r="AA244" t="s">
        <v>25</v>
      </c>
      <c r="AC244" t="s">
        <v>22</v>
      </c>
      <c r="AD244" t="s">
        <v>726</v>
      </c>
      <c r="AE244">
        <v>7.0525971463101294E-5</v>
      </c>
      <c r="AG244" t="s">
        <v>97</v>
      </c>
      <c r="AH244" t="s">
        <v>726</v>
      </c>
      <c r="AI244">
        <v>0</v>
      </c>
      <c r="AK244">
        <v>2041</v>
      </c>
      <c r="AL244" t="s">
        <v>169</v>
      </c>
      <c r="AM244">
        <v>0.39019999999999999</v>
      </c>
      <c r="AN244" t="s">
        <v>430</v>
      </c>
    </row>
    <row r="245" spans="9:40" x14ac:dyDescent="0.45">
      <c r="I245" t="s">
        <v>249</v>
      </c>
      <c r="J245" t="s">
        <v>727</v>
      </c>
      <c r="K245">
        <v>0</v>
      </c>
      <c r="L245" t="s">
        <v>251</v>
      </c>
      <c r="N245" t="s">
        <v>419</v>
      </c>
      <c r="O245" t="s">
        <v>727</v>
      </c>
      <c r="P245">
        <v>3.0638219833611066E-5</v>
      </c>
      <c r="Q245" t="s">
        <v>251</v>
      </c>
      <c r="S245" t="s">
        <v>420</v>
      </c>
      <c r="T245" t="s">
        <v>727</v>
      </c>
      <c r="U245">
        <v>1.5134805183669916E-5</v>
      </c>
      <c r="V245" t="s">
        <v>251</v>
      </c>
      <c r="X245">
        <v>1.1415525114155251E-4</v>
      </c>
      <c r="Y245">
        <v>1.6574265138519424E-5</v>
      </c>
      <c r="Z245" t="s">
        <v>727</v>
      </c>
      <c r="AA245" t="s">
        <v>25</v>
      </c>
      <c r="AC245" t="s">
        <v>22</v>
      </c>
      <c r="AD245" t="s">
        <v>727</v>
      </c>
      <c r="AE245">
        <v>8.7319348120719814E-5</v>
      </c>
      <c r="AG245" t="s">
        <v>97</v>
      </c>
      <c r="AH245" t="s">
        <v>727</v>
      </c>
      <c r="AI245">
        <v>0</v>
      </c>
      <c r="AK245">
        <v>2041</v>
      </c>
      <c r="AL245" t="s">
        <v>171</v>
      </c>
      <c r="AM245">
        <v>0.47620000000000001</v>
      </c>
      <c r="AN245" t="s">
        <v>430</v>
      </c>
    </row>
    <row r="246" spans="9:40" x14ac:dyDescent="0.45">
      <c r="I246" t="s">
        <v>249</v>
      </c>
      <c r="J246" t="s">
        <v>728</v>
      </c>
      <c r="K246">
        <v>0</v>
      </c>
      <c r="L246" t="s">
        <v>251</v>
      </c>
      <c r="N246" t="s">
        <v>419</v>
      </c>
      <c r="O246" t="s">
        <v>728</v>
      </c>
      <c r="P246">
        <v>2.8569576421604493E-5</v>
      </c>
      <c r="Q246" t="s">
        <v>251</v>
      </c>
      <c r="S246" t="s">
        <v>420</v>
      </c>
      <c r="T246" t="s">
        <v>728</v>
      </c>
      <c r="U246">
        <v>1.7152334580932246E-5</v>
      </c>
      <c r="V246" t="s">
        <v>251</v>
      </c>
      <c r="X246">
        <v>1.1415525114155251E-4</v>
      </c>
      <c r="Y246">
        <v>1.4585353321897093E-5</v>
      </c>
      <c r="Z246" t="s">
        <v>728</v>
      </c>
      <c r="AA246" t="s">
        <v>25</v>
      </c>
      <c r="AC246" t="s">
        <v>22</v>
      </c>
      <c r="AD246" t="s">
        <v>728</v>
      </c>
      <c r="AE246">
        <v>9.9688489476314662E-5</v>
      </c>
      <c r="AG246" t="s">
        <v>97</v>
      </c>
      <c r="AH246" t="s">
        <v>728</v>
      </c>
      <c r="AI246">
        <v>0</v>
      </c>
      <c r="AK246">
        <v>2041</v>
      </c>
      <c r="AL246" t="s">
        <v>158</v>
      </c>
      <c r="AM246">
        <v>0.53459999999999996</v>
      </c>
      <c r="AN246" t="s">
        <v>430</v>
      </c>
    </row>
    <row r="247" spans="9:40" x14ac:dyDescent="0.45">
      <c r="I247" t="s">
        <v>249</v>
      </c>
      <c r="J247" t="s">
        <v>729</v>
      </c>
      <c r="K247">
        <v>0</v>
      </c>
      <c r="L247" t="s">
        <v>251</v>
      </c>
      <c r="N247" t="s">
        <v>419</v>
      </c>
      <c r="O247" t="s">
        <v>729</v>
      </c>
      <c r="P247">
        <v>2.9043118825124551E-5</v>
      </c>
      <c r="Q247" t="s">
        <v>251</v>
      </c>
      <c r="S247" t="s">
        <v>420</v>
      </c>
      <c r="T247" t="s">
        <v>729</v>
      </c>
      <c r="U247">
        <v>2.0355393622961117E-5</v>
      </c>
      <c r="V247" t="s">
        <v>251</v>
      </c>
      <c r="X247">
        <v>1.1415525114155251E-4</v>
      </c>
      <c r="Y247">
        <v>2.1215059377304864E-5</v>
      </c>
      <c r="Z247" t="s">
        <v>729</v>
      </c>
      <c r="AA247" t="s">
        <v>25</v>
      </c>
      <c r="AC247" t="s">
        <v>22</v>
      </c>
      <c r="AD247" t="s">
        <v>729</v>
      </c>
      <c r="AE247">
        <v>1.0008066545876553E-4</v>
      </c>
      <c r="AG247" t="s">
        <v>97</v>
      </c>
      <c r="AH247" t="s">
        <v>729</v>
      </c>
      <c r="AI247">
        <v>0</v>
      </c>
      <c r="AK247">
        <v>2041</v>
      </c>
      <c r="AL247" t="s">
        <v>162</v>
      </c>
      <c r="AM247">
        <v>0.5333</v>
      </c>
      <c r="AN247" t="s">
        <v>430</v>
      </c>
    </row>
    <row r="248" spans="9:40" x14ac:dyDescent="0.45">
      <c r="I248" t="s">
        <v>249</v>
      </c>
      <c r="J248" t="s">
        <v>730</v>
      </c>
      <c r="K248">
        <v>0</v>
      </c>
      <c r="L248" t="s">
        <v>251</v>
      </c>
      <c r="N248" t="s">
        <v>419</v>
      </c>
      <c r="O248" t="s">
        <v>730</v>
      </c>
      <c r="P248">
        <v>3.0129463404132262E-5</v>
      </c>
      <c r="Q248" t="s">
        <v>251</v>
      </c>
      <c r="S248" t="s">
        <v>420</v>
      </c>
      <c r="T248" t="s">
        <v>730</v>
      </c>
      <c r="U248">
        <v>2.2263876765215043E-5</v>
      </c>
      <c r="V248" t="s">
        <v>251</v>
      </c>
      <c r="X248">
        <v>1.1415525114155251E-4</v>
      </c>
      <c r="Y248">
        <v>5.7678442682047593E-5</v>
      </c>
      <c r="Z248" t="s">
        <v>730</v>
      </c>
      <c r="AA248" t="s">
        <v>25</v>
      </c>
      <c r="AC248" t="s">
        <v>22</v>
      </c>
      <c r="AD248" t="s">
        <v>730</v>
      </c>
      <c r="AE248">
        <v>1.0456617825804717E-4</v>
      </c>
      <c r="AG248" t="s">
        <v>97</v>
      </c>
      <c r="AH248" t="s">
        <v>730</v>
      </c>
      <c r="AI248">
        <v>0</v>
      </c>
      <c r="AK248">
        <v>2041</v>
      </c>
      <c r="AL248" t="s">
        <v>175</v>
      </c>
      <c r="AM248">
        <v>0.35160000000000002</v>
      </c>
      <c r="AN248" t="s">
        <v>430</v>
      </c>
    </row>
    <row r="249" spans="9:40" x14ac:dyDescent="0.45">
      <c r="I249" t="s">
        <v>249</v>
      </c>
      <c r="J249" t="s">
        <v>731</v>
      </c>
      <c r="K249">
        <v>0</v>
      </c>
      <c r="L249" t="s">
        <v>251</v>
      </c>
      <c r="N249" t="s">
        <v>419</v>
      </c>
      <c r="O249" t="s">
        <v>731</v>
      </c>
      <c r="P249">
        <v>2.9584290321949837E-5</v>
      </c>
      <c r="Q249" t="s">
        <v>251</v>
      </c>
      <c r="S249" t="s">
        <v>420</v>
      </c>
      <c r="T249" t="s">
        <v>731</v>
      </c>
      <c r="U249">
        <v>2.3116202394649577E-5</v>
      </c>
      <c r="V249" t="s">
        <v>251</v>
      </c>
      <c r="X249">
        <v>1.1415525114155251E-4</v>
      </c>
      <c r="Y249">
        <v>1.6905750441289813E-4</v>
      </c>
      <c r="Z249" t="s">
        <v>731</v>
      </c>
      <c r="AA249" t="s">
        <v>25</v>
      </c>
      <c r="AC249" t="s">
        <v>22</v>
      </c>
      <c r="AD249" t="s">
        <v>731</v>
      </c>
      <c r="AE249">
        <v>1.0420185568344081E-4</v>
      </c>
      <c r="AG249" t="s">
        <v>97</v>
      </c>
      <c r="AH249" t="s">
        <v>731</v>
      </c>
      <c r="AI249">
        <v>0</v>
      </c>
      <c r="AK249">
        <v>2041</v>
      </c>
      <c r="AL249" t="s">
        <v>166</v>
      </c>
      <c r="AM249">
        <v>0.2631</v>
      </c>
      <c r="AN249" t="s">
        <v>430</v>
      </c>
    </row>
    <row r="250" spans="9:40" x14ac:dyDescent="0.45">
      <c r="I250" t="s">
        <v>249</v>
      </c>
      <c r="J250" t="s">
        <v>732</v>
      </c>
      <c r="K250">
        <v>5.8571876527496925E-5</v>
      </c>
      <c r="L250" t="s">
        <v>251</v>
      </c>
      <c r="N250" t="s">
        <v>419</v>
      </c>
      <c r="O250" t="s">
        <v>732</v>
      </c>
      <c r="P250">
        <v>2.9097815989346489E-5</v>
      </c>
      <c r="Q250" t="s">
        <v>251</v>
      </c>
      <c r="S250" t="s">
        <v>420</v>
      </c>
      <c r="T250" t="s">
        <v>732</v>
      </c>
      <c r="U250">
        <v>2.2697033092559451E-5</v>
      </c>
      <c r="V250" t="s">
        <v>251</v>
      </c>
      <c r="X250">
        <v>1.1415525114155251E-4</v>
      </c>
      <c r="Y250">
        <v>1.9060404909297337E-4</v>
      </c>
      <c r="Z250" t="s">
        <v>732</v>
      </c>
      <c r="AA250" t="s">
        <v>25</v>
      </c>
      <c r="AC250" t="s">
        <v>22</v>
      </c>
      <c r="AD250" t="s">
        <v>732</v>
      </c>
      <c r="AE250">
        <v>1.0453386830494753E-4</v>
      </c>
      <c r="AG250" t="s">
        <v>97</v>
      </c>
      <c r="AH250" t="s">
        <v>732</v>
      </c>
      <c r="AI250">
        <v>0</v>
      </c>
      <c r="AK250">
        <v>2041</v>
      </c>
      <c r="AL250" t="s">
        <v>178</v>
      </c>
      <c r="AM250">
        <v>0.20330000000000001</v>
      </c>
      <c r="AN250" t="s">
        <v>430</v>
      </c>
    </row>
    <row r="251" spans="9:40" x14ac:dyDescent="0.45">
      <c r="I251" t="s">
        <v>249</v>
      </c>
      <c r="J251" t="s">
        <v>733</v>
      </c>
      <c r="K251">
        <v>2.242598489872E-4</v>
      </c>
      <c r="L251" t="s">
        <v>251</v>
      </c>
      <c r="N251" t="s">
        <v>419</v>
      </c>
      <c r="O251" t="s">
        <v>733</v>
      </c>
      <c r="P251">
        <v>2.2618057248072079E-5</v>
      </c>
      <c r="Q251" t="s">
        <v>251</v>
      </c>
      <c r="S251" t="s">
        <v>420</v>
      </c>
      <c r="T251" t="s">
        <v>733</v>
      </c>
      <c r="U251">
        <v>2.1420998478876377E-5</v>
      </c>
      <c r="V251" t="s">
        <v>251</v>
      </c>
      <c r="X251">
        <v>1.1415525114155251E-4</v>
      </c>
      <c r="Y251">
        <v>1.4585353321897094E-4</v>
      </c>
      <c r="Z251" t="s">
        <v>733</v>
      </c>
      <c r="AA251" t="s">
        <v>25</v>
      </c>
      <c r="AC251" t="s">
        <v>22</v>
      </c>
      <c r="AD251" t="s">
        <v>733</v>
      </c>
      <c r="AE251">
        <v>1.0494832701367399E-4</v>
      </c>
      <c r="AG251" t="s">
        <v>97</v>
      </c>
      <c r="AH251" t="s">
        <v>733</v>
      </c>
      <c r="AI251">
        <v>0</v>
      </c>
      <c r="AK251">
        <v>2042</v>
      </c>
      <c r="AL251" t="s">
        <v>151</v>
      </c>
      <c r="AM251">
        <v>0.19800000000000001</v>
      </c>
      <c r="AN251" t="s">
        <v>430</v>
      </c>
    </row>
    <row r="252" spans="9:40" x14ac:dyDescent="0.45">
      <c r="I252" t="s">
        <v>249</v>
      </c>
      <c r="J252" t="s">
        <v>734</v>
      </c>
      <c r="K252">
        <v>2.965579769977E-4</v>
      </c>
      <c r="L252" t="s">
        <v>251</v>
      </c>
      <c r="N252" t="s">
        <v>419</v>
      </c>
      <c r="O252" t="s">
        <v>734</v>
      </c>
      <c r="P252">
        <v>1.3719333784046096E-5</v>
      </c>
      <c r="Q252" t="s">
        <v>251</v>
      </c>
      <c r="S252" t="s">
        <v>420</v>
      </c>
      <c r="T252" t="s">
        <v>734</v>
      </c>
      <c r="U252">
        <v>1.9253525073950489E-5</v>
      </c>
      <c r="V252" t="s">
        <v>251</v>
      </c>
      <c r="X252">
        <v>1.1415525114155251E-4</v>
      </c>
      <c r="Y252">
        <v>1.4452759200788939E-4</v>
      </c>
      <c r="Z252" t="s">
        <v>734</v>
      </c>
      <c r="AA252" t="s">
        <v>25</v>
      </c>
      <c r="AC252" t="s">
        <v>22</v>
      </c>
      <c r="AD252" t="s">
        <v>734</v>
      </c>
      <c r="AE252">
        <v>1.0494832701367399E-4</v>
      </c>
      <c r="AG252" t="s">
        <v>97</v>
      </c>
      <c r="AH252" t="s">
        <v>734</v>
      </c>
      <c r="AI252">
        <v>0</v>
      </c>
      <c r="AK252">
        <v>2042</v>
      </c>
      <c r="AL252" t="s">
        <v>156</v>
      </c>
      <c r="AM252">
        <v>0.21360000000000001</v>
      </c>
      <c r="AN252" t="s">
        <v>430</v>
      </c>
    </row>
    <row r="253" spans="9:40" x14ac:dyDescent="0.45">
      <c r="I253" t="s">
        <v>249</v>
      </c>
      <c r="J253" t="s">
        <v>735</v>
      </c>
      <c r="K253">
        <v>3.1796359623579998E-4</v>
      </c>
      <c r="L253" t="s">
        <v>251</v>
      </c>
      <c r="N253" t="s">
        <v>419</v>
      </c>
      <c r="O253" t="s">
        <v>735</v>
      </c>
      <c r="P253">
        <v>1.1333003921730668E-5</v>
      </c>
      <c r="Q253" t="s">
        <v>251</v>
      </c>
      <c r="S253" t="s">
        <v>420</v>
      </c>
      <c r="T253" t="s">
        <v>735</v>
      </c>
      <c r="U253">
        <v>1.7127120218570796E-5</v>
      </c>
      <c r="V253" t="s">
        <v>251</v>
      </c>
      <c r="X253">
        <v>1.1415525114155251E-4</v>
      </c>
      <c r="Y253">
        <v>1.408812536774151E-4</v>
      </c>
      <c r="Z253" t="s">
        <v>735</v>
      </c>
      <c r="AA253" t="s">
        <v>25</v>
      </c>
      <c r="AC253" t="s">
        <v>22</v>
      </c>
      <c r="AD253" t="s">
        <v>735</v>
      </c>
      <c r="AE253">
        <v>1.0248162921496325E-4</v>
      </c>
      <c r="AG253" t="s">
        <v>97</v>
      </c>
      <c r="AH253" t="s">
        <v>735</v>
      </c>
      <c r="AI253">
        <v>0</v>
      </c>
      <c r="AK253">
        <v>2042</v>
      </c>
      <c r="AL253" t="s">
        <v>159</v>
      </c>
      <c r="AM253">
        <v>0.2429</v>
      </c>
      <c r="AN253" t="s">
        <v>430</v>
      </c>
    </row>
    <row r="254" spans="9:40" x14ac:dyDescent="0.45">
      <c r="I254" t="s">
        <v>249</v>
      </c>
      <c r="J254" t="s">
        <v>736</v>
      </c>
      <c r="K254">
        <v>3.120233787756E-4</v>
      </c>
      <c r="L254" t="s">
        <v>251</v>
      </c>
      <c r="N254" t="s">
        <v>419</v>
      </c>
      <c r="O254" t="s">
        <v>736</v>
      </c>
      <c r="P254">
        <v>8.9718462920494778E-6</v>
      </c>
      <c r="Q254" t="s">
        <v>251</v>
      </c>
      <c r="S254" t="s">
        <v>420</v>
      </c>
      <c r="T254" t="s">
        <v>736</v>
      </c>
      <c r="U254">
        <v>1.419252924842121E-5</v>
      </c>
      <c r="V254" t="s">
        <v>251</v>
      </c>
      <c r="X254">
        <v>1.1415525114155251E-4</v>
      </c>
      <c r="Y254">
        <v>1.4054976837464471E-4</v>
      </c>
      <c r="Z254" t="s">
        <v>736</v>
      </c>
      <c r="AA254" t="s">
        <v>25</v>
      </c>
      <c r="AC254" t="s">
        <v>22</v>
      </c>
      <c r="AD254" t="s">
        <v>736</v>
      </c>
      <c r="AE254">
        <v>1.085347318077345E-4</v>
      </c>
      <c r="AG254" t="s">
        <v>97</v>
      </c>
      <c r="AH254" t="s">
        <v>736</v>
      </c>
      <c r="AI254">
        <v>0</v>
      </c>
      <c r="AK254">
        <v>2042</v>
      </c>
      <c r="AL254" t="s">
        <v>163</v>
      </c>
      <c r="AM254">
        <v>0.25829999999999997</v>
      </c>
      <c r="AN254" t="s">
        <v>430</v>
      </c>
    </row>
    <row r="255" spans="9:40" x14ac:dyDescent="0.45">
      <c r="I255" t="s">
        <v>249</v>
      </c>
      <c r="J255" t="s">
        <v>737</v>
      </c>
      <c r="K255">
        <v>2.9127840010460002E-4</v>
      </c>
      <c r="L255" t="s">
        <v>251</v>
      </c>
      <c r="N255" t="s">
        <v>419</v>
      </c>
      <c r="O255" t="s">
        <v>737</v>
      </c>
      <c r="P255">
        <v>7.0367390645237935E-6</v>
      </c>
      <c r="Q255" t="s">
        <v>251</v>
      </c>
      <c r="S255" t="s">
        <v>420</v>
      </c>
      <c r="T255" t="s">
        <v>737</v>
      </c>
      <c r="U255">
        <v>1.204726479792184E-5</v>
      </c>
      <c r="V255" t="s">
        <v>251</v>
      </c>
      <c r="X255">
        <v>1.1415525114155251E-4</v>
      </c>
      <c r="Y255">
        <v>1.4253868019126702E-4</v>
      </c>
      <c r="Z255" t="s">
        <v>737</v>
      </c>
      <c r="AA255" t="s">
        <v>25</v>
      </c>
      <c r="AC255" t="s">
        <v>22</v>
      </c>
      <c r="AD255" t="s">
        <v>737</v>
      </c>
      <c r="AE255">
        <v>1.4378154823050504E-4</v>
      </c>
      <c r="AG255" t="s">
        <v>97</v>
      </c>
      <c r="AH255" t="s">
        <v>737</v>
      </c>
      <c r="AI255">
        <v>0</v>
      </c>
      <c r="AK255">
        <v>2042</v>
      </c>
      <c r="AL255" t="s">
        <v>167</v>
      </c>
      <c r="AM255">
        <v>0.30969999999999998</v>
      </c>
      <c r="AN255" t="s">
        <v>430</v>
      </c>
    </row>
    <row r="256" spans="9:40" x14ac:dyDescent="0.45">
      <c r="I256" t="s">
        <v>249</v>
      </c>
      <c r="J256" t="s">
        <v>738</v>
      </c>
      <c r="K256">
        <v>2.9931732888000001E-4</v>
      </c>
      <c r="L256" t="s">
        <v>251</v>
      </c>
      <c r="N256" t="s">
        <v>419</v>
      </c>
      <c r="O256" t="s">
        <v>738</v>
      </c>
      <c r="P256">
        <v>6.445870418563772E-6</v>
      </c>
      <c r="Q256" t="s">
        <v>251</v>
      </c>
      <c r="S256" t="s">
        <v>420</v>
      </c>
      <c r="T256" t="s">
        <v>738</v>
      </c>
      <c r="U256">
        <v>1.1096672331185441E-5</v>
      </c>
      <c r="V256" t="s">
        <v>251</v>
      </c>
      <c r="X256">
        <v>1.1415525114155251E-4</v>
      </c>
      <c r="Y256">
        <v>1.4883690094390442E-4</v>
      </c>
      <c r="Z256" t="s">
        <v>738</v>
      </c>
      <c r="AA256" t="s">
        <v>25</v>
      </c>
      <c r="AC256" t="s">
        <v>22</v>
      </c>
      <c r="AD256" t="s">
        <v>738</v>
      </c>
      <c r="AE256">
        <v>1.4604992976536286E-4</v>
      </c>
      <c r="AG256" t="s">
        <v>97</v>
      </c>
      <c r="AH256" t="s">
        <v>738</v>
      </c>
      <c r="AI256">
        <v>0</v>
      </c>
      <c r="AK256">
        <v>2042</v>
      </c>
      <c r="AL256" t="s">
        <v>169</v>
      </c>
      <c r="AM256">
        <v>0.4103</v>
      </c>
      <c r="AN256" t="s">
        <v>430</v>
      </c>
    </row>
    <row r="257" spans="9:40" x14ac:dyDescent="0.45">
      <c r="I257" t="s">
        <v>249</v>
      </c>
      <c r="J257" t="s">
        <v>739</v>
      </c>
      <c r="K257">
        <v>3.1185250025789999E-4</v>
      </c>
      <c r="L257" t="s">
        <v>251</v>
      </c>
      <c r="N257" t="s">
        <v>419</v>
      </c>
      <c r="O257" t="s">
        <v>739</v>
      </c>
      <c r="P257">
        <v>5.1430354117523359E-6</v>
      </c>
      <c r="Q257" t="s">
        <v>251</v>
      </c>
      <c r="S257" t="s">
        <v>420</v>
      </c>
      <c r="T257" t="s">
        <v>739</v>
      </c>
      <c r="U257">
        <v>1.1081353049011808E-5</v>
      </c>
      <c r="V257" t="s">
        <v>251</v>
      </c>
      <c r="X257">
        <v>1.1415525114155251E-4</v>
      </c>
      <c r="Y257">
        <v>1.5049432745775637E-4</v>
      </c>
      <c r="Z257" t="s">
        <v>739</v>
      </c>
      <c r="AA257" t="s">
        <v>25</v>
      </c>
      <c r="AC257" t="s">
        <v>22</v>
      </c>
      <c r="AD257" t="s">
        <v>739</v>
      </c>
      <c r="AE257">
        <v>1.30645881091029E-4</v>
      </c>
      <c r="AG257" t="s">
        <v>97</v>
      </c>
      <c r="AH257" t="s">
        <v>739</v>
      </c>
      <c r="AI257">
        <v>0</v>
      </c>
      <c r="AK257">
        <v>2042</v>
      </c>
      <c r="AL257" t="s">
        <v>171</v>
      </c>
      <c r="AM257">
        <v>0.41949999999999998</v>
      </c>
      <c r="AN257" t="s">
        <v>430</v>
      </c>
    </row>
    <row r="258" spans="9:40" x14ac:dyDescent="0.45">
      <c r="I258" t="s">
        <v>249</v>
      </c>
      <c r="J258" t="s">
        <v>740</v>
      </c>
      <c r="K258">
        <v>2.9847047536599999E-4</v>
      </c>
      <c r="L258" t="s">
        <v>251</v>
      </c>
      <c r="N258" t="s">
        <v>419</v>
      </c>
      <c r="O258" t="s">
        <v>740</v>
      </c>
      <c r="P258">
        <v>8.1189851373687934E-6</v>
      </c>
      <c r="Q258" t="s">
        <v>251</v>
      </c>
      <c r="S258" t="s">
        <v>420</v>
      </c>
      <c r="T258" t="s">
        <v>740</v>
      </c>
      <c r="U258">
        <v>1.07434358977538E-5</v>
      </c>
      <c r="V258" t="s">
        <v>251</v>
      </c>
      <c r="X258">
        <v>1.1415525114155251E-4</v>
      </c>
      <c r="Y258">
        <v>1.7237235744060203E-4</v>
      </c>
      <c r="Z258" t="s">
        <v>740</v>
      </c>
      <c r="AA258" t="s">
        <v>25</v>
      </c>
      <c r="AC258" t="s">
        <v>22</v>
      </c>
      <c r="AD258" t="s">
        <v>740</v>
      </c>
      <c r="AE258">
        <v>1.160830053335997E-4</v>
      </c>
      <c r="AG258" t="s">
        <v>97</v>
      </c>
      <c r="AH258" t="s">
        <v>740</v>
      </c>
      <c r="AI258">
        <v>0</v>
      </c>
      <c r="AK258">
        <v>2042</v>
      </c>
      <c r="AL258" t="s">
        <v>158</v>
      </c>
      <c r="AM258">
        <v>0.52310000000000001</v>
      </c>
      <c r="AN258" t="s">
        <v>430</v>
      </c>
    </row>
    <row r="259" spans="9:40" x14ac:dyDescent="0.45">
      <c r="I259" t="s">
        <v>249</v>
      </c>
      <c r="J259" t="s">
        <v>741</v>
      </c>
      <c r="K259">
        <v>2.4457837952009999E-4</v>
      </c>
      <c r="L259" t="s">
        <v>251</v>
      </c>
      <c r="N259" t="s">
        <v>419</v>
      </c>
      <c r="O259" t="s">
        <v>741</v>
      </c>
      <c r="P259">
        <v>1.1965597109047418E-5</v>
      </c>
      <c r="Q259" t="s">
        <v>251</v>
      </c>
      <c r="S259" t="s">
        <v>420</v>
      </c>
      <c r="T259" t="s">
        <v>741</v>
      </c>
      <c r="U259">
        <v>1.126429966119509E-5</v>
      </c>
      <c r="V259" t="s">
        <v>251</v>
      </c>
      <c r="X259">
        <v>1.1415525114155251E-4</v>
      </c>
      <c r="Y259">
        <v>2.2209515285616027E-4</v>
      </c>
      <c r="Z259" t="s">
        <v>741</v>
      </c>
      <c r="AA259" t="s">
        <v>25</v>
      </c>
      <c r="AC259" t="s">
        <v>22</v>
      </c>
      <c r="AD259" t="s">
        <v>741</v>
      </c>
      <c r="AE259">
        <v>8.8876910687385414E-5</v>
      </c>
      <c r="AG259" t="s">
        <v>97</v>
      </c>
      <c r="AH259" t="s">
        <v>741</v>
      </c>
      <c r="AI259">
        <v>0</v>
      </c>
      <c r="AK259">
        <v>2042</v>
      </c>
      <c r="AL259" t="s">
        <v>162</v>
      </c>
      <c r="AM259">
        <v>0.50209999999999999</v>
      </c>
      <c r="AN259" t="s">
        <v>430</v>
      </c>
    </row>
    <row r="260" spans="9:40" x14ac:dyDescent="0.45">
      <c r="I260" t="s">
        <v>249</v>
      </c>
      <c r="J260" t="s">
        <v>742</v>
      </c>
      <c r="K260">
        <v>1.205151068409E-4</v>
      </c>
      <c r="L260" t="s">
        <v>251</v>
      </c>
      <c r="N260" t="s">
        <v>419</v>
      </c>
      <c r="O260" t="s">
        <v>742</v>
      </c>
      <c r="P260">
        <v>1.962918937676462E-5</v>
      </c>
      <c r="Q260" t="s">
        <v>251</v>
      </c>
      <c r="S260" t="s">
        <v>420</v>
      </c>
      <c r="T260" t="s">
        <v>742</v>
      </c>
      <c r="U260">
        <v>1.2419493199122414E-5</v>
      </c>
      <c r="V260" t="s">
        <v>251</v>
      </c>
      <c r="X260">
        <v>1.1415525114155251E-4</v>
      </c>
      <c r="Y260">
        <v>2.2209515285616027E-4</v>
      </c>
      <c r="Z260" t="s">
        <v>742</v>
      </c>
      <c r="AA260" t="s">
        <v>25</v>
      </c>
      <c r="AC260" t="s">
        <v>22</v>
      </c>
      <c r="AD260" t="s">
        <v>742</v>
      </c>
      <c r="AE260">
        <v>6.1840164760865871E-5</v>
      </c>
      <c r="AG260" t="s">
        <v>97</v>
      </c>
      <c r="AH260" t="s">
        <v>742</v>
      </c>
      <c r="AI260">
        <v>0</v>
      </c>
      <c r="AK260">
        <v>2042</v>
      </c>
      <c r="AL260" t="s">
        <v>175</v>
      </c>
      <c r="AM260">
        <v>0.35870000000000002</v>
      </c>
      <c r="AN260" t="s">
        <v>430</v>
      </c>
    </row>
    <row r="261" spans="9:40" x14ac:dyDescent="0.45">
      <c r="I261" t="s">
        <v>249</v>
      </c>
      <c r="J261" t="s">
        <v>743</v>
      </c>
      <c r="K261">
        <v>0</v>
      </c>
      <c r="L261" t="s">
        <v>251</v>
      </c>
      <c r="N261" t="s">
        <v>419</v>
      </c>
      <c r="O261" t="s">
        <v>743</v>
      </c>
      <c r="P261">
        <v>3.3727519452355754E-5</v>
      </c>
      <c r="Q261" t="s">
        <v>251</v>
      </c>
      <c r="S261" t="s">
        <v>420</v>
      </c>
      <c r="T261" t="s">
        <v>743</v>
      </c>
      <c r="U261">
        <v>1.4805462352881671E-5</v>
      </c>
      <c r="V261" t="s">
        <v>251</v>
      </c>
      <c r="X261">
        <v>1.1415525114155251E-4</v>
      </c>
      <c r="Y261">
        <v>1.7237235744060203E-4</v>
      </c>
      <c r="Z261" t="s">
        <v>743</v>
      </c>
      <c r="AA261" t="s">
        <v>25</v>
      </c>
      <c r="AC261" t="s">
        <v>22</v>
      </c>
      <c r="AD261" t="s">
        <v>743</v>
      </c>
      <c r="AE261">
        <v>3.161141829536422E-5</v>
      </c>
      <c r="AG261" t="s">
        <v>97</v>
      </c>
      <c r="AH261" t="s">
        <v>743</v>
      </c>
      <c r="AI261">
        <v>0</v>
      </c>
      <c r="AK261">
        <v>2042</v>
      </c>
      <c r="AL261" t="s">
        <v>166</v>
      </c>
      <c r="AM261">
        <v>0.24540000000000001</v>
      </c>
      <c r="AN261" t="s">
        <v>430</v>
      </c>
    </row>
    <row r="262" spans="9:40" x14ac:dyDescent="0.45">
      <c r="I262" t="s">
        <v>249</v>
      </c>
      <c r="J262" t="s">
        <v>744</v>
      </c>
      <c r="K262">
        <v>0</v>
      </c>
      <c r="L262" t="s">
        <v>251</v>
      </c>
      <c r="N262" t="s">
        <v>419</v>
      </c>
      <c r="O262" t="s">
        <v>744</v>
      </c>
      <c r="P262">
        <v>4.3018706797495403E-5</v>
      </c>
      <c r="Q262" t="s">
        <v>251</v>
      </c>
      <c r="S262" t="s">
        <v>420</v>
      </c>
      <c r="T262" t="s">
        <v>744</v>
      </c>
      <c r="U262">
        <v>1.6639064352424798E-5</v>
      </c>
      <c r="V262" t="s">
        <v>251</v>
      </c>
      <c r="X262">
        <v>1.1415525114155251E-4</v>
      </c>
      <c r="Y262">
        <v>1.5579809230208258E-4</v>
      </c>
      <c r="Z262" t="s">
        <v>744</v>
      </c>
      <c r="AA262" t="s">
        <v>25</v>
      </c>
      <c r="AC262" t="s">
        <v>22</v>
      </c>
      <c r="AD262" t="s">
        <v>744</v>
      </c>
      <c r="AE262">
        <v>2.6505331569306639E-5</v>
      </c>
      <c r="AG262" t="s">
        <v>97</v>
      </c>
      <c r="AH262" t="s">
        <v>744</v>
      </c>
      <c r="AI262">
        <v>0</v>
      </c>
      <c r="AK262">
        <v>2042</v>
      </c>
      <c r="AL262" t="s">
        <v>178</v>
      </c>
      <c r="AM262">
        <v>0.19450000000000001</v>
      </c>
      <c r="AN262" t="s">
        <v>430</v>
      </c>
    </row>
    <row r="263" spans="9:40" x14ac:dyDescent="0.45">
      <c r="I263" t="s">
        <v>249</v>
      </c>
      <c r="J263" t="s">
        <v>745</v>
      </c>
      <c r="K263">
        <v>0</v>
      </c>
      <c r="L263" t="s">
        <v>251</v>
      </c>
      <c r="N263" t="s">
        <v>419</v>
      </c>
      <c r="O263" t="s">
        <v>745</v>
      </c>
      <c r="P263">
        <v>4.9610002295559021E-5</v>
      </c>
      <c r="Q263" t="s">
        <v>251</v>
      </c>
      <c r="S263" t="s">
        <v>420</v>
      </c>
      <c r="T263" t="s">
        <v>745</v>
      </c>
      <c r="U263">
        <v>1.7736615493564994E-5</v>
      </c>
      <c r="V263" t="s">
        <v>251</v>
      </c>
      <c r="X263">
        <v>1.1415525114155251E-4</v>
      </c>
      <c r="Y263">
        <v>1.093901499142282E-4</v>
      </c>
      <c r="Z263" t="s">
        <v>745</v>
      </c>
      <c r="AA263" t="s">
        <v>25</v>
      </c>
      <c r="AC263" t="s">
        <v>22</v>
      </c>
      <c r="AD263" t="s">
        <v>745</v>
      </c>
      <c r="AE263">
        <v>2.6342667667494635E-5</v>
      </c>
      <c r="AG263" t="s">
        <v>97</v>
      </c>
      <c r="AH263" t="s">
        <v>745</v>
      </c>
      <c r="AI263">
        <v>0</v>
      </c>
      <c r="AK263">
        <v>2043</v>
      </c>
      <c r="AL263" t="s">
        <v>151</v>
      </c>
      <c r="AM263">
        <v>0.2208</v>
      </c>
      <c r="AN263" t="s">
        <v>430</v>
      </c>
    </row>
    <row r="264" spans="9:40" x14ac:dyDescent="0.45">
      <c r="I264" t="s">
        <v>249</v>
      </c>
      <c r="J264" t="s">
        <v>746</v>
      </c>
      <c r="K264">
        <v>0</v>
      </c>
      <c r="L264" t="s">
        <v>251</v>
      </c>
      <c r="N264" t="s">
        <v>419</v>
      </c>
      <c r="O264" t="s">
        <v>746</v>
      </c>
      <c r="P264">
        <v>5.2018718690256927E-5</v>
      </c>
      <c r="Q264" t="s">
        <v>251</v>
      </c>
      <c r="S264" t="s">
        <v>420</v>
      </c>
      <c r="T264" t="s">
        <v>746</v>
      </c>
      <c r="U264">
        <v>1.8469363000874042E-5</v>
      </c>
      <c r="V264" t="s">
        <v>251</v>
      </c>
      <c r="X264">
        <v>1.1415525114155251E-4</v>
      </c>
      <c r="Y264">
        <v>7.9556472664893237E-5</v>
      </c>
      <c r="Z264" t="s">
        <v>746</v>
      </c>
      <c r="AA264" t="s">
        <v>25</v>
      </c>
      <c r="AC264" t="s">
        <v>22</v>
      </c>
      <c r="AD264" t="s">
        <v>746</v>
      </c>
      <c r="AE264">
        <v>2.680392010139988E-5</v>
      </c>
      <c r="AG264" t="s">
        <v>97</v>
      </c>
      <c r="AH264" t="s">
        <v>746</v>
      </c>
      <c r="AI264">
        <v>0</v>
      </c>
      <c r="AK264">
        <v>2043</v>
      </c>
      <c r="AL264" t="s">
        <v>156</v>
      </c>
      <c r="AM264">
        <v>0.2298</v>
      </c>
      <c r="AN264" t="s">
        <v>430</v>
      </c>
    </row>
    <row r="265" spans="9:40" x14ac:dyDescent="0.45">
      <c r="I265" t="s">
        <v>249</v>
      </c>
      <c r="J265" t="s">
        <v>747</v>
      </c>
      <c r="K265">
        <v>0</v>
      </c>
      <c r="L265" t="s">
        <v>251</v>
      </c>
      <c r="N265" t="s">
        <v>419</v>
      </c>
      <c r="O265" t="s">
        <v>747</v>
      </c>
      <c r="P265">
        <v>4.8921046431114719E-5</v>
      </c>
      <c r="Q265" t="s">
        <v>251</v>
      </c>
      <c r="S265" t="s">
        <v>420</v>
      </c>
      <c r="T265" t="s">
        <v>747</v>
      </c>
      <c r="U265">
        <v>1.877274494947517E-5</v>
      </c>
      <c r="V265" t="s">
        <v>251</v>
      </c>
      <c r="X265">
        <v>1.1415525114155251E-4</v>
      </c>
      <c r="Y265">
        <v>5.6352501470966035E-5</v>
      </c>
      <c r="Z265" t="s">
        <v>747</v>
      </c>
      <c r="AA265" t="s">
        <v>25</v>
      </c>
      <c r="AC265" t="s">
        <v>22</v>
      </c>
      <c r="AD265" t="s">
        <v>747</v>
      </c>
      <c r="AE265">
        <v>3.1195845450323948E-5</v>
      </c>
      <c r="AG265" t="s">
        <v>97</v>
      </c>
      <c r="AH265" t="s">
        <v>747</v>
      </c>
      <c r="AI265">
        <v>0</v>
      </c>
      <c r="AK265">
        <v>2043</v>
      </c>
      <c r="AL265" t="s">
        <v>159</v>
      </c>
      <c r="AM265">
        <v>0.2472</v>
      </c>
      <c r="AN265" t="s">
        <v>430</v>
      </c>
    </row>
    <row r="266" spans="9:40" x14ac:dyDescent="0.45">
      <c r="I266" t="s">
        <v>249</v>
      </c>
      <c r="J266" t="s">
        <v>748</v>
      </c>
      <c r="K266">
        <v>0</v>
      </c>
      <c r="L266" t="s">
        <v>251</v>
      </c>
      <c r="N266" t="s">
        <v>419</v>
      </c>
      <c r="O266" t="s">
        <v>748</v>
      </c>
      <c r="P266">
        <v>4.1840329442794611E-5</v>
      </c>
      <c r="Q266" t="s">
        <v>251</v>
      </c>
      <c r="S266" t="s">
        <v>420</v>
      </c>
      <c r="T266" t="s">
        <v>748</v>
      </c>
      <c r="U266">
        <v>1.8766694120802763E-5</v>
      </c>
      <c r="V266" t="s">
        <v>251</v>
      </c>
      <c r="X266">
        <v>1.1415525114155251E-4</v>
      </c>
      <c r="Y266">
        <v>2.9833677249334962E-5</v>
      </c>
      <c r="Z266" t="s">
        <v>748</v>
      </c>
      <c r="AA266" t="s">
        <v>25</v>
      </c>
      <c r="AC266" t="s">
        <v>22</v>
      </c>
      <c r="AD266" t="s">
        <v>748</v>
      </c>
      <c r="AE266">
        <v>5.1369511683953552E-5</v>
      </c>
      <c r="AG266" t="s">
        <v>97</v>
      </c>
      <c r="AH266" t="s">
        <v>748</v>
      </c>
      <c r="AI266">
        <v>0</v>
      </c>
      <c r="AK266">
        <v>2043</v>
      </c>
      <c r="AL266" t="s">
        <v>163</v>
      </c>
      <c r="AM266">
        <v>0.25059999999999999</v>
      </c>
      <c r="AN266" t="s">
        <v>430</v>
      </c>
    </row>
    <row r="267" spans="9:40" x14ac:dyDescent="0.45">
      <c r="I267" t="s">
        <v>249</v>
      </c>
      <c r="J267" t="s">
        <v>749</v>
      </c>
      <c r="K267">
        <v>0</v>
      </c>
      <c r="L267" t="s">
        <v>251</v>
      </c>
      <c r="N267" t="s">
        <v>419</v>
      </c>
      <c r="O267" t="s">
        <v>749</v>
      </c>
      <c r="P267">
        <v>3.5160312899149254E-5</v>
      </c>
      <c r="Q267" t="s">
        <v>251</v>
      </c>
      <c r="S267" t="s">
        <v>420</v>
      </c>
      <c r="T267" t="s">
        <v>749</v>
      </c>
      <c r="U267">
        <v>1.8929498405115669E-5</v>
      </c>
      <c r="V267" t="s">
        <v>251</v>
      </c>
      <c r="X267">
        <v>1.1415525114155251E-4</v>
      </c>
      <c r="Y267">
        <v>2.1546544680075254E-5</v>
      </c>
      <c r="Z267" t="s">
        <v>749</v>
      </c>
      <c r="AA267" t="s">
        <v>25</v>
      </c>
      <c r="AC267" t="s">
        <v>22</v>
      </c>
      <c r="AD267" t="s">
        <v>749</v>
      </c>
      <c r="AE267">
        <v>5.4153738332091885E-5</v>
      </c>
      <c r="AG267" t="s">
        <v>97</v>
      </c>
      <c r="AH267" t="s">
        <v>749</v>
      </c>
      <c r="AI267">
        <v>0</v>
      </c>
      <c r="AK267">
        <v>2043</v>
      </c>
      <c r="AL267" t="s">
        <v>167</v>
      </c>
      <c r="AM267">
        <v>0.31540000000000001</v>
      </c>
      <c r="AN267" t="s">
        <v>430</v>
      </c>
    </row>
    <row r="268" spans="9:40" x14ac:dyDescent="0.45">
      <c r="I268" t="s">
        <v>249</v>
      </c>
      <c r="J268" t="s">
        <v>750</v>
      </c>
      <c r="K268">
        <v>0</v>
      </c>
      <c r="L268" t="s">
        <v>251</v>
      </c>
      <c r="N268" t="s">
        <v>419</v>
      </c>
      <c r="O268" t="s">
        <v>750</v>
      </c>
      <c r="P268">
        <v>3.1008962699759718E-5</v>
      </c>
      <c r="Q268" t="s">
        <v>251</v>
      </c>
      <c r="S268" t="s">
        <v>420</v>
      </c>
      <c r="T268" t="s">
        <v>750</v>
      </c>
      <c r="U268">
        <v>1.9714458016674041E-5</v>
      </c>
      <c r="V268" t="s">
        <v>251</v>
      </c>
      <c r="X268">
        <v>1.1415525114155251E-4</v>
      </c>
      <c r="Y268">
        <v>1.4916838624667481E-5</v>
      </c>
      <c r="Z268" t="s">
        <v>750</v>
      </c>
      <c r="AA268" t="s">
        <v>25</v>
      </c>
      <c r="AC268" t="s">
        <v>22</v>
      </c>
      <c r="AD268" t="s">
        <v>750</v>
      </c>
      <c r="AE268">
        <v>7.1516438646052421E-5</v>
      </c>
      <c r="AG268" t="s">
        <v>97</v>
      </c>
      <c r="AH268" t="s">
        <v>750</v>
      </c>
      <c r="AI268">
        <v>0</v>
      </c>
      <c r="AK268">
        <v>2043</v>
      </c>
      <c r="AL268" t="s">
        <v>169</v>
      </c>
      <c r="AM268">
        <v>0.36009999999999998</v>
      </c>
      <c r="AN268" t="s">
        <v>430</v>
      </c>
    </row>
    <row r="269" spans="9:40" x14ac:dyDescent="0.45">
      <c r="I269" t="s">
        <v>249</v>
      </c>
      <c r="J269" t="s">
        <v>751</v>
      </c>
      <c r="K269">
        <v>0</v>
      </c>
      <c r="L269" t="s">
        <v>251</v>
      </c>
      <c r="N269" t="s">
        <v>419</v>
      </c>
      <c r="O269" t="s">
        <v>751</v>
      </c>
      <c r="P269">
        <v>2.680969511545744E-5</v>
      </c>
      <c r="Q269" t="s">
        <v>251</v>
      </c>
      <c r="S269" t="s">
        <v>420</v>
      </c>
      <c r="T269" t="s">
        <v>751</v>
      </c>
      <c r="U269">
        <v>2.3050557201238001E-5</v>
      </c>
      <c r="V269" t="s">
        <v>251</v>
      </c>
      <c r="X269">
        <v>1.1415525114155251E-4</v>
      </c>
      <c r="Y269">
        <v>1.6574265138519424E-5</v>
      </c>
      <c r="Z269" t="s">
        <v>751</v>
      </c>
      <c r="AA269" t="s">
        <v>25</v>
      </c>
      <c r="AC269" t="s">
        <v>22</v>
      </c>
      <c r="AD269" t="s">
        <v>751</v>
      </c>
      <c r="AE269">
        <v>9.4409711621621083E-5</v>
      </c>
      <c r="AG269" t="s">
        <v>97</v>
      </c>
      <c r="AH269" t="s">
        <v>751</v>
      </c>
      <c r="AI269">
        <v>0</v>
      </c>
      <c r="AK269">
        <v>2043</v>
      </c>
      <c r="AL269" t="s">
        <v>171</v>
      </c>
      <c r="AM269">
        <v>0.46500000000000002</v>
      </c>
      <c r="AN269" t="s">
        <v>430</v>
      </c>
    </row>
    <row r="270" spans="9:40" x14ac:dyDescent="0.45">
      <c r="I270" t="s">
        <v>249</v>
      </c>
      <c r="J270" t="s">
        <v>752</v>
      </c>
      <c r="K270">
        <v>0</v>
      </c>
      <c r="L270" t="s">
        <v>251</v>
      </c>
      <c r="N270" t="s">
        <v>419</v>
      </c>
      <c r="O270" t="s">
        <v>752</v>
      </c>
      <c r="P270">
        <v>2.1790081144309824E-5</v>
      </c>
      <c r="Q270" t="s">
        <v>251</v>
      </c>
      <c r="S270" t="s">
        <v>420</v>
      </c>
      <c r="T270" t="s">
        <v>752</v>
      </c>
      <c r="U270">
        <v>2.562845271394715E-5</v>
      </c>
      <c r="V270" t="s">
        <v>251</v>
      </c>
      <c r="X270">
        <v>1.1415525114155251E-4</v>
      </c>
      <c r="Y270">
        <v>1.4585353321897093E-5</v>
      </c>
      <c r="Z270" t="s">
        <v>752</v>
      </c>
      <c r="AA270" t="s">
        <v>25</v>
      </c>
      <c r="AC270" t="s">
        <v>22</v>
      </c>
      <c r="AD270" t="s">
        <v>752</v>
      </c>
      <c r="AE270">
        <v>1.0512436055125139E-4</v>
      </c>
      <c r="AG270" t="s">
        <v>97</v>
      </c>
      <c r="AH270" t="s">
        <v>752</v>
      </c>
      <c r="AI270">
        <v>0</v>
      </c>
      <c r="AK270">
        <v>2043</v>
      </c>
      <c r="AL270" t="s">
        <v>158</v>
      </c>
      <c r="AM270">
        <v>0.58960000000000001</v>
      </c>
      <c r="AN270" t="s">
        <v>430</v>
      </c>
    </row>
    <row r="271" spans="9:40" x14ac:dyDescent="0.45">
      <c r="I271" t="s">
        <v>249</v>
      </c>
      <c r="J271" t="s">
        <v>753</v>
      </c>
      <c r="K271">
        <v>0</v>
      </c>
      <c r="L271" t="s">
        <v>251</v>
      </c>
      <c r="N271" t="s">
        <v>419</v>
      </c>
      <c r="O271" t="s">
        <v>753</v>
      </c>
      <c r="P271">
        <v>2.0513799018566001E-5</v>
      </c>
      <c r="Q271" t="s">
        <v>251</v>
      </c>
      <c r="S271" t="s">
        <v>420</v>
      </c>
      <c r="T271" t="s">
        <v>753</v>
      </c>
      <c r="U271">
        <v>2.8365804331302863E-5</v>
      </c>
      <c r="V271" t="s">
        <v>251</v>
      </c>
      <c r="X271">
        <v>1.1415525114155251E-4</v>
      </c>
      <c r="Y271">
        <v>2.1215059377304864E-5</v>
      </c>
      <c r="Z271" t="s">
        <v>753</v>
      </c>
      <c r="AA271" t="s">
        <v>25</v>
      </c>
      <c r="AC271" t="s">
        <v>22</v>
      </c>
      <c r="AD271" t="s">
        <v>753</v>
      </c>
      <c r="AE271">
        <v>1.0786179347421087E-4</v>
      </c>
      <c r="AG271" t="s">
        <v>97</v>
      </c>
      <c r="AH271" t="s">
        <v>753</v>
      </c>
      <c r="AI271">
        <v>0</v>
      </c>
      <c r="AK271">
        <v>2043</v>
      </c>
      <c r="AL271" t="s">
        <v>162</v>
      </c>
      <c r="AM271">
        <v>0.51419999999999999</v>
      </c>
      <c r="AN271" t="s">
        <v>430</v>
      </c>
    </row>
    <row r="272" spans="9:40" x14ac:dyDescent="0.45">
      <c r="I272" t="s">
        <v>249</v>
      </c>
      <c r="J272" t="s">
        <v>754</v>
      </c>
      <c r="K272">
        <v>0</v>
      </c>
      <c r="L272" t="s">
        <v>251</v>
      </c>
      <c r="N272" t="s">
        <v>419</v>
      </c>
      <c r="O272" t="s">
        <v>754</v>
      </c>
      <c r="P272">
        <v>2.05708853061192E-5</v>
      </c>
      <c r="Q272" t="s">
        <v>251</v>
      </c>
      <c r="S272" t="s">
        <v>420</v>
      </c>
      <c r="T272" t="s">
        <v>754</v>
      </c>
      <c r="U272">
        <v>2.979793391887108E-5</v>
      </c>
      <c r="V272" t="s">
        <v>251</v>
      </c>
      <c r="X272">
        <v>1.1415525114155251E-4</v>
      </c>
      <c r="Y272">
        <v>5.7678442682047593E-5</v>
      </c>
      <c r="Z272" t="s">
        <v>754</v>
      </c>
      <c r="AA272" t="s">
        <v>25</v>
      </c>
      <c r="AC272" t="s">
        <v>22</v>
      </c>
      <c r="AD272" t="s">
        <v>754</v>
      </c>
      <c r="AE272">
        <v>1.2003373270226654E-4</v>
      </c>
      <c r="AG272" t="s">
        <v>97</v>
      </c>
      <c r="AH272" t="s">
        <v>754</v>
      </c>
      <c r="AI272">
        <v>0</v>
      </c>
      <c r="AK272">
        <v>2043</v>
      </c>
      <c r="AL272" t="s">
        <v>175</v>
      </c>
      <c r="AM272">
        <v>0.39229999999999998</v>
      </c>
      <c r="AN272" t="s">
        <v>430</v>
      </c>
    </row>
    <row r="273" spans="9:40" x14ac:dyDescent="0.45">
      <c r="I273" t="s">
        <v>249</v>
      </c>
      <c r="J273" t="s">
        <v>755</v>
      </c>
      <c r="K273">
        <v>0</v>
      </c>
      <c r="L273" t="s">
        <v>251</v>
      </c>
      <c r="N273" t="s">
        <v>419</v>
      </c>
      <c r="O273" t="s">
        <v>755</v>
      </c>
      <c r="P273">
        <v>2.2058526096563758E-5</v>
      </c>
      <c r="Q273" t="s">
        <v>251</v>
      </c>
      <c r="S273" t="s">
        <v>420</v>
      </c>
      <c r="T273" t="s">
        <v>755</v>
      </c>
      <c r="U273">
        <v>3.0036772770069958E-5</v>
      </c>
      <c r="V273" t="s">
        <v>251</v>
      </c>
      <c r="X273">
        <v>1.1415525114155251E-4</v>
      </c>
      <c r="Y273">
        <v>1.6905750441289813E-4</v>
      </c>
      <c r="Z273" t="s">
        <v>755</v>
      </c>
      <c r="AA273" t="s">
        <v>25</v>
      </c>
      <c r="AC273" t="s">
        <v>22</v>
      </c>
      <c r="AD273" t="s">
        <v>755</v>
      </c>
      <c r="AE273">
        <v>1.1966941012766018E-4</v>
      </c>
      <c r="AG273" t="s">
        <v>97</v>
      </c>
      <c r="AH273" t="s">
        <v>755</v>
      </c>
      <c r="AI273">
        <v>0</v>
      </c>
      <c r="AK273">
        <v>2043</v>
      </c>
      <c r="AL273" t="s">
        <v>166</v>
      </c>
      <c r="AM273">
        <v>0.26550000000000001</v>
      </c>
      <c r="AN273" t="s">
        <v>430</v>
      </c>
    </row>
    <row r="274" spans="9:40" x14ac:dyDescent="0.45">
      <c r="I274" t="s">
        <v>249</v>
      </c>
      <c r="J274" t="s">
        <v>756</v>
      </c>
      <c r="K274">
        <v>5.731483845233788E-5</v>
      </c>
      <c r="L274" t="s">
        <v>251</v>
      </c>
      <c r="N274" t="s">
        <v>419</v>
      </c>
      <c r="O274" t="s">
        <v>756</v>
      </c>
      <c r="P274">
        <v>2.32529567477773E-5</v>
      </c>
      <c r="Q274" t="s">
        <v>251</v>
      </c>
      <c r="S274" t="s">
        <v>420</v>
      </c>
      <c r="T274" t="s">
        <v>756</v>
      </c>
      <c r="U274">
        <v>3.1245567009507505E-5</v>
      </c>
      <c r="V274" t="s">
        <v>251</v>
      </c>
      <c r="X274">
        <v>1.1415525114155251E-4</v>
      </c>
      <c r="Y274">
        <v>1.9060404909297337E-4</v>
      </c>
      <c r="Z274" t="s">
        <v>756</v>
      </c>
      <c r="AA274" t="s">
        <v>25</v>
      </c>
      <c r="AC274" t="s">
        <v>22</v>
      </c>
      <c r="AD274" t="s">
        <v>756</v>
      </c>
      <c r="AE274">
        <v>1.1935522368717399E-4</v>
      </c>
      <c r="AG274" t="s">
        <v>97</v>
      </c>
      <c r="AH274" t="s">
        <v>756</v>
      </c>
      <c r="AI274">
        <v>0</v>
      </c>
      <c r="AK274">
        <v>2043</v>
      </c>
      <c r="AL274" t="s">
        <v>178</v>
      </c>
      <c r="AM274">
        <v>0.22359999999999999</v>
      </c>
      <c r="AN274" t="s">
        <v>430</v>
      </c>
    </row>
    <row r="275" spans="9:40" x14ac:dyDescent="0.45">
      <c r="I275" t="s">
        <v>249</v>
      </c>
      <c r="J275" t="s">
        <v>757</v>
      </c>
      <c r="K275">
        <v>2.2372759364399999E-4</v>
      </c>
      <c r="L275" t="s">
        <v>251</v>
      </c>
      <c r="N275" t="s">
        <v>419</v>
      </c>
      <c r="O275" t="s">
        <v>757</v>
      </c>
      <c r="P275">
        <v>1.5264895385402166E-5</v>
      </c>
      <c r="Q275" t="s">
        <v>251</v>
      </c>
      <c r="S275" t="s">
        <v>420</v>
      </c>
      <c r="T275" t="s">
        <v>757</v>
      </c>
      <c r="U275">
        <v>3.1698999211812454E-5</v>
      </c>
      <c r="V275" t="s">
        <v>251</v>
      </c>
      <c r="X275">
        <v>1.1415525114155251E-4</v>
      </c>
      <c r="Y275">
        <v>1.4585353321897094E-4</v>
      </c>
      <c r="Z275" t="s">
        <v>757</v>
      </c>
      <c r="AA275" t="s">
        <v>25</v>
      </c>
      <c r="AC275" t="s">
        <v>22</v>
      </c>
      <c r="AD275" t="s">
        <v>757</v>
      </c>
      <c r="AE275">
        <v>1.2138072350562757E-4</v>
      </c>
      <c r="AG275" t="s">
        <v>97</v>
      </c>
      <c r="AH275" t="s">
        <v>757</v>
      </c>
      <c r="AI275">
        <v>0</v>
      </c>
      <c r="AK275">
        <v>2044</v>
      </c>
      <c r="AL275" t="s">
        <v>151</v>
      </c>
      <c r="AM275">
        <v>0.21429999999999999</v>
      </c>
      <c r="AN275" t="s">
        <v>430</v>
      </c>
    </row>
    <row r="276" spans="9:40" x14ac:dyDescent="0.45">
      <c r="I276" t="s">
        <v>249</v>
      </c>
      <c r="J276" t="s">
        <v>758</v>
      </c>
      <c r="K276">
        <v>2.949080099856E-4</v>
      </c>
      <c r="L276" t="s">
        <v>251</v>
      </c>
      <c r="N276" t="s">
        <v>419</v>
      </c>
      <c r="O276" t="s">
        <v>758</v>
      </c>
      <c r="P276">
        <v>8.6830213311440736E-6</v>
      </c>
      <c r="Q276" t="s">
        <v>251</v>
      </c>
      <c r="S276" t="s">
        <v>420</v>
      </c>
      <c r="T276" t="s">
        <v>758</v>
      </c>
      <c r="U276">
        <v>3.0399577064000539E-5</v>
      </c>
      <c r="V276" t="s">
        <v>251</v>
      </c>
      <c r="X276">
        <v>1.1415525114155251E-4</v>
      </c>
      <c r="Y276">
        <v>1.4452759200788939E-4</v>
      </c>
      <c r="Z276" t="s">
        <v>758</v>
      </c>
      <c r="AA276" t="s">
        <v>25</v>
      </c>
      <c r="AC276" t="s">
        <v>22</v>
      </c>
      <c r="AD276" t="s">
        <v>758</v>
      </c>
      <c r="AE276">
        <v>1.2080471503140288E-4</v>
      </c>
      <c r="AG276" t="s">
        <v>97</v>
      </c>
      <c r="AH276" t="s">
        <v>758</v>
      </c>
      <c r="AI276">
        <v>0</v>
      </c>
      <c r="AK276">
        <v>2044</v>
      </c>
      <c r="AL276" t="s">
        <v>156</v>
      </c>
      <c r="AM276">
        <v>0.1986</v>
      </c>
      <c r="AN276" t="s">
        <v>430</v>
      </c>
    </row>
    <row r="277" spans="9:40" x14ac:dyDescent="0.45">
      <c r="I277" t="s">
        <v>249</v>
      </c>
      <c r="J277" t="s">
        <v>759</v>
      </c>
      <c r="K277">
        <v>3.1595312118689998E-4</v>
      </c>
      <c r="L277" t="s">
        <v>251</v>
      </c>
      <c r="N277" t="s">
        <v>419</v>
      </c>
      <c r="O277" t="s">
        <v>759</v>
      </c>
      <c r="P277">
        <v>6.9418333588473966E-6</v>
      </c>
      <c r="Q277" t="s">
        <v>251</v>
      </c>
      <c r="S277" t="s">
        <v>420</v>
      </c>
      <c r="T277" t="s">
        <v>759</v>
      </c>
      <c r="U277">
        <v>2.7535064134469497E-5</v>
      </c>
      <c r="V277" t="s">
        <v>251</v>
      </c>
      <c r="X277">
        <v>1.1415525114155251E-4</v>
      </c>
      <c r="Y277">
        <v>1.408812536774151E-4</v>
      </c>
      <c r="Z277" t="s">
        <v>759</v>
      </c>
      <c r="AA277" t="s">
        <v>25</v>
      </c>
      <c r="AC277" t="s">
        <v>22</v>
      </c>
      <c r="AD277" t="s">
        <v>759</v>
      </c>
      <c r="AE277">
        <v>1.197396007154284E-4</v>
      </c>
      <c r="AG277" t="s">
        <v>97</v>
      </c>
      <c r="AH277" t="s">
        <v>759</v>
      </c>
      <c r="AI277">
        <v>0</v>
      </c>
      <c r="AK277">
        <v>2044</v>
      </c>
      <c r="AL277" t="s">
        <v>159</v>
      </c>
      <c r="AM277">
        <v>0.21909999999999999</v>
      </c>
      <c r="AN277" t="s">
        <v>430</v>
      </c>
    </row>
    <row r="278" spans="9:40" x14ac:dyDescent="0.45">
      <c r="I278" t="s">
        <v>249</v>
      </c>
      <c r="J278" t="s">
        <v>760</v>
      </c>
      <c r="K278">
        <v>3.1065649936299998E-4</v>
      </c>
      <c r="L278" t="s">
        <v>251</v>
      </c>
      <c r="N278" t="s">
        <v>419</v>
      </c>
      <c r="O278" t="s">
        <v>760</v>
      </c>
      <c r="P278">
        <v>5.6410639732497957E-6</v>
      </c>
      <c r="Q278" t="s">
        <v>251</v>
      </c>
      <c r="S278" t="s">
        <v>420</v>
      </c>
      <c r="T278" t="s">
        <v>760</v>
      </c>
      <c r="U278">
        <v>2.4062889594309649E-5</v>
      </c>
      <c r="V278" t="s">
        <v>251</v>
      </c>
      <c r="X278">
        <v>1.1415525114155251E-4</v>
      </c>
      <c r="Y278">
        <v>1.4054976837464471E-4</v>
      </c>
      <c r="Z278" t="s">
        <v>760</v>
      </c>
      <c r="AA278" t="s">
        <v>25</v>
      </c>
      <c r="AC278" t="s">
        <v>22</v>
      </c>
      <c r="AD278" t="s">
        <v>760</v>
      </c>
      <c r="AE278">
        <v>1.2005712956485591E-4</v>
      </c>
      <c r="AG278" t="s">
        <v>97</v>
      </c>
      <c r="AH278" t="s">
        <v>760</v>
      </c>
      <c r="AI278">
        <v>0</v>
      </c>
      <c r="AK278">
        <v>2044</v>
      </c>
      <c r="AL278" t="s">
        <v>163</v>
      </c>
      <c r="AM278">
        <v>0.28100000000000003</v>
      </c>
      <c r="AN278" t="s">
        <v>430</v>
      </c>
    </row>
    <row r="279" spans="9:40" x14ac:dyDescent="0.45">
      <c r="I279" t="s">
        <v>249</v>
      </c>
      <c r="J279" t="s">
        <v>761</v>
      </c>
      <c r="K279">
        <v>2.89995455129E-4</v>
      </c>
      <c r="L279" t="s">
        <v>251</v>
      </c>
      <c r="N279" t="s">
        <v>419</v>
      </c>
      <c r="O279" t="s">
        <v>761</v>
      </c>
      <c r="P279">
        <v>5.1187717600580176E-6</v>
      </c>
      <c r="Q279" t="s">
        <v>251</v>
      </c>
      <c r="S279" t="s">
        <v>420</v>
      </c>
      <c r="T279" t="s">
        <v>761</v>
      </c>
      <c r="U279">
        <v>2.083166692607448E-5</v>
      </c>
      <c r="V279" t="s">
        <v>251</v>
      </c>
      <c r="X279">
        <v>1.1415525114155251E-4</v>
      </c>
      <c r="Y279">
        <v>1.4253868019126702E-4</v>
      </c>
      <c r="Z279" t="s">
        <v>761</v>
      </c>
      <c r="AA279" t="s">
        <v>25</v>
      </c>
      <c r="AC279" t="s">
        <v>22</v>
      </c>
      <c r="AD279" t="s">
        <v>761</v>
      </c>
      <c r="AE279">
        <v>1.4464834628262656E-4</v>
      </c>
      <c r="AG279" t="s">
        <v>97</v>
      </c>
      <c r="AH279" t="s">
        <v>761</v>
      </c>
      <c r="AI279">
        <v>0</v>
      </c>
      <c r="AK279">
        <v>2044</v>
      </c>
      <c r="AL279" t="s">
        <v>167</v>
      </c>
      <c r="AM279">
        <v>0.3448</v>
      </c>
      <c r="AN279" t="s">
        <v>430</v>
      </c>
    </row>
    <row r="280" spans="9:40" x14ac:dyDescent="0.45">
      <c r="I280" t="s">
        <v>249</v>
      </c>
      <c r="J280" t="s">
        <v>762</v>
      </c>
      <c r="K280">
        <v>2.9765099332630001E-4</v>
      </c>
      <c r="L280" t="s">
        <v>251</v>
      </c>
      <c r="N280" t="s">
        <v>419</v>
      </c>
      <c r="O280" t="s">
        <v>762</v>
      </c>
      <c r="P280">
        <v>5.7708554914943967E-6</v>
      </c>
      <c r="Q280" t="s">
        <v>251</v>
      </c>
      <c r="S280" t="s">
        <v>420</v>
      </c>
      <c r="T280" t="s">
        <v>762</v>
      </c>
      <c r="U280">
        <v>1.992875842834057E-5</v>
      </c>
      <c r="V280" t="s">
        <v>251</v>
      </c>
      <c r="X280">
        <v>1.1415525114155251E-4</v>
      </c>
      <c r="Y280">
        <v>1.4883690094390442E-4</v>
      </c>
      <c r="Z280" t="s">
        <v>762</v>
      </c>
      <c r="AA280" t="s">
        <v>25</v>
      </c>
      <c r="AC280" t="s">
        <v>22</v>
      </c>
      <c r="AD280" t="s">
        <v>762</v>
      </c>
      <c r="AE280">
        <v>1.4562544382981234E-4</v>
      </c>
      <c r="AG280" t="s">
        <v>97</v>
      </c>
      <c r="AH280" t="s">
        <v>762</v>
      </c>
      <c r="AI280">
        <v>0</v>
      </c>
      <c r="AK280">
        <v>2044</v>
      </c>
      <c r="AL280" t="s">
        <v>169</v>
      </c>
      <c r="AM280">
        <v>0.43690000000000001</v>
      </c>
      <c r="AN280" t="s">
        <v>430</v>
      </c>
    </row>
    <row r="281" spans="9:40" x14ac:dyDescent="0.45">
      <c r="I281" t="s">
        <v>249</v>
      </c>
      <c r="J281" t="s">
        <v>763</v>
      </c>
      <c r="K281">
        <v>3.1029556923039999E-4</v>
      </c>
      <c r="L281" t="s">
        <v>251</v>
      </c>
      <c r="N281" t="s">
        <v>419</v>
      </c>
      <c r="O281" t="s">
        <v>763</v>
      </c>
      <c r="P281">
        <v>7.0671342960962284E-6</v>
      </c>
      <c r="Q281" t="s">
        <v>251</v>
      </c>
      <c r="S281" t="s">
        <v>420</v>
      </c>
      <c r="T281" t="s">
        <v>763</v>
      </c>
      <c r="U281">
        <v>2.0637049871749822E-5</v>
      </c>
      <c r="V281" t="s">
        <v>251</v>
      </c>
      <c r="X281">
        <v>1.1415525114155251E-4</v>
      </c>
      <c r="Y281">
        <v>1.5049432745775637E-4</v>
      </c>
      <c r="Z281" t="s">
        <v>763</v>
      </c>
      <c r="AA281" t="s">
        <v>25</v>
      </c>
      <c r="AC281" t="s">
        <v>22</v>
      </c>
      <c r="AD281" t="s">
        <v>763</v>
      </c>
      <c r="AE281">
        <v>1.2433541300977435E-4</v>
      </c>
      <c r="AG281" t="s">
        <v>97</v>
      </c>
      <c r="AH281" t="s">
        <v>763</v>
      </c>
      <c r="AI281">
        <v>0</v>
      </c>
      <c r="AK281">
        <v>2044</v>
      </c>
      <c r="AL281" t="s">
        <v>171</v>
      </c>
      <c r="AM281">
        <v>0.43090000000000001</v>
      </c>
      <c r="AN281" t="s">
        <v>430</v>
      </c>
    </row>
    <row r="282" spans="9:40" x14ac:dyDescent="0.45">
      <c r="I282" t="s">
        <v>249</v>
      </c>
      <c r="J282" t="s">
        <v>764</v>
      </c>
      <c r="K282">
        <v>2.9695239426369999E-4</v>
      </c>
      <c r="L282" t="s">
        <v>251</v>
      </c>
      <c r="N282" t="s">
        <v>419</v>
      </c>
      <c r="O282" t="s">
        <v>764</v>
      </c>
      <c r="P282">
        <v>9.8047360054532384E-6</v>
      </c>
      <c r="Q282" t="s">
        <v>251</v>
      </c>
      <c r="S282" t="s">
        <v>420</v>
      </c>
      <c r="T282" t="s">
        <v>764</v>
      </c>
      <c r="U282">
        <v>2.1711144624627601E-5</v>
      </c>
      <c r="V282" t="s">
        <v>251</v>
      </c>
      <c r="X282">
        <v>1.1415525114155251E-4</v>
      </c>
      <c r="Y282">
        <v>1.7237235744060203E-4</v>
      </c>
      <c r="Z282" t="s">
        <v>764</v>
      </c>
      <c r="AA282" t="s">
        <v>25</v>
      </c>
      <c r="AC282" t="s">
        <v>22</v>
      </c>
      <c r="AD282" t="s">
        <v>764</v>
      </c>
      <c r="AE282">
        <v>1.0494944114998778E-4</v>
      </c>
      <c r="AG282" t="s">
        <v>97</v>
      </c>
      <c r="AH282" t="s">
        <v>764</v>
      </c>
      <c r="AI282">
        <v>0</v>
      </c>
      <c r="AK282">
        <v>2044</v>
      </c>
      <c r="AL282" t="s">
        <v>158</v>
      </c>
      <c r="AM282">
        <v>0.52339999999999998</v>
      </c>
      <c r="AN282" t="s">
        <v>430</v>
      </c>
    </row>
    <row r="283" spans="9:40" x14ac:dyDescent="0.45">
      <c r="I283" t="s">
        <v>249</v>
      </c>
      <c r="J283" t="s">
        <v>765</v>
      </c>
      <c r="K283">
        <v>2.4193374693940001E-4</v>
      </c>
      <c r="L283" t="s">
        <v>251</v>
      </c>
      <c r="N283" t="s">
        <v>419</v>
      </c>
      <c r="O283" t="s">
        <v>765</v>
      </c>
      <c r="P283">
        <v>1.5802156047473217E-5</v>
      </c>
      <c r="Q283" t="s">
        <v>251</v>
      </c>
      <c r="S283" t="s">
        <v>420</v>
      </c>
      <c r="T283" t="s">
        <v>765</v>
      </c>
      <c r="U283">
        <v>2.6367343705861031E-5</v>
      </c>
      <c r="V283" t="s">
        <v>251</v>
      </c>
      <c r="X283">
        <v>1.1415525114155251E-4</v>
      </c>
      <c r="Y283">
        <v>2.2209515285616027E-4</v>
      </c>
      <c r="Z283" t="s">
        <v>765</v>
      </c>
      <c r="AA283" t="s">
        <v>25</v>
      </c>
      <c r="AC283" t="s">
        <v>22</v>
      </c>
      <c r="AD283" t="s">
        <v>765</v>
      </c>
      <c r="AE283">
        <v>8.7424076934215246E-5</v>
      </c>
      <c r="AG283" t="s">
        <v>97</v>
      </c>
      <c r="AH283" t="s">
        <v>765</v>
      </c>
      <c r="AI283">
        <v>0</v>
      </c>
      <c r="AK283">
        <v>2044</v>
      </c>
      <c r="AL283" t="s">
        <v>162</v>
      </c>
      <c r="AM283">
        <v>0.50490000000000002</v>
      </c>
      <c r="AN283" t="s">
        <v>430</v>
      </c>
    </row>
    <row r="284" spans="9:40" x14ac:dyDescent="0.45">
      <c r="I284" t="s">
        <v>249</v>
      </c>
      <c r="J284" t="s">
        <v>766</v>
      </c>
      <c r="K284">
        <v>1.164812292175E-4</v>
      </c>
      <c r="L284" t="s">
        <v>251</v>
      </c>
      <c r="N284" t="s">
        <v>419</v>
      </c>
      <c r="O284" t="s">
        <v>766</v>
      </c>
      <c r="P284">
        <v>2.3281538422169865E-5</v>
      </c>
      <c r="Q284" t="s">
        <v>251</v>
      </c>
      <c r="S284" t="s">
        <v>420</v>
      </c>
      <c r="T284" t="s">
        <v>766</v>
      </c>
      <c r="U284">
        <v>3.1119919460717577E-5</v>
      </c>
      <c r="V284" t="s">
        <v>251</v>
      </c>
      <c r="X284">
        <v>1.1415525114155251E-4</v>
      </c>
      <c r="Y284">
        <v>2.2209515285616027E-4</v>
      </c>
      <c r="Z284" t="s">
        <v>766</v>
      </c>
      <c r="AA284" t="s">
        <v>25</v>
      </c>
      <c r="AC284" t="s">
        <v>22</v>
      </c>
      <c r="AD284" t="s">
        <v>766</v>
      </c>
      <c r="AE284">
        <v>5.7681093901522001E-5</v>
      </c>
      <c r="AG284" t="s">
        <v>97</v>
      </c>
      <c r="AH284" t="s">
        <v>766</v>
      </c>
      <c r="AI284">
        <v>0</v>
      </c>
      <c r="AK284">
        <v>2044</v>
      </c>
      <c r="AL284" t="s">
        <v>175</v>
      </c>
      <c r="AM284">
        <v>0.37859999999999999</v>
      </c>
      <c r="AN284" t="s">
        <v>430</v>
      </c>
    </row>
    <row r="285" spans="9:40" x14ac:dyDescent="0.45">
      <c r="I285" t="s">
        <v>249</v>
      </c>
      <c r="J285" t="s">
        <v>767</v>
      </c>
      <c r="K285">
        <v>0</v>
      </c>
      <c r="L285" t="s">
        <v>251</v>
      </c>
      <c r="N285" t="s">
        <v>419</v>
      </c>
      <c r="O285" t="s">
        <v>767</v>
      </c>
      <c r="P285">
        <v>3.465584316929108E-5</v>
      </c>
      <c r="Q285" t="s">
        <v>251</v>
      </c>
      <c r="S285" t="s">
        <v>420</v>
      </c>
      <c r="T285" t="s">
        <v>767</v>
      </c>
      <c r="U285">
        <v>3.4786182945960642E-5</v>
      </c>
      <c r="V285" t="s">
        <v>251</v>
      </c>
      <c r="X285">
        <v>1.1415525114155251E-4</v>
      </c>
      <c r="Y285">
        <v>1.7237235744060203E-4</v>
      </c>
      <c r="Z285" t="s">
        <v>767</v>
      </c>
      <c r="AA285" t="s">
        <v>25</v>
      </c>
      <c r="AC285" t="s">
        <v>22</v>
      </c>
      <c r="AD285" t="s">
        <v>767</v>
      </c>
      <c r="AE285">
        <v>3.2076013138210811E-5</v>
      </c>
      <c r="AG285" t="s">
        <v>97</v>
      </c>
      <c r="AH285" t="s">
        <v>767</v>
      </c>
      <c r="AI285">
        <v>0</v>
      </c>
      <c r="AK285">
        <v>2044</v>
      </c>
      <c r="AL285" t="s">
        <v>166</v>
      </c>
      <c r="AM285">
        <v>0.2319</v>
      </c>
      <c r="AN285" t="s">
        <v>430</v>
      </c>
    </row>
    <row r="286" spans="9:40" x14ac:dyDescent="0.45">
      <c r="I286" t="s">
        <v>249</v>
      </c>
      <c r="J286" t="s">
        <v>768</v>
      </c>
      <c r="K286">
        <v>0</v>
      </c>
      <c r="L286" t="s">
        <v>251</v>
      </c>
      <c r="N286" t="s">
        <v>419</v>
      </c>
      <c r="O286" t="s">
        <v>768</v>
      </c>
      <c r="P286">
        <v>4.1898030909739182E-5</v>
      </c>
      <c r="Q286" t="s">
        <v>251</v>
      </c>
      <c r="S286" t="s">
        <v>420</v>
      </c>
      <c r="T286" t="s">
        <v>768</v>
      </c>
      <c r="U286">
        <v>3.6393290819646023E-5</v>
      </c>
      <c r="V286" t="s">
        <v>251</v>
      </c>
      <c r="X286">
        <v>1.1415525114155251E-4</v>
      </c>
      <c r="Y286">
        <v>1.5579809230208258E-4</v>
      </c>
      <c r="Z286" t="s">
        <v>768</v>
      </c>
      <c r="AA286" t="s">
        <v>25</v>
      </c>
      <c r="AC286" t="s">
        <v>22</v>
      </c>
      <c r="AD286" t="s">
        <v>768</v>
      </c>
      <c r="AE286">
        <v>2.6760468785162454E-5</v>
      </c>
      <c r="AG286" t="s">
        <v>97</v>
      </c>
      <c r="AH286" t="s">
        <v>768</v>
      </c>
      <c r="AI286">
        <v>0</v>
      </c>
      <c r="AK286">
        <v>2044</v>
      </c>
      <c r="AL286" t="s">
        <v>178</v>
      </c>
      <c r="AM286">
        <v>0.22439999999999999</v>
      </c>
      <c r="AN286" t="s">
        <v>430</v>
      </c>
    </row>
    <row r="287" spans="9:40" x14ac:dyDescent="0.45">
      <c r="I287" t="s">
        <v>249</v>
      </c>
      <c r="J287" t="s">
        <v>769</v>
      </c>
      <c r="K287">
        <v>0</v>
      </c>
      <c r="L287" t="s">
        <v>251</v>
      </c>
      <c r="N287" t="s">
        <v>419</v>
      </c>
      <c r="O287" t="s">
        <v>769</v>
      </c>
      <c r="P287">
        <v>4.618592572903834E-5</v>
      </c>
      <c r="Q287" t="s">
        <v>251</v>
      </c>
      <c r="S287" t="s">
        <v>420</v>
      </c>
      <c r="T287" t="s">
        <v>769</v>
      </c>
      <c r="U287">
        <v>3.7026066822795643E-5</v>
      </c>
      <c r="V287" t="s">
        <v>251</v>
      </c>
      <c r="X287">
        <v>1.1415525114155251E-4</v>
      </c>
      <c r="Y287">
        <v>1.093901499142282E-4</v>
      </c>
      <c r="Z287" t="s">
        <v>769</v>
      </c>
      <c r="AA287" t="s">
        <v>25</v>
      </c>
      <c r="AC287" t="s">
        <v>22</v>
      </c>
      <c r="AD287" t="s">
        <v>769</v>
      </c>
      <c r="AE287">
        <v>2.7187182993340501E-5</v>
      </c>
      <c r="AG287" t="s">
        <v>97</v>
      </c>
      <c r="AH287" t="s">
        <v>769</v>
      </c>
      <c r="AI287">
        <v>0</v>
      </c>
      <c r="AK287">
        <v>2045</v>
      </c>
      <c r="AL287" t="s">
        <v>151</v>
      </c>
      <c r="AM287">
        <v>0.25879999999999997</v>
      </c>
      <c r="AN287" t="s">
        <v>430</v>
      </c>
    </row>
    <row r="288" spans="9:40" x14ac:dyDescent="0.45">
      <c r="I288" t="s">
        <v>249</v>
      </c>
      <c r="J288" t="s">
        <v>770</v>
      </c>
      <c r="K288">
        <v>0</v>
      </c>
      <c r="L288" t="s">
        <v>251</v>
      </c>
      <c r="N288" t="s">
        <v>419</v>
      </c>
      <c r="O288" t="s">
        <v>770</v>
      </c>
      <c r="P288">
        <v>4.5913838789789307E-5</v>
      </c>
      <c r="Q288" t="s">
        <v>251</v>
      </c>
      <c r="S288" t="s">
        <v>420</v>
      </c>
      <c r="T288" t="s">
        <v>770</v>
      </c>
      <c r="U288">
        <v>3.7487605018807977E-5</v>
      </c>
      <c r="V288" t="s">
        <v>251</v>
      </c>
      <c r="X288">
        <v>1.1415525114155251E-4</v>
      </c>
      <c r="Y288">
        <v>7.9556472664893237E-5</v>
      </c>
      <c r="Z288" t="s">
        <v>770</v>
      </c>
      <c r="AA288" t="s">
        <v>25</v>
      </c>
      <c r="AC288" t="s">
        <v>22</v>
      </c>
      <c r="AD288" t="s">
        <v>770</v>
      </c>
      <c r="AE288">
        <v>2.7240661536402006E-5</v>
      </c>
      <c r="AG288" t="s">
        <v>97</v>
      </c>
      <c r="AH288" t="s">
        <v>770</v>
      </c>
      <c r="AI288">
        <v>0</v>
      </c>
      <c r="AK288">
        <v>2045</v>
      </c>
      <c r="AL288" t="s">
        <v>156</v>
      </c>
      <c r="AM288">
        <v>0.28189999999999998</v>
      </c>
      <c r="AN288" t="s">
        <v>430</v>
      </c>
    </row>
    <row r="289" spans="9:40" x14ac:dyDescent="0.45">
      <c r="I289" t="s">
        <v>249</v>
      </c>
      <c r="J289" t="s">
        <v>771</v>
      </c>
      <c r="K289">
        <v>0</v>
      </c>
      <c r="L289" t="s">
        <v>251</v>
      </c>
      <c r="N289" t="s">
        <v>419</v>
      </c>
      <c r="O289" t="s">
        <v>771</v>
      </c>
      <c r="P289">
        <v>4.1980902899517821E-5</v>
      </c>
      <c r="Q289" t="s">
        <v>251</v>
      </c>
      <c r="S289" t="s">
        <v>420</v>
      </c>
      <c r="T289" t="s">
        <v>771</v>
      </c>
      <c r="U289">
        <v>3.8430892805739803E-5</v>
      </c>
      <c r="V289" t="s">
        <v>251</v>
      </c>
      <c r="X289">
        <v>1.1415525114155251E-4</v>
      </c>
      <c r="Y289">
        <v>5.6352501470966035E-5</v>
      </c>
      <c r="Z289" t="s">
        <v>771</v>
      </c>
      <c r="AA289" t="s">
        <v>25</v>
      </c>
      <c r="AC289" t="s">
        <v>22</v>
      </c>
      <c r="AD289" t="s">
        <v>771</v>
      </c>
      <c r="AE289">
        <v>3.2336721035635526E-5</v>
      </c>
      <c r="AG289" t="s">
        <v>97</v>
      </c>
      <c r="AH289" t="s">
        <v>771</v>
      </c>
      <c r="AI289">
        <v>0</v>
      </c>
      <c r="AK289">
        <v>2045</v>
      </c>
      <c r="AL289" t="s">
        <v>159</v>
      </c>
      <c r="AM289">
        <v>0.24890000000000001</v>
      </c>
      <c r="AN289" t="s">
        <v>430</v>
      </c>
    </row>
    <row r="290" spans="9:40" x14ac:dyDescent="0.45">
      <c r="I290" t="s">
        <v>249</v>
      </c>
      <c r="J290" t="s">
        <v>772</v>
      </c>
      <c r="K290">
        <v>0</v>
      </c>
      <c r="L290" t="s">
        <v>251</v>
      </c>
      <c r="N290" t="s">
        <v>419</v>
      </c>
      <c r="O290" t="s">
        <v>772</v>
      </c>
      <c r="P290">
        <v>3.7536969238373921E-5</v>
      </c>
      <c r="Q290" t="s">
        <v>251</v>
      </c>
      <c r="S290" t="s">
        <v>420</v>
      </c>
      <c r="T290" t="s">
        <v>772</v>
      </c>
      <c r="U290">
        <v>3.978953146770638E-5</v>
      </c>
      <c r="V290" t="s">
        <v>251</v>
      </c>
      <c r="X290">
        <v>1.1415525114155251E-4</v>
      </c>
      <c r="Y290">
        <v>2.9833677249334962E-5</v>
      </c>
      <c r="Z290" t="s">
        <v>772</v>
      </c>
      <c r="AA290" t="s">
        <v>25</v>
      </c>
      <c r="AC290" t="s">
        <v>22</v>
      </c>
      <c r="AD290" t="s">
        <v>772</v>
      </c>
      <c r="AE290">
        <v>5.3878546662588015E-5</v>
      </c>
      <c r="AG290" t="s">
        <v>97</v>
      </c>
      <c r="AH290" t="s">
        <v>772</v>
      </c>
      <c r="AI290">
        <v>0</v>
      </c>
      <c r="AK290">
        <v>2045</v>
      </c>
      <c r="AL290" t="s">
        <v>163</v>
      </c>
      <c r="AM290">
        <v>0.31330000000000002</v>
      </c>
      <c r="AN290" t="s">
        <v>430</v>
      </c>
    </row>
    <row r="291" spans="9:40" x14ac:dyDescent="0.45">
      <c r="I291" t="s">
        <v>249</v>
      </c>
      <c r="J291" t="s">
        <v>773</v>
      </c>
      <c r="K291">
        <v>0</v>
      </c>
      <c r="L291" t="s">
        <v>251</v>
      </c>
      <c r="N291" t="s">
        <v>419</v>
      </c>
      <c r="O291" t="s">
        <v>773</v>
      </c>
      <c r="P291">
        <v>3.2140337995142285E-5</v>
      </c>
      <c r="Q291" t="s">
        <v>251</v>
      </c>
      <c r="S291" t="s">
        <v>420</v>
      </c>
      <c r="T291" t="s">
        <v>773</v>
      </c>
      <c r="U291">
        <v>4.1729307356786323E-5</v>
      </c>
      <c r="V291" t="s">
        <v>251</v>
      </c>
      <c r="X291">
        <v>1.1415525114155251E-4</v>
      </c>
      <c r="Y291">
        <v>2.1546544680075254E-5</v>
      </c>
      <c r="Z291" t="s">
        <v>773</v>
      </c>
      <c r="AA291" t="s">
        <v>25</v>
      </c>
      <c r="AC291" t="s">
        <v>22</v>
      </c>
      <c r="AD291" t="s">
        <v>773</v>
      </c>
      <c r="AE291">
        <v>5.8511125455288725E-5</v>
      </c>
      <c r="AG291" t="s">
        <v>97</v>
      </c>
      <c r="AH291" t="s">
        <v>773</v>
      </c>
      <c r="AI291">
        <v>0</v>
      </c>
      <c r="AK291">
        <v>2045</v>
      </c>
      <c r="AL291" t="s">
        <v>167</v>
      </c>
      <c r="AM291">
        <v>0.36870000000000003</v>
      </c>
      <c r="AN291" t="s">
        <v>430</v>
      </c>
    </row>
    <row r="292" spans="9:40" x14ac:dyDescent="0.45">
      <c r="I292" t="s">
        <v>249</v>
      </c>
      <c r="J292" t="s">
        <v>774</v>
      </c>
      <c r="K292">
        <v>0</v>
      </c>
      <c r="L292" t="s">
        <v>251</v>
      </c>
      <c r="N292" t="s">
        <v>419</v>
      </c>
      <c r="O292" t="s">
        <v>774</v>
      </c>
      <c r="P292">
        <v>2.8634228953569822E-5</v>
      </c>
      <c r="Q292" t="s">
        <v>251</v>
      </c>
      <c r="S292" t="s">
        <v>420</v>
      </c>
      <c r="T292" t="s">
        <v>774</v>
      </c>
      <c r="U292">
        <v>4.4217882440550679E-5</v>
      </c>
      <c r="V292" t="s">
        <v>251</v>
      </c>
      <c r="X292">
        <v>1.1415525114155251E-4</v>
      </c>
      <c r="Y292">
        <v>1.4916838624667481E-5</v>
      </c>
      <c r="Z292" t="s">
        <v>774</v>
      </c>
      <c r="AA292" t="s">
        <v>25</v>
      </c>
      <c r="AC292" t="s">
        <v>22</v>
      </c>
      <c r="AD292" t="s">
        <v>774</v>
      </c>
      <c r="AE292">
        <v>7.6128962985105096E-5</v>
      </c>
      <c r="AG292" t="s">
        <v>97</v>
      </c>
      <c r="AH292" t="s">
        <v>774</v>
      </c>
      <c r="AI292">
        <v>0</v>
      </c>
      <c r="AK292">
        <v>2045</v>
      </c>
      <c r="AL292" t="s">
        <v>169</v>
      </c>
      <c r="AM292">
        <v>0.45660000000000001</v>
      </c>
      <c r="AN292" t="s">
        <v>430</v>
      </c>
    </row>
    <row r="293" spans="9:40" x14ac:dyDescent="0.45">
      <c r="I293" t="s">
        <v>249</v>
      </c>
      <c r="J293" t="s">
        <v>775</v>
      </c>
      <c r="K293">
        <v>0</v>
      </c>
      <c r="L293" t="s">
        <v>251</v>
      </c>
      <c r="N293" t="s">
        <v>419</v>
      </c>
      <c r="O293" t="s">
        <v>775</v>
      </c>
      <c r="P293">
        <v>2.5434829918507571E-5</v>
      </c>
      <c r="Q293" t="s">
        <v>251</v>
      </c>
      <c r="S293" t="s">
        <v>420</v>
      </c>
      <c r="T293" t="s">
        <v>775</v>
      </c>
      <c r="U293">
        <v>5.0360324129807439E-5</v>
      </c>
      <c r="V293" t="s">
        <v>251</v>
      </c>
      <c r="X293">
        <v>1.1415525114155251E-4</v>
      </c>
      <c r="Y293">
        <v>1.6574265138519424E-5</v>
      </c>
      <c r="Z293" t="s">
        <v>775</v>
      </c>
      <c r="AA293" t="s">
        <v>25</v>
      </c>
      <c r="AC293" t="s">
        <v>22</v>
      </c>
      <c r="AD293" t="s">
        <v>775</v>
      </c>
      <c r="AE293">
        <v>9.419134090411999E-5</v>
      </c>
      <c r="AG293" t="s">
        <v>97</v>
      </c>
      <c r="AH293" t="s">
        <v>775</v>
      </c>
      <c r="AI293">
        <v>0</v>
      </c>
      <c r="AK293">
        <v>2045</v>
      </c>
      <c r="AL293" t="s">
        <v>171</v>
      </c>
      <c r="AM293">
        <v>0.54279999999999995</v>
      </c>
      <c r="AN293" t="s">
        <v>430</v>
      </c>
    </row>
    <row r="294" spans="9:40" x14ac:dyDescent="0.45">
      <c r="I294" t="s">
        <v>249</v>
      </c>
      <c r="J294" t="s">
        <v>776</v>
      </c>
      <c r="K294">
        <v>0</v>
      </c>
      <c r="L294" t="s">
        <v>251</v>
      </c>
      <c r="N294" t="s">
        <v>419</v>
      </c>
      <c r="O294" t="s">
        <v>776</v>
      </c>
      <c r="P294">
        <v>2.1013333906998544E-5</v>
      </c>
      <c r="Q294" t="s">
        <v>251</v>
      </c>
      <c r="S294" t="s">
        <v>420</v>
      </c>
      <c r="T294" t="s">
        <v>776</v>
      </c>
      <c r="U294">
        <v>5.2258905418840651E-5</v>
      </c>
      <c r="V294" t="s">
        <v>251</v>
      </c>
      <c r="X294">
        <v>1.1415525114155251E-4</v>
      </c>
      <c r="Y294">
        <v>1.4585353321897093E-5</v>
      </c>
      <c r="Z294" t="s">
        <v>776</v>
      </c>
      <c r="AA294" t="s">
        <v>25</v>
      </c>
      <c r="AC294" t="s">
        <v>22</v>
      </c>
      <c r="AD294" t="s">
        <v>776</v>
      </c>
      <c r="AE294">
        <v>1.0667412416372053E-4</v>
      </c>
      <c r="AG294" t="s">
        <v>97</v>
      </c>
      <c r="AH294" t="s">
        <v>776</v>
      </c>
      <c r="AI294">
        <v>0</v>
      </c>
      <c r="AK294">
        <v>2045</v>
      </c>
      <c r="AL294" t="s">
        <v>158</v>
      </c>
      <c r="AM294">
        <v>0.61919999999999997</v>
      </c>
      <c r="AN294" t="s">
        <v>430</v>
      </c>
    </row>
    <row r="295" spans="9:40" x14ac:dyDescent="0.45">
      <c r="I295" t="s">
        <v>249</v>
      </c>
      <c r="J295" t="s">
        <v>777</v>
      </c>
      <c r="K295">
        <v>0</v>
      </c>
      <c r="L295" t="s">
        <v>251</v>
      </c>
      <c r="N295" t="s">
        <v>419</v>
      </c>
      <c r="O295" t="s">
        <v>777</v>
      </c>
      <c r="P295">
        <v>2.0943759911926444E-5</v>
      </c>
      <c r="Q295" t="s">
        <v>251</v>
      </c>
      <c r="S295" t="s">
        <v>420</v>
      </c>
      <c r="T295" t="s">
        <v>777</v>
      </c>
      <c r="U295">
        <v>5.4832978336627619E-5</v>
      </c>
      <c r="V295" t="s">
        <v>251</v>
      </c>
      <c r="X295">
        <v>1.1415525114155251E-4</v>
      </c>
      <c r="Y295">
        <v>2.1215059377304864E-5</v>
      </c>
      <c r="Z295" t="s">
        <v>777</v>
      </c>
      <c r="AA295" t="s">
        <v>25</v>
      </c>
      <c r="AC295" t="s">
        <v>22</v>
      </c>
      <c r="AD295" t="s">
        <v>777</v>
      </c>
      <c r="AE295">
        <v>1.08262882547172E-4</v>
      </c>
      <c r="AG295" t="s">
        <v>97</v>
      </c>
      <c r="AH295" t="s">
        <v>777</v>
      </c>
      <c r="AI295">
        <v>0</v>
      </c>
      <c r="AK295">
        <v>2045</v>
      </c>
      <c r="AL295" t="s">
        <v>162</v>
      </c>
      <c r="AM295">
        <v>0.60170000000000001</v>
      </c>
      <c r="AN295" t="s">
        <v>430</v>
      </c>
    </row>
    <row r="296" spans="9:40" x14ac:dyDescent="0.45">
      <c r="I296" t="s">
        <v>249</v>
      </c>
      <c r="J296" t="s">
        <v>778</v>
      </c>
      <c r="K296">
        <v>0</v>
      </c>
      <c r="L296" t="s">
        <v>251</v>
      </c>
      <c r="N296" t="s">
        <v>419</v>
      </c>
      <c r="O296" t="s">
        <v>778</v>
      </c>
      <c r="P296">
        <v>2.1900375099108407E-5</v>
      </c>
      <c r="Q296" t="s">
        <v>251</v>
      </c>
      <c r="S296" t="s">
        <v>420</v>
      </c>
      <c r="T296" t="s">
        <v>778</v>
      </c>
      <c r="U296">
        <v>5.6891806448568401E-5</v>
      </c>
      <c r="V296" t="s">
        <v>251</v>
      </c>
      <c r="X296">
        <v>1.1415525114155251E-4</v>
      </c>
      <c r="Y296">
        <v>5.7678442682047593E-5</v>
      </c>
      <c r="Z296" t="s">
        <v>778</v>
      </c>
      <c r="AA296" t="s">
        <v>25</v>
      </c>
      <c r="AC296" t="s">
        <v>22</v>
      </c>
      <c r="AD296" t="s">
        <v>778</v>
      </c>
      <c r="AE296">
        <v>1.2003373270226652E-4</v>
      </c>
      <c r="AG296" t="s">
        <v>97</v>
      </c>
      <c r="AH296" t="s">
        <v>778</v>
      </c>
      <c r="AI296">
        <v>0</v>
      </c>
      <c r="AK296">
        <v>2045</v>
      </c>
      <c r="AL296" t="s">
        <v>175</v>
      </c>
      <c r="AM296">
        <v>0.46889999999999998</v>
      </c>
      <c r="AN296" t="s">
        <v>430</v>
      </c>
    </row>
    <row r="297" spans="9:40" x14ac:dyDescent="0.45">
      <c r="I297" t="s">
        <v>249</v>
      </c>
      <c r="J297" t="s">
        <v>779</v>
      </c>
      <c r="K297">
        <v>0</v>
      </c>
      <c r="L297" t="s">
        <v>251</v>
      </c>
      <c r="N297" t="s">
        <v>419</v>
      </c>
      <c r="O297" t="s">
        <v>779</v>
      </c>
      <c r="P297">
        <v>2.36796843685042E-5</v>
      </c>
      <c r="Q297" t="s">
        <v>251</v>
      </c>
      <c r="S297" t="s">
        <v>420</v>
      </c>
      <c r="T297" t="s">
        <v>779</v>
      </c>
      <c r="U297">
        <v>5.5132329801932481E-5</v>
      </c>
      <c r="V297" t="s">
        <v>251</v>
      </c>
      <c r="X297">
        <v>1.1415525114155251E-4</v>
      </c>
      <c r="Y297">
        <v>1.6905750441289813E-4</v>
      </c>
      <c r="Z297" t="s">
        <v>779</v>
      </c>
      <c r="AA297" t="s">
        <v>25</v>
      </c>
      <c r="AC297" t="s">
        <v>22</v>
      </c>
      <c r="AD297" t="s">
        <v>779</v>
      </c>
      <c r="AE297">
        <v>1.210219716125901E-4</v>
      </c>
      <c r="AG297" t="s">
        <v>97</v>
      </c>
      <c r="AH297" t="s">
        <v>779</v>
      </c>
      <c r="AI297">
        <v>0</v>
      </c>
      <c r="AK297">
        <v>2045</v>
      </c>
      <c r="AL297" t="s">
        <v>166</v>
      </c>
      <c r="AM297">
        <v>0.29749999999999999</v>
      </c>
      <c r="AN297" t="s">
        <v>430</v>
      </c>
    </row>
    <row r="298" spans="9:40" x14ac:dyDescent="0.45">
      <c r="I298" t="s">
        <v>249</v>
      </c>
      <c r="J298" t="s">
        <v>780</v>
      </c>
      <c r="K298">
        <v>4.8648117056484649E-5</v>
      </c>
      <c r="L298" t="s">
        <v>251</v>
      </c>
      <c r="N298" t="s">
        <v>419</v>
      </c>
      <c r="O298" t="s">
        <v>780</v>
      </c>
      <c r="P298">
        <v>2.3642672517734821E-5</v>
      </c>
      <c r="Q298" t="s">
        <v>251</v>
      </c>
      <c r="S298" t="s">
        <v>420</v>
      </c>
      <c r="T298" t="s">
        <v>780</v>
      </c>
      <c r="U298">
        <v>5.1525087157758481E-5</v>
      </c>
      <c r="V298" t="s">
        <v>251</v>
      </c>
      <c r="X298">
        <v>1.1415525114155251E-4</v>
      </c>
      <c r="Y298">
        <v>1.9060404909297337E-4</v>
      </c>
      <c r="Z298" t="s">
        <v>780</v>
      </c>
      <c r="AA298" t="s">
        <v>25</v>
      </c>
      <c r="AC298" t="s">
        <v>22</v>
      </c>
      <c r="AD298" t="s">
        <v>780</v>
      </c>
      <c r="AE298">
        <v>1.207077851721039E-4</v>
      </c>
      <c r="AG298" t="s">
        <v>97</v>
      </c>
      <c r="AH298" t="s">
        <v>780</v>
      </c>
      <c r="AI298">
        <v>0</v>
      </c>
      <c r="AK298">
        <v>2045</v>
      </c>
      <c r="AL298" t="s">
        <v>178</v>
      </c>
      <c r="AM298">
        <v>0.25069999999999998</v>
      </c>
      <c r="AN298" t="s">
        <v>430</v>
      </c>
    </row>
    <row r="299" spans="9:40" x14ac:dyDescent="0.45">
      <c r="I299" t="s">
        <v>249</v>
      </c>
      <c r="J299" t="s">
        <v>781</v>
      </c>
      <c r="K299">
        <v>2.1036654047220001E-4</v>
      </c>
      <c r="L299" t="s">
        <v>251</v>
      </c>
      <c r="N299" t="s">
        <v>419</v>
      </c>
      <c r="O299" t="s">
        <v>781</v>
      </c>
      <c r="P299">
        <v>1.565127373121489E-5</v>
      </c>
      <c r="Q299" t="s">
        <v>251</v>
      </c>
      <c r="S299" t="s">
        <v>420</v>
      </c>
      <c r="T299" t="s">
        <v>781</v>
      </c>
      <c r="U299">
        <v>4.6796861157955015E-5</v>
      </c>
      <c r="V299" t="s">
        <v>251</v>
      </c>
      <c r="X299">
        <v>1.1415525114155251E-4</v>
      </c>
      <c r="Y299">
        <v>1.4585353321897094E-4</v>
      </c>
      <c r="Z299" t="s">
        <v>781</v>
      </c>
      <c r="AA299" t="s">
        <v>25</v>
      </c>
      <c r="AC299" t="s">
        <v>22</v>
      </c>
      <c r="AD299" t="s">
        <v>781</v>
      </c>
      <c r="AE299">
        <v>1.2080471503140284E-4</v>
      </c>
      <c r="AG299" t="s">
        <v>97</v>
      </c>
      <c r="AH299" t="s">
        <v>781</v>
      </c>
      <c r="AI299">
        <v>0</v>
      </c>
      <c r="AK299">
        <v>2046</v>
      </c>
      <c r="AL299" t="s">
        <v>151</v>
      </c>
      <c r="AM299">
        <v>0.29070000000000001</v>
      </c>
      <c r="AN299" t="s">
        <v>430</v>
      </c>
    </row>
    <row r="300" spans="9:40" x14ac:dyDescent="0.45">
      <c r="I300" t="s">
        <v>249</v>
      </c>
      <c r="J300" t="s">
        <v>782</v>
      </c>
      <c r="K300">
        <v>2.8232604517460002E-4</v>
      </c>
      <c r="L300" t="s">
        <v>251</v>
      </c>
      <c r="N300" t="s">
        <v>419</v>
      </c>
      <c r="O300" t="s">
        <v>782</v>
      </c>
      <c r="P300">
        <v>1.3330784301441812E-5</v>
      </c>
      <c r="Q300" t="s">
        <v>251</v>
      </c>
      <c r="S300" t="s">
        <v>420</v>
      </c>
      <c r="T300" t="s">
        <v>782</v>
      </c>
      <c r="U300">
        <v>4.2420751545473617E-5</v>
      </c>
      <c r="V300" t="s">
        <v>251</v>
      </c>
      <c r="X300">
        <v>1.1415525114155251E-4</v>
      </c>
      <c r="Y300">
        <v>1.4452759200788939E-4</v>
      </c>
      <c r="Z300" t="s">
        <v>782</v>
      </c>
      <c r="AA300" t="s">
        <v>25</v>
      </c>
      <c r="AC300" t="s">
        <v>22</v>
      </c>
      <c r="AD300" t="s">
        <v>782</v>
      </c>
      <c r="AE300">
        <v>1.2179741048698158E-4</v>
      </c>
      <c r="AG300" t="s">
        <v>97</v>
      </c>
      <c r="AH300" t="s">
        <v>782</v>
      </c>
      <c r="AI300">
        <v>0</v>
      </c>
      <c r="AK300">
        <v>2046</v>
      </c>
      <c r="AL300" t="s">
        <v>156</v>
      </c>
      <c r="AM300">
        <v>0.31330000000000002</v>
      </c>
      <c r="AN300" t="s">
        <v>430</v>
      </c>
    </row>
    <row r="301" spans="9:40" x14ac:dyDescent="0.45">
      <c r="I301" t="s">
        <v>249</v>
      </c>
      <c r="J301" t="s">
        <v>783</v>
      </c>
      <c r="K301">
        <v>3.0765652159789997E-4</v>
      </c>
      <c r="L301" t="s">
        <v>251</v>
      </c>
      <c r="N301" t="s">
        <v>419</v>
      </c>
      <c r="O301" t="s">
        <v>783</v>
      </c>
      <c r="P301">
        <v>1.7441347646463416E-5</v>
      </c>
      <c r="Q301" t="s">
        <v>251</v>
      </c>
      <c r="S301" t="s">
        <v>420</v>
      </c>
      <c r="T301" t="s">
        <v>783</v>
      </c>
      <c r="U301">
        <v>3.8520976305162742E-5</v>
      </c>
      <c r="V301" t="s">
        <v>251</v>
      </c>
      <c r="X301">
        <v>1.1415525114155251E-4</v>
      </c>
      <c r="Y301">
        <v>1.408812536774151E-4</v>
      </c>
      <c r="Z301" t="s">
        <v>783</v>
      </c>
      <c r="AA301" t="s">
        <v>25</v>
      </c>
      <c r="AC301" t="s">
        <v>22</v>
      </c>
      <c r="AD301" t="s">
        <v>783</v>
      </c>
      <c r="AE301">
        <v>1.1935522368717395E-4</v>
      </c>
      <c r="AG301" t="s">
        <v>97</v>
      </c>
      <c r="AH301" t="s">
        <v>783</v>
      </c>
      <c r="AI301">
        <v>0</v>
      </c>
      <c r="AK301">
        <v>2046</v>
      </c>
      <c r="AL301" t="s">
        <v>159</v>
      </c>
      <c r="AM301">
        <v>0.33829999999999999</v>
      </c>
      <c r="AN301" t="s">
        <v>430</v>
      </c>
    </row>
    <row r="302" spans="9:40" x14ac:dyDescent="0.45">
      <c r="I302" t="s">
        <v>249</v>
      </c>
      <c r="J302" t="s">
        <v>784</v>
      </c>
      <c r="K302">
        <v>3.0504776010320002E-4</v>
      </c>
      <c r="L302" t="s">
        <v>251</v>
      </c>
      <c r="N302" t="s">
        <v>419</v>
      </c>
      <c r="O302" t="s">
        <v>784</v>
      </c>
      <c r="P302">
        <v>1.6394293483378454E-5</v>
      </c>
      <c r="Q302" t="s">
        <v>251</v>
      </c>
      <c r="S302" t="s">
        <v>420</v>
      </c>
      <c r="T302" t="s">
        <v>784</v>
      </c>
      <c r="U302">
        <v>3.4967761085548838E-5</v>
      </c>
      <c r="V302" t="s">
        <v>251</v>
      </c>
      <c r="X302">
        <v>1.1415525114155251E-4</v>
      </c>
      <c r="Y302">
        <v>1.4054976837464471E-4</v>
      </c>
      <c r="Z302" t="s">
        <v>784</v>
      </c>
      <c r="AA302" t="s">
        <v>25</v>
      </c>
      <c r="AC302" t="s">
        <v>22</v>
      </c>
      <c r="AD302" t="s">
        <v>784</v>
      </c>
      <c r="AE302">
        <v>1.2129604914578018E-4</v>
      </c>
      <c r="AG302" t="s">
        <v>97</v>
      </c>
      <c r="AH302" t="s">
        <v>784</v>
      </c>
      <c r="AI302">
        <v>0</v>
      </c>
      <c r="AK302">
        <v>2046</v>
      </c>
      <c r="AL302" t="s">
        <v>163</v>
      </c>
      <c r="AM302">
        <v>0.34289999999999998</v>
      </c>
      <c r="AN302" t="s">
        <v>430</v>
      </c>
    </row>
    <row r="303" spans="9:40" x14ac:dyDescent="0.45">
      <c r="I303" t="s">
        <v>249</v>
      </c>
      <c r="J303" t="s">
        <v>785</v>
      </c>
      <c r="K303">
        <v>2.8633588274329998E-4</v>
      </c>
      <c r="L303" t="s">
        <v>251</v>
      </c>
      <c r="N303" t="s">
        <v>419</v>
      </c>
      <c r="O303" t="s">
        <v>785</v>
      </c>
      <c r="P303">
        <v>1.301956545370339E-5</v>
      </c>
      <c r="Q303" t="s">
        <v>251</v>
      </c>
      <c r="S303" t="s">
        <v>420</v>
      </c>
      <c r="T303" t="s">
        <v>785</v>
      </c>
      <c r="U303">
        <v>3.1796076656767629E-5</v>
      </c>
      <c r="V303" t="s">
        <v>251</v>
      </c>
      <c r="X303">
        <v>1.1415525114155251E-4</v>
      </c>
      <c r="Y303">
        <v>1.4253868019126702E-4</v>
      </c>
      <c r="Z303" t="s">
        <v>785</v>
      </c>
      <c r="AA303" t="s">
        <v>25</v>
      </c>
      <c r="AC303" t="s">
        <v>22</v>
      </c>
      <c r="AD303" t="s">
        <v>785</v>
      </c>
      <c r="AE303">
        <v>1.4464834628262653E-4</v>
      </c>
      <c r="AG303" t="s">
        <v>97</v>
      </c>
      <c r="AH303" t="s">
        <v>785</v>
      </c>
      <c r="AI303">
        <v>0</v>
      </c>
      <c r="AK303">
        <v>2046</v>
      </c>
      <c r="AL303" t="s">
        <v>167</v>
      </c>
      <c r="AM303">
        <v>0.45979999999999999</v>
      </c>
      <c r="AN303" t="s">
        <v>430</v>
      </c>
    </row>
    <row r="304" spans="9:40" x14ac:dyDescent="0.45">
      <c r="I304" t="s">
        <v>249</v>
      </c>
      <c r="J304" t="s">
        <v>786</v>
      </c>
      <c r="K304">
        <v>2.9246572003970001E-4</v>
      </c>
      <c r="L304" t="s">
        <v>251</v>
      </c>
      <c r="N304" t="s">
        <v>419</v>
      </c>
      <c r="O304" t="s">
        <v>786</v>
      </c>
      <c r="P304">
        <v>1.1341085223722756E-5</v>
      </c>
      <c r="Q304" t="s">
        <v>251</v>
      </c>
      <c r="S304" t="s">
        <v>420</v>
      </c>
      <c r="T304" t="s">
        <v>786</v>
      </c>
      <c r="U304">
        <v>2.9521582504803291E-5</v>
      </c>
      <c r="V304" t="s">
        <v>251</v>
      </c>
      <c r="X304">
        <v>1.1415525114155251E-4</v>
      </c>
      <c r="Y304">
        <v>1.4883690094390442E-4</v>
      </c>
      <c r="Z304" t="s">
        <v>786</v>
      </c>
      <c r="AA304" t="s">
        <v>25</v>
      </c>
      <c r="AC304" t="s">
        <v>22</v>
      </c>
      <c r="AD304" t="s">
        <v>786</v>
      </c>
      <c r="AE304">
        <v>1.4546277992800031E-4</v>
      </c>
      <c r="AG304" t="s">
        <v>97</v>
      </c>
      <c r="AH304" t="s">
        <v>786</v>
      </c>
      <c r="AI304">
        <v>0</v>
      </c>
      <c r="AK304">
        <v>2046</v>
      </c>
      <c r="AL304" t="s">
        <v>169</v>
      </c>
      <c r="AM304">
        <v>0.58220000000000005</v>
      </c>
      <c r="AN304" t="s">
        <v>430</v>
      </c>
    </row>
    <row r="305" spans="9:40" x14ac:dyDescent="0.45">
      <c r="I305" t="s">
        <v>249</v>
      </c>
      <c r="J305" t="s">
        <v>787</v>
      </c>
      <c r="K305">
        <v>3.0191435456850002E-4</v>
      </c>
      <c r="L305" t="s">
        <v>251</v>
      </c>
      <c r="N305" t="s">
        <v>419</v>
      </c>
      <c r="O305" t="s">
        <v>787</v>
      </c>
      <c r="P305">
        <v>1.087657480088798E-5</v>
      </c>
      <c r="Q305" t="s">
        <v>251</v>
      </c>
      <c r="S305" t="s">
        <v>420</v>
      </c>
      <c r="T305" t="s">
        <v>787</v>
      </c>
      <c r="U305">
        <v>2.741937025483233E-5</v>
      </c>
      <c r="V305" t="s">
        <v>251</v>
      </c>
      <c r="X305">
        <v>1.1415525114155251E-4</v>
      </c>
      <c r="Y305">
        <v>1.5049432745775637E-4</v>
      </c>
      <c r="Z305" t="s">
        <v>787</v>
      </c>
      <c r="AA305" t="s">
        <v>25</v>
      </c>
      <c r="AC305" t="s">
        <v>22</v>
      </c>
      <c r="AD305" t="s">
        <v>787</v>
      </c>
      <c r="AE305">
        <v>1.2629517878571481E-4</v>
      </c>
      <c r="AG305" t="s">
        <v>97</v>
      </c>
      <c r="AH305" t="s">
        <v>787</v>
      </c>
      <c r="AI305">
        <v>0</v>
      </c>
      <c r="AK305">
        <v>2046</v>
      </c>
      <c r="AL305" t="s">
        <v>171</v>
      </c>
      <c r="AM305">
        <v>0.58489999999999998</v>
      </c>
      <c r="AN305" t="s">
        <v>430</v>
      </c>
    </row>
    <row r="306" spans="9:40" x14ac:dyDescent="0.45">
      <c r="I306" t="s">
        <v>249</v>
      </c>
      <c r="J306" t="s">
        <v>788</v>
      </c>
      <c r="K306">
        <v>2.8396540658330002E-4</v>
      </c>
      <c r="L306" t="s">
        <v>251</v>
      </c>
      <c r="N306" t="s">
        <v>419</v>
      </c>
      <c r="O306" t="s">
        <v>788</v>
      </c>
      <c r="P306">
        <v>1.465297608262126E-5</v>
      </c>
      <c r="Q306" t="s">
        <v>251</v>
      </c>
      <c r="S306" t="s">
        <v>420</v>
      </c>
      <c r="T306" t="s">
        <v>788</v>
      </c>
      <c r="U306">
        <v>2.4980600323653592E-5</v>
      </c>
      <c r="V306" t="s">
        <v>251</v>
      </c>
      <c r="X306">
        <v>1.1415525114155251E-4</v>
      </c>
      <c r="Y306">
        <v>1.7237235744060203E-4</v>
      </c>
      <c r="Z306" t="s">
        <v>788</v>
      </c>
      <c r="AA306" t="s">
        <v>25</v>
      </c>
      <c r="AC306" t="s">
        <v>22</v>
      </c>
      <c r="AD306" t="s">
        <v>788</v>
      </c>
      <c r="AE306">
        <v>1.0494944114998778E-4</v>
      </c>
      <c r="AG306" t="s">
        <v>97</v>
      </c>
      <c r="AH306" t="s">
        <v>788</v>
      </c>
      <c r="AI306">
        <v>0</v>
      </c>
      <c r="AK306">
        <v>2046</v>
      </c>
      <c r="AL306" t="s">
        <v>158</v>
      </c>
      <c r="AM306">
        <v>0.77249999999999996</v>
      </c>
      <c r="AN306" t="s">
        <v>430</v>
      </c>
    </row>
    <row r="307" spans="9:40" x14ac:dyDescent="0.45">
      <c r="I307" t="s">
        <v>249</v>
      </c>
      <c r="J307" t="s">
        <v>789</v>
      </c>
      <c r="K307">
        <v>2.220213183542E-4</v>
      </c>
      <c r="L307" t="s">
        <v>251</v>
      </c>
      <c r="N307" t="s">
        <v>419</v>
      </c>
      <c r="O307" t="s">
        <v>789</v>
      </c>
      <c r="P307">
        <v>1.690468223062173E-5</v>
      </c>
      <c r="Q307" t="s">
        <v>251</v>
      </c>
      <c r="S307" t="s">
        <v>420</v>
      </c>
      <c r="T307" t="s">
        <v>789</v>
      </c>
      <c r="U307">
        <v>2.5614008440638121E-5</v>
      </c>
      <c r="V307" t="s">
        <v>251</v>
      </c>
      <c r="X307">
        <v>1.1415525114155251E-4</v>
      </c>
      <c r="Y307">
        <v>2.2209515285616027E-4</v>
      </c>
      <c r="Z307" t="s">
        <v>789</v>
      </c>
      <c r="AA307" t="s">
        <v>25</v>
      </c>
      <c r="AC307" t="s">
        <v>22</v>
      </c>
      <c r="AD307" t="s">
        <v>789</v>
      </c>
      <c r="AE307">
        <v>8.7278125077109938E-5</v>
      </c>
      <c r="AG307" t="s">
        <v>97</v>
      </c>
      <c r="AH307" t="s">
        <v>789</v>
      </c>
      <c r="AI307">
        <v>0</v>
      </c>
      <c r="AK307">
        <v>2046</v>
      </c>
      <c r="AL307" t="s">
        <v>162</v>
      </c>
      <c r="AM307">
        <v>0.67989999999999995</v>
      </c>
      <c r="AN307" t="s">
        <v>430</v>
      </c>
    </row>
    <row r="308" spans="9:40" x14ac:dyDescent="0.45">
      <c r="I308" t="s">
        <v>249</v>
      </c>
      <c r="J308" t="s">
        <v>790</v>
      </c>
      <c r="K308">
        <v>1.003143982715E-4</v>
      </c>
      <c r="L308" t="s">
        <v>251</v>
      </c>
      <c r="N308" t="s">
        <v>419</v>
      </c>
      <c r="O308" t="s">
        <v>790</v>
      </c>
      <c r="P308">
        <v>2.1872543127560308E-5</v>
      </c>
      <c r="Q308" t="s">
        <v>251</v>
      </c>
      <c r="S308" t="s">
        <v>420</v>
      </c>
      <c r="T308" t="s">
        <v>790</v>
      </c>
      <c r="U308">
        <v>2.9311292391029768E-5</v>
      </c>
      <c r="V308" t="s">
        <v>251</v>
      </c>
      <c r="X308">
        <v>1.1415525114155251E-4</v>
      </c>
      <c r="Y308">
        <v>2.2209515285616027E-4</v>
      </c>
      <c r="Z308" t="s">
        <v>790</v>
      </c>
      <c r="AA308" t="s">
        <v>25</v>
      </c>
      <c r="AC308" t="s">
        <v>22</v>
      </c>
      <c r="AD308" t="s">
        <v>790</v>
      </c>
      <c r="AE308">
        <v>5.6539104179896631E-5</v>
      </c>
      <c r="AG308" t="s">
        <v>97</v>
      </c>
      <c r="AH308" t="s">
        <v>790</v>
      </c>
      <c r="AI308">
        <v>0</v>
      </c>
      <c r="AK308">
        <v>2046</v>
      </c>
      <c r="AL308" t="s">
        <v>175</v>
      </c>
      <c r="AM308">
        <v>0.45319999999999999</v>
      </c>
      <c r="AN308" t="s">
        <v>430</v>
      </c>
    </row>
    <row r="309" spans="9:40" x14ac:dyDescent="0.45">
      <c r="I309" t="s">
        <v>249</v>
      </c>
      <c r="J309" t="s">
        <v>791</v>
      </c>
      <c r="K309">
        <v>0</v>
      </c>
      <c r="L309" t="s">
        <v>251</v>
      </c>
      <c r="N309" t="s">
        <v>419</v>
      </c>
      <c r="O309" t="s">
        <v>791</v>
      </c>
      <c r="P309">
        <v>2.9010848604266581E-5</v>
      </c>
      <c r="Q309" t="s">
        <v>251</v>
      </c>
      <c r="S309" t="s">
        <v>420</v>
      </c>
      <c r="T309" t="s">
        <v>791</v>
      </c>
      <c r="U309">
        <v>3.216041046394915E-5</v>
      </c>
      <c r="V309" t="s">
        <v>251</v>
      </c>
      <c r="X309">
        <v>1.1415525114155251E-4</v>
      </c>
      <c r="Y309">
        <v>1.7237235744060203E-4</v>
      </c>
      <c r="Z309" t="s">
        <v>791</v>
      </c>
      <c r="AA309" t="s">
        <v>25</v>
      </c>
      <c r="AC309" t="s">
        <v>22</v>
      </c>
      <c r="AD309" t="s">
        <v>791</v>
      </c>
      <c r="AE309">
        <v>3.161141829536422E-5</v>
      </c>
      <c r="AG309" t="s">
        <v>97</v>
      </c>
      <c r="AH309" t="s">
        <v>791</v>
      </c>
      <c r="AI309">
        <v>0</v>
      </c>
      <c r="AK309">
        <v>2046</v>
      </c>
      <c r="AL309" t="s">
        <v>166</v>
      </c>
      <c r="AM309">
        <v>0.36359999999999998</v>
      </c>
      <c r="AN309" t="s">
        <v>430</v>
      </c>
    </row>
    <row r="310" spans="9:40" x14ac:dyDescent="0.45">
      <c r="I310" t="s">
        <v>249</v>
      </c>
      <c r="J310" t="s">
        <v>792</v>
      </c>
      <c r="K310">
        <v>0</v>
      </c>
      <c r="L310" t="s">
        <v>251</v>
      </c>
      <c r="N310" t="s">
        <v>419</v>
      </c>
      <c r="O310" t="s">
        <v>792</v>
      </c>
      <c r="P310">
        <v>3.3751379269301948E-5</v>
      </c>
      <c r="Q310" t="s">
        <v>251</v>
      </c>
      <c r="S310" t="s">
        <v>420</v>
      </c>
      <c r="T310" t="s">
        <v>792</v>
      </c>
      <c r="U310">
        <v>3.462152906644928E-5</v>
      </c>
      <c r="V310" t="s">
        <v>251</v>
      </c>
      <c r="X310">
        <v>1.1415525114155251E-4</v>
      </c>
      <c r="Y310">
        <v>1.5579809230208258E-4</v>
      </c>
      <c r="Z310" t="s">
        <v>792</v>
      </c>
      <c r="AA310" t="s">
        <v>25</v>
      </c>
      <c r="AC310" t="s">
        <v>22</v>
      </c>
      <c r="AD310" t="s">
        <v>792</v>
      </c>
      <c r="AE310">
        <v>2.690196409701259E-5</v>
      </c>
      <c r="AG310" t="s">
        <v>97</v>
      </c>
      <c r="AH310" t="s">
        <v>792</v>
      </c>
      <c r="AI310">
        <v>0</v>
      </c>
      <c r="AK310">
        <v>2046</v>
      </c>
      <c r="AL310" t="s">
        <v>178</v>
      </c>
      <c r="AM310">
        <v>0.27500000000000002</v>
      </c>
      <c r="AN310" t="s">
        <v>430</v>
      </c>
    </row>
    <row r="311" spans="9:40" x14ac:dyDescent="0.45">
      <c r="I311" t="s">
        <v>249</v>
      </c>
      <c r="J311" t="s">
        <v>793</v>
      </c>
      <c r="K311">
        <v>0</v>
      </c>
      <c r="L311" t="s">
        <v>251</v>
      </c>
      <c r="N311" t="s">
        <v>419</v>
      </c>
      <c r="O311" t="s">
        <v>793</v>
      </c>
      <c r="P311">
        <v>3.8623804948704892E-5</v>
      </c>
      <c r="Q311" t="s">
        <v>251</v>
      </c>
      <c r="S311" t="s">
        <v>420</v>
      </c>
      <c r="T311" t="s">
        <v>793</v>
      </c>
      <c r="U311">
        <v>3.6437825660772815E-5</v>
      </c>
      <c r="V311" t="s">
        <v>251</v>
      </c>
      <c r="X311">
        <v>1.1415525114155251E-4</v>
      </c>
      <c r="Y311">
        <v>1.093901499142282E-4</v>
      </c>
      <c r="Z311" t="s">
        <v>793</v>
      </c>
      <c r="AA311" t="s">
        <v>25</v>
      </c>
      <c r="AC311" t="s">
        <v>22</v>
      </c>
      <c r="AD311" t="s">
        <v>793</v>
      </c>
      <c r="AE311">
        <v>2.6243509535568113E-5</v>
      </c>
      <c r="AG311" t="s">
        <v>97</v>
      </c>
      <c r="AH311" t="s">
        <v>793</v>
      </c>
      <c r="AI311">
        <v>0</v>
      </c>
      <c r="AK311">
        <v>2047</v>
      </c>
      <c r="AL311" t="s">
        <v>151</v>
      </c>
      <c r="AM311">
        <v>0.25740000000000002</v>
      </c>
      <c r="AN311" t="s">
        <v>430</v>
      </c>
    </row>
    <row r="312" spans="9:40" x14ac:dyDescent="0.45">
      <c r="I312" t="s">
        <v>249</v>
      </c>
      <c r="J312" t="s">
        <v>794</v>
      </c>
      <c r="K312">
        <v>0</v>
      </c>
      <c r="L312" t="s">
        <v>251</v>
      </c>
      <c r="N312" t="s">
        <v>419</v>
      </c>
      <c r="O312" t="s">
        <v>794</v>
      </c>
      <c r="P312">
        <v>3.7956910842046976E-5</v>
      </c>
      <c r="Q312" t="s">
        <v>251</v>
      </c>
      <c r="S312" t="s">
        <v>420</v>
      </c>
      <c r="T312" t="s">
        <v>794</v>
      </c>
      <c r="U312">
        <v>3.8142289953138812E-5</v>
      </c>
      <c r="V312" t="s">
        <v>251</v>
      </c>
      <c r="X312">
        <v>1.1415525114155251E-4</v>
      </c>
      <c r="Y312">
        <v>7.9556472664893237E-5</v>
      </c>
      <c r="Z312" t="s">
        <v>794</v>
      </c>
      <c r="AA312" t="s">
        <v>25</v>
      </c>
      <c r="AC312" t="s">
        <v>22</v>
      </c>
      <c r="AD312" t="s">
        <v>794</v>
      </c>
      <c r="AE312">
        <v>2.7340933804642277E-5</v>
      </c>
      <c r="AG312" t="s">
        <v>97</v>
      </c>
      <c r="AH312" t="s">
        <v>794</v>
      </c>
      <c r="AI312">
        <v>0</v>
      </c>
      <c r="AK312">
        <v>2047</v>
      </c>
      <c r="AL312" t="s">
        <v>156</v>
      </c>
      <c r="AM312">
        <v>0.27950000000000003</v>
      </c>
      <c r="AN312" t="s">
        <v>430</v>
      </c>
    </row>
    <row r="313" spans="9:40" x14ac:dyDescent="0.45">
      <c r="I313" t="s">
        <v>249</v>
      </c>
      <c r="J313" t="s">
        <v>795</v>
      </c>
      <c r="K313">
        <v>0</v>
      </c>
      <c r="L313" t="s">
        <v>251</v>
      </c>
      <c r="N313" t="s">
        <v>419</v>
      </c>
      <c r="O313" t="s">
        <v>795</v>
      </c>
      <c r="P313">
        <v>3.4967398853449033E-5</v>
      </c>
      <c r="Q313" t="s">
        <v>251</v>
      </c>
      <c r="S313" t="s">
        <v>420</v>
      </c>
      <c r="T313" t="s">
        <v>795</v>
      </c>
      <c r="U313">
        <v>3.95461728784333E-5</v>
      </c>
      <c r="V313" t="s">
        <v>251</v>
      </c>
      <c r="X313">
        <v>1.1415525114155251E-4</v>
      </c>
      <c r="Y313">
        <v>5.6352501470966035E-5</v>
      </c>
      <c r="Z313" t="s">
        <v>795</v>
      </c>
      <c r="AA313" t="s">
        <v>25</v>
      </c>
      <c r="AC313" t="s">
        <v>22</v>
      </c>
      <c r="AD313" t="s">
        <v>795</v>
      </c>
      <c r="AE313">
        <v>3.1498890527672351E-5</v>
      </c>
      <c r="AG313" t="s">
        <v>97</v>
      </c>
      <c r="AH313" t="s">
        <v>795</v>
      </c>
      <c r="AI313">
        <v>0</v>
      </c>
      <c r="AK313">
        <v>2047</v>
      </c>
      <c r="AL313" t="s">
        <v>159</v>
      </c>
      <c r="AM313">
        <v>0.2944</v>
      </c>
      <c r="AN313" t="s">
        <v>430</v>
      </c>
    </row>
    <row r="314" spans="9:40" x14ac:dyDescent="0.45">
      <c r="I314" t="s">
        <v>249</v>
      </c>
      <c r="J314" t="s">
        <v>796</v>
      </c>
      <c r="K314">
        <v>0</v>
      </c>
      <c r="L314" t="s">
        <v>251</v>
      </c>
      <c r="N314" t="s">
        <v>419</v>
      </c>
      <c r="O314" t="s">
        <v>796</v>
      </c>
      <c r="P314">
        <v>3.076481017332323E-5</v>
      </c>
      <c r="Q314" t="s">
        <v>251</v>
      </c>
      <c r="S314" t="s">
        <v>420</v>
      </c>
      <c r="T314" t="s">
        <v>796</v>
      </c>
      <c r="U314">
        <v>3.8923147254261166E-5</v>
      </c>
      <c r="V314" t="s">
        <v>251</v>
      </c>
      <c r="X314">
        <v>1.1415525114155251E-4</v>
      </c>
      <c r="Y314">
        <v>2.9833677249334962E-5</v>
      </c>
      <c r="Z314" t="s">
        <v>796</v>
      </c>
      <c r="AA314" t="s">
        <v>25</v>
      </c>
      <c r="AC314" t="s">
        <v>22</v>
      </c>
      <c r="AD314" t="s">
        <v>796</v>
      </c>
      <c r="AE314">
        <v>5.30407161546248E-5</v>
      </c>
      <c r="AG314" t="s">
        <v>97</v>
      </c>
      <c r="AH314" t="s">
        <v>796</v>
      </c>
      <c r="AI314">
        <v>0</v>
      </c>
      <c r="AK314">
        <v>2047</v>
      </c>
      <c r="AL314" t="s">
        <v>163</v>
      </c>
      <c r="AM314">
        <v>0.33589999999999998</v>
      </c>
      <c r="AN314" t="s">
        <v>430</v>
      </c>
    </row>
    <row r="315" spans="9:40" x14ac:dyDescent="0.45">
      <c r="I315" t="s">
        <v>249</v>
      </c>
      <c r="J315" t="s">
        <v>411</v>
      </c>
      <c r="K315">
        <v>0</v>
      </c>
      <c r="L315" t="s">
        <v>251</v>
      </c>
      <c r="N315" t="s">
        <v>419</v>
      </c>
      <c r="O315" t="s">
        <v>411</v>
      </c>
      <c r="P315">
        <v>1.7735101237087186E-2</v>
      </c>
      <c r="Q315" t="s">
        <v>251</v>
      </c>
      <c r="S315" t="s">
        <v>420</v>
      </c>
      <c r="T315" t="s">
        <v>411</v>
      </c>
      <c r="U315">
        <v>1.9042613608245312E-2</v>
      </c>
      <c r="V315" t="s">
        <v>251</v>
      </c>
      <c r="X315">
        <v>2.4771689497716895E-2</v>
      </c>
      <c r="Y315">
        <v>9.7827942553597048E-3</v>
      </c>
      <c r="Z315" t="s">
        <v>411</v>
      </c>
      <c r="AA315" t="s">
        <v>25</v>
      </c>
      <c r="AC315" t="s">
        <v>22</v>
      </c>
      <c r="AD315" t="s">
        <v>411</v>
      </c>
      <c r="AE315">
        <v>1.9478113082872076E-2</v>
      </c>
      <c r="AG315" t="s">
        <v>97</v>
      </c>
      <c r="AH315" t="s">
        <v>411</v>
      </c>
      <c r="AI315">
        <v>0.14355804807208594</v>
      </c>
      <c r="AK315">
        <v>2047</v>
      </c>
      <c r="AL315" t="s">
        <v>167</v>
      </c>
      <c r="AM315">
        <v>0.36180000000000001</v>
      </c>
      <c r="AN315" t="s">
        <v>430</v>
      </c>
    </row>
    <row r="316" spans="9:40" x14ac:dyDescent="0.45">
      <c r="I316" t="s">
        <v>249</v>
      </c>
      <c r="J316" t="s">
        <v>412</v>
      </c>
      <c r="K316">
        <v>1.6154898979569435E-3</v>
      </c>
      <c r="L316" t="s">
        <v>251</v>
      </c>
      <c r="N316" t="s">
        <v>419</v>
      </c>
      <c r="O316" t="s">
        <v>412</v>
      </c>
      <c r="P316">
        <v>2.1091163348133345E-3</v>
      </c>
      <c r="Q316" t="s">
        <v>251</v>
      </c>
      <c r="S316" t="s">
        <v>420</v>
      </c>
      <c r="T316" t="s">
        <v>412</v>
      </c>
      <c r="U316">
        <v>2.8319565126200888E-3</v>
      </c>
      <c r="V316" t="s">
        <v>251</v>
      </c>
      <c r="X316">
        <v>3.5388127853881279E-3</v>
      </c>
      <c r="Y316">
        <v>5.9087255218821738E-3</v>
      </c>
      <c r="Z316" t="s">
        <v>412</v>
      </c>
      <c r="AA316" t="s">
        <v>25</v>
      </c>
      <c r="AC316" t="s">
        <v>22</v>
      </c>
      <c r="AD316" t="s">
        <v>412</v>
      </c>
      <c r="AE316">
        <v>3.3359779761860673E-3</v>
      </c>
      <c r="AG316" t="s">
        <v>97</v>
      </c>
      <c r="AH316" t="s">
        <v>412</v>
      </c>
      <c r="AI316">
        <v>5.3950509689007609E-2</v>
      </c>
      <c r="AK316">
        <v>2047</v>
      </c>
      <c r="AL316" t="s">
        <v>169</v>
      </c>
      <c r="AM316">
        <v>0.50639999999999996</v>
      </c>
      <c r="AN316" t="s">
        <v>430</v>
      </c>
    </row>
    <row r="317" spans="9:40" x14ac:dyDescent="0.45">
      <c r="I317" t="s">
        <v>249</v>
      </c>
      <c r="J317" t="s">
        <v>413</v>
      </c>
      <c r="K317">
        <v>6.4351954201609003E-3</v>
      </c>
      <c r="L317" t="s">
        <v>251</v>
      </c>
      <c r="N317" t="s">
        <v>419</v>
      </c>
      <c r="O317" t="s">
        <v>413</v>
      </c>
      <c r="P317">
        <v>1.5760119165755596E-3</v>
      </c>
      <c r="Q317" t="s">
        <v>251</v>
      </c>
      <c r="S317" t="s">
        <v>420</v>
      </c>
      <c r="T317" t="s">
        <v>413</v>
      </c>
      <c r="U317">
        <v>2.813179783114835E-3</v>
      </c>
      <c r="V317" t="s">
        <v>251</v>
      </c>
      <c r="X317">
        <v>3.5388127853881279E-3</v>
      </c>
      <c r="Y317">
        <v>4.521459529788099E-3</v>
      </c>
      <c r="Z317" t="s">
        <v>413</v>
      </c>
      <c r="AA317" t="s">
        <v>25</v>
      </c>
      <c r="AC317" t="s">
        <v>22</v>
      </c>
      <c r="AD317" t="s">
        <v>413</v>
      </c>
      <c r="AE317">
        <v>3.4423111459733102E-3</v>
      </c>
      <c r="AG317" t="s">
        <v>97</v>
      </c>
      <c r="AH317" t="s">
        <v>413</v>
      </c>
      <c r="AI317">
        <v>4.4327068300555439E-2</v>
      </c>
      <c r="AK317">
        <v>2047</v>
      </c>
      <c r="AL317" t="s">
        <v>171</v>
      </c>
      <c r="AM317">
        <v>0.51149999999999995</v>
      </c>
      <c r="AN317" t="s">
        <v>430</v>
      </c>
    </row>
    <row r="318" spans="9:40" x14ac:dyDescent="0.45">
      <c r="I318" t="s">
        <v>249</v>
      </c>
      <c r="J318" t="s">
        <v>414</v>
      </c>
      <c r="K318">
        <v>8.9729054957335998E-3</v>
      </c>
      <c r="L318" t="s">
        <v>251</v>
      </c>
      <c r="N318" t="s">
        <v>419</v>
      </c>
      <c r="O318" t="s">
        <v>414</v>
      </c>
      <c r="P318">
        <v>1.5050852864421545E-3</v>
      </c>
      <c r="Q318" t="s">
        <v>251</v>
      </c>
      <c r="S318" t="s">
        <v>420</v>
      </c>
      <c r="T318" t="s">
        <v>414</v>
      </c>
      <c r="U318">
        <v>2.7724472396623155E-3</v>
      </c>
      <c r="V318" t="s">
        <v>251</v>
      </c>
      <c r="X318">
        <v>3.5388127853881279E-3</v>
      </c>
      <c r="Y318">
        <v>4.4803553522445696E-3</v>
      </c>
      <c r="Z318" t="s">
        <v>414</v>
      </c>
      <c r="AA318" t="s">
        <v>25</v>
      </c>
      <c r="AC318" t="s">
        <v>22</v>
      </c>
      <c r="AD318" t="s">
        <v>414</v>
      </c>
      <c r="AE318">
        <v>3.4828434250686571E-3</v>
      </c>
      <c r="AG318" t="s">
        <v>97</v>
      </c>
      <c r="AH318" t="s">
        <v>414</v>
      </c>
      <c r="AI318">
        <v>3.9833092462189912E-2</v>
      </c>
      <c r="AK318">
        <v>2047</v>
      </c>
      <c r="AL318" t="s">
        <v>158</v>
      </c>
      <c r="AM318">
        <v>0.62080000000000002</v>
      </c>
      <c r="AN318" t="s">
        <v>430</v>
      </c>
    </row>
    <row r="319" spans="9:40" x14ac:dyDescent="0.45">
      <c r="I319" t="s">
        <v>249</v>
      </c>
      <c r="J319" t="s">
        <v>415</v>
      </c>
      <c r="K319">
        <v>6.5275103843921906E-2</v>
      </c>
      <c r="L319" t="s">
        <v>251</v>
      </c>
      <c r="N319" t="s">
        <v>419</v>
      </c>
      <c r="O319" t="s">
        <v>415</v>
      </c>
      <c r="P319">
        <v>9.2336310891315606E-3</v>
      </c>
      <c r="Q319" t="s">
        <v>251</v>
      </c>
      <c r="S319" t="s">
        <v>420</v>
      </c>
      <c r="T319" t="s">
        <v>415</v>
      </c>
      <c r="U319">
        <v>1.5945517424689779E-2</v>
      </c>
      <c r="V319" t="s">
        <v>251</v>
      </c>
      <c r="X319">
        <v>2.4771689497716895E-2</v>
      </c>
      <c r="Y319">
        <v>3.4650821669194247E-2</v>
      </c>
      <c r="Z319" t="s">
        <v>415</v>
      </c>
      <c r="AA319" t="s">
        <v>25</v>
      </c>
      <c r="AC319" t="s">
        <v>22</v>
      </c>
      <c r="AD319" t="s">
        <v>415</v>
      </c>
      <c r="AE319">
        <v>2.521487226725368E-2</v>
      </c>
      <c r="AG319" t="s">
        <v>97</v>
      </c>
      <c r="AH319" t="s">
        <v>415</v>
      </c>
      <c r="AI319">
        <v>0.12757569100527655</v>
      </c>
      <c r="AK319">
        <v>2047</v>
      </c>
      <c r="AL319" t="s">
        <v>162</v>
      </c>
      <c r="AM319">
        <v>0.61750000000000005</v>
      </c>
      <c r="AN319" t="s">
        <v>430</v>
      </c>
    </row>
    <row r="320" spans="9:40" x14ac:dyDescent="0.45">
      <c r="I320" t="s">
        <v>249</v>
      </c>
      <c r="J320" t="s">
        <v>416</v>
      </c>
      <c r="K320">
        <v>4.4126755720041997E-3</v>
      </c>
      <c r="L320" t="s">
        <v>251</v>
      </c>
      <c r="N320" t="s">
        <v>419</v>
      </c>
      <c r="O320" t="s">
        <v>416</v>
      </c>
      <c r="P320">
        <v>1.415502718704622E-3</v>
      </c>
      <c r="Q320" t="s">
        <v>251</v>
      </c>
      <c r="S320" t="s">
        <v>420</v>
      </c>
      <c r="T320" t="s">
        <v>416</v>
      </c>
      <c r="U320">
        <v>2.1843778148423437E-3</v>
      </c>
      <c r="V320" t="s">
        <v>251</v>
      </c>
      <c r="X320">
        <v>3.5388127853881279E-3</v>
      </c>
      <c r="Y320">
        <v>6.8849497385409693E-3</v>
      </c>
      <c r="Z320" t="s">
        <v>416</v>
      </c>
      <c r="AA320" t="s">
        <v>25</v>
      </c>
      <c r="AC320" t="s">
        <v>22</v>
      </c>
      <c r="AD320" t="s">
        <v>416</v>
      </c>
      <c r="AE320">
        <v>1.784427289069619E-3</v>
      </c>
      <c r="AG320" t="s">
        <v>97</v>
      </c>
      <c r="AH320" t="s">
        <v>416</v>
      </c>
      <c r="AI320">
        <v>7.7669055708102785E-3</v>
      </c>
      <c r="AK320">
        <v>2047</v>
      </c>
      <c r="AL320" t="s">
        <v>175</v>
      </c>
      <c r="AM320">
        <v>0.44309999999999999</v>
      </c>
      <c r="AN320" t="s">
        <v>430</v>
      </c>
    </row>
    <row r="321" spans="9:40" x14ac:dyDescent="0.45">
      <c r="I321" t="s">
        <v>249</v>
      </c>
      <c r="J321" t="s">
        <v>417</v>
      </c>
      <c r="K321">
        <v>4.942434988509928E-5</v>
      </c>
      <c r="L321" t="s">
        <v>251</v>
      </c>
      <c r="N321" t="s">
        <v>419</v>
      </c>
      <c r="O321" t="s">
        <v>417</v>
      </c>
      <c r="P321">
        <v>1.9914673929772148E-3</v>
      </c>
      <c r="Q321" t="s">
        <v>251</v>
      </c>
      <c r="S321" t="s">
        <v>420</v>
      </c>
      <c r="T321" t="s">
        <v>417</v>
      </c>
      <c r="U321">
        <v>2.3204971359952224E-3</v>
      </c>
      <c r="V321" t="s">
        <v>251</v>
      </c>
      <c r="X321">
        <v>3.5388127853881279E-3</v>
      </c>
      <c r="Y321">
        <v>5.3435430806586613E-3</v>
      </c>
      <c r="Z321" t="s">
        <v>417</v>
      </c>
      <c r="AA321" t="s">
        <v>25</v>
      </c>
      <c r="AC321" t="s">
        <v>22</v>
      </c>
      <c r="AD321" t="s">
        <v>417</v>
      </c>
      <c r="AE321">
        <v>9.384691566973987E-4</v>
      </c>
      <c r="AG321" t="s">
        <v>97</v>
      </c>
      <c r="AH321" t="s">
        <v>417</v>
      </c>
      <c r="AI321">
        <v>1.8056274068608102E-2</v>
      </c>
      <c r="AK321">
        <v>2047</v>
      </c>
      <c r="AL321" t="s">
        <v>166</v>
      </c>
      <c r="AM321">
        <v>0.31790000000000002</v>
      </c>
      <c r="AN321" t="s">
        <v>430</v>
      </c>
    </row>
    <row r="322" spans="9:40" x14ac:dyDescent="0.45">
      <c r="I322" t="s">
        <v>249</v>
      </c>
      <c r="J322" t="s">
        <v>418</v>
      </c>
      <c r="K322">
        <v>0</v>
      </c>
      <c r="L322" t="s">
        <v>251</v>
      </c>
      <c r="N322" t="s">
        <v>419</v>
      </c>
      <c r="O322" t="s">
        <v>418</v>
      </c>
      <c r="P322">
        <v>1.5166151400172592E-2</v>
      </c>
      <c r="Q322" t="s">
        <v>251</v>
      </c>
      <c r="S322" t="s">
        <v>420</v>
      </c>
      <c r="T322" t="s">
        <v>418</v>
      </c>
      <c r="U322">
        <v>1.3111703027212691E-2</v>
      </c>
      <c r="V322" t="s">
        <v>251</v>
      </c>
      <c r="X322">
        <v>1.7694063926940638E-2</v>
      </c>
      <c r="Y322">
        <v>1.3358857701646654E-2</v>
      </c>
      <c r="Z322" t="s">
        <v>418</v>
      </c>
      <c r="AA322" t="s">
        <v>25</v>
      </c>
      <c r="AC322" t="s">
        <v>22</v>
      </c>
      <c r="AD322" t="s">
        <v>418</v>
      </c>
      <c r="AE322">
        <v>4.5197694108912835E-3</v>
      </c>
      <c r="AG322" t="s">
        <v>97</v>
      </c>
      <c r="AH322" t="s">
        <v>418</v>
      </c>
      <c r="AI322">
        <v>0.13031366973009884</v>
      </c>
      <c r="AK322">
        <v>2047</v>
      </c>
      <c r="AL322" t="s">
        <v>178</v>
      </c>
      <c r="AM322">
        <v>0.24079999999999999</v>
      </c>
      <c r="AN322" t="s">
        <v>430</v>
      </c>
    </row>
    <row r="323" spans="9:40" x14ac:dyDescent="0.45">
      <c r="AC323" t="s">
        <v>19</v>
      </c>
      <c r="AD323" t="s">
        <v>250</v>
      </c>
      <c r="AE323">
        <v>2.4807105468120417E-2</v>
      </c>
      <c r="AK323">
        <v>2048</v>
      </c>
      <c r="AL323" t="s">
        <v>151</v>
      </c>
      <c r="AM323">
        <v>0.2341</v>
      </c>
      <c r="AN323" t="s">
        <v>430</v>
      </c>
    </row>
    <row r="324" spans="9:40" x14ac:dyDescent="0.45">
      <c r="AC324" t="s">
        <v>19</v>
      </c>
      <c r="AD324" t="s">
        <v>252</v>
      </c>
      <c r="AE324">
        <v>3.5619570919209883E-3</v>
      </c>
      <c r="AK324">
        <v>2048</v>
      </c>
      <c r="AL324" t="s">
        <v>156</v>
      </c>
      <c r="AM324">
        <v>0.2361</v>
      </c>
      <c r="AN324" t="s">
        <v>430</v>
      </c>
    </row>
    <row r="325" spans="9:40" x14ac:dyDescent="0.45">
      <c r="AC325" t="s">
        <v>19</v>
      </c>
      <c r="AD325" t="s">
        <v>253</v>
      </c>
      <c r="AE325">
        <v>3.5667869659552921E-3</v>
      </c>
      <c r="AK325">
        <v>2048</v>
      </c>
      <c r="AL325" t="s">
        <v>159</v>
      </c>
      <c r="AM325">
        <v>0.2873</v>
      </c>
      <c r="AN325" t="s">
        <v>430</v>
      </c>
    </row>
    <row r="326" spans="9:40" x14ac:dyDescent="0.45">
      <c r="AC326" t="s">
        <v>19</v>
      </c>
      <c r="AD326" t="s">
        <v>254</v>
      </c>
      <c r="AE326">
        <v>3.5689405305789229E-3</v>
      </c>
      <c r="AK326">
        <v>2048</v>
      </c>
      <c r="AL326" t="s">
        <v>163</v>
      </c>
      <c r="AM326">
        <v>0.3155</v>
      </c>
      <c r="AN326" t="s">
        <v>430</v>
      </c>
    </row>
    <row r="327" spans="9:40" x14ac:dyDescent="0.45">
      <c r="AC327" t="s">
        <v>19</v>
      </c>
      <c r="AD327" t="s">
        <v>255</v>
      </c>
      <c r="AE327">
        <v>2.5071463818378881E-2</v>
      </c>
      <c r="AK327">
        <v>2048</v>
      </c>
      <c r="AL327" t="s">
        <v>167</v>
      </c>
      <c r="AM327">
        <v>0.41060000000000002</v>
      </c>
      <c r="AN327" t="s">
        <v>430</v>
      </c>
    </row>
    <row r="328" spans="9:40" x14ac:dyDescent="0.45">
      <c r="AC328" t="s">
        <v>19</v>
      </c>
      <c r="AD328" t="s">
        <v>256</v>
      </c>
      <c r="AE328">
        <v>3.5083301744215831E-3</v>
      </c>
      <c r="AK328">
        <v>2048</v>
      </c>
      <c r="AL328" t="s">
        <v>169</v>
      </c>
      <c r="AM328">
        <v>0.46820000000000001</v>
      </c>
      <c r="AN328" t="s">
        <v>430</v>
      </c>
    </row>
    <row r="329" spans="9:40" x14ac:dyDescent="0.45">
      <c r="AC329" t="s">
        <v>19</v>
      </c>
      <c r="AD329" t="s">
        <v>257</v>
      </c>
      <c r="AE329">
        <v>3.45492873392677E-3</v>
      </c>
      <c r="AK329">
        <v>2048</v>
      </c>
      <c r="AL329" t="s">
        <v>171</v>
      </c>
      <c r="AM329">
        <v>0.53469999999999995</v>
      </c>
      <c r="AN329" t="s">
        <v>430</v>
      </c>
    </row>
    <row r="330" spans="9:40" x14ac:dyDescent="0.45">
      <c r="AC330" t="s">
        <v>19</v>
      </c>
      <c r="AD330" t="s">
        <v>258</v>
      </c>
      <c r="AE330">
        <v>1.7289049174318342E-2</v>
      </c>
      <c r="AK330">
        <v>2048</v>
      </c>
      <c r="AL330" t="s">
        <v>158</v>
      </c>
      <c r="AM330">
        <v>0.68959999999999999</v>
      </c>
      <c r="AN330" t="s">
        <v>430</v>
      </c>
    </row>
    <row r="331" spans="9:40" x14ac:dyDescent="0.45">
      <c r="AC331" t="s">
        <v>19</v>
      </c>
      <c r="AD331" t="s">
        <v>259</v>
      </c>
      <c r="AE331">
        <v>2.2396102892648883E-2</v>
      </c>
      <c r="AK331">
        <v>2048</v>
      </c>
      <c r="AL331" t="s">
        <v>162</v>
      </c>
      <c r="AM331">
        <v>0.58379999999999999</v>
      </c>
      <c r="AN331" t="s">
        <v>430</v>
      </c>
    </row>
    <row r="332" spans="9:40" x14ac:dyDescent="0.45">
      <c r="AC332" t="s">
        <v>19</v>
      </c>
      <c r="AD332" t="s">
        <v>260</v>
      </c>
      <c r="AE332">
        <v>3.2256847155674282E-3</v>
      </c>
      <c r="AK332">
        <v>2048</v>
      </c>
      <c r="AL332" t="s">
        <v>175</v>
      </c>
      <c r="AM332">
        <v>0.4778</v>
      </c>
      <c r="AN332" t="s">
        <v>430</v>
      </c>
    </row>
    <row r="333" spans="9:40" x14ac:dyDescent="0.45">
      <c r="AC333" t="s">
        <v>19</v>
      </c>
      <c r="AD333" t="s">
        <v>261</v>
      </c>
      <c r="AE333">
        <v>3.2308029695060085E-3</v>
      </c>
      <c r="AK333">
        <v>2048</v>
      </c>
      <c r="AL333" t="s">
        <v>166</v>
      </c>
      <c r="AM333">
        <v>0.28249999999999997</v>
      </c>
      <c r="AN333" t="s">
        <v>430</v>
      </c>
    </row>
    <row r="334" spans="9:40" x14ac:dyDescent="0.45">
      <c r="AC334" t="s">
        <v>19</v>
      </c>
      <c r="AD334" t="s">
        <v>262</v>
      </c>
      <c r="AE334">
        <v>3.2332976593585478E-3</v>
      </c>
      <c r="AK334">
        <v>2048</v>
      </c>
      <c r="AL334" t="s">
        <v>178</v>
      </c>
      <c r="AM334">
        <v>0.25080000000000002</v>
      </c>
      <c r="AN334" t="s">
        <v>430</v>
      </c>
    </row>
    <row r="335" spans="9:40" x14ac:dyDescent="0.45">
      <c r="AC335" t="s">
        <v>19</v>
      </c>
      <c r="AD335" t="s">
        <v>263</v>
      </c>
      <c r="AE335">
        <v>2.2675381292253185E-2</v>
      </c>
      <c r="AK335">
        <v>2049</v>
      </c>
      <c r="AL335" t="s">
        <v>151</v>
      </c>
      <c r="AM335">
        <v>0.23300000000000001</v>
      </c>
      <c r="AN335" t="s">
        <v>430</v>
      </c>
    </row>
    <row r="336" spans="9:40" x14ac:dyDescent="0.45">
      <c r="AC336" t="s">
        <v>19</v>
      </c>
      <c r="AD336" t="s">
        <v>264</v>
      </c>
      <c r="AE336">
        <v>3.1527306837495182E-3</v>
      </c>
      <c r="AK336">
        <v>2049</v>
      </c>
      <c r="AL336" t="s">
        <v>156</v>
      </c>
      <c r="AM336">
        <v>0.25209999999999999</v>
      </c>
      <c r="AN336" t="s">
        <v>430</v>
      </c>
    </row>
    <row r="337" spans="29:40" x14ac:dyDescent="0.45">
      <c r="AC337" t="s">
        <v>19</v>
      </c>
      <c r="AD337" t="s">
        <v>265</v>
      </c>
      <c r="AE337">
        <v>3.1203667450810579E-3</v>
      </c>
      <c r="AK337">
        <v>2049</v>
      </c>
      <c r="AL337" t="s">
        <v>159</v>
      </c>
      <c r="AM337">
        <v>0.27529999999999999</v>
      </c>
      <c r="AN337" t="s">
        <v>430</v>
      </c>
    </row>
    <row r="338" spans="29:40" x14ac:dyDescent="0.45">
      <c r="AC338" t="s">
        <v>19</v>
      </c>
      <c r="AD338" t="s">
        <v>266</v>
      </c>
      <c r="AE338">
        <v>1.5590950306966856E-2</v>
      </c>
      <c r="AK338">
        <v>2049</v>
      </c>
      <c r="AL338" t="s">
        <v>163</v>
      </c>
      <c r="AM338">
        <v>0.30709999999999998</v>
      </c>
      <c r="AN338" t="s">
        <v>430</v>
      </c>
    </row>
    <row r="339" spans="29:40" x14ac:dyDescent="0.45">
      <c r="AC339" t="s">
        <v>19</v>
      </c>
      <c r="AD339" t="s">
        <v>267</v>
      </c>
      <c r="AE339">
        <v>2.4817941741787808E-2</v>
      </c>
      <c r="AK339">
        <v>2049</v>
      </c>
      <c r="AL339" t="s">
        <v>167</v>
      </c>
      <c r="AM339">
        <v>0.41820000000000002</v>
      </c>
      <c r="AN339" t="s">
        <v>430</v>
      </c>
    </row>
    <row r="340" spans="29:40" x14ac:dyDescent="0.45">
      <c r="AC340" t="s">
        <v>19</v>
      </c>
      <c r="AD340" t="s">
        <v>268</v>
      </c>
      <c r="AE340">
        <v>3.5813431856435533E-3</v>
      </c>
      <c r="AK340">
        <v>2049</v>
      </c>
      <c r="AL340" t="s">
        <v>169</v>
      </c>
      <c r="AM340">
        <v>0.46750000000000003</v>
      </c>
      <c r="AN340" t="s">
        <v>430</v>
      </c>
    </row>
    <row r="341" spans="29:40" x14ac:dyDescent="0.45">
      <c r="AC341" t="s">
        <v>19</v>
      </c>
      <c r="AD341" t="s">
        <v>269</v>
      </c>
      <c r="AE341">
        <v>3.5935791486853184E-3</v>
      </c>
      <c r="AK341">
        <v>2049</v>
      </c>
      <c r="AL341" t="s">
        <v>171</v>
      </c>
      <c r="AM341">
        <v>0.52849999999999997</v>
      </c>
      <c r="AN341" t="s">
        <v>430</v>
      </c>
    </row>
    <row r="342" spans="29:40" x14ac:dyDescent="0.45">
      <c r="AC342" t="s">
        <v>19</v>
      </c>
      <c r="AD342" t="s">
        <v>270</v>
      </c>
      <c r="AE342">
        <v>3.5992108892045106E-3</v>
      </c>
      <c r="AK342">
        <v>2049</v>
      </c>
      <c r="AL342" t="s">
        <v>158</v>
      </c>
      <c r="AM342">
        <v>0.65500000000000003</v>
      </c>
      <c r="AN342" t="s">
        <v>430</v>
      </c>
    </row>
    <row r="343" spans="29:40" x14ac:dyDescent="0.45">
      <c r="AC343" t="s">
        <v>19</v>
      </c>
      <c r="AD343" t="s">
        <v>271</v>
      </c>
      <c r="AE343">
        <v>2.5159670658659424E-2</v>
      </c>
      <c r="AK343">
        <v>2049</v>
      </c>
      <c r="AL343" t="s">
        <v>162</v>
      </c>
      <c r="AM343">
        <v>0.64280000000000004</v>
      </c>
      <c r="AN343" t="s">
        <v>430</v>
      </c>
    </row>
    <row r="344" spans="29:40" x14ac:dyDescent="0.45">
      <c r="AC344" t="s">
        <v>19</v>
      </c>
      <c r="AD344" t="s">
        <v>272</v>
      </c>
      <c r="AE344">
        <v>3.4703547488830963E-3</v>
      </c>
      <c r="AK344">
        <v>2049</v>
      </c>
      <c r="AL344" t="s">
        <v>175</v>
      </c>
      <c r="AM344">
        <v>0.45379999999999998</v>
      </c>
      <c r="AN344" t="s">
        <v>430</v>
      </c>
    </row>
    <row r="345" spans="29:40" x14ac:dyDescent="0.45">
      <c r="AC345" t="s">
        <v>19</v>
      </c>
      <c r="AD345" t="s">
        <v>273</v>
      </c>
      <c r="AE345">
        <v>3.4449947227347894E-3</v>
      </c>
      <c r="AK345">
        <v>2049</v>
      </c>
      <c r="AL345" t="s">
        <v>166</v>
      </c>
      <c r="AM345">
        <v>0.29730000000000001</v>
      </c>
      <c r="AN345" t="s">
        <v>430</v>
      </c>
    </row>
    <row r="346" spans="29:40" x14ac:dyDescent="0.45">
      <c r="AC346" t="s">
        <v>19</v>
      </c>
      <c r="AD346" t="s">
        <v>274</v>
      </c>
      <c r="AE346">
        <v>1.7239740876161678E-2</v>
      </c>
      <c r="AK346">
        <v>2049</v>
      </c>
      <c r="AL346" t="s">
        <v>178</v>
      </c>
      <c r="AM346">
        <v>0.22620000000000001</v>
      </c>
      <c r="AN346" t="s">
        <v>430</v>
      </c>
    </row>
    <row r="347" spans="29:40" x14ac:dyDescent="0.45">
      <c r="AC347" t="s">
        <v>19</v>
      </c>
      <c r="AD347" t="s">
        <v>275</v>
      </c>
      <c r="AE347">
        <v>2.3992482297509075E-2</v>
      </c>
      <c r="AK347">
        <v>2050</v>
      </c>
      <c r="AL347" t="s">
        <v>151</v>
      </c>
      <c r="AM347">
        <v>0.26329999999999998</v>
      </c>
      <c r="AN347" t="s">
        <v>430</v>
      </c>
    </row>
    <row r="348" spans="29:40" x14ac:dyDescent="0.45">
      <c r="AC348" t="s">
        <v>19</v>
      </c>
      <c r="AD348" t="s">
        <v>276</v>
      </c>
      <c r="AE348">
        <v>3.4738704666897762E-3</v>
      </c>
      <c r="AK348">
        <v>2050</v>
      </c>
      <c r="AL348" t="s">
        <v>156</v>
      </c>
      <c r="AM348">
        <v>0.2621</v>
      </c>
      <c r="AN348" t="s">
        <v>430</v>
      </c>
    </row>
    <row r="349" spans="29:40" x14ac:dyDescent="0.45">
      <c r="AC349" t="s">
        <v>19</v>
      </c>
      <c r="AD349" t="s">
        <v>277</v>
      </c>
      <c r="AE349">
        <v>3.4801538791335491E-3</v>
      </c>
      <c r="AK349">
        <v>2050</v>
      </c>
      <c r="AL349" t="s">
        <v>159</v>
      </c>
      <c r="AM349">
        <v>0.25269999999999998</v>
      </c>
      <c r="AN349" t="s">
        <v>430</v>
      </c>
    </row>
    <row r="350" spans="29:40" x14ac:dyDescent="0.45">
      <c r="AC350" t="s">
        <v>19</v>
      </c>
      <c r="AD350" t="s">
        <v>278</v>
      </c>
      <c r="AE350">
        <v>3.4821192640984906E-3</v>
      </c>
      <c r="AK350">
        <v>2050</v>
      </c>
      <c r="AL350" t="s">
        <v>163</v>
      </c>
      <c r="AM350">
        <v>0.31819999999999998</v>
      </c>
      <c r="AN350" t="s">
        <v>430</v>
      </c>
    </row>
    <row r="351" spans="29:40" x14ac:dyDescent="0.45">
      <c r="AC351" t="s">
        <v>19</v>
      </c>
      <c r="AD351" t="s">
        <v>279</v>
      </c>
      <c r="AE351">
        <v>2.431802215590554E-2</v>
      </c>
      <c r="AK351">
        <v>2050</v>
      </c>
      <c r="AL351" t="s">
        <v>167</v>
      </c>
      <c r="AM351">
        <v>0.41739999999999999</v>
      </c>
      <c r="AN351" t="s">
        <v>430</v>
      </c>
    </row>
    <row r="352" spans="29:40" x14ac:dyDescent="0.45">
      <c r="AC352" t="s">
        <v>19</v>
      </c>
      <c r="AD352" t="s">
        <v>280</v>
      </c>
      <c r="AE352">
        <v>3.3586893850175658E-3</v>
      </c>
      <c r="AK352">
        <v>2050</v>
      </c>
      <c r="AL352" t="s">
        <v>169</v>
      </c>
      <c r="AM352">
        <v>0.47360000000000002</v>
      </c>
      <c r="AN352" t="s">
        <v>430</v>
      </c>
    </row>
    <row r="353" spans="29:40" x14ac:dyDescent="0.45">
      <c r="AC353" t="s">
        <v>19</v>
      </c>
      <c r="AD353" t="s">
        <v>281</v>
      </c>
      <c r="AE353">
        <v>3.384166540703218E-3</v>
      </c>
      <c r="AK353">
        <v>2050</v>
      </c>
      <c r="AL353" t="s">
        <v>171</v>
      </c>
      <c r="AM353">
        <v>0.4929</v>
      </c>
      <c r="AN353" t="s">
        <v>430</v>
      </c>
    </row>
    <row r="354" spans="29:40" x14ac:dyDescent="0.45">
      <c r="AC354" t="s">
        <v>19</v>
      </c>
      <c r="AD354" t="s">
        <v>282</v>
      </c>
      <c r="AE354">
        <v>1.6789908068262124E-2</v>
      </c>
      <c r="AK354">
        <v>2050</v>
      </c>
      <c r="AL354" t="s">
        <v>158</v>
      </c>
      <c r="AM354">
        <v>0.67459999999999998</v>
      </c>
      <c r="AN354" t="s">
        <v>430</v>
      </c>
    </row>
    <row r="355" spans="29:40" x14ac:dyDescent="0.45">
      <c r="AC355" t="s">
        <v>19</v>
      </c>
      <c r="AD355" t="s">
        <v>283</v>
      </c>
      <c r="AE355">
        <v>2.4805099440951852E-2</v>
      </c>
      <c r="AK355">
        <v>2050</v>
      </c>
      <c r="AL355" t="s">
        <v>162</v>
      </c>
      <c r="AM355">
        <v>0.63300000000000001</v>
      </c>
      <c r="AN355" t="s">
        <v>430</v>
      </c>
    </row>
    <row r="356" spans="29:40" x14ac:dyDescent="0.45">
      <c r="AC356" t="s">
        <v>19</v>
      </c>
      <c r="AD356" t="s">
        <v>284</v>
      </c>
      <c r="AE356">
        <v>3.5794377402909392E-3</v>
      </c>
      <c r="AK356">
        <v>2050</v>
      </c>
      <c r="AL356" t="s">
        <v>175</v>
      </c>
      <c r="AM356">
        <v>0.48020000000000002</v>
      </c>
      <c r="AN356" t="s">
        <v>430</v>
      </c>
    </row>
    <row r="357" spans="29:40" x14ac:dyDescent="0.45">
      <c r="AC357" t="s">
        <v>19</v>
      </c>
      <c r="AD357" t="s">
        <v>285</v>
      </c>
      <c r="AE357">
        <v>3.5822695875696313E-3</v>
      </c>
      <c r="AK357">
        <v>2050</v>
      </c>
      <c r="AL357" t="s">
        <v>166</v>
      </c>
      <c r="AM357">
        <v>0.26769999999999999</v>
      </c>
      <c r="AN357" t="s">
        <v>430</v>
      </c>
    </row>
    <row r="358" spans="29:40" x14ac:dyDescent="0.45">
      <c r="AC358" t="s">
        <v>19</v>
      </c>
      <c r="AD358" t="s">
        <v>286</v>
      </c>
      <c r="AE358">
        <v>3.582425971902239E-3</v>
      </c>
      <c r="AK358">
        <v>2050</v>
      </c>
      <c r="AL358" t="s">
        <v>178</v>
      </c>
      <c r="AM358">
        <v>0.23810000000000001</v>
      </c>
      <c r="AN358" t="s">
        <v>430</v>
      </c>
    </row>
    <row r="359" spans="29:40" x14ac:dyDescent="0.45">
      <c r="AC359" t="s">
        <v>19</v>
      </c>
      <c r="AD359" t="s">
        <v>287</v>
      </c>
      <c r="AE359">
        <v>2.506980727527703E-2</v>
      </c>
    </row>
    <row r="360" spans="29:40" x14ac:dyDescent="0.45">
      <c r="AC360" t="s">
        <v>19</v>
      </c>
      <c r="AD360" t="s">
        <v>288</v>
      </c>
      <c r="AE360">
        <v>3.4736433689537133E-3</v>
      </c>
    </row>
    <row r="361" spans="29:40" x14ac:dyDescent="0.45">
      <c r="AC361" t="s">
        <v>19</v>
      </c>
      <c r="AD361" t="s">
        <v>289</v>
      </c>
      <c r="AE361">
        <v>3.5163132255955397E-3</v>
      </c>
    </row>
    <row r="362" spans="29:40" x14ac:dyDescent="0.45">
      <c r="AC362" t="s">
        <v>19</v>
      </c>
      <c r="AD362" t="s">
        <v>290</v>
      </c>
      <c r="AE362">
        <v>1.7465225760148372E-2</v>
      </c>
    </row>
    <row r="363" spans="29:40" x14ac:dyDescent="0.45">
      <c r="AC363" t="s">
        <v>19</v>
      </c>
      <c r="AD363" t="s">
        <v>291</v>
      </c>
      <c r="AE363">
        <v>2.4008373861375724E-2</v>
      </c>
    </row>
    <row r="364" spans="29:40" x14ac:dyDescent="0.45">
      <c r="AC364" t="s">
        <v>19</v>
      </c>
      <c r="AD364" t="s">
        <v>292</v>
      </c>
      <c r="AE364">
        <v>3.4559498795923922E-3</v>
      </c>
    </row>
    <row r="365" spans="29:40" x14ac:dyDescent="0.45">
      <c r="AC365" t="s">
        <v>19</v>
      </c>
      <c r="AD365" t="s">
        <v>293</v>
      </c>
      <c r="AE365">
        <v>3.4583274928116229E-3</v>
      </c>
    </row>
    <row r="366" spans="29:40" x14ac:dyDescent="0.45">
      <c r="AC366" t="s">
        <v>19</v>
      </c>
      <c r="AD366" t="s">
        <v>294</v>
      </c>
      <c r="AE366">
        <v>3.4586289400129751E-3</v>
      </c>
    </row>
    <row r="367" spans="29:40" x14ac:dyDescent="0.45">
      <c r="AC367" t="s">
        <v>19</v>
      </c>
      <c r="AD367" t="s">
        <v>295</v>
      </c>
      <c r="AE367">
        <v>2.4232325166451862E-2</v>
      </c>
    </row>
    <row r="368" spans="29:40" x14ac:dyDescent="0.45">
      <c r="AC368" t="s">
        <v>19</v>
      </c>
      <c r="AD368" t="s">
        <v>296</v>
      </c>
      <c r="AE368">
        <v>3.3662016200230443E-3</v>
      </c>
    </row>
    <row r="369" spans="29:31" x14ac:dyDescent="0.45">
      <c r="AC369" t="s">
        <v>19</v>
      </c>
      <c r="AD369" t="s">
        <v>297</v>
      </c>
      <c r="AE369">
        <v>3.4017293258967124E-3</v>
      </c>
    </row>
    <row r="370" spans="29:31" x14ac:dyDescent="0.45">
      <c r="AC370" t="s">
        <v>19</v>
      </c>
      <c r="AD370" t="s">
        <v>298</v>
      </c>
      <c r="AE370">
        <v>1.6923760039274597E-2</v>
      </c>
    </row>
    <row r="371" spans="29:31" x14ac:dyDescent="0.45">
      <c r="AC371" t="s">
        <v>19</v>
      </c>
      <c r="AD371" t="s">
        <v>299</v>
      </c>
      <c r="AE371">
        <v>2.4820133261090005E-2</v>
      </c>
    </row>
    <row r="372" spans="29:31" x14ac:dyDescent="0.45">
      <c r="AC372" t="s">
        <v>19</v>
      </c>
      <c r="AD372" t="s">
        <v>300</v>
      </c>
      <c r="AE372">
        <v>3.5651303084484587E-3</v>
      </c>
    </row>
    <row r="373" spans="29:31" x14ac:dyDescent="0.45">
      <c r="AC373" t="s">
        <v>19</v>
      </c>
      <c r="AD373" t="s">
        <v>301</v>
      </c>
      <c r="AE373">
        <v>3.5674991925016271E-3</v>
      </c>
    </row>
    <row r="374" spans="29:31" x14ac:dyDescent="0.45">
      <c r="AC374" t="s">
        <v>19</v>
      </c>
      <c r="AD374" t="s">
        <v>302</v>
      </c>
      <c r="AE374">
        <v>3.5679085110338947E-3</v>
      </c>
    </row>
    <row r="375" spans="29:31" x14ac:dyDescent="0.45">
      <c r="AC375" t="s">
        <v>19</v>
      </c>
      <c r="AD375" t="s">
        <v>303</v>
      </c>
      <c r="AE375">
        <v>2.5025049535034486E-2</v>
      </c>
    </row>
    <row r="376" spans="29:31" x14ac:dyDescent="0.45">
      <c r="AC376" t="s">
        <v>19</v>
      </c>
      <c r="AD376" t="s">
        <v>304</v>
      </c>
      <c r="AE376">
        <v>3.479127390160216E-3</v>
      </c>
    </row>
    <row r="377" spans="29:31" x14ac:dyDescent="0.45">
      <c r="AC377" t="s">
        <v>19</v>
      </c>
      <c r="AD377" t="s">
        <v>305</v>
      </c>
      <c r="AE377">
        <v>3.5113373780817588E-3</v>
      </c>
    </row>
    <row r="378" spans="29:31" x14ac:dyDescent="0.45">
      <c r="AC378" t="s">
        <v>19</v>
      </c>
      <c r="AD378" t="s">
        <v>306</v>
      </c>
      <c r="AE378">
        <v>1.7489296829039009E-2</v>
      </c>
    </row>
    <row r="379" spans="29:31" x14ac:dyDescent="0.45">
      <c r="AC379" t="s">
        <v>19</v>
      </c>
      <c r="AD379" t="s">
        <v>307</v>
      </c>
      <c r="AE379">
        <v>2.2460802744648314E-2</v>
      </c>
    </row>
    <row r="380" spans="29:31" x14ac:dyDescent="0.45">
      <c r="AC380" t="s">
        <v>19</v>
      </c>
      <c r="AD380" t="s">
        <v>308</v>
      </c>
      <c r="AE380">
        <v>3.2360550348406588E-3</v>
      </c>
    </row>
    <row r="381" spans="29:31" x14ac:dyDescent="0.45">
      <c r="AC381" t="s">
        <v>19</v>
      </c>
      <c r="AD381" t="s">
        <v>309</v>
      </c>
      <c r="AE381">
        <v>3.2374660913086248E-3</v>
      </c>
    </row>
    <row r="382" spans="29:31" x14ac:dyDescent="0.45">
      <c r="AC382" t="s">
        <v>19</v>
      </c>
      <c r="AD382" t="s">
        <v>310</v>
      </c>
      <c r="AE382">
        <v>3.2370774582547229E-3</v>
      </c>
    </row>
    <row r="383" spans="29:31" x14ac:dyDescent="0.45">
      <c r="AC383" t="s">
        <v>19</v>
      </c>
      <c r="AD383" t="s">
        <v>311</v>
      </c>
      <c r="AE383">
        <v>2.2727217527718949E-2</v>
      </c>
    </row>
    <row r="384" spans="29:31" x14ac:dyDescent="0.45">
      <c r="AC384" t="s">
        <v>19</v>
      </c>
      <c r="AD384" t="s">
        <v>312</v>
      </c>
      <c r="AE384">
        <v>3.1521091313089942E-3</v>
      </c>
    </row>
    <row r="385" spans="29:31" x14ac:dyDescent="0.45">
      <c r="AC385" t="s">
        <v>19</v>
      </c>
      <c r="AD385" t="s">
        <v>313</v>
      </c>
      <c r="AE385">
        <v>3.1122965158834962E-3</v>
      </c>
    </row>
    <row r="386" spans="29:31" x14ac:dyDescent="0.45">
      <c r="AC386" t="s">
        <v>19</v>
      </c>
      <c r="AD386" t="s">
        <v>314</v>
      </c>
      <c r="AE386">
        <v>1.5578421235189223E-2</v>
      </c>
    </row>
    <row r="387" spans="29:31" x14ac:dyDescent="0.45">
      <c r="AC387" t="s">
        <v>19</v>
      </c>
      <c r="AD387" t="s">
        <v>581</v>
      </c>
      <c r="AE387">
        <v>1.1244573768018039E-4</v>
      </c>
    </row>
    <row r="388" spans="29:31" x14ac:dyDescent="0.45">
      <c r="AC388" t="s">
        <v>19</v>
      </c>
      <c r="AD388" t="s">
        <v>582</v>
      </c>
      <c r="AE388">
        <v>1.1313370177396518E-4</v>
      </c>
    </row>
    <row r="389" spans="29:31" x14ac:dyDescent="0.45">
      <c r="AC389" t="s">
        <v>19</v>
      </c>
      <c r="AD389" t="s">
        <v>583</v>
      </c>
      <c r="AE389">
        <v>1.1424712013122407E-4</v>
      </c>
    </row>
    <row r="390" spans="29:31" x14ac:dyDescent="0.45">
      <c r="AC390" t="s">
        <v>19</v>
      </c>
      <c r="AD390" t="s">
        <v>584</v>
      </c>
      <c r="AE390">
        <v>1.1505120858565617E-4</v>
      </c>
    </row>
    <row r="391" spans="29:31" x14ac:dyDescent="0.45">
      <c r="AC391" t="s">
        <v>19</v>
      </c>
      <c r="AD391" t="s">
        <v>585</v>
      </c>
      <c r="AE391">
        <v>1.1527642107006419E-4</v>
      </c>
    </row>
    <row r="392" spans="29:31" x14ac:dyDescent="0.45">
      <c r="AC392" t="s">
        <v>19</v>
      </c>
      <c r="AD392" t="s">
        <v>586</v>
      </c>
      <c r="AE392">
        <v>1.152889593267719E-4</v>
      </c>
    </row>
    <row r="393" spans="29:31" x14ac:dyDescent="0.45">
      <c r="AC393" t="s">
        <v>19</v>
      </c>
      <c r="AD393" t="s">
        <v>587</v>
      </c>
      <c r="AE393">
        <v>1.152889593267719E-4</v>
      </c>
    </row>
    <row r="394" spans="29:31" x14ac:dyDescent="0.45">
      <c r="AC394" t="s">
        <v>19</v>
      </c>
      <c r="AD394" t="s">
        <v>588</v>
      </c>
      <c r="AE394">
        <v>1.1530128596733263E-4</v>
      </c>
    </row>
    <row r="395" spans="29:31" x14ac:dyDescent="0.45">
      <c r="AC395" t="s">
        <v>19</v>
      </c>
      <c r="AD395" t="s">
        <v>589</v>
      </c>
      <c r="AE395">
        <v>1.153090628607336E-4</v>
      </c>
    </row>
    <row r="396" spans="29:31" x14ac:dyDescent="0.45">
      <c r="AC396" t="s">
        <v>19</v>
      </c>
      <c r="AD396" t="s">
        <v>590</v>
      </c>
      <c r="AE396">
        <v>1.153090628607336E-4</v>
      </c>
    </row>
    <row r="397" spans="29:31" x14ac:dyDescent="0.45">
      <c r="AC397" t="s">
        <v>19</v>
      </c>
      <c r="AD397" t="s">
        <v>591</v>
      </c>
      <c r="AE397">
        <v>1.1530964480513778E-4</v>
      </c>
    </row>
    <row r="398" spans="29:31" x14ac:dyDescent="0.45">
      <c r="AC398" t="s">
        <v>19</v>
      </c>
      <c r="AD398" t="s">
        <v>592</v>
      </c>
      <c r="AE398">
        <v>1.1532318823854356E-4</v>
      </c>
    </row>
    <row r="399" spans="29:31" x14ac:dyDescent="0.45">
      <c r="AC399" t="s">
        <v>19</v>
      </c>
      <c r="AD399" t="s">
        <v>593</v>
      </c>
      <c r="AE399">
        <v>1.1664393751579189E-4</v>
      </c>
    </row>
    <row r="400" spans="29:31" x14ac:dyDescent="0.45">
      <c r="AC400" t="s">
        <v>19</v>
      </c>
      <c r="AD400" t="s">
        <v>594</v>
      </c>
      <c r="AE400">
        <v>1.1672742008576977E-4</v>
      </c>
    </row>
    <row r="401" spans="29:31" x14ac:dyDescent="0.45">
      <c r="AC401" t="s">
        <v>19</v>
      </c>
      <c r="AD401" t="s">
        <v>595</v>
      </c>
      <c r="AE401">
        <v>1.1640216606788382E-4</v>
      </c>
    </row>
    <row r="402" spans="29:31" x14ac:dyDescent="0.45">
      <c r="AC402" t="s">
        <v>19</v>
      </c>
      <c r="AD402" t="s">
        <v>596</v>
      </c>
      <c r="AE402">
        <v>1.1540693532870515E-4</v>
      </c>
    </row>
    <row r="403" spans="29:31" x14ac:dyDescent="0.45">
      <c r="AC403" t="s">
        <v>19</v>
      </c>
      <c r="AD403" t="s">
        <v>597</v>
      </c>
      <c r="AE403">
        <v>1.1422680498111539E-4</v>
      </c>
    </row>
    <row r="404" spans="29:31" x14ac:dyDescent="0.45">
      <c r="AC404" t="s">
        <v>19</v>
      </c>
      <c r="AD404" t="s">
        <v>598</v>
      </c>
      <c r="AE404">
        <v>1.1274961846722283E-4</v>
      </c>
    </row>
    <row r="405" spans="29:31" x14ac:dyDescent="0.45">
      <c r="AC405" t="s">
        <v>19</v>
      </c>
      <c r="AD405" t="s">
        <v>599</v>
      </c>
      <c r="AE405">
        <v>1.1108483423904537E-4</v>
      </c>
    </row>
    <row r="406" spans="29:31" x14ac:dyDescent="0.45">
      <c r="AC406" t="s">
        <v>19</v>
      </c>
      <c r="AD406" t="s">
        <v>600</v>
      </c>
      <c r="AE406">
        <v>1.1072207125910978E-4</v>
      </c>
    </row>
    <row r="407" spans="29:31" x14ac:dyDescent="0.45">
      <c r="AC407" t="s">
        <v>19</v>
      </c>
      <c r="AD407" t="s">
        <v>601</v>
      </c>
      <c r="AE407">
        <v>1.107237641882855E-4</v>
      </c>
    </row>
    <row r="408" spans="29:31" x14ac:dyDescent="0.45">
      <c r="AC408" t="s">
        <v>19</v>
      </c>
      <c r="AD408" t="s">
        <v>602</v>
      </c>
      <c r="AE408">
        <v>1.107642886804294E-4</v>
      </c>
    </row>
    <row r="409" spans="29:31" x14ac:dyDescent="0.45">
      <c r="AC409" t="s">
        <v>19</v>
      </c>
      <c r="AD409" t="s">
        <v>603</v>
      </c>
      <c r="AE409">
        <v>1.1133157866640712E-4</v>
      </c>
    </row>
    <row r="410" spans="29:31" x14ac:dyDescent="0.45">
      <c r="AC410" t="s">
        <v>19</v>
      </c>
      <c r="AD410" t="s">
        <v>604</v>
      </c>
      <c r="AE410">
        <v>1.1243023679741516E-4</v>
      </c>
    </row>
    <row r="411" spans="29:31" x14ac:dyDescent="0.45">
      <c r="AC411" t="s">
        <v>19</v>
      </c>
      <c r="AD411" t="s">
        <v>605</v>
      </c>
      <c r="AE411">
        <v>1.1244573768018039E-4</v>
      </c>
    </row>
    <row r="412" spans="29:31" x14ac:dyDescent="0.45">
      <c r="AC412" t="s">
        <v>19</v>
      </c>
      <c r="AD412" t="s">
        <v>606</v>
      </c>
      <c r="AE412">
        <v>1.1313370177396518E-4</v>
      </c>
    </row>
    <row r="413" spans="29:31" x14ac:dyDescent="0.45">
      <c r="AC413" t="s">
        <v>19</v>
      </c>
      <c r="AD413" t="s">
        <v>607</v>
      </c>
      <c r="AE413">
        <v>1.1424712013122407E-4</v>
      </c>
    </row>
    <row r="414" spans="29:31" x14ac:dyDescent="0.45">
      <c r="AC414" t="s">
        <v>19</v>
      </c>
      <c r="AD414" t="s">
        <v>608</v>
      </c>
      <c r="AE414">
        <v>1.1504390782858587E-4</v>
      </c>
    </row>
    <row r="415" spans="29:31" x14ac:dyDescent="0.45">
      <c r="AC415" t="s">
        <v>19</v>
      </c>
      <c r="AD415" t="s">
        <v>609</v>
      </c>
      <c r="AE415">
        <v>1.1526912031299389E-4</v>
      </c>
    </row>
    <row r="416" spans="29:31" x14ac:dyDescent="0.45">
      <c r="AC416" t="s">
        <v>19</v>
      </c>
      <c r="AD416" t="s">
        <v>610</v>
      </c>
      <c r="AE416">
        <v>1.1528060048896676E-4</v>
      </c>
    </row>
    <row r="417" spans="29:31" x14ac:dyDescent="0.45">
      <c r="AC417" t="s">
        <v>19</v>
      </c>
      <c r="AD417" t="s">
        <v>611</v>
      </c>
      <c r="AE417">
        <v>1.1528261084236294E-4</v>
      </c>
    </row>
    <row r="418" spans="29:31" x14ac:dyDescent="0.45">
      <c r="AC418" t="s">
        <v>19</v>
      </c>
      <c r="AD418" t="s">
        <v>612</v>
      </c>
      <c r="AE418">
        <v>1.1536905603839834E-4</v>
      </c>
    </row>
    <row r="419" spans="29:31" x14ac:dyDescent="0.45">
      <c r="AC419" t="s">
        <v>19</v>
      </c>
      <c r="AD419" t="s">
        <v>613</v>
      </c>
      <c r="AE419">
        <v>1.1578736825691234E-4</v>
      </c>
    </row>
    <row r="420" spans="29:31" x14ac:dyDescent="0.45">
      <c r="AC420" t="s">
        <v>19</v>
      </c>
      <c r="AD420" t="s">
        <v>614</v>
      </c>
      <c r="AE420">
        <v>1.1598835069249283E-4</v>
      </c>
    </row>
    <row r="421" spans="29:31" x14ac:dyDescent="0.45">
      <c r="AC421" t="s">
        <v>19</v>
      </c>
      <c r="AD421" t="s">
        <v>615</v>
      </c>
      <c r="AE421">
        <v>1.1530128596733263E-4</v>
      </c>
    </row>
    <row r="422" spans="29:31" x14ac:dyDescent="0.45">
      <c r="AC422" t="s">
        <v>19</v>
      </c>
      <c r="AD422" t="s">
        <v>616</v>
      </c>
      <c r="AE422">
        <v>1.1532377018294771E-4</v>
      </c>
    </row>
    <row r="423" spans="29:31" x14ac:dyDescent="0.45">
      <c r="AC423" t="s">
        <v>19</v>
      </c>
      <c r="AD423" t="s">
        <v>617</v>
      </c>
      <c r="AE423">
        <v>1.167481584681724E-4</v>
      </c>
    </row>
    <row r="424" spans="29:31" x14ac:dyDescent="0.45">
      <c r="AC424" t="s">
        <v>19</v>
      </c>
      <c r="AD424" t="s">
        <v>618</v>
      </c>
      <c r="AE424">
        <v>1.1672742008576977E-4</v>
      </c>
    </row>
    <row r="425" spans="29:31" x14ac:dyDescent="0.45">
      <c r="AC425" t="s">
        <v>19</v>
      </c>
      <c r="AD425" t="s">
        <v>619</v>
      </c>
      <c r="AE425">
        <v>1.1640216606788382E-4</v>
      </c>
    </row>
    <row r="426" spans="29:31" x14ac:dyDescent="0.45">
      <c r="AC426" t="s">
        <v>19</v>
      </c>
      <c r="AD426" t="s">
        <v>620</v>
      </c>
      <c r="AE426">
        <v>1.1540693532870515E-4</v>
      </c>
    </row>
    <row r="427" spans="29:31" x14ac:dyDescent="0.45">
      <c r="AC427" t="s">
        <v>19</v>
      </c>
      <c r="AD427" t="s">
        <v>621</v>
      </c>
      <c r="AE427">
        <v>1.1422680498111539E-4</v>
      </c>
    </row>
    <row r="428" spans="29:31" x14ac:dyDescent="0.45">
      <c r="AC428" t="s">
        <v>19</v>
      </c>
      <c r="AD428" t="s">
        <v>622</v>
      </c>
      <c r="AE428">
        <v>1.1271644763618598E-4</v>
      </c>
    </row>
    <row r="429" spans="29:31" x14ac:dyDescent="0.45">
      <c r="AC429" t="s">
        <v>19</v>
      </c>
      <c r="AD429" t="s">
        <v>623</v>
      </c>
      <c r="AE429">
        <v>1.1112684004421802E-4</v>
      </c>
    </row>
    <row r="430" spans="29:31" x14ac:dyDescent="0.45">
      <c r="AC430" t="s">
        <v>19</v>
      </c>
      <c r="AD430" t="s">
        <v>624</v>
      </c>
      <c r="AE430">
        <v>1.1085972756271083E-4</v>
      </c>
    </row>
    <row r="431" spans="29:31" x14ac:dyDescent="0.45">
      <c r="AC431" t="s">
        <v>19</v>
      </c>
      <c r="AD431" t="s">
        <v>625</v>
      </c>
      <c r="AE431">
        <v>1.107237641882855E-4</v>
      </c>
    </row>
    <row r="432" spans="29:31" x14ac:dyDescent="0.45">
      <c r="AC432" t="s">
        <v>19</v>
      </c>
      <c r="AD432" t="s">
        <v>626</v>
      </c>
      <c r="AE432">
        <v>1.1079216910779209E-4</v>
      </c>
    </row>
    <row r="433" spans="29:31" x14ac:dyDescent="0.45">
      <c r="AC433" t="s">
        <v>19</v>
      </c>
      <c r="AD433" t="s">
        <v>627</v>
      </c>
      <c r="AE433">
        <v>1.1133157866640712E-4</v>
      </c>
    </row>
    <row r="434" spans="29:31" x14ac:dyDescent="0.45">
      <c r="AC434" t="s">
        <v>19</v>
      </c>
      <c r="AD434" t="s">
        <v>628</v>
      </c>
      <c r="AE434">
        <v>1.1243023679741516E-4</v>
      </c>
    </row>
    <row r="435" spans="29:31" x14ac:dyDescent="0.45">
      <c r="AC435" t="s">
        <v>19</v>
      </c>
      <c r="AD435" t="s">
        <v>629</v>
      </c>
      <c r="AE435">
        <v>1.1244573768018039E-4</v>
      </c>
    </row>
    <row r="436" spans="29:31" x14ac:dyDescent="0.45">
      <c r="AC436" t="s">
        <v>19</v>
      </c>
      <c r="AD436" t="s">
        <v>630</v>
      </c>
      <c r="AE436">
        <v>1.131337017739652E-4</v>
      </c>
    </row>
    <row r="437" spans="29:31" x14ac:dyDescent="0.45">
      <c r="AC437" t="s">
        <v>19</v>
      </c>
      <c r="AD437" t="s">
        <v>631</v>
      </c>
      <c r="AE437">
        <v>1.1425235763086147E-4</v>
      </c>
    </row>
    <row r="438" spans="29:31" x14ac:dyDescent="0.45">
      <c r="AC438" t="s">
        <v>19</v>
      </c>
      <c r="AD438" t="s">
        <v>632</v>
      </c>
      <c r="AE438">
        <v>1.1504390782858587E-4</v>
      </c>
    </row>
    <row r="439" spans="29:31" x14ac:dyDescent="0.45">
      <c r="AC439" t="s">
        <v>19</v>
      </c>
      <c r="AD439" t="s">
        <v>633</v>
      </c>
      <c r="AE439">
        <v>1.1526912031299389E-4</v>
      </c>
    </row>
    <row r="440" spans="29:31" x14ac:dyDescent="0.45">
      <c r="AC440" t="s">
        <v>19</v>
      </c>
      <c r="AD440" t="s">
        <v>634</v>
      </c>
      <c r="AE440">
        <v>1.1528954127117605E-4</v>
      </c>
    </row>
    <row r="441" spans="29:31" x14ac:dyDescent="0.45">
      <c r="AC441" t="s">
        <v>19</v>
      </c>
      <c r="AD441" t="s">
        <v>635</v>
      </c>
      <c r="AE441">
        <v>1.152889593267719E-4</v>
      </c>
    </row>
    <row r="442" spans="29:31" x14ac:dyDescent="0.45">
      <c r="AC442" t="s">
        <v>19</v>
      </c>
      <c r="AD442" t="s">
        <v>636</v>
      </c>
      <c r="AE442">
        <v>1.1530906286073362E-4</v>
      </c>
    </row>
    <row r="443" spans="29:31" x14ac:dyDescent="0.45">
      <c r="AC443" t="s">
        <v>19</v>
      </c>
      <c r="AD443" t="s">
        <v>637</v>
      </c>
      <c r="AE443">
        <v>1.1532652119285827E-4</v>
      </c>
    </row>
    <row r="444" spans="29:31" x14ac:dyDescent="0.45">
      <c r="AC444" t="s">
        <v>19</v>
      </c>
      <c r="AD444" t="s">
        <v>638</v>
      </c>
      <c r="AE444">
        <v>1.1535069833764909E-4</v>
      </c>
    </row>
    <row r="445" spans="29:31" x14ac:dyDescent="0.45">
      <c r="AC445" t="s">
        <v>19</v>
      </c>
      <c r="AD445" t="s">
        <v>639</v>
      </c>
      <c r="AE445">
        <v>1.1530128596733263E-4</v>
      </c>
    </row>
    <row r="446" spans="29:31" x14ac:dyDescent="0.45">
      <c r="AC446" t="s">
        <v>19</v>
      </c>
      <c r="AD446" t="s">
        <v>640</v>
      </c>
      <c r="AE446">
        <v>1.1531366551193012E-4</v>
      </c>
    </row>
    <row r="447" spans="29:31" x14ac:dyDescent="0.45">
      <c r="AC447" t="s">
        <v>19</v>
      </c>
      <c r="AD447" t="s">
        <v>641</v>
      </c>
      <c r="AE447">
        <v>1.1665018019212738E-4</v>
      </c>
    </row>
    <row r="448" spans="29:31" x14ac:dyDescent="0.45">
      <c r="AC448" t="s">
        <v>19</v>
      </c>
      <c r="AD448" t="s">
        <v>642</v>
      </c>
      <c r="AE448">
        <v>1.1673360985806853E-4</v>
      </c>
    </row>
    <row r="449" spans="29:31" x14ac:dyDescent="0.45">
      <c r="AC449" t="s">
        <v>19</v>
      </c>
      <c r="AD449" t="s">
        <v>643</v>
      </c>
      <c r="AE449">
        <v>1.1630561620083082E-4</v>
      </c>
    </row>
    <row r="450" spans="29:31" x14ac:dyDescent="0.45">
      <c r="AC450" t="s">
        <v>19</v>
      </c>
      <c r="AD450" t="s">
        <v>644</v>
      </c>
      <c r="AE450">
        <v>1.1540693532870515E-4</v>
      </c>
    </row>
    <row r="451" spans="29:31" x14ac:dyDescent="0.45">
      <c r="AC451" t="s">
        <v>19</v>
      </c>
      <c r="AD451" t="s">
        <v>645</v>
      </c>
      <c r="AE451">
        <v>1.1422680498111539E-4</v>
      </c>
    </row>
    <row r="452" spans="29:31" x14ac:dyDescent="0.45">
      <c r="AC452" t="s">
        <v>19</v>
      </c>
      <c r="AD452" t="s">
        <v>646</v>
      </c>
      <c r="AE452">
        <v>1.1249800686848087E-4</v>
      </c>
    </row>
    <row r="453" spans="29:31" x14ac:dyDescent="0.45">
      <c r="AC453" t="s">
        <v>19</v>
      </c>
      <c r="AD453" t="s">
        <v>647</v>
      </c>
      <c r="AE453">
        <v>1.1098918374061696E-4</v>
      </c>
    </row>
    <row r="454" spans="29:31" x14ac:dyDescent="0.45">
      <c r="AC454" t="s">
        <v>19</v>
      </c>
      <c r="AD454" t="s">
        <v>648</v>
      </c>
      <c r="AE454">
        <v>1.1072207125910978E-4</v>
      </c>
    </row>
    <row r="455" spans="29:31" x14ac:dyDescent="0.45">
      <c r="AC455" t="s">
        <v>19</v>
      </c>
      <c r="AD455" t="s">
        <v>649</v>
      </c>
      <c r="AE455">
        <v>1.1072376418828552E-4</v>
      </c>
    </row>
    <row r="456" spans="29:31" x14ac:dyDescent="0.45">
      <c r="AC456" t="s">
        <v>19</v>
      </c>
      <c r="AD456" t="s">
        <v>650</v>
      </c>
      <c r="AE456">
        <v>1.1067059563136043E-4</v>
      </c>
    </row>
    <row r="457" spans="29:31" x14ac:dyDescent="0.45">
      <c r="AC457" t="s">
        <v>19</v>
      </c>
      <c r="AD457" t="s">
        <v>651</v>
      </c>
      <c r="AE457">
        <v>1.1107287792674183E-4</v>
      </c>
    </row>
    <row r="458" spans="29:31" x14ac:dyDescent="0.45">
      <c r="AC458" t="s">
        <v>19</v>
      </c>
      <c r="AD458" t="s">
        <v>652</v>
      </c>
      <c r="AE458">
        <v>1.1233707278871362E-4</v>
      </c>
    </row>
    <row r="459" spans="29:31" x14ac:dyDescent="0.45">
      <c r="AC459" t="s">
        <v>19</v>
      </c>
      <c r="AD459" t="s">
        <v>339</v>
      </c>
      <c r="AE459">
        <v>2.1642896245182792E-2</v>
      </c>
    </row>
    <row r="460" spans="29:31" x14ac:dyDescent="0.45">
      <c r="AC460" t="s">
        <v>19</v>
      </c>
      <c r="AD460" t="s">
        <v>340</v>
      </c>
      <c r="AE460">
        <v>3.1158691878359814E-3</v>
      </c>
    </row>
    <row r="461" spans="29:31" x14ac:dyDescent="0.45">
      <c r="AC461" t="s">
        <v>19</v>
      </c>
      <c r="AD461" t="s">
        <v>341</v>
      </c>
      <c r="AE461">
        <v>3.1185917882788029E-3</v>
      </c>
    </row>
    <row r="462" spans="29:31" x14ac:dyDescent="0.45">
      <c r="AC462" t="s">
        <v>19</v>
      </c>
      <c r="AD462" t="s">
        <v>342</v>
      </c>
      <c r="AE462">
        <v>3.1189247662860532E-3</v>
      </c>
    </row>
    <row r="463" spans="29:31" x14ac:dyDescent="0.45">
      <c r="AC463" t="s">
        <v>19</v>
      </c>
      <c r="AD463" t="s">
        <v>343</v>
      </c>
      <c r="AE463">
        <v>2.1867926051951939E-2</v>
      </c>
    </row>
    <row r="464" spans="29:31" x14ac:dyDescent="0.45">
      <c r="AC464" t="s">
        <v>19</v>
      </c>
      <c r="AD464" t="s">
        <v>344</v>
      </c>
      <c r="AE464">
        <v>3.0282638062748427E-3</v>
      </c>
    </row>
    <row r="465" spans="29:31" x14ac:dyDescent="0.45">
      <c r="AC465" t="s">
        <v>19</v>
      </c>
      <c r="AD465" t="s">
        <v>345</v>
      </c>
      <c r="AE465">
        <v>3.0149874324465224E-3</v>
      </c>
    </row>
    <row r="466" spans="29:31" x14ac:dyDescent="0.45">
      <c r="AC466" t="s">
        <v>19</v>
      </c>
      <c r="AD466" t="s">
        <v>346</v>
      </c>
      <c r="AE466">
        <v>1.5055636552836515E-2</v>
      </c>
    </row>
    <row r="467" spans="29:31" x14ac:dyDescent="0.45">
      <c r="AC467" t="s">
        <v>19</v>
      </c>
      <c r="AD467" t="s">
        <v>653</v>
      </c>
      <c r="AE467">
        <v>1.1250416391493977E-4</v>
      </c>
    </row>
    <row r="468" spans="29:31" x14ac:dyDescent="0.45">
      <c r="AC468" t="s">
        <v>19</v>
      </c>
      <c r="AD468" t="s">
        <v>654</v>
      </c>
      <c r="AE468">
        <v>1.134297729417668E-4</v>
      </c>
    </row>
    <row r="469" spans="29:31" x14ac:dyDescent="0.45">
      <c r="AC469" t="s">
        <v>19</v>
      </c>
      <c r="AD469" t="s">
        <v>655</v>
      </c>
      <c r="AE469">
        <v>1.143935786831211E-4</v>
      </c>
    </row>
    <row r="470" spans="29:31" x14ac:dyDescent="0.45">
      <c r="AC470" t="s">
        <v>19</v>
      </c>
      <c r="AD470" t="s">
        <v>656</v>
      </c>
      <c r="AE470">
        <v>1.1500763583757819E-4</v>
      </c>
    </row>
    <row r="471" spans="29:31" x14ac:dyDescent="0.45">
      <c r="AC471" t="s">
        <v>19</v>
      </c>
      <c r="AD471" t="s">
        <v>657</v>
      </c>
      <c r="AE471">
        <v>1.1503826727485145E-4</v>
      </c>
    </row>
    <row r="472" spans="29:31" x14ac:dyDescent="0.45">
      <c r="AC472" t="s">
        <v>19</v>
      </c>
      <c r="AD472" t="s">
        <v>658</v>
      </c>
      <c r="AE472">
        <v>1.1502488255355587E-4</v>
      </c>
    </row>
    <row r="473" spans="29:31" x14ac:dyDescent="0.45">
      <c r="AC473" t="s">
        <v>19</v>
      </c>
      <c r="AD473" t="s">
        <v>659</v>
      </c>
      <c r="AE473">
        <v>1.1502488255355587E-4</v>
      </c>
    </row>
    <row r="474" spans="29:31" x14ac:dyDescent="0.45">
      <c r="AC474" t="s">
        <v>19</v>
      </c>
      <c r="AD474" t="s">
        <v>660</v>
      </c>
      <c r="AE474">
        <v>1.1502869164420126E-4</v>
      </c>
    </row>
    <row r="475" spans="29:31" x14ac:dyDescent="0.45">
      <c r="AC475" t="s">
        <v>19</v>
      </c>
      <c r="AD475" t="s">
        <v>661</v>
      </c>
      <c r="AE475">
        <v>1.1546726610878722E-4</v>
      </c>
    </row>
    <row r="476" spans="29:31" x14ac:dyDescent="0.45">
      <c r="AC476" t="s">
        <v>19</v>
      </c>
      <c r="AD476" t="s">
        <v>662</v>
      </c>
      <c r="AE476">
        <v>1.1546716030071374E-4</v>
      </c>
    </row>
    <row r="477" spans="29:31" x14ac:dyDescent="0.45">
      <c r="AC477" t="s">
        <v>19</v>
      </c>
      <c r="AD477" t="s">
        <v>663</v>
      </c>
      <c r="AE477">
        <v>1.1502117927098399E-4</v>
      </c>
    </row>
    <row r="478" spans="29:31" x14ac:dyDescent="0.45">
      <c r="AC478" t="s">
        <v>19</v>
      </c>
      <c r="AD478" t="s">
        <v>664</v>
      </c>
      <c r="AE478">
        <v>1.1505323911724926E-4</v>
      </c>
    </row>
    <row r="479" spans="29:31" x14ac:dyDescent="0.45">
      <c r="AC479" t="s">
        <v>19</v>
      </c>
      <c r="AD479" t="s">
        <v>665</v>
      </c>
      <c r="AE479">
        <v>1.1687033406720513E-4</v>
      </c>
    </row>
    <row r="480" spans="29:31" x14ac:dyDescent="0.45">
      <c r="AC480" t="s">
        <v>19</v>
      </c>
      <c r="AD480" t="s">
        <v>666</v>
      </c>
      <c r="AE480">
        <v>1.1688943242446876E-4</v>
      </c>
    </row>
    <row r="481" spans="29:31" x14ac:dyDescent="0.45">
      <c r="AC481" t="s">
        <v>19</v>
      </c>
      <c r="AD481" t="s">
        <v>667</v>
      </c>
      <c r="AE481">
        <v>1.165228603538878E-4</v>
      </c>
    </row>
    <row r="482" spans="29:31" x14ac:dyDescent="0.45">
      <c r="AC482" t="s">
        <v>19</v>
      </c>
      <c r="AD482" t="s">
        <v>668</v>
      </c>
      <c r="AE482">
        <v>1.1508688608461677E-4</v>
      </c>
    </row>
    <row r="483" spans="29:31" x14ac:dyDescent="0.45">
      <c r="AC483" t="s">
        <v>19</v>
      </c>
      <c r="AD483" t="s">
        <v>669</v>
      </c>
      <c r="AE483">
        <v>1.1392458439740884E-4</v>
      </c>
    </row>
    <row r="484" spans="29:31" x14ac:dyDescent="0.45">
      <c r="AC484" t="s">
        <v>19</v>
      </c>
      <c r="AD484" t="s">
        <v>670</v>
      </c>
      <c r="AE484">
        <v>1.1217076267539565E-4</v>
      </c>
    </row>
    <row r="485" spans="29:31" x14ac:dyDescent="0.45">
      <c r="AC485" t="s">
        <v>19</v>
      </c>
      <c r="AD485" t="s">
        <v>671</v>
      </c>
      <c r="AE485">
        <v>1.1163563834375669E-4</v>
      </c>
    </row>
    <row r="486" spans="29:31" x14ac:dyDescent="0.45">
      <c r="AC486" t="s">
        <v>19</v>
      </c>
      <c r="AD486" t="s">
        <v>672</v>
      </c>
      <c r="AE486">
        <v>1.1137413369014409E-4</v>
      </c>
    </row>
    <row r="487" spans="29:31" x14ac:dyDescent="0.45">
      <c r="AC487" t="s">
        <v>19</v>
      </c>
      <c r="AD487" t="s">
        <v>673</v>
      </c>
      <c r="AE487">
        <v>1.1115886716464346E-4</v>
      </c>
    </row>
    <row r="488" spans="29:31" x14ac:dyDescent="0.45">
      <c r="AC488" t="s">
        <v>19</v>
      </c>
      <c r="AD488" t="s">
        <v>674</v>
      </c>
      <c r="AE488">
        <v>1.1115177802372011E-4</v>
      </c>
    </row>
    <row r="489" spans="29:31" x14ac:dyDescent="0.45">
      <c r="AC489" t="s">
        <v>19</v>
      </c>
      <c r="AD489" t="s">
        <v>675</v>
      </c>
      <c r="AE489">
        <v>1.1150004529758854E-4</v>
      </c>
    </row>
    <row r="490" spans="29:31" x14ac:dyDescent="0.45">
      <c r="AC490" t="s">
        <v>19</v>
      </c>
      <c r="AD490" t="s">
        <v>676</v>
      </c>
      <c r="AE490">
        <v>1.1234904927921408E-4</v>
      </c>
    </row>
    <row r="491" spans="29:31" x14ac:dyDescent="0.45">
      <c r="AC491" t="s">
        <v>19</v>
      </c>
      <c r="AD491" t="s">
        <v>677</v>
      </c>
      <c r="AE491">
        <v>1.1252675393862834E-4</v>
      </c>
    </row>
    <row r="492" spans="29:31" x14ac:dyDescent="0.45">
      <c r="AC492" t="s">
        <v>19</v>
      </c>
      <c r="AD492" t="s">
        <v>678</v>
      </c>
      <c r="AE492">
        <v>1.1335221562390397E-4</v>
      </c>
    </row>
    <row r="493" spans="29:31" x14ac:dyDescent="0.45">
      <c r="AC493" t="s">
        <v>19</v>
      </c>
      <c r="AD493" t="s">
        <v>679</v>
      </c>
      <c r="AE493">
        <v>1.1441960746919786E-4</v>
      </c>
    </row>
    <row r="494" spans="29:31" x14ac:dyDescent="0.45">
      <c r="AC494" t="s">
        <v>19</v>
      </c>
      <c r="AD494" t="s">
        <v>680</v>
      </c>
      <c r="AE494">
        <v>1.1500763583757819E-4</v>
      </c>
    </row>
    <row r="495" spans="29:31" x14ac:dyDescent="0.45">
      <c r="AC495" t="s">
        <v>19</v>
      </c>
      <c r="AD495" t="s">
        <v>681</v>
      </c>
      <c r="AE495">
        <v>1.1503826727485145E-4</v>
      </c>
    </row>
    <row r="496" spans="29:31" x14ac:dyDescent="0.45">
      <c r="AC496" t="s">
        <v>19</v>
      </c>
      <c r="AD496" t="s">
        <v>682</v>
      </c>
      <c r="AE496">
        <v>1.1502488255355589E-4</v>
      </c>
    </row>
    <row r="497" spans="29:31" x14ac:dyDescent="0.45">
      <c r="AC497" t="s">
        <v>19</v>
      </c>
      <c r="AD497" t="s">
        <v>683</v>
      </c>
      <c r="AE497">
        <v>1.152001007232433E-4</v>
      </c>
    </row>
    <row r="498" spans="29:31" x14ac:dyDescent="0.45">
      <c r="AC498" t="s">
        <v>19</v>
      </c>
      <c r="AD498" t="s">
        <v>684</v>
      </c>
      <c r="AE498">
        <v>1.15047155153024E-4</v>
      </c>
    </row>
    <row r="499" spans="29:31" x14ac:dyDescent="0.45">
      <c r="AC499" t="s">
        <v>19</v>
      </c>
      <c r="AD499" t="s">
        <v>685</v>
      </c>
      <c r="AE499">
        <v>1.15021179270984E-4</v>
      </c>
    </row>
    <row r="500" spans="29:31" x14ac:dyDescent="0.45">
      <c r="AC500" t="s">
        <v>19</v>
      </c>
      <c r="AD500" t="s">
        <v>686</v>
      </c>
      <c r="AE500">
        <v>1.1506916323230841E-4</v>
      </c>
    </row>
    <row r="501" spans="29:31" x14ac:dyDescent="0.45">
      <c r="AC501" t="s">
        <v>19</v>
      </c>
      <c r="AD501" t="s">
        <v>687</v>
      </c>
      <c r="AE501">
        <v>1.150704329291902E-4</v>
      </c>
    </row>
    <row r="502" spans="29:31" x14ac:dyDescent="0.45">
      <c r="AC502" t="s">
        <v>19</v>
      </c>
      <c r="AD502" t="s">
        <v>688</v>
      </c>
      <c r="AE502">
        <v>1.1510249277545549E-4</v>
      </c>
    </row>
    <row r="503" spans="29:31" x14ac:dyDescent="0.45">
      <c r="AC503" t="s">
        <v>19</v>
      </c>
      <c r="AD503" t="s">
        <v>689</v>
      </c>
      <c r="AE503">
        <v>1.1679785553686946E-4</v>
      </c>
    </row>
    <row r="504" spans="29:31" x14ac:dyDescent="0.45">
      <c r="AC504" t="s">
        <v>19</v>
      </c>
      <c r="AD504" t="s">
        <v>690</v>
      </c>
      <c r="AE504">
        <v>1.168365283877274E-4</v>
      </c>
    </row>
    <row r="505" spans="29:31" x14ac:dyDescent="0.45">
      <c r="AC505" t="s">
        <v>19</v>
      </c>
      <c r="AD505" t="s">
        <v>691</v>
      </c>
      <c r="AE505">
        <v>1.1632685089776102E-4</v>
      </c>
    </row>
    <row r="506" spans="29:31" x14ac:dyDescent="0.45">
      <c r="AC506" t="s">
        <v>19</v>
      </c>
      <c r="AD506" t="s">
        <v>692</v>
      </c>
      <c r="AE506">
        <v>1.1490246261253635E-4</v>
      </c>
    </row>
    <row r="507" spans="29:31" x14ac:dyDescent="0.45">
      <c r="AC507" t="s">
        <v>19</v>
      </c>
      <c r="AD507" t="s">
        <v>693</v>
      </c>
      <c r="AE507">
        <v>1.1374016092532843E-4</v>
      </c>
    </row>
    <row r="508" spans="29:31" x14ac:dyDescent="0.45">
      <c r="AC508" t="s">
        <v>19</v>
      </c>
      <c r="AD508" t="s">
        <v>694</v>
      </c>
      <c r="AE508">
        <v>1.1237396708051927E-4</v>
      </c>
    </row>
    <row r="509" spans="29:31" x14ac:dyDescent="0.45">
      <c r="AC509" t="s">
        <v>19</v>
      </c>
      <c r="AD509" t="s">
        <v>695</v>
      </c>
      <c r="AE509">
        <v>1.1153215804789057E-4</v>
      </c>
    </row>
    <row r="510" spans="29:31" x14ac:dyDescent="0.45">
      <c r="AC510" t="s">
        <v>19</v>
      </c>
      <c r="AD510" t="s">
        <v>696</v>
      </c>
      <c r="AE510">
        <v>1.1131768508294105E-4</v>
      </c>
    </row>
    <row r="511" spans="29:31" x14ac:dyDescent="0.45">
      <c r="AC511" t="s">
        <v>19</v>
      </c>
      <c r="AD511" t="s">
        <v>697</v>
      </c>
      <c r="AE511">
        <v>1.1123843483590248E-4</v>
      </c>
    </row>
    <row r="512" spans="29:31" x14ac:dyDescent="0.45">
      <c r="AC512" t="s">
        <v>19</v>
      </c>
      <c r="AD512" t="s">
        <v>698</v>
      </c>
      <c r="AE512">
        <v>1.112910214484234E-4</v>
      </c>
    </row>
    <row r="513" spans="29:31" x14ac:dyDescent="0.45">
      <c r="AC513" t="s">
        <v>19</v>
      </c>
      <c r="AD513" t="s">
        <v>699</v>
      </c>
      <c r="AE513">
        <v>1.1197284867394619E-4</v>
      </c>
    </row>
    <row r="514" spans="29:31" x14ac:dyDescent="0.45">
      <c r="AC514" t="s">
        <v>19</v>
      </c>
      <c r="AD514" t="s">
        <v>700</v>
      </c>
      <c r="AE514">
        <v>1.1272487955622478E-4</v>
      </c>
    </row>
    <row r="515" spans="29:31" x14ac:dyDescent="0.45">
      <c r="AC515" t="s">
        <v>19</v>
      </c>
      <c r="AD515" t="s">
        <v>701</v>
      </c>
      <c r="AE515">
        <v>1.1294554229347304E-4</v>
      </c>
    </row>
    <row r="516" spans="29:31" x14ac:dyDescent="0.45">
      <c r="AC516" t="s">
        <v>19</v>
      </c>
      <c r="AD516" t="s">
        <v>702</v>
      </c>
      <c r="AE516">
        <v>1.1360022974814751E-4</v>
      </c>
    </row>
    <row r="517" spans="29:31" x14ac:dyDescent="0.45">
      <c r="AC517" t="s">
        <v>19</v>
      </c>
      <c r="AD517" t="s">
        <v>703</v>
      </c>
      <c r="AE517">
        <v>1.1494669038725213E-4</v>
      </c>
    </row>
    <row r="518" spans="29:31" x14ac:dyDescent="0.45">
      <c r="AC518" t="s">
        <v>19</v>
      </c>
      <c r="AD518" t="s">
        <v>704</v>
      </c>
      <c r="AE518">
        <v>1.1552604249360689E-4</v>
      </c>
    </row>
    <row r="519" spans="29:31" x14ac:dyDescent="0.45">
      <c r="AC519" t="s">
        <v>19</v>
      </c>
      <c r="AD519" t="s">
        <v>705</v>
      </c>
      <c r="AE519">
        <v>1.1539976055790524E-4</v>
      </c>
    </row>
    <row r="520" spans="29:31" x14ac:dyDescent="0.45">
      <c r="AC520" t="s">
        <v>19</v>
      </c>
      <c r="AD520" t="s">
        <v>706</v>
      </c>
      <c r="AE520">
        <v>1.1546742482089745E-4</v>
      </c>
    </row>
    <row r="521" spans="29:31" x14ac:dyDescent="0.45">
      <c r="AC521" t="s">
        <v>19</v>
      </c>
      <c r="AD521" t="s">
        <v>707</v>
      </c>
      <c r="AE521">
        <v>1.1547133971961632E-4</v>
      </c>
    </row>
    <row r="522" spans="29:31" x14ac:dyDescent="0.45">
      <c r="AC522" t="s">
        <v>19</v>
      </c>
      <c r="AD522" t="s">
        <v>708</v>
      </c>
      <c r="AE522">
        <v>1.1538859780615282E-4</v>
      </c>
    </row>
    <row r="523" spans="29:31" x14ac:dyDescent="0.45">
      <c r="AC523" t="s">
        <v>19</v>
      </c>
      <c r="AD523" t="s">
        <v>709</v>
      </c>
      <c r="AE523">
        <v>1.1545054843317695E-4</v>
      </c>
    </row>
    <row r="524" spans="29:31" x14ac:dyDescent="0.45">
      <c r="AC524" t="s">
        <v>19</v>
      </c>
      <c r="AD524" t="s">
        <v>710</v>
      </c>
      <c r="AE524">
        <v>1.1539357078560651E-4</v>
      </c>
    </row>
    <row r="525" spans="29:31" x14ac:dyDescent="0.45">
      <c r="AC525" t="s">
        <v>19</v>
      </c>
      <c r="AD525" t="s">
        <v>711</v>
      </c>
      <c r="AE525">
        <v>1.1527776384917964E-4</v>
      </c>
    </row>
    <row r="526" spans="29:31" x14ac:dyDescent="0.45">
      <c r="AC526" t="s">
        <v>19</v>
      </c>
      <c r="AD526" t="s">
        <v>712</v>
      </c>
      <c r="AE526">
        <v>1.1534172482959997E-4</v>
      </c>
    </row>
    <row r="527" spans="29:31" x14ac:dyDescent="0.45">
      <c r="AC527" t="s">
        <v>19</v>
      </c>
      <c r="AD527" t="s">
        <v>713</v>
      </c>
      <c r="AE527">
        <v>1.1728933403819678E-4</v>
      </c>
    </row>
    <row r="528" spans="29:31" x14ac:dyDescent="0.45">
      <c r="AC528" t="s">
        <v>19</v>
      </c>
      <c r="AD528" t="s">
        <v>714</v>
      </c>
      <c r="AE528">
        <v>1.1739593567223065E-4</v>
      </c>
    </row>
    <row r="529" spans="29:31" x14ac:dyDescent="0.45">
      <c r="AC529" t="s">
        <v>19</v>
      </c>
      <c r="AD529" t="s">
        <v>715</v>
      </c>
      <c r="AE529">
        <v>1.1697497825187958E-4</v>
      </c>
    </row>
    <row r="530" spans="29:31" x14ac:dyDescent="0.45">
      <c r="AC530" t="s">
        <v>19</v>
      </c>
      <c r="AD530" t="s">
        <v>716</v>
      </c>
      <c r="AE530">
        <v>1.1528067357120041E-4</v>
      </c>
    </row>
    <row r="531" spans="29:31" x14ac:dyDescent="0.45">
      <c r="AC531" t="s">
        <v>19</v>
      </c>
      <c r="AD531" t="s">
        <v>717</v>
      </c>
      <c r="AE531">
        <v>1.1311605200389047E-4</v>
      </c>
    </row>
    <row r="532" spans="29:31" x14ac:dyDescent="0.45">
      <c r="AC532" t="s">
        <v>19</v>
      </c>
      <c r="AD532" t="s">
        <v>718</v>
      </c>
      <c r="AE532">
        <v>1.1151120804934098E-4</v>
      </c>
    </row>
    <row r="533" spans="29:31" x14ac:dyDescent="0.45">
      <c r="AC533" t="s">
        <v>19</v>
      </c>
      <c r="AD533" t="s">
        <v>719</v>
      </c>
      <c r="AE533">
        <v>1.1150755767080583E-4</v>
      </c>
    </row>
    <row r="534" spans="29:31" x14ac:dyDescent="0.45">
      <c r="AC534" t="s">
        <v>19</v>
      </c>
      <c r="AD534" t="s">
        <v>720</v>
      </c>
      <c r="AE534">
        <v>1.1129308470585632E-4</v>
      </c>
    </row>
    <row r="535" spans="29:31" x14ac:dyDescent="0.45">
      <c r="AC535" t="s">
        <v>19</v>
      </c>
      <c r="AD535" t="s">
        <v>721</v>
      </c>
      <c r="AE535">
        <v>1.1123843483590248E-4</v>
      </c>
    </row>
    <row r="536" spans="29:31" x14ac:dyDescent="0.45">
      <c r="AC536" t="s">
        <v>19</v>
      </c>
      <c r="AD536" t="s">
        <v>722</v>
      </c>
      <c r="AE536">
        <v>1.1138106411895721E-4</v>
      </c>
    </row>
    <row r="537" spans="29:31" x14ac:dyDescent="0.45">
      <c r="AC537" t="s">
        <v>19</v>
      </c>
      <c r="AD537" t="s">
        <v>723</v>
      </c>
      <c r="AE537">
        <v>1.1197284867394619E-4</v>
      </c>
    </row>
    <row r="538" spans="29:31" x14ac:dyDescent="0.45">
      <c r="AC538" t="s">
        <v>19</v>
      </c>
      <c r="AD538" t="s">
        <v>724</v>
      </c>
      <c r="AE538">
        <v>1.1272487955622478E-4</v>
      </c>
    </row>
    <row r="539" spans="29:31" x14ac:dyDescent="0.45">
      <c r="AC539" t="s">
        <v>19</v>
      </c>
      <c r="AD539" t="s">
        <v>371</v>
      </c>
      <c r="AE539">
        <v>2.4846814757333059E-2</v>
      </c>
    </row>
    <row r="540" spans="29:31" x14ac:dyDescent="0.45">
      <c r="AC540" t="s">
        <v>19</v>
      </c>
      <c r="AD540" t="s">
        <v>372</v>
      </c>
      <c r="AE540">
        <v>3.5755023763067648E-3</v>
      </c>
    </row>
    <row r="541" spans="29:31" x14ac:dyDescent="0.45">
      <c r="AC541" t="s">
        <v>19</v>
      </c>
      <c r="AD541" t="s">
        <v>373</v>
      </c>
      <c r="AE541">
        <v>3.5813273223681366E-3</v>
      </c>
    </row>
    <row r="542" spans="29:31" x14ac:dyDescent="0.45">
      <c r="AC542" t="s">
        <v>19</v>
      </c>
      <c r="AD542" t="s">
        <v>374</v>
      </c>
      <c r="AE542">
        <v>3.5825068178672857E-3</v>
      </c>
    </row>
    <row r="543" spans="29:31" x14ac:dyDescent="0.45">
      <c r="AC543" t="s">
        <v>19</v>
      </c>
      <c r="AD543" t="s">
        <v>375</v>
      </c>
      <c r="AE543">
        <v>2.5148154722202914E-2</v>
      </c>
    </row>
    <row r="544" spans="29:31" x14ac:dyDescent="0.45">
      <c r="AC544" t="s">
        <v>19</v>
      </c>
      <c r="AD544" t="s">
        <v>376</v>
      </c>
      <c r="AE544">
        <v>3.4718163366417561E-3</v>
      </c>
    </row>
    <row r="545" spans="29:31" x14ac:dyDescent="0.45">
      <c r="AC545" t="s">
        <v>19</v>
      </c>
      <c r="AD545" t="s">
        <v>377</v>
      </c>
      <c r="AE545">
        <v>3.4418135051330631E-3</v>
      </c>
    </row>
    <row r="546" spans="29:31" x14ac:dyDescent="0.45">
      <c r="AC546" t="s">
        <v>19</v>
      </c>
      <c r="AD546" t="s">
        <v>378</v>
      </c>
      <c r="AE546">
        <v>1.7242212486628189E-2</v>
      </c>
    </row>
    <row r="547" spans="29:31" x14ac:dyDescent="0.45">
      <c r="AC547" t="s">
        <v>19</v>
      </c>
      <c r="AD547" t="s">
        <v>379</v>
      </c>
      <c r="AE547">
        <v>2.1618269136614108E-2</v>
      </c>
    </row>
    <row r="548" spans="29:31" x14ac:dyDescent="0.45">
      <c r="AC548" t="s">
        <v>19</v>
      </c>
      <c r="AD548" t="s">
        <v>380</v>
      </c>
      <c r="AE548">
        <v>3.1148560280510116E-3</v>
      </c>
    </row>
    <row r="549" spans="29:31" x14ac:dyDescent="0.45">
      <c r="AC549" t="s">
        <v>19</v>
      </c>
      <c r="AD549" t="s">
        <v>381</v>
      </c>
      <c r="AE549">
        <v>3.1164228340031437E-3</v>
      </c>
    </row>
    <row r="550" spans="29:31" x14ac:dyDescent="0.45">
      <c r="AC550" t="s">
        <v>19</v>
      </c>
      <c r="AD550" t="s">
        <v>382</v>
      </c>
      <c r="AE550">
        <v>3.1167044421907182E-3</v>
      </c>
    </row>
    <row r="551" spans="29:31" x14ac:dyDescent="0.45">
      <c r="AC551" t="s">
        <v>19</v>
      </c>
      <c r="AD551" t="s">
        <v>383</v>
      </c>
      <c r="AE551">
        <v>2.1840441596358853E-2</v>
      </c>
    </row>
    <row r="552" spans="29:31" x14ac:dyDescent="0.45">
      <c r="AC552" t="s">
        <v>19</v>
      </c>
      <c r="AD552" t="s">
        <v>384</v>
      </c>
      <c r="AE552">
        <v>3.039798637540338E-3</v>
      </c>
    </row>
    <row r="553" spans="29:31" x14ac:dyDescent="0.45">
      <c r="AC553" t="s">
        <v>19</v>
      </c>
      <c r="AD553" t="s">
        <v>385</v>
      </c>
      <c r="AE553">
        <v>3.0087561888056408E-3</v>
      </c>
    </row>
    <row r="554" spans="29:31" x14ac:dyDescent="0.45">
      <c r="AC554" t="s">
        <v>19</v>
      </c>
      <c r="AD554" t="s">
        <v>386</v>
      </c>
      <c r="AE554">
        <v>1.5038907953203956E-2</v>
      </c>
    </row>
    <row r="555" spans="29:31" x14ac:dyDescent="0.45">
      <c r="AC555" t="s">
        <v>19</v>
      </c>
      <c r="AD555" t="s">
        <v>725</v>
      </c>
      <c r="AE555">
        <v>1.1220878520338195E-4</v>
      </c>
    </row>
    <row r="556" spans="29:31" x14ac:dyDescent="0.45">
      <c r="AC556" t="s">
        <v>19</v>
      </c>
      <c r="AD556" t="s">
        <v>726</v>
      </c>
      <c r="AE556">
        <v>1.1322903955193929E-4</v>
      </c>
    </row>
    <row r="557" spans="29:31" x14ac:dyDescent="0.45">
      <c r="AC557" t="s">
        <v>19</v>
      </c>
      <c r="AD557" t="s">
        <v>727</v>
      </c>
      <c r="AE557">
        <v>1.1402646209774198E-4</v>
      </c>
    </row>
    <row r="558" spans="29:31" x14ac:dyDescent="0.45">
      <c r="AC558" t="s">
        <v>19</v>
      </c>
      <c r="AD558" t="s">
        <v>728</v>
      </c>
      <c r="AE558">
        <v>1.1461380271364468E-4</v>
      </c>
    </row>
    <row r="559" spans="29:31" x14ac:dyDescent="0.45">
      <c r="AC559" t="s">
        <v>19</v>
      </c>
      <c r="AD559" t="s">
        <v>729</v>
      </c>
      <c r="AE559">
        <v>1.1463242493457763E-4</v>
      </c>
    </row>
    <row r="560" spans="29:31" x14ac:dyDescent="0.45">
      <c r="AC560" t="s">
        <v>19</v>
      </c>
      <c r="AD560" t="s">
        <v>730</v>
      </c>
      <c r="AE560">
        <v>1.148454165864984E-4</v>
      </c>
    </row>
    <row r="561" spans="29:31" x14ac:dyDescent="0.45">
      <c r="AC561" t="s">
        <v>19</v>
      </c>
      <c r="AD561" t="s">
        <v>731</v>
      </c>
      <c r="AE561">
        <v>1.1482811696648398E-4</v>
      </c>
    </row>
    <row r="562" spans="29:31" x14ac:dyDescent="0.45">
      <c r="AC562" t="s">
        <v>19</v>
      </c>
      <c r="AD562" t="s">
        <v>732</v>
      </c>
      <c r="AE562">
        <v>1.148438823694329E-4</v>
      </c>
    </row>
    <row r="563" spans="29:31" x14ac:dyDescent="0.45">
      <c r="AC563" t="s">
        <v>19</v>
      </c>
      <c r="AD563" t="s">
        <v>733</v>
      </c>
      <c r="AE563">
        <v>1.1486356267110069E-4</v>
      </c>
    </row>
    <row r="564" spans="29:31" x14ac:dyDescent="0.45">
      <c r="AC564" t="s">
        <v>19</v>
      </c>
      <c r="AD564" t="s">
        <v>734</v>
      </c>
      <c r="AE564">
        <v>1.1486356267110069E-4</v>
      </c>
    </row>
    <row r="565" spans="29:31" x14ac:dyDescent="0.45">
      <c r="AC565" t="s">
        <v>19</v>
      </c>
      <c r="AD565" t="s">
        <v>735</v>
      </c>
      <c r="AE565">
        <v>1.1474643313375529E-4</v>
      </c>
    </row>
    <row r="566" spans="29:31" x14ac:dyDescent="0.45">
      <c r="AC566" t="s">
        <v>19</v>
      </c>
      <c r="AD566" t="s">
        <v>736</v>
      </c>
      <c r="AE566">
        <v>1.1503386076537117E-4</v>
      </c>
    </row>
    <row r="567" spans="29:31" x14ac:dyDescent="0.45">
      <c r="AC567" t="s">
        <v>19</v>
      </c>
      <c r="AD567" t="s">
        <v>737</v>
      </c>
      <c r="AE567">
        <v>1.1670753287172117E-4</v>
      </c>
    </row>
    <row r="568" spans="29:31" x14ac:dyDescent="0.45">
      <c r="AC568" t="s">
        <v>19</v>
      </c>
      <c r="AD568" t="s">
        <v>738</v>
      </c>
      <c r="AE568">
        <v>1.168152454905266E-4</v>
      </c>
    </row>
    <row r="569" spans="29:31" x14ac:dyDescent="0.45">
      <c r="AC569" t="s">
        <v>19</v>
      </c>
      <c r="AD569" t="s">
        <v>739</v>
      </c>
      <c r="AE569">
        <v>1.1608379427854042E-4</v>
      </c>
    </row>
    <row r="570" spans="29:31" x14ac:dyDescent="0.45">
      <c r="AC570" t="s">
        <v>19</v>
      </c>
      <c r="AD570" t="s">
        <v>740</v>
      </c>
      <c r="AE570">
        <v>1.1539228561429396E-4</v>
      </c>
    </row>
    <row r="571" spans="29:31" x14ac:dyDescent="0.45">
      <c r="AC571" t="s">
        <v>19</v>
      </c>
      <c r="AD571" t="s">
        <v>741</v>
      </c>
      <c r="AE571">
        <v>1.1410042194110641E-4</v>
      </c>
    </row>
    <row r="572" spans="29:31" x14ac:dyDescent="0.45">
      <c r="AC572" t="s">
        <v>19</v>
      </c>
      <c r="AD572" t="s">
        <v>742</v>
      </c>
      <c r="AE572">
        <v>1.1281659968150356E-4</v>
      </c>
    </row>
    <row r="573" spans="29:31" x14ac:dyDescent="0.45">
      <c r="AC573" t="s">
        <v>19</v>
      </c>
      <c r="AD573" t="s">
        <v>743</v>
      </c>
      <c r="AE573">
        <v>1.1138120735663669E-4</v>
      </c>
    </row>
    <row r="574" spans="29:31" x14ac:dyDescent="0.45">
      <c r="AC574" t="s">
        <v>19</v>
      </c>
      <c r="AD574" t="s">
        <v>744</v>
      </c>
      <c r="AE574">
        <v>1.1113874815625099E-4</v>
      </c>
    </row>
    <row r="575" spans="29:31" x14ac:dyDescent="0.45">
      <c r="AC575" t="s">
        <v>19</v>
      </c>
      <c r="AD575" t="s">
        <v>745</v>
      </c>
      <c r="AE575">
        <v>1.1113102416688673E-4</v>
      </c>
    </row>
    <row r="576" spans="29:31" x14ac:dyDescent="0.45">
      <c r="AC576" t="s">
        <v>19</v>
      </c>
      <c r="AD576" t="s">
        <v>746</v>
      </c>
      <c r="AE576">
        <v>1.1115292643809767E-4</v>
      </c>
    </row>
    <row r="577" spans="29:31" x14ac:dyDescent="0.45">
      <c r="AC577" t="s">
        <v>19</v>
      </c>
      <c r="AD577" t="s">
        <v>747</v>
      </c>
      <c r="AE577">
        <v>1.1136147415093216E-4</v>
      </c>
    </row>
    <row r="578" spans="29:31" x14ac:dyDescent="0.45">
      <c r="AC578" t="s">
        <v>19</v>
      </c>
      <c r="AD578" t="s">
        <v>748</v>
      </c>
      <c r="AE578">
        <v>1.1231940754420816E-4</v>
      </c>
    </row>
    <row r="579" spans="29:31" x14ac:dyDescent="0.45">
      <c r="AC579" t="s">
        <v>19</v>
      </c>
      <c r="AD579" t="s">
        <v>749</v>
      </c>
      <c r="AE579">
        <v>1.1245161473202484E-4</v>
      </c>
    </row>
    <row r="580" spans="29:31" x14ac:dyDescent="0.45">
      <c r="AC580" t="s">
        <v>19</v>
      </c>
      <c r="AD580" t="s">
        <v>750</v>
      </c>
      <c r="AE580">
        <v>1.1327607124060237E-4</v>
      </c>
    </row>
    <row r="581" spans="29:31" x14ac:dyDescent="0.45">
      <c r="AC581" t="s">
        <v>19</v>
      </c>
      <c r="AD581" t="s">
        <v>751</v>
      </c>
      <c r="AE581">
        <v>1.1436314338756406E-4</v>
      </c>
    </row>
    <row r="582" spans="29:31" x14ac:dyDescent="0.45">
      <c r="AC582" t="s">
        <v>19</v>
      </c>
      <c r="AD582" t="s">
        <v>752</v>
      </c>
      <c r="AE582">
        <v>1.1487192150890582E-4</v>
      </c>
    </row>
    <row r="583" spans="29:31" x14ac:dyDescent="0.45">
      <c r="AC583" t="s">
        <v>19</v>
      </c>
      <c r="AD583" t="s">
        <v>753</v>
      </c>
      <c r="AE583">
        <v>1.1500190672717937E-4</v>
      </c>
    </row>
    <row r="584" spans="29:31" x14ac:dyDescent="0.45">
      <c r="AC584" t="s">
        <v>19</v>
      </c>
      <c r="AD584" t="s">
        <v>754</v>
      </c>
      <c r="AE584">
        <v>1.1557988332857886E-4</v>
      </c>
    </row>
    <row r="585" spans="29:31" x14ac:dyDescent="0.45">
      <c r="AC585" t="s">
        <v>19</v>
      </c>
      <c r="AD585" t="s">
        <v>755</v>
      </c>
      <c r="AE585">
        <v>1.1556258370856444E-4</v>
      </c>
    </row>
    <row r="586" spans="29:31" x14ac:dyDescent="0.45">
      <c r="AC586" t="s">
        <v>19</v>
      </c>
      <c r="AD586" t="s">
        <v>756</v>
      </c>
      <c r="AE586">
        <v>1.1554766477020336E-4</v>
      </c>
    </row>
    <row r="587" spans="29:31" x14ac:dyDescent="0.45">
      <c r="AC587" t="s">
        <v>19</v>
      </c>
      <c r="AD587" t="s">
        <v>757</v>
      </c>
      <c r="AE587">
        <v>1.1564384430899917E-4</v>
      </c>
    </row>
    <row r="588" spans="29:31" x14ac:dyDescent="0.45">
      <c r="AC588" t="s">
        <v>19</v>
      </c>
      <c r="AD588" t="s">
        <v>758</v>
      </c>
      <c r="AE588">
        <v>1.1561649292200389E-4</v>
      </c>
    </row>
    <row r="589" spans="29:31" x14ac:dyDescent="0.45">
      <c r="AC589" t="s">
        <v>19</v>
      </c>
      <c r="AD589" t="s">
        <v>759</v>
      </c>
      <c r="AE589">
        <v>1.1556591666287913E-4</v>
      </c>
    </row>
    <row r="590" spans="29:31" x14ac:dyDescent="0.45">
      <c r="AC590" t="s">
        <v>19</v>
      </c>
      <c r="AD590" t="s">
        <v>760</v>
      </c>
      <c r="AE590">
        <v>1.1558099431335042E-4</v>
      </c>
    </row>
    <row r="591" spans="29:31" x14ac:dyDescent="0.45">
      <c r="AC591" t="s">
        <v>19</v>
      </c>
      <c r="AD591" t="s">
        <v>761</v>
      </c>
      <c r="AE591">
        <v>1.1674869221230596E-4</v>
      </c>
    </row>
    <row r="592" spans="29:31" x14ac:dyDescent="0.45">
      <c r="AC592" t="s">
        <v>19</v>
      </c>
      <c r="AD592" t="s">
        <v>762</v>
      </c>
      <c r="AE592">
        <v>1.1679508905252815E-4</v>
      </c>
    </row>
    <row r="593" spans="29:31" x14ac:dyDescent="0.45">
      <c r="AC593" t="s">
        <v>19</v>
      </c>
      <c r="AD593" t="s">
        <v>763</v>
      </c>
      <c r="AE593">
        <v>1.1578414581443729E-4</v>
      </c>
    </row>
    <row r="594" spans="29:31" x14ac:dyDescent="0.45">
      <c r="AC594" t="s">
        <v>19</v>
      </c>
      <c r="AD594" t="s">
        <v>764</v>
      </c>
      <c r="AE594">
        <v>1.1486361557513743E-4</v>
      </c>
    </row>
    <row r="595" spans="29:31" x14ac:dyDescent="0.45">
      <c r="AC595" t="s">
        <v>19</v>
      </c>
      <c r="AD595" t="s">
        <v>765</v>
      </c>
      <c r="AE595">
        <v>1.1403143507719566E-4</v>
      </c>
    </row>
    <row r="596" spans="29:31" x14ac:dyDescent="0.45">
      <c r="AC596" t="s">
        <v>19</v>
      </c>
      <c r="AD596" t="s">
        <v>766</v>
      </c>
      <c r="AE596">
        <v>1.1261910891234803E-4</v>
      </c>
    </row>
    <row r="597" spans="29:31" x14ac:dyDescent="0.45">
      <c r="AC597" t="s">
        <v>19</v>
      </c>
      <c r="AD597" t="s">
        <v>767</v>
      </c>
      <c r="AE597">
        <v>1.1140326833995784E-4</v>
      </c>
    </row>
    <row r="598" spans="29:31" x14ac:dyDescent="0.45">
      <c r="AC598" t="s">
        <v>19</v>
      </c>
      <c r="AD598" t="s">
        <v>768</v>
      </c>
      <c r="AE598">
        <v>1.1115086318066475E-4</v>
      </c>
    </row>
    <row r="599" spans="29:31" x14ac:dyDescent="0.45">
      <c r="AC599" t="s">
        <v>19</v>
      </c>
      <c r="AD599" t="s">
        <v>769</v>
      </c>
      <c r="AE599">
        <v>1.111711254267367E-4</v>
      </c>
    </row>
    <row r="600" spans="29:31" x14ac:dyDescent="0.45">
      <c r="AC600" t="s">
        <v>19</v>
      </c>
      <c r="AD600" t="s">
        <v>770</v>
      </c>
      <c r="AE600">
        <v>1.1117366482050029E-4</v>
      </c>
    </row>
    <row r="601" spans="29:31" x14ac:dyDescent="0.45">
      <c r="AC601" t="s">
        <v>19</v>
      </c>
      <c r="AD601" t="s">
        <v>771</v>
      </c>
      <c r="AE601">
        <v>1.1141564788455532E-4</v>
      </c>
    </row>
    <row r="602" spans="29:31" x14ac:dyDescent="0.45">
      <c r="AC602" t="s">
        <v>19</v>
      </c>
      <c r="AD602" t="s">
        <v>772</v>
      </c>
      <c r="AE602">
        <v>1.1243854743494972E-4</v>
      </c>
    </row>
    <row r="603" spans="29:31" x14ac:dyDescent="0.45">
      <c r="AC603" t="s">
        <v>19</v>
      </c>
      <c r="AD603" t="s">
        <v>773</v>
      </c>
      <c r="AE603">
        <v>1.1265852241972035E-4</v>
      </c>
    </row>
    <row r="604" spans="29:31" x14ac:dyDescent="0.45">
      <c r="AC604" t="s">
        <v>19</v>
      </c>
      <c r="AD604" t="s">
        <v>774</v>
      </c>
      <c r="AE604">
        <v>1.1349509395271167E-4</v>
      </c>
    </row>
    <row r="605" spans="29:31" x14ac:dyDescent="0.45">
      <c r="AC605" t="s">
        <v>19</v>
      </c>
      <c r="AD605" t="s">
        <v>775</v>
      </c>
      <c r="AE605">
        <v>1.1435277419636277E-4</v>
      </c>
    </row>
    <row r="606" spans="29:31" x14ac:dyDescent="0.45">
      <c r="AC606" t="s">
        <v>19</v>
      </c>
      <c r="AD606" t="s">
        <v>776</v>
      </c>
      <c r="AE606">
        <v>1.1494551102401308E-4</v>
      </c>
    </row>
    <row r="607" spans="29:31" x14ac:dyDescent="0.45">
      <c r="AC607" t="s">
        <v>19</v>
      </c>
      <c r="AD607" t="s">
        <v>777</v>
      </c>
      <c r="AE607">
        <v>1.1502095218040628E-4</v>
      </c>
    </row>
    <row r="608" spans="29:31" x14ac:dyDescent="0.45">
      <c r="AC608" t="s">
        <v>19</v>
      </c>
      <c r="AD608" t="s">
        <v>778</v>
      </c>
      <c r="AE608">
        <v>1.1557988332857887E-4</v>
      </c>
    </row>
    <row r="609" spans="29:31" x14ac:dyDescent="0.45">
      <c r="AC609" t="s">
        <v>19</v>
      </c>
      <c r="AD609" t="s">
        <v>779</v>
      </c>
      <c r="AE609">
        <v>1.1562680920916847E-4</v>
      </c>
    </row>
    <row r="610" spans="29:31" x14ac:dyDescent="0.45">
      <c r="AC610" t="s">
        <v>19</v>
      </c>
      <c r="AD610" t="s">
        <v>780</v>
      </c>
      <c r="AE610">
        <v>1.1561189027080739E-4</v>
      </c>
    </row>
    <row r="611" spans="29:31" x14ac:dyDescent="0.45">
      <c r="AC611" t="s">
        <v>19</v>
      </c>
      <c r="AD611" t="s">
        <v>781</v>
      </c>
      <c r="AE611">
        <v>1.156164929220039E-4</v>
      </c>
    </row>
    <row r="612" spans="29:31" x14ac:dyDescent="0.45">
      <c r="AC612" t="s">
        <v>19</v>
      </c>
      <c r="AD612" t="s">
        <v>782</v>
      </c>
      <c r="AE612">
        <v>1.1566363041874045E-4</v>
      </c>
    </row>
    <row r="613" spans="29:31" x14ac:dyDescent="0.45">
      <c r="AC613" t="s">
        <v>19</v>
      </c>
      <c r="AD613" t="s">
        <v>783</v>
      </c>
      <c r="AE613">
        <v>1.1554766477020337E-4</v>
      </c>
    </row>
    <row r="614" spans="29:31" x14ac:dyDescent="0.45">
      <c r="AC614" t="s">
        <v>19</v>
      </c>
      <c r="AD614" t="s">
        <v>784</v>
      </c>
      <c r="AE614">
        <v>1.1563982360220684E-4</v>
      </c>
    </row>
    <row r="615" spans="29:31" x14ac:dyDescent="0.45">
      <c r="AC615" t="s">
        <v>19</v>
      </c>
      <c r="AD615" t="s">
        <v>785</v>
      </c>
      <c r="AE615">
        <v>1.1674869221230598E-4</v>
      </c>
    </row>
    <row r="616" spans="29:31" x14ac:dyDescent="0.45">
      <c r="AC616" t="s">
        <v>19</v>
      </c>
      <c r="AD616" t="s">
        <v>786</v>
      </c>
      <c r="AE616">
        <v>1.1678736506316392E-4</v>
      </c>
    </row>
    <row r="617" spans="29:31" x14ac:dyDescent="0.45">
      <c r="AC617" t="s">
        <v>19</v>
      </c>
      <c r="AD617" t="s">
        <v>787</v>
      </c>
      <c r="AE617">
        <v>1.1587720401506537E-4</v>
      </c>
    </row>
    <row r="618" spans="29:31" x14ac:dyDescent="0.45">
      <c r="AC618" t="s">
        <v>19</v>
      </c>
      <c r="AD618" t="s">
        <v>788</v>
      </c>
      <c r="AE618">
        <v>1.1486361557513744E-4</v>
      </c>
    </row>
    <row r="619" spans="29:31" x14ac:dyDescent="0.45">
      <c r="AC619" t="s">
        <v>19</v>
      </c>
      <c r="AD619" t="s">
        <v>789</v>
      </c>
      <c r="AE619">
        <v>1.1402450464838255E-4</v>
      </c>
    </row>
    <row r="620" spans="29:31" x14ac:dyDescent="0.45">
      <c r="AC620" t="s">
        <v>19</v>
      </c>
      <c r="AD620" t="s">
        <v>790</v>
      </c>
      <c r="AE620">
        <v>1.1256488227468812E-4</v>
      </c>
    </row>
    <row r="621" spans="29:31" x14ac:dyDescent="0.45">
      <c r="AC621" t="s">
        <v>19</v>
      </c>
      <c r="AD621" t="s">
        <v>791</v>
      </c>
      <c r="AE621">
        <v>1.1138120735663669E-4</v>
      </c>
    </row>
    <row r="622" spans="29:31" x14ac:dyDescent="0.45">
      <c r="AC622" t="s">
        <v>19</v>
      </c>
      <c r="AD622" t="s">
        <v>792</v>
      </c>
      <c r="AE622">
        <v>1.1115758199333092E-4</v>
      </c>
    </row>
    <row r="623" spans="29:31" x14ac:dyDescent="0.45">
      <c r="AC623" t="s">
        <v>19</v>
      </c>
      <c r="AD623" t="s">
        <v>793</v>
      </c>
      <c r="AE623">
        <v>1.1112631570761678E-4</v>
      </c>
    </row>
    <row r="624" spans="29:31" x14ac:dyDescent="0.45">
      <c r="AC624" t="s">
        <v>19</v>
      </c>
      <c r="AD624" t="s">
        <v>794</v>
      </c>
      <c r="AE624">
        <v>1.1117842618380702E-4</v>
      </c>
    </row>
    <row r="625" spans="29:31" x14ac:dyDescent="0.45">
      <c r="AC625" t="s">
        <v>19</v>
      </c>
      <c r="AD625" t="s">
        <v>795</v>
      </c>
      <c r="AE625">
        <v>1.1137586404892582E-4</v>
      </c>
    </row>
    <row r="626" spans="29:31" x14ac:dyDescent="0.45">
      <c r="AC626" t="s">
        <v>19</v>
      </c>
      <c r="AD626" t="s">
        <v>796</v>
      </c>
      <c r="AE626">
        <v>1.1239876359932023E-4</v>
      </c>
    </row>
    <row r="627" spans="29:31" x14ac:dyDescent="0.45">
      <c r="AC627" t="s">
        <v>19</v>
      </c>
      <c r="AD627" t="s">
        <v>411</v>
      </c>
      <c r="AE627">
        <v>2.4805278682473533E-2</v>
      </c>
    </row>
    <row r="628" spans="29:31" x14ac:dyDescent="0.45">
      <c r="AC628" t="s">
        <v>19</v>
      </c>
      <c r="AD628" t="s">
        <v>412</v>
      </c>
      <c r="AE628">
        <v>3.5698886224987637E-3</v>
      </c>
    </row>
    <row r="629" spans="29:31" x14ac:dyDescent="0.45">
      <c r="AC629" t="s">
        <v>19</v>
      </c>
      <c r="AD629" t="s">
        <v>413</v>
      </c>
      <c r="AE629">
        <v>3.5749377837653602E-3</v>
      </c>
    </row>
    <row r="630" spans="29:31" x14ac:dyDescent="0.45">
      <c r="AC630" t="s">
        <v>19</v>
      </c>
      <c r="AD630" t="s">
        <v>414</v>
      </c>
      <c r="AE630">
        <v>3.5768624326220112E-3</v>
      </c>
    </row>
    <row r="631" spans="29:31" x14ac:dyDescent="0.45">
      <c r="AC631" t="s">
        <v>19</v>
      </c>
      <c r="AD631" t="s">
        <v>415</v>
      </c>
      <c r="AE631">
        <v>2.5077684953513202E-2</v>
      </c>
    </row>
    <row r="632" spans="29:31" x14ac:dyDescent="0.45">
      <c r="AC632" t="s">
        <v>19</v>
      </c>
      <c r="AD632" t="s">
        <v>416</v>
      </c>
      <c r="AE632">
        <v>3.4962142493165835E-3</v>
      </c>
    </row>
    <row r="633" spans="29:31" x14ac:dyDescent="0.45">
      <c r="AC633" t="s">
        <v>19</v>
      </c>
      <c r="AD633" t="s">
        <v>417</v>
      </c>
      <c r="AE633">
        <v>3.4560444787390446E-3</v>
      </c>
    </row>
    <row r="634" spans="29:31" x14ac:dyDescent="0.45">
      <c r="AC634" t="s">
        <v>19</v>
      </c>
      <c r="AD634" t="s">
        <v>418</v>
      </c>
      <c r="AE634">
        <v>1.7272027717116094E-2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189F0-3C49-48D1-AD46-366DC5E71DDF}">
  <dimension ref="A9:AN922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106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122</v>
      </c>
      <c r="K10" t="s">
        <v>248</v>
      </c>
      <c r="L10" t="s">
        <v>30</v>
      </c>
      <c r="N10" t="s">
        <v>13</v>
      </c>
      <c r="O10" t="s">
        <v>122</v>
      </c>
      <c r="P10" t="s">
        <v>248</v>
      </c>
      <c r="Q10" t="s">
        <v>30</v>
      </c>
      <c r="S10" t="s">
        <v>13</v>
      </c>
      <c r="T10" t="s">
        <v>122</v>
      </c>
      <c r="U10" t="s">
        <v>248</v>
      </c>
      <c r="V10" t="s">
        <v>30</v>
      </c>
      <c r="X10" t="s">
        <v>421</v>
      </c>
      <c r="Y10" t="s">
        <v>248</v>
      </c>
      <c r="Z10" t="s">
        <v>122</v>
      </c>
      <c r="AA10" t="s">
        <v>13</v>
      </c>
      <c r="AC10" t="s">
        <v>13</v>
      </c>
      <c r="AD10" t="s">
        <v>122</v>
      </c>
      <c r="AE10" t="s">
        <v>248</v>
      </c>
      <c r="AG10" t="s">
        <v>13</v>
      </c>
      <c r="AH10" t="s">
        <v>122</v>
      </c>
      <c r="AI10" t="s">
        <v>427</v>
      </c>
      <c r="AK10" t="s">
        <v>47</v>
      </c>
      <c r="AL10" t="s">
        <v>122</v>
      </c>
      <c r="AM10" t="s">
        <v>428</v>
      </c>
      <c r="AN10" t="s">
        <v>429</v>
      </c>
    </row>
    <row r="11" spans="1:40" x14ac:dyDescent="0.45">
      <c r="A11" t="str">
        <f>IFERROR(IF(Veda!D5=A10,"ok","x"),"")</f>
        <v>x</v>
      </c>
      <c r="C11" t="s">
        <v>151</v>
      </c>
      <c r="D11" t="s">
        <v>152</v>
      </c>
      <c r="E11" t="s">
        <v>799</v>
      </c>
      <c r="F11" t="s">
        <v>154</v>
      </c>
      <c r="G11" t="s">
        <v>155</v>
      </c>
      <c r="I11" t="s">
        <v>249</v>
      </c>
      <c r="J11" t="s">
        <v>250</v>
      </c>
      <c r="K11">
        <v>0</v>
      </c>
      <c r="L11" t="s">
        <v>251</v>
      </c>
      <c r="N11" t="s">
        <v>419</v>
      </c>
      <c r="O11" t="s">
        <v>250</v>
      </c>
      <c r="P11">
        <v>1.7142606639136204E-2</v>
      </c>
      <c r="Q11" t="s">
        <v>251</v>
      </c>
      <c r="S11" t="s">
        <v>420</v>
      </c>
      <c r="T11" t="s">
        <v>250</v>
      </c>
      <c r="U11">
        <v>1.7922060740170567E-2</v>
      </c>
      <c r="V11" t="s">
        <v>251</v>
      </c>
      <c r="X11">
        <v>2.3173515981735161E-2</v>
      </c>
      <c r="Y11">
        <v>9.151646238884887E-3</v>
      </c>
      <c r="Z11" t="s">
        <v>250</v>
      </c>
      <c r="AA11" t="s">
        <v>25</v>
      </c>
      <c r="AC11" t="s">
        <v>22</v>
      </c>
      <c r="AD11" t="s">
        <v>250</v>
      </c>
      <c r="AE11">
        <v>1.8206266945491302E-2</v>
      </c>
      <c r="AG11" t="s">
        <v>97</v>
      </c>
      <c r="AH11" t="s">
        <v>250</v>
      </c>
      <c r="AI11">
        <v>0.10203967290711802</v>
      </c>
      <c r="AK11">
        <v>2020</v>
      </c>
      <c r="AL11" t="s">
        <v>151</v>
      </c>
      <c r="AM11">
        <v>0.2698110913113228</v>
      </c>
      <c r="AN11" t="s">
        <v>430</v>
      </c>
    </row>
    <row r="12" spans="1:40" x14ac:dyDescent="0.45">
      <c r="C12" t="s">
        <v>156</v>
      </c>
      <c r="D12" t="s">
        <v>155</v>
      </c>
      <c r="E12" t="s">
        <v>800</v>
      </c>
      <c r="F12" t="s">
        <v>151</v>
      </c>
      <c r="G12" t="s">
        <v>155</v>
      </c>
      <c r="I12" t="s">
        <v>249</v>
      </c>
      <c r="J12" t="s">
        <v>252</v>
      </c>
      <c r="K12">
        <v>1.4080367403639434E-3</v>
      </c>
      <c r="L12" t="s">
        <v>251</v>
      </c>
      <c r="N12" t="s">
        <v>419</v>
      </c>
      <c r="O12" t="s">
        <v>252</v>
      </c>
      <c r="P12">
        <v>1.836963527464906E-3</v>
      </c>
      <c r="Q12" t="s">
        <v>251</v>
      </c>
      <c r="S12" t="s">
        <v>420</v>
      </c>
      <c r="T12" t="s">
        <v>252</v>
      </c>
      <c r="U12">
        <v>2.3655112982735472E-3</v>
      </c>
      <c r="V12" t="s">
        <v>251</v>
      </c>
      <c r="X12">
        <v>3.3105022831050228E-3</v>
      </c>
      <c r="Y12">
        <v>5.5275174236962274E-3</v>
      </c>
      <c r="Z12" t="s">
        <v>252</v>
      </c>
      <c r="AA12" t="s">
        <v>25</v>
      </c>
      <c r="AC12" t="s">
        <v>22</v>
      </c>
      <c r="AD12" t="s">
        <v>252</v>
      </c>
      <c r="AE12">
        <v>2.9553283011255526E-3</v>
      </c>
      <c r="AG12" t="s">
        <v>97</v>
      </c>
      <c r="AH12" t="s">
        <v>252</v>
      </c>
      <c r="AI12">
        <v>2.8673248805239471E-2</v>
      </c>
      <c r="AK12">
        <v>2020</v>
      </c>
      <c r="AL12" t="s">
        <v>156</v>
      </c>
      <c r="AM12">
        <v>0.28091924024938381</v>
      </c>
      <c r="AN12" t="s">
        <v>430</v>
      </c>
    </row>
    <row r="13" spans="1:40" x14ac:dyDescent="0.45">
      <c r="C13" t="s">
        <v>159</v>
      </c>
      <c r="D13" t="s">
        <v>160</v>
      </c>
      <c r="E13" t="s">
        <v>801</v>
      </c>
      <c r="F13" t="s">
        <v>151</v>
      </c>
      <c r="G13" t="s">
        <v>155</v>
      </c>
      <c r="I13" t="s">
        <v>249</v>
      </c>
      <c r="J13" t="s">
        <v>253</v>
      </c>
      <c r="K13">
        <v>5.6595409037763092E-3</v>
      </c>
      <c r="L13" t="s">
        <v>251</v>
      </c>
      <c r="N13" t="s">
        <v>419</v>
      </c>
      <c r="O13" t="s">
        <v>253</v>
      </c>
      <c r="P13">
        <v>1.2720065998305507E-3</v>
      </c>
      <c r="Q13" t="s">
        <v>251</v>
      </c>
      <c r="S13" t="s">
        <v>420</v>
      </c>
      <c r="T13" t="s">
        <v>253</v>
      </c>
      <c r="U13">
        <v>2.2929768906847963E-3</v>
      </c>
      <c r="V13" t="s">
        <v>251</v>
      </c>
      <c r="X13">
        <v>3.3105022831050228E-3</v>
      </c>
      <c r="Y13">
        <v>4.2297524633501575E-3</v>
      </c>
      <c r="Z13" t="s">
        <v>253</v>
      </c>
      <c r="AA13" t="s">
        <v>25</v>
      </c>
      <c r="AC13" t="s">
        <v>22</v>
      </c>
      <c r="AD13" t="s">
        <v>253</v>
      </c>
      <c r="AE13">
        <v>3.0573519916510914E-3</v>
      </c>
      <c r="AG13" t="s">
        <v>97</v>
      </c>
      <c r="AH13" t="s">
        <v>253</v>
      </c>
      <c r="AI13">
        <v>5.3366986393804661E-2</v>
      </c>
      <c r="AK13">
        <v>2020</v>
      </c>
      <c r="AL13" t="s">
        <v>159</v>
      </c>
      <c r="AM13">
        <v>0.28179619937607281</v>
      </c>
      <c r="AN13" t="s">
        <v>430</v>
      </c>
    </row>
    <row r="14" spans="1:40" x14ac:dyDescent="0.45">
      <c r="C14" t="s">
        <v>163</v>
      </c>
      <c r="D14" t="s">
        <v>164</v>
      </c>
      <c r="E14" t="s">
        <v>802</v>
      </c>
      <c r="F14" t="s">
        <v>167</v>
      </c>
      <c r="G14" t="s">
        <v>155</v>
      </c>
      <c r="I14" t="s">
        <v>249</v>
      </c>
      <c r="J14" t="s">
        <v>254</v>
      </c>
      <c r="K14">
        <v>8.2159835325560995E-3</v>
      </c>
      <c r="L14" t="s">
        <v>251</v>
      </c>
      <c r="N14" t="s">
        <v>419</v>
      </c>
      <c r="O14" t="s">
        <v>254</v>
      </c>
      <c r="P14">
        <v>1.0100111668265026E-3</v>
      </c>
      <c r="Q14" t="s">
        <v>251</v>
      </c>
      <c r="S14" t="s">
        <v>420</v>
      </c>
      <c r="T14" t="s">
        <v>254</v>
      </c>
      <c r="U14">
        <v>2.2123769370528674E-3</v>
      </c>
      <c r="V14" t="s">
        <v>251</v>
      </c>
      <c r="X14">
        <v>3.3105022831050228E-3</v>
      </c>
      <c r="Y14">
        <v>4.1913001682287914E-3</v>
      </c>
      <c r="Z14" t="s">
        <v>254</v>
      </c>
      <c r="AA14" t="s">
        <v>25</v>
      </c>
      <c r="AC14" t="s">
        <v>22</v>
      </c>
      <c r="AD14" t="s">
        <v>254</v>
      </c>
      <c r="AE14">
        <v>3.1007843675712092E-3</v>
      </c>
      <c r="AG14" t="s">
        <v>97</v>
      </c>
      <c r="AH14" t="s">
        <v>254</v>
      </c>
      <c r="AI14">
        <v>5.8223234982098138E-2</v>
      </c>
      <c r="AK14">
        <v>2020</v>
      </c>
      <c r="AL14" t="s">
        <v>163</v>
      </c>
      <c r="AM14">
        <v>0.3265308588275096</v>
      </c>
      <c r="AN14" t="s">
        <v>430</v>
      </c>
    </row>
    <row r="15" spans="1:40" x14ac:dyDescent="0.45">
      <c r="C15" t="s">
        <v>167</v>
      </c>
      <c r="D15" t="s">
        <v>435</v>
      </c>
      <c r="E15" t="s">
        <v>803</v>
      </c>
      <c r="F15" t="s">
        <v>158</v>
      </c>
      <c r="G15" t="s">
        <v>155</v>
      </c>
      <c r="I15" t="s">
        <v>249</v>
      </c>
      <c r="J15" t="s">
        <v>255</v>
      </c>
      <c r="K15">
        <v>6.35655436588385E-2</v>
      </c>
      <c r="L15" t="s">
        <v>251</v>
      </c>
      <c r="N15" t="s">
        <v>419</v>
      </c>
      <c r="O15" t="s">
        <v>255</v>
      </c>
      <c r="P15">
        <v>6.2685395604208279E-3</v>
      </c>
      <c r="Q15" t="s">
        <v>251</v>
      </c>
      <c r="S15" t="s">
        <v>420</v>
      </c>
      <c r="T15" t="s">
        <v>255</v>
      </c>
      <c r="U15">
        <v>1.3487573221548206E-2</v>
      </c>
      <c r="V15" t="s">
        <v>251</v>
      </c>
      <c r="X15">
        <v>2.3173515981735161E-2</v>
      </c>
      <c r="Y15">
        <v>3.241528478731074E-2</v>
      </c>
      <c r="Z15" t="s">
        <v>255</v>
      </c>
      <c r="AA15" t="s">
        <v>25</v>
      </c>
      <c r="AC15" t="s">
        <v>22</v>
      </c>
      <c r="AD15" t="s">
        <v>255</v>
      </c>
      <c r="AE15">
        <v>2.3452370524510657E-2</v>
      </c>
      <c r="AG15" t="s">
        <v>97</v>
      </c>
      <c r="AH15" t="s">
        <v>255</v>
      </c>
      <c r="AI15">
        <v>8.5745982882446503E-2</v>
      </c>
      <c r="AK15">
        <v>2020</v>
      </c>
      <c r="AL15" t="s">
        <v>167</v>
      </c>
      <c r="AM15">
        <v>0.43263316916658479</v>
      </c>
      <c r="AN15" t="s">
        <v>430</v>
      </c>
    </row>
    <row r="16" spans="1:40" x14ac:dyDescent="0.45">
      <c r="C16" t="s">
        <v>169</v>
      </c>
      <c r="D16" t="s">
        <v>437</v>
      </c>
      <c r="E16" t="s">
        <v>804</v>
      </c>
      <c r="F16" t="s">
        <v>158</v>
      </c>
      <c r="G16" t="s">
        <v>155</v>
      </c>
      <c r="I16" t="s">
        <v>249</v>
      </c>
      <c r="J16" t="s">
        <v>256</v>
      </c>
      <c r="K16">
        <v>5.9227767437254998E-3</v>
      </c>
      <c r="L16" t="s">
        <v>251</v>
      </c>
      <c r="N16" t="s">
        <v>419</v>
      </c>
      <c r="O16" t="s">
        <v>256</v>
      </c>
      <c r="P16">
        <v>1.084264794154653E-3</v>
      </c>
      <c r="Q16" t="s">
        <v>251</v>
      </c>
      <c r="S16" t="s">
        <v>420</v>
      </c>
      <c r="T16" t="s">
        <v>256</v>
      </c>
      <c r="U16">
        <v>2.1325483139665717E-3</v>
      </c>
      <c r="V16" t="s">
        <v>251</v>
      </c>
      <c r="X16">
        <v>3.3105022831050228E-3</v>
      </c>
      <c r="Y16">
        <v>6.4407594328286487E-3</v>
      </c>
      <c r="Z16" t="s">
        <v>256</v>
      </c>
      <c r="AA16" t="s">
        <v>25</v>
      </c>
      <c r="AC16" t="s">
        <v>22</v>
      </c>
      <c r="AD16" t="s">
        <v>256</v>
      </c>
      <c r="AE16">
        <v>1.9179816044994327E-3</v>
      </c>
      <c r="AG16" t="s">
        <v>97</v>
      </c>
      <c r="AH16" t="s">
        <v>256</v>
      </c>
      <c r="AI16">
        <v>0.12917553487083877</v>
      </c>
      <c r="AK16">
        <v>2020</v>
      </c>
      <c r="AL16" t="s">
        <v>169</v>
      </c>
      <c r="AM16">
        <v>0.53857957566091541</v>
      </c>
      <c r="AN16" t="s">
        <v>430</v>
      </c>
    </row>
    <row r="17" spans="3:40" x14ac:dyDescent="0.45">
      <c r="C17" t="s">
        <v>171</v>
      </c>
      <c r="D17" t="s">
        <v>439</v>
      </c>
      <c r="E17" t="s">
        <v>805</v>
      </c>
      <c r="F17" t="s">
        <v>158</v>
      </c>
      <c r="G17" t="s">
        <v>155</v>
      </c>
      <c r="I17" t="s">
        <v>249</v>
      </c>
      <c r="J17" t="s">
        <v>257</v>
      </c>
      <c r="K17">
        <v>1.9115807910467116E-3</v>
      </c>
      <c r="L17" t="s">
        <v>251</v>
      </c>
      <c r="N17" t="s">
        <v>419</v>
      </c>
      <c r="O17" t="s">
        <v>257</v>
      </c>
      <c r="P17">
        <v>1.6481968609231205E-3</v>
      </c>
      <c r="Q17" t="s">
        <v>251</v>
      </c>
      <c r="S17" t="s">
        <v>420</v>
      </c>
      <c r="T17" t="s">
        <v>257</v>
      </c>
      <c r="U17">
        <v>2.2672531827530899E-3</v>
      </c>
      <c r="V17" t="s">
        <v>251</v>
      </c>
      <c r="X17">
        <v>3.3105022831050228E-3</v>
      </c>
      <c r="Y17">
        <v>4.9987983657774574E-3</v>
      </c>
      <c r="Z17" t="s">
        <v>257</v>
      </c>
      <c r="AA17" t="s">
        <v>25</v>
      </c>
      <c r="AC17" t="s">
        <v>22</v>
      </c>
      <c r="AD17" t="s">
        <v>257</v>
      </c>
      <c r="AE17">
        <v>8.5013208387462076E-4</v>
      </c>
      <c r="AG17" t="s">
        <v>97</v>
      </c>
      <c r="AH17" t="s">
        <v>257</v>
      </c>
      <c r="AI17">
        <v>2.6286893456510363E-2</v>
      </c>
      <c r="AK17">
        <v>2020</v>
      </c>
      <c r="AL17" t="s">
        <v>171</v>
      </c>
      <c r="AM17">
        <v>0.55540744690304811</v>
      </c>
      <c r="AN17" t="s">
        <v>430</v>
      </c>
    </row>
    <row r="18" spans="3:40" x14ac:dyDescent="0.45">
      <c r="C18" t="s">
        <v>158</v>
      </c>
      <c r="D18" t="s">
        <v>441</v>
      </c>
      <c r="E18" t="s">
        <v>806</v>
      </c>
      <c r="F18" t="s">
        <v>158</v>
      </c>
      <c r="G18" t="s">
        <v>155</v>
      </c>
      <c r="I18" t="s">
        <v>249</v>
      </c>
      <c r="J18" t="s">
        <v>258</v>
      </c>
      <c r="K18">
        <v>0</v>
      </c>
      <c r="L18" t="s">
        <v>251</v>
      </c>
      <c r="N18" t="s">
        <v>419</v>
      </c>
      <c r="O18" t="s">
        <v>258</v>
      </c>
      <c r="P18">
        <v>1.4224091000260515E-2</v>
      </c>
      <c r="Q18" t="s">
        <v>251</v>
      </c>
      <c r="S18" t="s">
        <v>420</v>
      </c>
      <c r="T18" t="s">
        <v>258</v>
      </c>
      <c r="U18">
        <v>1.2447304425222946E-2</v>
      </c>
      <c r="V18" t="s">
        <v>251</v>
      </c>
      <c r="X18">
        <v>1.6552511415525113E-2</v>
      </c>
      <c r="Y18">
        <v>1.2496995914443643E-2</v>
      </c>
      <c r="Z18" t="s">
        <v>258</v>
      </c>
      <c r="AA18" t="s">
        <v>25</v>
      </c>
      <c r="AC18" t="s">
        <v>22</v>
      </c>
      <c r="AD18" t="s">
        <v>258</v>
      </c>
      <c r="AE18">
        <v>4.5305426027579879E-3</v>
      </c>
      <c r="AG18" t="s">
        <v>97</v>
      </c>
      <c r="AH18" t="s">
        <v>258</v>
      </c>
      <c r="AI18">
        <v>0.14510834403961614</v>
      </c>
      <c r="AK18">
        <v>2020</v>
      </c>
      <c r="AL18" t="s">
        <v>158</v>
      </c>
      <c r="AM18">
        <v>0.59107045138840164</v>
      </c>
      <c r="AN18" t="s">
        <v>430</v>
      </c>
    </row>
    <row r="19" spans="3:40" x14ac:dyDescent="0.45">
      <c r="C19" t="s">
        <v>162</v>
      </c>
      <c r="D19" t="s">
        <v>443</v>
      </c>
      <c r="E19" t="s">
        <v>807</v>
      </c>
      <c r="F19" t="s">
        <v>158</v>
      </c>
      <c r="G19" t="s">
        <v>155</v>
      </c>
      <c r="I19" t="s">
        <v>249</v>
      </c>
      <c r="J19" t="s">
        <v>949</v>
      </c>
      <c r="K19">
        <v>0</v>
      </c>
      <c r="L19" t="s">
        <v>251</v>
      </c>
      <c r="N19" t="s">
        <v>419</v>
      </c>
      <c r="O19" t="s">
        <v>949</v>
      </c>
      <c r="P19">
        <v>5.8694528342223024E-5</v>
      </c>
      <c r="Q19" t="s">
        <v>251</v>
      </c>
      <c r="S19" t="s">
        <v>420</v>
      </c>
      <c r="T19" t="s">
        <v>949</v>
      </c>
      <c r="U19">
        <v>7.1373965121681151E-5</v>
      </c>
      <c r="V19" t="s">
        <v>251</v>
      </c>
      <c r="X19">
        <v>1.1415525114155251E-4</v>
      </c>
      <c r="Y19">
        <v>2.1546544680075254E-5</v>
      </c>
      <c r="Z19" t="s">
        <v>949</v>
      </c>
      <c r="AA19" t="s">
        <v>25</v>
      </c>
      <c r="AC19" t="s">
        <v>22</v>
      </c>
      <c r="AD19" t="s">
        <v>949</v>
      </c>
      <c r="AE19">
        <v>5.5486537732067963E-5</v>
      </c>
      <c r="AG19" t="s">
        <v>97</v>
      </c>
      <c r="AH19" t="s">
        <v>949</v>
      </c>
      <c r="AI19">
        <v>0</v>
      </c>
      <c r="AK19">
        <v>2020</v>
      </c>
      <c r="AL19" t="s">
        <v>162</v>
      </c>
      <c r="AM19">
        <v>0.61228311826397963</v>
      </c>
      <c r="AN19" t="s">
        <v>430</v>
      </c>
    </row>
    <row r="20" spans="3:40" x14ac:dyDescent="0.45">
      <c r="C20" t="s">
        <v>175</v>
      </c>
      <c r="D20" t="s">
        <v>445</v>
      </c>
      <c r="E20" t="s">
        <v>808</v>
      </c>
      <c r="F20" t="s">
        <v>162</v>
      </c>
      <c r="G20" t="s">
        <v>155</v>
      </c>
      <c r="I20" t="s">
        <v>249</v>
      </c>
      <c r="J20" t="s">
        <v>950</v>
      </c>
      <c r="K20">
        <v>0</v>
      </c>
      <c r="L20" t="s">
        <v>251</v>
      </c>
      <c r="N20" t="s">
        <v>419</v>
      </c>
      <c r="O20" t="s">
        <v>950</v>
      </c>
      <c r="P20">
        <v>5.6612167145654833E-5</v>
      </c>
      <c r="Q20" t="s">
        <v>251</v>
      </c>
      <c r="S20" t="s">
        <v>420</v>
      </c>
      <c r="T20" t="s">
        <v>950</v>
      </c>
      <c r="U20">
        <v>6.921158054034587E-5</v>
      </c>
      <c r="V20" t="s">
        <v>251</v>
      </c>
      <c r="X20">
        <v>1.1415525114155251E-4</v>
      </c>
      <c r="Y20">
        <v>1.4916838624667481E-5</v>
      </c>
      <c r="Z20" t="s">
        <v>950</v>
      </c>
      <c r="AA20" t="s">
        <v>25</v>
      </c>
      <c r="AC20" t="s">
        <v>22</v>
      </c>
      <c r="AD20" t="s">
        <v>950</v>
      </c>
      <c r="AE20">
        <v>7.5630122285225477E-5</v>
      </c>
      <c r="AG20" t="s">
        <v>97</v>
      </c>
      <c r="AH20" t="s">
        <v>950</v>
      </c>
      <c r="AI20">
        <v>0</v>
      </c>
      <c r="AK20">
        <v>2020</v>
      </c>
      <c r="AL20" t="s">
        <v>175</v>
      </c>
      <c r="AM20">
        <v>0.41918646255735309</v>
      </c>
      <c r="AN20" t="s">
        <v>430</v>
      </c>
    </row>
    <row r="21" spans="3:40" x14ac:dyDescent="0.45">
      <c r="C21" t="s">
        <v>166</v>
      </c>
      <c r="D21" t="s">
        <v>809</v>
      </c>
      <c r="E21" t="s">
        <v>810</v>
      </c>
      <c r="F21" t="s">
        <v>162</v>
      </c>
      <c r="G21" t="s">
        <v>155</v>
      </c>
      <c r="I21" t="s">
        <v>249</v>
      </c>
      <c r="J21" t="s">
        <v>951</v>
      </c>
      <c r="K21">
        <v>0</v>
      </c>
      <c r="L21" t="s">
        <v>251</v>
      </c>
      <c r="N21" t="s">
        <v>419</v>
      </c>
      <c r="O21" t="s">
        <v>951</v>
      </c>
      <c r="P21">
        <v>5.4525194353753134E-5</v>
      </c>
      <c r="Q21" t="s">
        <v>251</v>
      </c>
      <c r="S21" t="s">
        <v>420</v>
      </c>
      <c r="T21" t="s">
        <v>951</v>
      </c>
      <c r="U21">
        <v>6.4095804601811503E-5</v>
      </c>
      <c r="V21" t="s">
        <v>251</v>
      </c>
      <c r="X21">
        <v>1.1415525114155251E-4</v>
      </c>
      <c r="Y21">
        <v>1.6574265138519424E-5</v>
      </c>
      <c r="Z21" t="s">
        <v>951</v>
      </c>
      <c r="AA21" t="s">
        <v>25</v>
      </c>
      <c r="AC21" t="s">
        <v>22</v>
      </c>
      <c r="AD21" t="s">
        <v>951</v>
      </c>
      <c r="AE21">
        <v>9.3204508498804408E-5</v>
      </c>
      <c r="AG21" t="s">
        <v>97</v>
      </c>
      <c r="AH21" t="s">
        <v>951</v>
      </c>
      <c r="AI21">
        <v>0</v>
      </c>
      <c r="AK21">
        <v>2020</v>
      </c>
      <c r="AL21" t="s">
        <v>166</v>
      </c>
      <c r="AM21">
        <v>0.28001304915180508</v>
      </c>
      <c r="AN21" t="s">
        <v>430</v>
      </c>
    </row>
    <row r="22" spans="3:40" x14ac:dyDescent="0.45">
      <c r="C22" t="s">
        <v>178</v>
      </c>
      <c r="D22" t="s">
        <v>811</v>
      </c>
      <c r="E22" t="s">
        <v>812</v>
      </c>
      <c r="F22" t="s">
        <v>162</v>
      </c>
      <c r="G22" t="s">
        <v>155</v>
      </c>
      <c r="I22" t="s">
        <v>249</v>
      </c>
      <c r="J22" t="s">
        <v>952</v>
      </c>
      <c r="K22">
        <v>0</v>
      </c>
      <c r="L22" t="s">
        <v>251</v>
      </c>
      <c r="N22" t="s">
        <v>419</v>
      </c>
      <c r="O22" t="s">
        <v>952</v>
      </c>
      <c r="P22">
        <v>5.4186642067887138E-5</v>
      </c>
      <c r="Q22" t="s">
        <v>251</v>
      </c>
      <c r="S22" t="s">
        <v>420</v>
      </c>
      <c r="T22" t="s">
        <v>952</v>
      </c>
      <c r="U22">
        <v>6.5530905431839467E-5</v>
      </c>
      <c r="V22" t="s">
        <v>251</v>
      </c>
      <c r="X22">
        <v>1.1415525114155251E-4</v>
      </c>
      <c r="Y22">
        <v>1.4585353321897093E-5</v>
      </c>
      <c r="Z22" t="s">
        <v>952</v>
      </c>
      <c r="AA22" t="s">
        <v>25</v>
      </c>
      <c r="AC22" t="s">
        <v>22</v>
      </c>
      <c r="AD22" t="s">
        <v>952</v>
      </c>
      <c r="AE22">
        <v>1.0136110045199388E-4</v>
      </c>
      <c r="AG22" t="s">
        <v>97</v>
      </c>
      <c r="AH22" t="s">
        <v>952</v>
      </c>
      <c r="AI22">
        <v>0</v>
      </c>
      <c r="AK22">
        <v>2020</v>
      </c>
      <c r="AL22" t="s">
        <v>178</v>
      </c>
      <c r="AM22">
        <v>0.25899526208215817</v>
      </c>
      <c r="AN22" t="s">
        <v>430</v>
      </c>
    </row>
    <row r="23" spans="3:40" x14ac:dyDescent="0.45">
      <c r="D23" t="s">
        <v>813</v>
      </c>
      <c r="E23" t="s">
        <v>814</v>
      </c>
      <c r="F23" t="s">
        <v>162</v>
      </c>
      <c r="G23" t="s">
        <v>155</v>
      </c>
      <c r="I23" t="s">
        <v>249</v>
      </c>
      <c r="J23" t="s">
        <v>953</v>
      </c>
      <c r="K23">
        <v>0</v>
      </c>
      <c r="L23" t="s">
        <v>251</v>
      </c>
      <c r="N23" t="s">
        <v>419</v>
      </c>
      <c r="O23" t="s">
        <v>953</v>
      </c>
      <c r="P23">
        <v>5.6689262014650752E-5</v>
      </c>
      <c r="Q23" t="s">
        <v>251</v>
      </c>
      <c r="S23" t="s">
        <v>420</v>
      </c>
      <c r="T23" t="s">
        <v>953</v>
      </c>
      <c r="U23">
        <v>6.8367384642381603E-5</v>
      </c>
      <c r="V23" t="s">
        <v>251</v>
      </c>
      <c r="X23">
        <v>1.1415525114155251E-4</v>
      </c>
      <c r="Y23">
        <v>2.1215059377304864E-5</v>
      </c>
      <c r="Z23" t="s">
        <v>953</v>
      </c>
      <c r="AA23" t="s">
        <v>25</v>
      </c>
      <c r="AC23" t="s">
        <v>22</v>
      </c>
      <c r="AD23" t="s">
        <v>953</v>
      </c>
      <c r="AE23">
        <v>1.0695740715611506E-4</v>
      </c>
      <c r="AG23" t="s">
        <v>97</v>
      </c>
      <c r="AH23" t="s">
        <v>953</v>
      </c>
      <c r="AI23">
        <v>0</v>
      </c>
      <c r="AK23">
        <v>2021</v>
      </c>
      <c r="AL23" t="s">
        <v>151</v>
      </c>
      <c r="AM23">
        <v>0.24537183889815969</v>
      </c>
      <c r="AN23" t="s">
        <v>430</v>
      </c>
    </row>
    <row r="24" spans="3:40" x14ac:dyDescent="0.45">
      <c r="D24" t="s">
        <v>815</v>
      </c>
      <c r="E24" t="s">
        <v>816</v>
      </c>
      <c r="F24" t="s">
        <v>166</v>
      </c>
      <c r="G24" t="s">
        <v>155</v>
      </c>
      <c r="I24" t="s">
        <v>249</v>
      </c>
      <c r="J24" t="s">
        <v>954</v>
      </c>
      <c r="K24">
        <v>0</v>
      </c>
      <c r="L24" t="s">
        <v>251</v>
      </c>
      <c r="N24" t="s">
        <v>419</v>
      </c>
      <c r="O24" t="s">
        <v>954</v>
      </c>
      <c r="P24">
        <v>5.6393588295711577E-5</v>
      </c>
      <c r="Q24" t="s">
        <v>251</v>
      </c>
      <c r="S24" t="s">
        <v>420</v>
      </c>
      <c r="T24" t="s">
        <v>954</v>
      </c>
      <c r="U24">
        <v>7.0888761580482722E-5</v>
      </c>
      <c r="V24" t="s">
        <v>251</v>
      </c>
      <c r="X24">
        <v>1.1415525114155251E-4</v>
      </c>
      <c r="Y24">
        <v>5.7678442682047593E-5</v>
      </c>
      <c r="Z24" t="s">
        <v>954</v>
      </c>
      <c r="AA24" t="s">
        <v>25</v>
      </c>
      <c r="AC24" t="s">
        <v>22</v>
      </c>
      <c r="AD24" t="s">
        <v>954</v>
      </c>
      <c r="AE24">
        <v>1.0532408332011232E-4</v>
      </c>
      <c r="AG24" t="s">
        <v>97</v>
      </c>
      <c r="AH24" t="s">
        <v>954</v>
      </c>
      <c r="AI24">
        <v>0</v>
      </c>
      <c r="AK24">
        <v>2021</v>
      </c>
      <c r="AL24" t="s">
        <v>156</v>
      </c>
      <c r="AM24">
        <v>0.24748569799873779</v>
      </c>
      <c r="AN24" t="s">
        <v>430</v>
      </c>
    </row>
    <row r="25" spans="3:40" x14ac:dyDescent="0.45">
      <c r="D25" t="s">
        <v>817</v>
      </c>
      <c r="E25" t="s">
        <v>818</v>
      </c>
      <c r="F25" t="s">
        <v>166</v>
      </c>
      <c r="G25" t="s">
        <v>155</v>
      </c>
      <c r="I25" t="s">
        <v>249</v>
      </c>
      <c r="J25" t="s">
        <v>955</v>
      </c>
      <c r="K25">
        <v>0</v>
      </c>
      <c r="L25" t="s">
        <v>251</v>
      </c>
      <c r="N25" t="s">
        <v>419</v>
      </c>
      <c r="O25" t="s">
        <v>955</v>
      </c>
      <c r="P25">
        <v>5.410955281523738E-5</v>
      </c>
      <c r="Q25" t="s">
        <v>251</v>
      </c>
      <c r="S25" t="s">
        <v>420</v>
      </c>
      <c r="T25" t="s">
        <v>955</v>
      </c>
      <c r="U25">
        <v>7.1938127253211374E-5</v>
      </c>
      <c r="V25" t="s">
        <v>251</v>
      </c>
      <c r="X25">
        <v>1.1415525114155251E-4</v>
      </c>
      <c r="Y25">
        <v>1.6905750441289813E-4</v>
      </c>
      <c r="Z25" t="s">
        <v>955</v>
      </c>
      <c r="AA25" t="s">
        <v>25</v>
      </c>
      <c r="AC25" t="s">
        <v>22</v>
      </c>
      <c r="AD25" t="s">
        <v>955</v>
      </c>
      <c r="AE25">
        <v>1.0616191382807554E-4</v>
      </c>
      <c r="AG25" t="s">
        <v>97</v>
      </c>
      <c r="AH25" t="s">
        <v>955</v>
      </c>
      <c r="AI25">
        <v>0</v>
      </c>
      <c r="AK25">
        <v>2021</v>
      </c>
      <c r="AL25" t="s">
        <v>159</v>
      </c>
      <c r="AM25">
        <v>0.25370413787713708</v>
      </c>
      <c r="AN25" t="s">
        <v>430</v>
      </c>
    </row>
    <row r="26" spans="3:40" x14ac:dyDescent="0.45">
      <c r="D26" t="s">
        <v>819</v>
      </c>
      <c r="E26" t="s">
        <v>820</v>
      </c>
      <c r="F26" t="s">
        <v>166</v>
      </c>
      <c r="G26" t="s">
        <v>155</v>
      </c>
      <c r="I26" t="s">
        <v>249</v>
      </c>
      <c r="J26" t="s">
        <v>956</v>
      </c>
      <c r="K26">
        <v>5.501313155998032E-5</v>
      </c>
      <c r="L26" t="s">
        <v>251</v>
      </c>
      <c r="N26" t="s">
        <v>419</v>
      </c>
      <c r="O26" t="s">
        <v>956</v>
      </c>
      <c r="P26">
        <v>4.9635292888616533E-5</v>
      </c>
      <c r="Q26" t="s">
        <v>251</v>
      </c>
      <c r="S26" t="s">
        <v>420</v>
      </c>
      <c r="T26" t="s">
        <v>956</v>
      </c>
      <c r="U26">
        <v>7.2946883253372381E-5</v>
      </c>
      <c r="V26" t="s">
        <v>251</v>
      </c>
      <c r="X26">
        <v>1.1415525114155251E-4</v>
      </c>
      <c r="Y26">
        <v>1.9060404909297337E-4</v>
      </c>
      <c r="Z26" t="s">
        <v>956</v>
      </c>
      <c r="AA26" t="s">
        <v>25</v>
      </c>
      <c r="AC26" t="s">
        <v>22</v>
      </c>
      <c r="AD26" t="s">
        <v>956</v>
      </c>
      <c r="AE26">
        <v>1.0528508854913002E-4</v>
      </c>
      <c r="AG26" t="s">
        <v>97</v>
      </c>
      <c r="AH26" t="s">
        <v>956</v>
      </c>
      <c r="AI26">
        <v>0</v>
      </c>
      <c r="AK26">
        <v>2021</v>
      </c>
      <c r="AL26" t="s">
        <v>163</v>
      </c>
      <c r="AM26">
        <v>0.25859816635789279</v>
      </c>
      <c r="AN26" t="s">
        <v>430</v>
      </c>
    </row>
    <row r="27" spans="3:40" x14ac:dyDescent="0.45">
      <c r="E27" t="s">
        <v>821</v>
      </c>
      <c r="G27" t="s">
        <v>155</v>
      </c>
      <c r="I27" t="s">
        <v>249</v>
      </c>
      <c r="J27" t="s">
        <v>957</v>
      </c>
      <c r="K27">
        <v>2.164478262487E-4</v>
      </c>
      <c r="L27" t="s">
        <v>251</v>
      </c>
      <c r="N27" t="s">
        <v>419</v>
      </c>
      <c r="O27" t="s">
        <v>957</v>
      </c>
      <c r="P27">
        <v>3.2256981630523961E-5</v>
      </c>
      <c r="Q27" t="s">
        <v>251</v>
      </c>
      <c r="S27" t="s">
        <v>420</v>
      </c>
      <c r="T27" t="s">
        <v>957</v>
      </c>
      <c r="U27">
        <v>7.1689706673996986E-5</v>
      </c>
      <c r="V27" t="s">
        <v>251</v>
      </c>
      <c r="X27">
        <v>1.1415525114155251E-4</v>
      </c>
      <c r="Y27">
        <v>1.4585353321897094E-4</v>
      </c>
      <c r="Z27" t="s">
        <v>957</v>
      </c>
      <c r="AA27" t="s">
        <v>25</v>
      </c>
      <c r="AC27" t="s">
        <v>22</v>
      </c>
      <c r="AD27" t="s">
        <v>957</v>
      </c>
      <c r="AE27">
        <v>1.0504777751429471E-4</v>
      </c>
      <c r="AG27" t="s">
        <v>97</v>
      </c>
      <c r="AH27" t="s">
        <v>957</v>
      </c>
      <c r="AI27">
        <v>0</v>
      </c>
      <c r="AK27">
        <v>2021</v>
      </c>
      <c r="AL27" t="s">
        <v>167</v>
      </c>
      <c r="AM27">
        <v>0.35369172562486489</v>
      </c>
      <c r="AN27" t="s">
        <v>430</v>
      </c>
    </row>
    <row r="28" spans="3:40" x14ac:dyDescent="0.45">
      <c r="E28" t="s">
        <v>822</v>
      </c>
      <c r="G28" t="s">
        <v>155</v>
      </c>
      <c r="I28" t="s">
        <v>249</v>
      </c>
      <c r="J28" t="s">
        <v>958</v>
      </c>
      <c r="K28">
        <v>3.0527104544260001E-4</v>
      </c>
      <c r="L28" t="s">
        <v>251</v>
      </c>
      <c r="N28" t="s">
        <v>419</v>
      </c>
      <c r="O28" t="s">
        <v>958</v>
      </c>
      <c r="P28">
        <v>2.2577704519254426E-5</v>
      </c>
      <c r="Q28" t="s">
        <v>251</v>
      </c>
      <c r="S28" t="s">
        <v>420</v>
      </c>
      <c r="T28" t="s">
        <v>958</v>
      </c>
      <c r="U28">
        <v>6.9880122982370207E-5</v>
      </c>
      <c r="V28" t="s">
        <v>251</v>
      </c>
      <c r="X28">
        <v>1.1415525114155251E-4</v>
      </c>
      <c r="Y28">
        <v>1.4452759200788939E-4</v>
      </c>
      <c r="Z28" t="s">
        <v>958</v>
      </c>
      <c r="AA28" t="s">
        <v>25</v>
      </c>
      <c r="AC28" t="s">
        <v>22</v>
      </c>
      <c r="AD28" t="s">
        <v>958</v>
      </c>
      <c r="AE28">
        <v>1.0566612316844304E-4</v>
      </c>
      <c r="AG28" t="s">
        <v>97</v>
      </c>
      <c r="AH28" t="s">
        <v>958</v>
      </c>
      <c r="AI28">
        <v>0</v>
      </c>
      <c r="AK28">
        <v>2021</v>
      </c>
      <c r="AL28" t="s">
        <v>169</v>
      </c>
      <c r="AM28">
        <v>0.49671037005367918</v>
      </c>
      <c r="AN28" t="s">
        <v>430</v>
      </c>
    </row>
    <row r="29" spans="3:40" x14ac:dyDescent="0.45">
      <c r="E29" t="s">
        <v>823</v>
      </c>
      <c r="G29" t="s">
        <v>155</v>
      </c>
      <c r="I29" t="s">
        <v>249</v>
      </c>
      <c r="J29" t="s">
        <v>959</v>
      </c>
      <c r="K29">
        <v>3.3800415558709999E-4</v>
      </c>
      <c r="L29" t="s">
        <v>251</v>
      </c>
      <c r="N29" t="s">
        <v>419</v>
      </c>
      <c r="O29" t="s">
        <v>959</v>
      </c>
      <c r="P29">
        <v>2.3518273828818504E-5</v>
      </c>
      <c r="Q29" t="s">
        <v>251</v>
      </c>
      <c r="S29" t="s">
        <v>420</v>
      </c>
      <c r="T29" t="s">
        <v>959</v>
      </c>
      <c r="U29">
        <v>6.748795026807835E-5</v>
      </c>
      <c r="V29" t="s">
        <v>251</v>
      </c>
      <c r="X29">
        <v>1.1415525114155251E-4</v>
      </c>
      <c r="Y29">
        <v>1.408812536774151E-4</v>
      </c>
      <c r="Z29" t="s">
        <v>959</v>
      </c>
      <c r="AA29" t="s">
        <v>25</v>
      </c>
      <c r="AC29" t="s">
        <v>22</v>
      </c>
      <c r="AD29" t="s">
        <v>959</v>
      </c>
      <c r="AE29">
        <v>1.0677691707328258E-4</v>
      </c>
      <c r="AG29" t="s">
        <v>97</v>
      </c>
      <c r="AH29" t="s">
        <v>959</v>
      </c>
      <c r="AI29">
        <v>0</v>
      </c>
      <c r="AK29">
        <v>2021</v>
      </c>
      <c r="AL29" t="s">
        <v>171</v>
      </c>
      <c r="AM29">
        <v>0.57377934693164512</v>
      </c>
      <c r="AN29" t="s">
        <v>430</v>
      </c>
    </row>
    <row r="30" spans="3:40" x14ac:dyDescent="0.45">
      <c r="E30" t="s">
        <v>824</v>
      </c>
      <c r="G30" t="s">
        <v>155</v>
      </c>
      <c r="I30" t="s">
        <v>249</v>
      </c>
      <c r="J30" t="s">
        <v>960</v>
      </c>
      <c r="K30">
        <v>3.3797425563640002E-4</v>
      </c>
      <c r="L30" t="s">
        <v>251</v>
      </c>
      <c r="N30" t="s">
        <v>419</v>
      </c>
      <c r="O30" t="s">
        <v>960</v>
      </c>
      <c r="P30">
        <v>2.2182668899236041E-5</v>
      </c>
      <c r="Q30" t="s">
        <v>251</v>
      </c>
      <c r="S30" t="s">
        <v>420</v>
      </c>
      <c r="T30" t="s">
        <v>960</v>
      </c>
      <c r="U30">
        <v>6.3480779163591308E-5</v>
      </c>
      <c r="V30" t="s">
        <v>251</v>
      </c>
      <c r="X30">
        <v>1.1415525114155251E-4</v>
      </c>
      <c r="Y30">
        <v>1.4054976837464471E-4</v>
      </c>
      <c r="Z30" t="s">
        <v>960</v>
      </c>
      <c r="AA30" t="s">
        <v>25</v>
      </c>
      <c r="AC30" t="s">
        <v>22</v>
      </c>
      <c r="AD30" t="s">
        <v>960</v>
      </c>
      <c r="AE30">
        <v>1.1097943924886387E-4</v>
      </c>
      <c r="AG30" t="s">
        <v>97</v>
      </c>
      <c r="AH30" t="s">
        <v>960</v>
      </c>
      <c r="AI30">
        <v>0</v>
      </c>
      <c r="AK30">
        <v>2021</v>
      </c>
      <c r="AL30" t="s">
        <v>158</v>
      </c>
      <c r="AM30">
        <v>0.62492242342329907</v>
      </c>
      <c r="AN30" t="s">
        <v>430</v>
      </c>
    </row>
    <row r="31" spans="3:40" x14ac:dyDescent="0.45">
      <c r="E31" t="s">
        <v>825</v>
      </c>
      <c r="G31" t="s">
        <v>155</v>
      </c>
      <c r="I31" t="s">
        <v>249</v>
      </c>
      <c r="J31" t="s">
        <v>961</v>
      </c>
      <c r="K31">
        <v>3.1214189427840002E-4</v>
      </c>
      <c r="L31" t="s">
        <v>251</v>
      </c>
      <c r="N31" t="s">
        <v>419</v>
      </c>
      <c r="O31" t="s">
        <v>961</v>
      </c>
      <c r="P31">
        <v>1.8026730905296918E-5</v>
      </c>
      <c r="Q31" t="s">
        <v>251</v>
      </c>
      <c r="S31" t="s">
        <v>420</v>
      </c>
      <c r="T31" t="s">
        <v>961</v>
      </c>
      <c r="U31">
        <v>5.7583715393040665E-5</v>
      </c>
      <c r="V31" t="s">
        <v>251</v>
      </c>
      <c r="X31">
        <v>1.1415525114155251E-4</v>
      </c>
      <c r="Y31">
        <v>1.4253868019126702E-4</v>
      </c>
      <c r="Z31" t="s">
        <v>961</v>
      </c>
      <c r="AA31" t="s">
        <v>25</v>
      </c>
      <c r="AC31" t="s">
        <v>22</v>
      </c>
      <c r="AD31" t="s">
        <v>961</v>
      </c>
      <c r="AE31">
        <v>1.2383322990095337E-4</v>
      </c>
      <c r="AG31" t="s">
        <v>97</v>
      </c>
      <c r="AH31" t="s">
        <v>961</v>
      </c>
      <c r="AI31">
        <v>0</v>
      </c>
      <c r="AK31">
        <v>2021</v>
      </c>
      <c r="AL31" t="s">
        <v>162</v>
      </c>
      <c r="AM31">
        <v>0.57271626051018953</v>
      </c>
      <c r="AN31" t="s">
        <v>430</v>
      </c>
    </row>
    <row r="32" spans="3:40" x14ac:dyDescent="0.45">
      <c r="E32" t="s">
        <v>826</v>
      </c>
      <c r="G32" t="s">
        <v>155</v>
      </c>
      <c r="I32" t="s">
        <v>249</v>
      </c>
      <c r="J32" t="s">
        <v>962</v>
      </c>
      <c r="K32">
        <v>3.0895514828319998E-4</v>
      </c>
      <c r="L32" t="s">
        <v>251</v>
      </c>
      <c r="N32" t="s">
        <v>419</v>
      </c>
      <c r="O32" t="s">
        <v>962</v>
      </c>
      <c r="P32">
        <v>1.4825237215126354E-5</v>
      </c>
      <c r="Q32" t="s">
        <v>251</v>
      </c>
      <c r="S32" t="s">
        <v>420</v>
      </c>
      <c r="T32" t="s">
        <v>962</v>
      </c>
      <c r="U32">
        <v>5.4007662566100549E-5</v>
      </c>
      <c r="V32" t="s">
        <v>251</v>
      </c>
      <c r="X32">
        <v>1.1415525114155251E-4</v>
      </c>
      <c r="Y32">
        <v>1.4883690094390442E-4</v>
      </c>
      <c r="Z32" t="s">
        <v>962</v>
      </c>
      <c r="AA32" t="s">
        <v>25</v>
      </c>
      <c r="AC32" t="s">
        <v>22</v>
      </c>
      <c r="AD32" t="s">
        <v>962</v>
      </c>
      <c r="AE32">
        <v>1.2500641543936459E-4</v>
      </c>
      <c r="AG32" t="s">
        <v>97</v>
      </c>
      <c r="AH32" t="s">
        <v>962</v>
      </c>
      <c r="AI32">
        <v>0</v>
      </c>
      <c r="AK32">
        <v>2021</v>
      </c>
      <c r="AL32" t="s">
        <v>175</v>
      </c>
      <c r="AM32">
        <v>0.48298602012623709</v>
      </c>
      <c r="AN32" t="s">
        <v>430</v>
      </c>
    </row>
    <row r="33" spans="5:40" x14ac:dyDescent="0.45">
      <c r="E33" t="s">
        <v>827</v>
      </c>
      <c r="G33" t="s">
        <v>155</v>
      </c>
      <c r="I33" t="s">
        <v>249</v>
      </c>
      <c r="J33" t="s">
        <v>963</v>
      </c>
      <c r="K33">
        <v>3.3370190043940001E-4</v>
      </c>
      <c r="L33" t="s">
        <v>251</v>
      </c>
      <c r="N33" t="s">
        <v>419</v>
      </c>
      <c r="O33" t="s">
        <v>963</v>
      </c>
      <c r="P33">
        <v>1.2934837417516138E-5</v>
      </c>
      <c r="Q33" t="s">
        <v>251</v>
      </c>
      <c r="S33" t="s">
        <v>420</v>
      </c>
      <c r="T33" t="s">
        <v>963</v>
      </c>
      <c r="U33">
        <v>5.1465427429674292E-5</v>
      </c>
      <c r="V33" t="s">
        <v>251</v>
      </c>
      <c r="X33">
        <v>1.1415525114155251E-4</v>
      </c>
      <c r="Y33">
        <v>1.5049432745775637E-4</v>
      </c>
      <c r="Z33" t="s">
        <v>963</v>
      </c>
      <c r="AA33" t="s">
        <v>25</v>
      </c>
      <c r="AC33" t="s">
        <v>22</v>
      </c>
      <c r="AD33" t="s">
        <v>963</v>
      </c>
      <c r="AE33">
        <v>1.2649490155457581E-4</v>
      </c>
      <c r="AG33" t="s">
        <v>97</v>
      </c>
      <c r="AH33" t="s">
        <v>963</v>
      </c>
      <c r="AI33">
        <v>0</v>
      </c>
      <c r="AK33">
        <v>2021</v>
      </c>
      <c r="AL33" t="s">
        <v>166</v>
      </c>
      <c r="AM33">
        <v>0.3141180941522968</v>
      </c>
      <c r="AN33" t="s">
        <v>430</v>
      </c>
    </row>
    <row r="34" spans="5:40" x14ac:dyDescent="0.45">
      <c r="E34" t="s">
        <v>828</v>
      </c>
      <c r="G34" t="s">
        <v>155</v>
      </c>
      <c r="I34" t="s">
        <v>249</v>
      </c>
      <c r="J34" t="s">
        <v>964</v>
      </c>
      <c r="K34">
        <v>3.3123770565529999E-4</v>
      </c>
      <c r="L34" t="s">
        <v>251</v>
      </c>
      <c r="N34" t="s">
        <v>419</v>
      </c>
      <c r="O34" t="s">
        <v>964</v>
      </c>
      <c r="P34">
        <v>1.2504144335887534E-5</v>
      </c>
      <c r="Q34" t="s">
        <v>251</v>
      </c>
      <c r="S34" t="s">
        <v>420</v>
      </c>
      <c r="T34" t="s">
        <v>964</v>
      </c>
      <c r="U34">
        <v>4.7244019381986268E-5</v>
      </c>
      <c r="V34" t="s">
        <v>251</v>
      </c>
      <c r="X34">
        <v>1.1415525114155251E-4</v>
      </c>
      <c r="Y34">
        <v>1.7237235744060203E-4</v>
      </c>
      <c r="Z34" t="s">
        <v>964</v>
      </c>
      <c r="AA34" t="s">
        <v>25</v>
      </c>
      <c r="AC34" t="s">
        <v>22</v>
      </c>
      <c r="AD34" t="s">
        <v>964</v>
      </c>
      <c r="AE34">
        <v>1.1383051407582904E-4</v>
      </c>
      <c r="AG34" t="s">
        <v>97</v>
      </c>
      <c r="AH34" t="s">
        <v>964</v>
      </c>
      <c r="AI34">
        <v>0</v>
      </c>
      <c r="AK34">
        <v>2021</v>
      </c>
      <c r="AL34" t="s">
        <v>178</v>
      </c>
      <c r="AM34">
        <v>0.2580139476938495</v>
      </c>
      <c r="AN34" t="s">
        <v>430</v>
      </c>
    </row>
    <row r="35" spans="5:40" x14ac:dyDescent="0.45">
      <c r="E35" t="s">
        <v>829</v>
      </c>
      <c r="G35" t="s">
        <v>160</v>
      </c>
      <c r="I35" t="s">
        <v>249</v>
      </c>
      <c r="J35" t="s">
        <v>965</v>
      </c>
      <c r="K35">
        <v>2.8946916878070002E-4</v>
      </c>
      <c r="L35" t="s">
        <v>251</v>
      </c>
      <c r="N35" t="s">
        <v>419</v>
      </c>
      <c r="O35" t="s">
        <v>965</v>
      </c>
      <c r="P35">
        <v>1.6152419937641922E-5</v>
      </c>
      <c r="Q35" t="s">
        <v>251</v>
      </c>
      <c r="S35" t="s">
        <v>420</v>
      </c>
      <c r="T35" t="s">
        <v>965</v>
      </c>
      <c r="U35">
        <v>5.0666505431599832E-5</v>
      </c>
      <c r="V35" t="s">
        <v>251</v>
      </c>
      <c r="X35">
        <v>1.1415525114155251E-4</v>
      </c>
      <c r="Y35">
        <v>2.2209515285616027E-4</v>
      </c>
      <c r="Z35" t="s">
        <v>965</v>
      </c>
      <c r="AA35" t="s">
        <v>25</v>
      </c>
      <c r="AC35" t="s">
        <v>22</v>
      </c>
      <c r="AD35" t="s">
        <v>965</v>
      </c>
      <c r="AE35">
        <v>9.154444539127096E-5</v>
      </c>
      <c r="AG35" t="s">
        <v>97</v>
      </c>
      <c r="AH35" t="s">
        <v>965</v>
      </c>
      <c r="AI35">
        <v>0</v>
      </c>
      <c r="AK35">
        <v>2022</v>
      </c>
      <c r="AL35" t="s">
        <v>151</v>
      </c>
      <c r="AM35">
        <v>0.22856863093367569</v>
      </c>
      <c r="AN35" t="s">
        <v>430</v>
      </c>
    </row>
    <row r="36" spans="5:40" x14ac:dyDescent="0.45">
      <c r="E36" t="s">
        <v>830</v>
      </c>
      <c r="G36" t="s">
        <v>160</v>
      </c>
      <c r="I36" t="s">
        <v>249</v>
      </c>
      <c r="J36" t="s">
        <v>966</v>
      </c>
      <c r="K36">
        <v>1.9334620864439999E-4</v>
      </c>
      <c r="L36" t="s">
        <v>251</v>
      </c>
      <c r="N36" t="s">
        <v>419</v>
      </c>
      <c r="O36" t="s">
        <v>966</v>
      </c>
      <c r="P36">
        <v>2.2692906689722423E-5</v>
      </c>
      <c r="Q36" t="s">
        <v>251</v>
      </c>
      <c r="S36" t="s">
        <v>420</v>
      </c>
      <c r="T36" t="s">
        <v>966</v>
      </c>
      <c r="U36">
        <v>5.1939405056052859E-5</v>
      </c>
      <c r="V36" t="s">
        <v>251</v>
      </c>
      <c r="X36">
        <v>1.1415525114155251E-4</v>
      </c>
      <c r="Y36">
        <v>2.2209515285616027E-4</v>
      </c>
      <c r="Z36" t="s">
        <v>966</v>
      </c>
      <c r="AA36" t="s">
        <v>25</v>
      </c>
      <c r="AC36" t="s">
        <v>22</v>
      </c>
      <c r="AD36" t="s">
        <v>966</v>
      </c>
      <c r="AE36">
        <v>5.8871283853334141E-5</v>
      </c>
      <c r="AG36" t="s">
        <v>97</v>
      </c>
      <c r="AH36" t="s">
        <v>966</v>
      </c>
      <c r="AI36">
        <v>0</v>
      </c>
      <c r="AK36">
        <v>2022</v>
      </c>
      <c r="AL36" t="s">
        <v>156</v>
      </c>
      <c r="AM36">
        <v>0.25211270446340328</v>
      </c>
      <c r="AN36" t="s">
        <v>430</v>
      </c>
    </row>
    <row r="37" spans="5:40" x14ac:dyDescent="0.45">
      <c r="E37" t="s">
        <v>831</v>
      </c>
      <c r="G37" t="s">
        <v>160</v>
      </c>
      <c r="I37" t="s">
        <v>249</v>
      </c>
      <c r="J37" t="s">
        <v>967</v>
      </c>
      <c r="K37">
        <v>1.8140764251669009E-5</v>
      </c>
      <c r="L37" t="s">
        <v>251</v>
      </c>
      <c r="N37" t="s">
        <v>419</v>
      </c>
      <c r="O37" t="s">
        <v>967</v>
      </c>
      <c r="P37">
        <v>3.6960967017216111E-5</v>
      </c>
      <c r="Q37" t="s">
        <v>251</v>
      </c>
      <c r="S37" t="s">
        <v>420</v>
      </c>
      <c r="T37" t="s">
        <v>967</v>
      </c>
      <c r="U37">
        <v>5.2578094064273071E-5</v>
      </c>
      <c r="V37" t="s">
        <v>251</v>
      </c>
      <c r="X37">
        <v>1.1415525114155251E-4</v>
      </c>
      <c r="Y37">
        <v>1.7237235744060203E-4</v>
      </c>
      <c r="Z37" t="s">
        <v>967</v>
      </c>
      <c r="AA37" t="s">
        <v>25</v>
      </c>
      <c r="AC37" t="s">
        <v>22</v>
      </c>
      <c r="AD37" t="s">
        <v>967</v>
      </c>
      <c r="AE37">
        <v>3.0825130426529159E-5</v>
      </c>
      <c r="AG37" t="s">
        <v>97</v>
      </c>
      <c r="AH37" t="s">
        <v>967</v>
      </c>
      <c r="AI37">
        <v>0</v>
      </c>
      <c r="AK37">
        <v>2022</v>
      </c>
      <c r="AL37" t="s">
        <v>159</v>
      </c>
      <c r="AM37">
        <v>0.3193698678799306</v>
      </c>
      <c r="AN37" t="s">
        <v>430</v>
      </c>
    </row>
    <row r="38" spans="5:40" x14ac:dyDescent="0.45">
      <c r="E38" t="s">
        <v>832</v>
      </c>
      <c r="G38" t="s">
        <v>160</v>
      </c>
      <c r="I38" t="s">
        <v>249</v>
      </c>
      <c r="J38" t="s">
        <v>968</v>
      </c>
      <c r="K38">
        <v>0</v>
      </c>
      <c r="L38" t="s">
        <v>251</v>
      </c>
      <c r="N38" t="s">
        <v>419</v>
      </c>
      <c r="O38" t="s">
        <v>968</v>
      </c>
      <c r="P38">
        <v>5.2555669434978379E-5</v>
      </c>
      <c r="Q38" t="s">
        <v>251</v>
      </c>
      <c r="S38" t="s">
        <v>420</v>
      </c>
      <c r="T38" t="s">
        <v>968</v>
      </c>
      <c r="U38">
        <v>5.2566372338050187E-5</v>
      </c>
      <c r="V38" t="s">
        <v>251</v>
      </c>
      <c r="X38">
        <v>1.1415525114155251E-4</v>
      </c>
      <c r="Y38">
        <v>1.5579809230208258E-4</v>
      </c>
      <c r="Z38" t="s">
        <v>968</v>
      </c>
      <c r="AA38" t="s">
        <v>25</v>
      </c>
      <c r="AC38" t="s">
        <v>22</v>
      </c>
      <c r="AD38" t="s">
        <v>968</v>
      </c>
      <c r="AE38">
        <v>2.7576308935544232E-5</v>
      </c>
      <c r="AG38" t="s">
        <v>97</v>
      </c>
      <c r="AH38" t="s">
        <v>968</v>
      </c>
      <c r="AI38">
        <v>0</v>
      </c>
      <c r="AK38">
        <v>2022</v>
      </c>
      <c r="AL38" t="s">
        <v>163</v>
      </c>
      <c r="AM38">
        <v>0.3594286789966587</v>
      </c>
      <c r="AN38" t="s">
        <v>430</v>
      </c>
    </row>
    <row r="39" spans="5:40" x14ac:dyDescent="0.45">
      <c r="E39" t="s">
        <v>833</v>
      </c>
      <c r="G39" t="s">
        <v>160</v>
      </c>
      <c r="I39" t="s">
        <v>249</v>
      </c>
      <c r="J39" t="s">
        <v>969</v>
      </c>
      <c r="K39">
        <v>0</v>
      </c>
      <c r="L39" t="s">
        <v>251</v>
      </c>
      <c r="N39" t="s">
        <v>419</v>
      </c>
      <c r="O39" t="s">
        <v>969</v>
      </c>
      <c r="P39">
        <v>6.1817084841237898E-5</v>
      </c>
      <c r="Q39" t="s">
        <v>251</v>
      </c>
      <c r="S39" t="s">
        <v>420</v>
      </c>
      <c r="T39" t="s">
        <v>969</v>
      </c>
      <c r="U39">
        <v>5.0432747927107943E-5</v>
      </c>
      <c r="V39" t="s">
        <v>251</v>
      </c>
      <c r="X39">
        <v>1.1415525114155251E-4</v>
      </c>
      <c r="Y39">
        <v>1.093901499142282E-4</v>
      </c>
      <c r="Z39" t="s">
        <v>969</v>
      </c>
      <c r="AA39" t="s">
        <v>25</v>
      </c>
      <c r="AC39" t="s">
        <v>22</v>
      </c>
      <c r="AD39" t="s">
        <v>969</v>
      </c>
      <c r="AE39">
        <v>2.8779576154427522E-5</v>
      </c>
      <c r="AG39" t="s">
        <v>97</v>
      </c>
      <c r="AH39" t="s">
        <v>969</v>
      </c>
      <c r="AI39">
        <v>0</v>
      </c>
      <c r="AK39">
        <v>2022</v>
      </c>
      <c r="AL39" t="s">
        <v>167</v>
      </c>
      <c r="AM39">
        <v>0.3851224877375633</v>
      </c>
      <c r="AN39" t="s">
        <v>430</v>
      </c>
    </row>
    <row r="40" spans="5:40" x14ac:dyDescent="0.45">
      <c r="E40" t="s">
        <v>834</v>
      </c>
      <c r="G40" t="s">
        <v>160</v>
      </c>
      <c r="I40" t="s">
        <v>249</v>
      </c>
      <c r="J40" t="s">
        <v>970</v>
      </c>
      <c r="K40">
        <v>0</v>
      </c>
      <c r="L40" t="s">
        <v>251</v>
      </c>
      <c r="N40" t="s">
        <v>419</v>
      </c>
      <c r="O40" t="s">
        <v>970</v>
      </c>
      <c r="P40">
        <v>6.5205967659374555E-5</v>
      </c>
      <c r="Q40" t="s">
        <v>251</v>
      </c>
      <c r="S40" t="s">
        <v>420</v>
      </c>
      <c r="T40" t="s">
        <v>970</v>
      </c>
      <c r="U40">
        <v>4.8444801505957523E-5</v>
      </c>
      <c r="V40" t="s">
        <v>251</v>
      </c>
      <c r="X40">
        <v>1.1415525114155251E-4</v>
      </c>
      <c r="Y40">
        <v>7.9556472664893237E-5</v>
      </c>
      <c r="Z40" t="s">
        <v>970</v>
      </c>
      <c r="AA40" t="s">
        <v>25</v>
      </c>
      <c r="AC40" t="s">
        <v>22</v>
      </c>
      <c r="AD40" t="s">
        <v>970</v>
      </c>
      <c r="AE40">
        <v>2.8107751957217675E-5</v>
      </c>
      <c r="AG40" t="s">
        <v>97</v>
      </c>
      <c r="AH40" t="s">
        <v>970</v>
      </c>
      <c r="AI40">
        <v>0</v>
      </c>
      <c r="AK40">
        <v>2022</v>
      </c>
      <c r="AL40" t="s">
        <v>169</v>
      </c>
      <c r="AM40">
        <v>0.43060849922349292</v>
      </c>
      <c r="AN40" t="s">
        <v>430</v>
      </c>
    </row>
    <row r="41" spans="5:40" x14ac:dyDescent="0.45">
      <c r="E41" t="s">
        <v>835</v>
      </c>
      <c r="G41" t="s">
        <v>160</v>
      </c>
      <c r="I41" t="s">
        <v>249</v>
      </c>
      <c r="J41" t="s">
        <v>971</v>
      </c>
      <c r="K41">
        <v>0</v>
      </c>
      <c r="L41" t="s">
        <v>251</v>
      </c>
      <c r="N41" t="s">
        <v>419</v>
      </c>
      <c r="O41" t="s">
        <v>971</v>
      </c>
      <c r="P41">
        <v>6.3047651678240784E-5</v>
      </c>
      <c r="Q41" t="s">
        <v>251</v>
      </c>
      <c r="S41" t="s">
        <v>420</v>
      </c>
      <c r="T41" t="s">
        <v>971</v>
      </c>
      <c r="U41">
        <v>4.7498943012716456E-5</v>
      </c>
      <c r="V41" t="s">
        <v>251</v>
      </c>
      <c r="X41">
        <v>1.1415525114155251E-4</v>
      </c>
      <c r="Y41">
        <v>5.6352501470966035E-5</v>
      </c>
      <c r="Z41" t="s">
        <v>971</v>
      </c>
      <c r="AA41" t="s">
        <v>25</v>
      </c>
      <c r="AC41" t="s">
        <v>22</v>
      </c>
      <c r="AD41" t="s">
        <v>971</v>
      </c>
      <c r="AE41">
        <v>3.0159991047202007E-5</v>
      </c>
      <c r="AG41" t="s">
        <v>97</v>
      </c>
      <c r="AH41" t="s">
        <v>971</v>
      </c>
      <c r="AI41">
        <v>0</v>
      </c>
      <c r="AK41">
        <v>2022</v>
      </c>
      <c r="AL41" t="s">
        <v>171</v>
      </c>
      <c r="AM41">
        <v>0.58949643171063837</v>
      </c>
      <c r="AN41" t="s">
        <v>430</v>
      </c>
    </row>
    <row r="42" spans="5:40" x14ac:dyDescent="0.45">
      <c r="E42" t="s">
        <v>836</v>
      </c>
      <c r="G42" t="s">
        <v>160</v>
      </c>
      <c r="I42" t="s">
        <v>249</v>
      </c>
      <c r="J42" t="s">
        <v>972</v>
      </c>
      <c r="K42">
        <v>0</v>
      </c>
      <c r="L42" t="s">
        <v>251</v>
      </c>
      <c r="N42" t="s">
        <v>419</v>
      </c>
      <c r="O42" t="s">
        <v>972</v>
      </c>
      <c r="P42">
        <v>6.0497127626345588E-5</v>
      </c>
      <c r="Q42" t="s">
        <v>251</v>
      </c>
      <c r="S42" t="s">
        <v>420</v>
      </c>
      <c r="T42" t="s">
        <v>972</v>
      </c>
      <c r="U42">
        <v>4.781666337994574E-5</v>
      </c>
      <c r="V42" t="s">
        <v>251</v>
      </c>
      <c r="X42">
        <v>1.1415525114155251E-4</v>
      </c>
      <c r="Y42">
        <v>2.9833677249334962E-5</v>
      </c>
      <c r="Z42" t="s">
        <v>972</v>
      </c>
      <c r="AA42" t="s">
        <v>25</v>
      </c>
      <c r="AC42" t="s">
        <v>22</v>
      </c>
      <c r="AD42" t="s">
        <v>972</v>
      </c>
      <c r="AE42">
        <v>4.9605012131618921E-5</v>
      </c>
      <c r="AG42" t="s">
        <v>97</v>
      </c>
      <c r="AH42" t="s">
        <v>972</v>
      </c>
      <c r="AI42">
        <v>0</v>
      </c>
      <c r="AK42">
        <v>2022</v>
      </c>
      <c r="AL42" t="s">
        <v>158</v>
      </c>
      <c r="AM42">
        <v>0.70961593638562115</v>
      </c>
      <c r="AN42" t="s">
        <v>430</v>
      </c>
    </row>
    <row r="43" spans="5:40" x14ac:dyDescent="0.45">
      <c r="E43" t="s">
        <v>837</v>
      </c>
      <c r="G43" t="s">
        <v>160</v>
      </c>
      <c r="I43" t="s">
        <v>249</v>
      </c>
      <c r="J43" t="s">
        <v>973</v>
      </c>
      <c r="K43">
        <v>0</v>
      </c>
      <c r="L43" t="s">
        <v>251</v>
      </c>
      <c r="N43" t="s">
        <v>419</v>
      </c>
      <c r="O43" t="s">
        <v>973</v>
      </c>
      <c r="P43">
        <v>5.761602458636607E-5</v>
      </c>
      <c r="Q43" t="s">
        <v>251</v>
      </c>
      <c r="S43" t="s">
        <v>420</v>
      </c>
      <c r="T43" t="s">
        <v>973</v>
      </c>
      <c r="U43">
        <v>4.89047243663429E-5</v>
      </c>
      <c r="V43" t="s">
        <v>251</v>
      </c>
      <c r="X43">
        <v>1.1415525114155251E-4</v>
      </c>
      <c r="Y43">
        <v>2.1546544680075254E-5</v>
      </c>
      <c r="Z43" t="s">
        <v>973</v>
      </c>
      <c r="AA43" t="s">
        <v>25</v>
      </c>
      <c r="AC43" t="s">
        <v>22</v>
      </c>
      <c r="AD43" t="s">
        <v>973</v>
      </c>
      <c r="AE43">
        <v>5.5122215157461629E-5</v>
      </c>
      <c r="AG43" t="s">
        <v>97</v>
      </c>
      <c r="AH43" t="s">
        <v>973</v>
      </c>
      <c r="AI43">
        <v>0</v>
      </c>
      <c r="AK43">
        <v>2022</v>
      </c>
      <c r="AL43" t="s">
        <v>162</v>
      </c>
      <c r="AM43">
        <v>0.69297378700174128</v>
      </c>
      <c r="AN43" t="s">
        <v>430</v>
      </c>
    </row>
    <row r="44" spans="5:40" x14ac:dyDescent="0.45">
      <c r="E44" t="s">
        <v>838</v>
      </c>
      <c r="G44" t="s">
        <v>160</v>
      </c>
      <c r="I44" t="s">
        <v>249</v>
      </c>
      <c r="J44" t="s">
        <v>974</v>
      </c>
      <c r="K44">
        <v>0</v>
      </c>
      <c r="L44" t="s">
        <v>251</v>
      </c>
      <c r="N44" t="s">
        <v>419</v>
      </c>
      <c r="O44" t="s">
        <v>974</v>
      </c>
      <c r="P44">
        <v>5.4115130173577198E-5</v>
      </c>
      <c r="Q44" t="s">
        <v>251</v>
      </c>
      <c r="S44" t="s">
        <v>420</v>
      </c>
      <c r="T44" t="s">
        <v>974</v>
      </c>
      <c r="U44">
        <v>5.1689479834676766E-5</v>
      </c>
      <c r="V44" t="s">
        <v>251</v>
      </c>
      <c r="X44">
        <v>1.1415525114155251E-4</v>
      </c>
      <c r="Y44">
        <v>1.4916838624667481E-5</v>
      </c>
      <c r="Z44" t="s">
        <v>974</v>
      </c>
      <c r="AA44" t="s">
        <v>25</v>
      </c>
      <c r="AC44" t="s">
        <v>22</v>
      </c>
      <c r="AD44" t="s">
        <v>974</v>
      </c>
      <c r="AE44">
        <v>7.4733242552631928E-5</v>
      </c>
      <c r="AG44" t="s">
        <v>97</v>
      </c>
      <c r="AH44" t="s">
        <v>974</v>
      </c>
      <c r="AI44">
        <v>0</v>
      </c>
      <c r="AK44">
        <v>2022</v>
      </c>
      <c r="AL44" t="s">
        <v>175</v>
      </c>
      <c r="AM44">
        <v>0.49755662126035521</v>
      </c>
      <c r="AN44" t="s">
        <v>430</v>
      </c>
    </row>
    <row r="45" spans="5:40" x14ac:dyDescent="0.45">
      <c r="E45" t="s">
        <v>839</v>
      </c>
      <c r="G45" t="s">
        <v>160</v>
      </c>
      <c r="I45" t="s">
        <v>249</v>
      </c>
      <c r="J45" t="s">
        <v>975</v>
      </c>
      <c r="K45">
        <v>0</v>
      </c>
      <c r="L45" t="s">
        <v>251</v>
      </c>
      <c r="N45" t="s">
        <v>419</v>
      </c>
      <c r="O45" t="s">
        <v>975</v>
      </c>
      <c r="P45">
        <v>5.0379300284617748E-5</v>
      </c>
      <c r="Q45" t="s">
        <v>251</v>
      </c>
      <c r="S45" t="s">
        <v>420</v>
      </c>
      <c r="T45" t="s">
        <v>975</v>
      </c>
      <c r="U45">
        <v>5.5414291743763359E-5</v>
      </c>
      <c r="V45" t="s">
        <v>251</v>
      </c>
      <c r="X45">
        <v>1.1415525114155251E-4</v>
      </c>
      <c r="Y45">
        <v>1.6574265138519424E-5</v>
      </c>
      <c r="Z45" t="s">
        <v>975</v>
      </c>
      <c r="AA45" t="s">
        <v>25</v>
      </c>
      <c r="AC45" t="s">
        <v>22</v>
      </c>
      <c r="AD45" t="s">
        <v>975</v>
      </c>
      <c r="AE45">
        <v>9.2307628766210859E-5</v>
      </c>
      <c r="AG45" t="s">
        <v>97</v>
      </c>
      <c r="AH45" t="s">
        <v>975</v>
      </c>
      <c r="AI45">
        <v>0</v>
      </c>
      <c r="AK45">
        <v>2022</v>
      </c>
      <c r="AL45" t="s">
        <v>166</v>
      </c>
      <c r="AM45">
        <v>0.32030919102075389</v>
      </c>
      <c r="AN45" t="s">
        <v>430</v>
      </c>
    </row>
    <row r="46" spans="5:40" x14ac:dyDescent="0.45">
      <c r="E46" t="s">
        <v>840</v>
      </c>
      <c r="G46" t="s">
        <v>160</v>
      </c>
      <c r="I46" t="s">
        <v>249</v>
      </c>
      <c r="J46" t="s">
        <v>976</v>
      </c>
      <c r="K46">
        <v>0</v>
      </c>
      <c r="L46" t="s">
        <v>251</v>
      </c>
      <c r="N46" t="s">
        <v>419</v>
      </c>
      <c r="O46" t="s">
        <v>976</v>
      </c>
      <c r="P46">
        <v>4.6443796874985041E-5</v>
      </c>
      <c r="Q46" t="s">
        <v>251</v>
      </c>
      <c r="S46" t="s">
        <v>420</v>
      </c>
      <c r="T46" t="s">
        <v>976</v>
      </c>
      <c r="U46">
        <v>5.838014728824856E-5</v>
      </c>
      <c r="V46" t="s">
        <v>251</v>
      </c>
      <c r="X46">
        <v>1.1415525114155251E-4</v>
      </c>
      <c r="Y46">
        <v>1.4585353321897093E-5</v>
      </c>
      <c r="Z46" t="s">
        <v>976</v>
      </c>
      <c r="AA46" t="s">
        <v>25</v>
      </c>
      <c r="AC46" t="s">
        <v>22</v>
      </c>
      <c r="AD46" t="s">
        <v>976</v>
      </c>
      <c r="AE46">
        <v>1.043681543628884E-4</v>
      </c>
      <c r="AG46" t="s">
        <v>97</v>
      </c>
      <c r="AH46" t="s">
        <v>976</v>
      </c>
      <c r="AI46">
        <v>0</v>
      </c>
      <c r="AK46">
        <v>2022</v>
      </c>
      <c r="AL46" t="s">
        <v>178</v>
      </c>
      <c r="AM46">
        <v>0.26614155656660882</v>
      </c>
      <c r="AN46" t="s">
        <v>430</v>
      </c>
    </row>
    <row r="47" spans="5:40" x14ac:dyDescent="0.45">
      <c r="E47" t="s">
        <v>841</v>
      </c>
      <c r="G47" t="s">
        <v>160</v>
      </c>
      <c r="I47" t="s">
        <v>249</v>
      </c>
      <c r="J47" t="s">
        <v>977</v>
      </c>
      <c r="K47">
        <v>0</v>
      </c>
      <c r="L47" t="s">
        <v>251</v>
      </c>
      <c r="N47" t="s">
        <v>419</v>
      </c>
      <c r="O47" t="s">
        <v>977</v>
      </c>
      <c r="P47">
        <v>4.4362521972665855E-5</v>
      </c>
      <c r="Q47" t="s">
        <v>251</v>
      </c>
      <c r="S47" t="s">
        <v>420</v>
      </c>
      <c r="T47" t="s">
        <v>977</v>
      </c>
      <c r="U47">
        <v>6.2632003318793488E-5</v>
      </c>
      <c r="V47" t="s">
        <v>251</v>
      </c>
      <c r="X47">
        <v>1.1415525114155251E-4</v>
      </c>
      <c r="Y47">
        <v>2.1215059377304864E-5</v>
      </c>
      <c r="Z47" t="s">
        <v>977</v>
      </c>
      <c r="AA47" t="s">
        <v>25</v>
      </c>
      <c r="AC47" t="s">
        <v>22</v>
      </c>
      <c r="AD47" t="s">
        <v>977</v>
      </c>
      <c r="AE47">
        <v>1.0695740715611503E-4</v>
      </c>
      <c r="AG47" t="s">
        <v>97</v>
      </c>
      <c r="AH47" t="s">
        <v>977</v>
      </c>
      <c r="AI47">
        <v>0</v>
      </c>
      <c r="AK47">
        <v>2025</v>
      </c>
      <c r="AL47" t="s">
        <v>151</v>
      </c>
      <c r="AM47">
        <v>0.2868</v>
      </c>
      <c r="AN47" t="s">
        <v>430</v>
      </c>
    </row>
    <row r="48" spans="5:40" x14ac:dyDescent="0.45">
      <c r="E48" t="s">
        <v>842</v>
      </c>
      <c r="G48" t="s">
        <v>160</v>
      </c>
      <c r="I48" t="s">
        <v>249</v>
      </c>
      <c r="J48" t="s">
        <v>978</v>
      </c>
      <c r="K48">
        <v>0</v>
      </c>
      <c r="L48" t="s">
        <v>251</v>
      </c>
      <c r="N48" t="s">
        <v>419</v>
      </c>
      <c r="O48" t="s">
        <v>978</v>
      </c>
      <c r="P48">
        <v>4.3177085718894117E-5</v>
      </c>
      <c r="Q48" t="s">
        <v>251</v>
      </c>
      <c r="S48" t="s">
        <v>420</v>
      </c>
      <c r="T48" t="s">
        <v>978</v>
      </c>
      <c r="U48">
        <v>6.2565108375252818E-5</v>
      </c>
      <c r="V48" t="s">
        <v>251</v>
      </c>
      <c r="X48">
        <v>1.1415525114155251E-4</v>
      </c>
      <c r="Y48">
        <v>5.7678442682047593E-5</v>
      </c>
      <c r="Z48" t="s">
        <v>978</v>
      </c>
      <c r="AA48" t="s">
        <v>25</v>
      </c>
      <c r="AC48" t="s">
        <v>22</v>
      </c>
      <c r="AD48" t="s">
        <v>978</v>
      </c>
      <c r="AE48">
        <v>1.0532408332011232E-4</v>
      </c>
      <c r="AG48" t="s">
        <v>97</v>
      </c>
      <c r="AH48" t="s">
        <v>978</v>
      </c>
      <c r="AI48">
        <v>0</v>
      </c>
      <c r="AK48">
        <v>2025</v>
      </c>
      <c r="AL48" t="s">
        <v>156</v>
      </c>
      <c r="AM48">
        <v>0.30309999999999998</v>
      </c>
      <c r="AN48" t="s">
        <v>430</v>
      </c>
    </row>
    <row r="49" spans="5:40" x14ac:dyDescent="0.45">
      <c r="E49" t="s">
        <v>843</v>
      </c>
      <c r="G49" t="s">
        <v>160</v>
      </c>
      <c r="I49" t="s">
        <v>249</v>
      </c>
      <c r="J49" t="s">
        <v>979</v>
      </c>
      <c r="K49">
        <v>0</v>
      </c>
      <c r="L49" t="s">
        <v>251</v>
      </c>
      <c r="N49" t="s">
        <v>419</v>
      </c>
      <c r="O49" t="s">
        <v>979</v>
      </c>
      <c r="P49">
        <v>4.0924553419058345E-5</v>
      </c>
      <c r="Q49" t="s">
        <v>251</v>
      </c>
      <c r="S49" t="s">
        <v>420</v>
      </c>
      <c r="T49" t="s">
        <v>979</v>
      </c>
      <c r="U49">
        <v>6.1870281200013242E-5</v>
      </c>
      <c r="V49" t="s">
        <v>251</v>
      </c>
      <c r="X49">
        <v>1.1415525114155251E-4</v>
      </c>
      <c r="Y49">
        <v>1.6905750441289813E-4</v>
      </c>
      <c r="Z49" t="s">
        <v>979</v>
      </c>
      <c r="AA49" t="s">
        <v>25</v>
      </c>
      <c r="AC49" t="s">
        <v>22</v>
      </c>
      <c r="AD49" t="s">
        <v>979</v>
      </c>
      <c r="AE49">
        <v>1.0532408332011232E-4</v>
      </c>
      <c r="AG49" t="s">
        <v>97</v>
      </c>
      <c r="AH49" t="s">
        <v>979</v>
      </c>
      <c r="AI49">
        <v>0</v>
      </c>
      <c r="AK49">
        <v>2025</v>
      </c>
      <c r="AL49" t="s">
        <v>159</v>
      </c>
      <c r="AM49">
        <v>0.30990000000000001</v>
      </c>
      <c r="AN49" t="s">
        <v>430</v>
      </c>
    </row>
    <row r="50" spans="5:40" x14ac:dyDescent="0.45">
      <c r="E50" t="s">
        <v>844</v>
      </c>
      <c r="G50" t="s">
        <v>160</v>
      </c>
      <c r="I50" t="s">
        <v>249</v>
      </c>
      <c r="J50" t="s">
        <v>980</v>
      </c>
      <c r="K50">
        <v>5.2614575818420792E-5</v>
      </c>
      <c r="L50" t="s">
        <v>251</v>
      </c>
      <c r="N50" t="s">
        <v>419</v>
      </c>
      <c r="O50" t="s">
        <v>980</v>
      </c>
      <c r="P50">
        <v>3.751635546409836E-5</v>
      </c>
      <c r="Q50" t="s">
        <v>251</v>
      </c>
      <c r="S50" t="s">
        <v>420</v>
      </c>
      <c r="T50" t="s">
        <v>980</v>
      </c>
      <c r="U50">
        <v>6.1007762099477696E-5</v>
      </c>
      <c r="V50" t="s">
        <v>251</v>
      </c>
      <c r="X50">
        <v>1.1415525114155251E-4</v>
      </c>
      <c r="Y50">
        <v>1.9060404909297337E-4</v>
      </c>
      <c r="Z50" t="s">
        <v>980</v>
      </c>
      <c r="AA50" t="s">
        <v>25</v>
      </c>
      <c r="AC50" t="s">
        <v>22</v>
      </c>
      <c r="AD50" t="s">
        <v>980</v>
      </c>
      <c r="AE50">
        <v>1.0517924559932082E-4</v>
      </c>
      <c r="AG50" t="s">
        <v>97</v>
      </c>
      <c r="AH50" t="s">
        <v>980</v>
      </c>
      <c r="AI50">
        <v>0</v>
      </c>
      <c r="AK50">
        <v>2025</v>
      </c>
      <c r="AL50" t="s">
        <v>163</v>
      </c>
      <c r="AM50">
        <v>0.3392</v>
      </c>
      <c r="AN50" t="s">
        <v>430</v>
      </c>
    </row>
    <row r="51" spans="5:40" x14ac:dyDescent="0.45">
      <c r="E51" t="s">
        <v>845</v>
      </c>
      <c r="G51" t="s">
        <v>160</v>
      </c>
      <c r="I51" t="s">
        <v>249</v>
      </c>
      <c r="J51" t="s">
        <v>981</v>
      </c>
      <c r="K51">
        <v>2.1478996526329999E-4</v>
      </c>
      <c r="L51" t="s">
        <v>251</v>
      </c>
      <c r="N51" t="s">
        <v>419</v>
      </c>
      <c r="O51" t="s">
        <v>981</v>
      </c>
      <c r="P51">
        <v>2.217870264958621E-5</v>
      </c>
      <c r="Q51" t="s">
        <v>251</v>
      </c>
      <c r="S51" t="s">
        <v>420</v>
      </c>
      <c r="T51" t="s">
        <v>981</v>
      </c>
      <c r="U51">
        <v>5.8972745581625739E-5</v>
      </c>
      <c r="V51" t="s">
        <v>251</v>
      </c>
      <c r="X51">
        <v>1.1415525114155251E-4</v>
      </c>
      <c r="Y51">
        <v>1.4585353321897094E-4</v>
      </c>
      <c r="Z51" t="s">
        <v>981</v>
      </c>
      <c r="AA51" t="s">
        <v>25</v>
      </c>
      <c r="AC51" t="s">
        <v>22</v>
      </c>
      <c r="AD51" t="s">
        <v>981</v>
      </c>
      <c r="AE51">
        <v>1.0510794087523888E-4</v>
      </c>
      <c r="AG51" t="s">
        <v>97</v>
      </c>
      <c r="AH51" t="s">
        <v>981</v>
      </c>
      <c r="AI51">
        <v>0</v>
      </c>
      <c r="AK51">
        <v>2025</v>
      </c>
      <c r="AL51" t="s">
        <v>167</v>
      </c>
      <c r="AM51">
        <v>0.43769999999999998</v>
      </c>
      <c r="AN51" t="s">
        <v>430</v>
      </c>
    </row>
    <row r="52" spans="5:40" x14ac:dyDescent="0.45">
      <c r="E52" t="s">
        <v>846</v>
      </c>
      <c r="G52" t="s">
        <v>160</v>
      </c>
      <c r="I52" t="s">
        <v>249</v>
      </c>
      <c r="J52" t="s">
        <v>982</v>
      </c>
      <c r="K52">
        <v>3.0499188543680001E-4</v>
      </c>
      <c r="L52" t="s">
        <v>251</v>
      </c>
      <c r="N52" t="s">
        <v>419</v>
      </c>
      <c r="O52" t="s">
        <v>982</v>
      </c>
      <c r="P52">
        <v>1.0573328201402487E-5</v>
      </c>
      <c r="Q52" t="s">
        <v>251</v>
      </c>
      <c r="S52" t="s">
        <v>420</v>
      </c>
      <c r="T52" t="s">
        <v>982</v>
      </c>
      <c r="U52">
        <v>5.4833602881459499E-5</v>
      </c>
      <c r="V52" t="s">
        <v>251</v>
      </c>
      <c r="X52">
        <v>1.1415525114155251E-4</v>
      </c>
      <c r="Y52">
        <v>1.4452759200788939E-4</v>
      </c>
      <c r="Z52" t="s">
        <v>982</v>
      </c>
      <c r="AA52" t="s">
        <v>25</v>
      </c>
      <c r="AC52" t="s">
        <v>22</v>
      </c>
      <c r="AD52" t="s">
        <v>982</v>
      </c>
      <c r="AE52">
        <v>1.0641036622604865E-4</v>
      </c>
      <c r="AG52" t="s">
        <v>97</v>
      </c>
      <c r="AH52" t="s">
        <v>982</v>
      </c>
      <c r="AI52">
        <v>0</v>
      </c>
      <c r="AK52">
        <v>2025</v>
      </c>
      <c r="AL52" t="s">
        <v>169</v>
      </c>
      <c r="AM52">
        <v>0.49469999999999997</v>
      </c>
      <c r="AN52" t="s">
        <v>430</v>
      </c>
    </row>
    <row r="53" spans="5:40" x14ac:dyDescent="0.45">
      <c r="E53" t="s">
        <v>847</v>
      </c>
      <c r="G53" t="s">
        <v>160</v>
      </c>
      <c r="I53" t="s">
        <v>249</v>
      </c>
      <c r="J53" t="s">
        <v>983</v>
      </c>
      <c r="K53">
        <v>3.3744278430490002E-4</v>
      </c>
      <c r="L53" t="s">
        <v>251</v>
      </c>
      <c r="N53" t="s">
        <v>419</v>
      </c>
      <c r="O53" t="s">
        <v>983</v>
      </c>
      <c r="P53">
        <v>7.3550227034047909E-6</v>
      </c>
      <c r="Q53" t="s">
        <v>251</v>
      </c>
      <c r="S53" t="s">
        <v>420</v>
      </c>
      <c r="T53" t="s">
        <v>983</v>
      </c>
      <c r="U53">
        <v>5.0476974407996526E-5</v>
      </c>
      <c r="V53" t="s">
        <v>251</v>
      </c>
      <c r="X53">
        <v>1.1415525114155251E-4</v>
      </c>
      <c r="Y53">
        <v>1.408812536774151E-4</v>
      </c>
      <c r="Z53" t="s">
        <v>983</v>
      </c>
      <c r="AA53" t="s">
        <v>25</v>
      </c>
      <c r="AC53" t="s">
        <v>22</v>
      </c>
      <c r="AD53" t="s">
        <v>983</v>
      </c>
      <c r="AE53">
        <v>1.0677691707328257E-4</v>
      </c>
      <c r="AG53" t="s">
        <v>97</v>
      </c>
      <c r="AH53" t="s">
        <v>983</v>
      </c>
      <c r="AI53">
        <v>0</v>
      </c>
      <c r="AK53">
        <v>2025</v>
      </c>
      <c r="AL53" t="s">
        <v>171</v>
      </c>
      <c r="AM53">
        <v>0.67</v>
      </c>
      <c r="AN53" t="s">
        <v>430</v>
      </c>
    </row>
    <row r="54" spans="5:40" x14ac:dyDescent="0.45">
      <c r="E54" t="s">
        <v>848</v>
      </c>
      <c r="G54" t="s">
        <v>160</v>
      </c>
      <c r="I54" t="s">
        <v>249</v>
      </c>
      <c r="J54" t="s">
        <v>984</v>
      </c>
      <c r="K54">
        <v>3.3806498415750002E-4</v>
      </c>
      <c r="L54" t="s">
        <v>251</v>
      </c>
      <c r="N54" t="s">
        <v>419</v>
      </c>
      <c r="O54" t="s">
        <v>984</v>
      </c>
      <c r="P54">
        <v>4.9917578988624877E-6</v>
      </c>
      <c r="Q54" t="s">
        <v>251</v>
      </c>
      <c r="S54" t="s">
        <v>420</v>
      </c>
      <c r="T54" t="s">
        <v>984</v>
      </c>
      <c r="U54">
        <v>4.7366641850013928E-5</v>
      </c>
      <c r="V54" t="s">
        <v>251</v>
      </c>
      <c r="X54">
        <v>1.1415525114155251E-4</v>
      </c>
      <c r="Y54">
        <v>1.4054976837464471E-4</v>
      </c>
      <c r="Z54" t="s">
        <v>984</v>
      </c>
      <c r="AA54" t="s">
        <v>25</v>
      </c>
      <c r="AC54" t="s">
        <v>22</v>
      </c>
      <c r="AD54" t="s">
        <v>984</v>
      </c>
      <c r="AE54">
        <v>1.1117552724008928E-4</v>
      </c>
      <c r="AG54" t="s">
        <v>97</v>
      </c>
      <c r="AH54" t="s">
        <v>984</v>
      </c>
      <c r="AI54">
        <v>0</v>
      </c>
      <c r="AK54">
        <v>2025</v>
      </c>
      <c r="AL54" t="s">
        <v>158</v>
      </c>
      <c r="AM54">
        <v>0.70209999999999995</v>
      </c>
      <c r="AN54" t="s">
        <v>430</v>
      </c>
    </row>
    <row r="55" spans="5:40" x14ac:dyDescent="0.45">
      <c r="E55" t="s">
        <v>849</v>
      </c>
      <c r="G55" t="s">
        <v>160</v>
      </c>
      <c r="I55" t="s">
        <v>249</v>
      </c>
      <c r="J55" t="s">
        <v>985</v>
      </c>
      <c r="K55">
        <v>3.1197604708650001E-4</v>
      </c>
      <c r="L55" t="s">
        <v>251</v>
      </c>
      <c r="N55" t="s">
        <v>419</v>
      </c>
      <c r="O55" t="s">
        <v>985</v>
      </c>
      <c r="P55">
        <v>4.1848936002706194E-6</v>
      </c>
      <c r="Q55" t="s">
        <v>251</v>
      </c>
      <c r="S55" t="s">
        <v>420</v>
      </c>
      <c r="T55" t="s">
        <v>985</v>
      </c>
      <c r="U55">
        <v>4.3861112648571629E-5</v>
      </c>
      <c r="V55" t="s">
        <v>251</v>
      </c>
      <c r="X55">
        <v>1.1415525114155251E-4</v>
      </c>
      <c r="Y55">
        <v>1.4253868019126702E-4</v>
      </c>
      <c r="Z55" t="s">
        <v>985</v>
      </c>
      <c r="AA55" t="s">
        <v>25</v>
      </c>
      <c r="AC55" t="s">
        <v>22</v>
      </c>
      <c r="AD55" t="s">
        <v>985</v>
      </c>
      <c r="AE55">
        <v>1.2411510638833992E-4</v>
      </c>
      <c r="AG55" t="s">
        <v>97</v>
      </c>
      <c r="AH55" t="s">
        <v>985</v>
      </c>
      <c r="AI55">
        <v>0</v>
      </c>
      <c r="AK55">
        <v>2025</v>
      </c>
      <c r="AL55" t="s">
        <v>162</v>
      </c>
      <c r="AM55">
        <v>0.76329999999999998</v>
      </c>
      <c r="AN55" t="s">
        <v>430</v>
      </c>
    </row>
    <row r="56" spans="5:40" x14ac:dyDescent="0.45">
      <c r="E56" t="s">
        <v>850</v>
      </c>
      <c r="G56" t="s">
        <v>160</v>
      </c>
      <c r="I56" t="s">
        <v>249</v>
      </c>
      <c r="J56" t="s">
        <v>986</v>
      </c>
      <c r="K56">
        <v>3.079298717017E-4</v>
      </c>
      <c r="L56" t="s">
        <v>251</v>
      </c>
      <c r="N56" t="s">
        <v>419</v>
      </c>
      <c r="O56" t="s">
        <v>986</v>
      </c>
      <c r="P56">
        <v>4.6169557761140916E-6</v>
      </c>
      <c r="Q56" t="s">
        <v>251</v>
      </c>
      <c r="S56" t="s">
        <v>420</v>
      </c>
      <c r="T56" t="s">
        <v>986</v>
      </c>
      <c r="U56">
        <v>4.3147277080314E-5</v>
      </c>
      <c r="V56" t="s">
        <v>251</v>
      </c>
      <c r="X56">
        <v>1.1415525114155251E-4</v>
      </c>
      <c r="Y56">
        <v>1.4883690094390442E-4</v>
      </c>
      <c r="Z56" t="s">
        <v>986</v>
      </c>
      <c r="AA56" t="s">
        <v>25</v>
      </c>
      <c r="AC56" t="s">
        <v>22</v>
      </c>
      <c r="AD56" t="s">
        <v>986</v>
      </c>
      <c r="AE56">
        <v>1.2445046141878799E-4</v>
      </c>
      <c r="AG56" t="s">
        <v>97</v>
      </c>
      <c r="AH56" t="s">
        <v>986</v>
      </c>
      <c r="AI56">
        <v>0</v>
      </c>
      <c r="AK56">
        <v>2025</v>
      </c>
      <c r="AL56" t="s">
        <v>175</v>
      </c>
      <c r="AM56">
        <v>0.5343</v>
      </c>
      <c r="AN56" t="s">
        <v>430</v>
      </c>
    </row>
    <row r="57" spans="5:40" x14ac:dyDescent="0.45">
      <c r="E57" t="s">
        <v>851</v>
      </c>
      <c r="G57" t="s">
        <v>160</v>
      </c>
      <c r="I57" t="s">
        <v>249</v>
      </c>
      <c r="J57" t="s">
        <v>987</v>
      </c>
      <c r="K57">
        <v>3.3169602195770001E-4</v>
      </c>
      <c r="L57" t="s">
        <v>251</v>
      </c>
      <c r="N57" t="s">
        <v>419</v>
      </c>
      <c r="O57" t="s">
        <v>987</v>
      </c>
      <c r="P57">
        <v>5.9731864111723701E-6</v>
      </c>
      <c r="Q57" t="s">
        <v>251</v>
      </c>
      <c r="S57" t="s">
        <v>420</v>
      </c>
      <c r="T57" t="s">
        <v>987</v>
      </c>
      <c r="U57">
        <v>4.0962213780619013E-5</v>
      </c>
      <c r="V57" t="s">
        <v>251</v>
      </c>
      <c r="X57">
        <v>1.1415525114155251E-4</v>
      </c>
      <c r="Y57">
        <v>1.5049432745775637E-4</v>
      </c>
      <c r="Z57" t="s">
        <v>987</v>
      </c>
      <c r="AA57" t="s">
        <v>25</v>
      </c>
      <c r="AC57" t="s">
        <v>22</v>
      </c>
      <c r="AD57" t="s">
        <v>987</v>
      </c>
      <c r="AE57">
        <v>1.2959554291582786E-4</v>
      </c>
      <c r="AG57" t="s">
        <v>97</v>
      </c>
      <c r="AH57" t="s">
        <v>987</v>
      </c>
      <c r="AI57">
        <v>0</v>
      </c>
      <c r="AK57">
        <v>2025</v>
      </c>
      <c r="AL57" t="s">
        <v>166</v>
      </c>
      <c r="AM57">
        <v>0.37019999999999997</v>
      </c>
      <c r="AN57" t="s">
        <v>430</v>
      </c>
    </row>
    <row r="58" spans="5:40" x14ac:dyDescent="0.45">
      <c r="E58" t="s">
        <v>852</v>
      </c>
      <c r="G58" t="s">
        <v>160</v>
      </c>
      <c r="I58" t="s">
        <v>249</v>
      </c>
      <c r="J58" t="s">
        <v>988</v>
      </c>
      <c r="K58">
        <v>3.2715789402809999E-4</v>
      </c>
      <c r="L58" t="s">
        <v>251</v>
      </c>
      <c r="N58" t="s">
        <v>419</v>
      </c>
      <c r="O58" t="s">
        <v>988</v>
      </c>
      <c r="P58">
        <v>6.8092076712288729E-6</v>
      </c>
      <c r="Q58" t="s">
        <v>251</v>
      </c>
      <c r="S58" t="s">
        <v>420</v>
      </c>
      <c r="T58" t="s">
        <v>988</v>
      </c>
      <c r="U58">
        <v>3.826293437097631E-5</v>
      </c>
      <c r="V58" t="s">
        <v>251</v>
      </c>
      <c r="X58">
        <v>1.1415525114155251E-4</v>
      </c>
      <c r="Y58">
        <v>1.7237235744060203E-4</v>
      </c>
      <c r="Z58" t="s">
        <v>988</v>
      </c>
      <c r="AA58" t="s">
        <v>25</v>
      </c>
      <c r="AC58" t="s">
        <v>22</v>
      </c>
      <c r="AD58" t="s">
        <v>988</v>
      </c>
      <c r="AE58">
        <v>1.2019334656383139E-4</v>
      </c>
      <c r="AG58" t="s">
        <v>97</v>
      </c>
      <c r="AH58" t="s">
        <v>988</v>
      </c>
      <c r="AI58">
        <v>0</v>
      </c>
      <c r="AK58">
        <v>2025</v>
      </c>
      <c r="AL58" t="s">
        <v>178</v>
      </c>
      <c r="AM58">
        <v>0.314</v>
      </c>
      <c r="AN58" t="s">
        <v>430</v>
      </c>
    </row>
    <row r="59" spans="5:40" x14ac:dyDescent="0.45">
      <c r="E59" t="s">
        <v>853</v>
      </c>
      <c r="G59" t="s">
        <v>164</v>
      </c>
      <c r="I59" t="s">
        <v>249</v>
      </c>
      <c r="J59" t="s">
        <v>989</v>
      </c>
      <c r="K59">
        <v>2.8367695755850001E-4</v>
      </c>
      <c r="L59" t="s">
        <v>251</v>
      </c>
      <c r="N59" t="s">
        <v>419</v>
      </c>
      <c r="O59" t="s">
        <v>989</v>
      </c>
      <c r="P59">
        <v>9.4698764562407597E-6</v>
      </c>
      <c r="Q59" t="s">
        <v>251</v>
      </c>
      <c r="S59" t="s">
        <v>420</v>
      </c>
      <c r="T59" t="s">
        <v>989</v>
      </c>
      <c r="U59">
        <v>4.1749707121275918E-5</v>
      </c>
      <c r="V59" t="s">
        <v>251</v>
      </c>
      <c r="X59">
        <v>1.1415525114155251E-4</v>
      </c>
      <c r="Y59">
        <v>2.2209515285616027E-4</v>
      </c>
      <c r="Z59" t="s">
        <v>989</v>
      </c>
      <c r="AA59" t="s">
        <v>25</v>
      </c>
      <c r="AC59" t="s">
        <v>22</v>
      </c>
      <c r="AD59" t="s">
        <v>989</v>
      </c>
      <c r="AE59">
        <v>9.4659570524602174E-5</v>
      </c>
      <c r="AG59" t="s">
        <v>97</v>
      </c>
      <c r="AH59" t="s">
        <v>989</v>
      </c>
      <c r="AI59">
        <v>0</v>
      </c>
      <c r="AK59">
        <v>2026</v>
      </c>
      <c r="AL59" t="s">
        <v>151</v>
      </c>
      <c r="AM59">
        <v>0.25640000000000002</v>
      </c>
      <c r="AN59" t="s">
        <v>430</v>
      </c>
    </row>
    <row r="60" spans="5:40" x14ac:dyDescent="0.45">
      <c r="E60" t="s">
        <v>854</v>
      </c>
      <c r="G60" t="s">
        <v>164</v>
      </c>
      <c r="I60" t="s">
        <v>249</v>
      </c>
      <c r="J60" t="s">
        <v>990</v>
      </c>
      <c r="K60">
        <v>1.884401649226E-4</v>
      </c>
      <c r="L60" t="s">
        <v>251</v>
      </c>
      <c r="N60" t="s">
        <v>419</v>
      </c>
      <c r="O60" t="s">
        <v>990</v>
      </c>
      <c r="P60">
        <v>1.6021031152312136E-5</v>
      </c>
      <c r="Q60" t="s">
        <v>251</v>
      </c>
      <c r="S60" t="s">
        <v>420</v>
      </c>
      <c r="T60" t="s">
        <v>990</v>
      </c>
      <c r="U60">
        <v>4.3293951697729948E-5</v>
      </c>
      <c r="V60" t="s">
        <v>251</v>
      </c>
      <c r="X60">
        <v>1.1415525114155251E-4</v>
      </c>
      <c r="Y60">
        <v>2.2209515285616027E-4</v>
      </c>
      <c r="Z60" t="s">
        <v>990</v>
      </c>
      <c r="AA60" t="s">
        <v>25</v>
      </c>
      <c r="AC60" t="s">
        <v>22</v>
      </c>
      <c r="AD60" t="s">
        <v>990</v>
      </c>
      <c r="AE60">
        <v>5.9579874548898753E-5</v>
      </c>
      <c r="AG60" t="s">
        <v>97</v>
      </c>
      <c r="AH60" t="s">
        <v>990</v>
      </c>
      <c r="AI60">
        <v>0</v>
      </c>
      <c r="AK60">
        <v>2026</v>
      </c>
      <c r="AL60" t="s">
        <v>156</v>
      </c>
      <c r="AM60">
        <v>0.2974</v>
      </c>
      <c r="AN60" t="s">
        <v>430</v>
      </c>
    </row>
    <row r="61" spans="5:40" x14ac:dyDescent="0.45">
      <c r="E61" t="s">
        <v>855</v>
      </c>
      <c r="G61" t="s">
        <v>164</v>
      </c>
      <c r="I61" t="s">
        <v>249</v>
      </c>
      <c r="J61" t="s">
        <v>991</v>
      </c>
      <c r="K61">
        <v>1.7438579195185334E-5</v>
      </c>
      <c r="L61" t="s">
        <v>251</v>
      </c>
      <c r="N61" t="s">
        <v>419</v>
      </c>
      <c r="O61" t="s">
        <v>991</v>
      </c>
      <c r="P61">
        <v>3.1768726037950672E-5</v>
      </c>
      <c r="Q61" t="s">
        <v>251</v>
      </c>
      <c r="S61" t="s">
        <v>420</v>
      </c>
      <c r="T61" t="s">
        <v>991</v>
      </c>
      <c r="U61">
        <v>4.3948159539052142E-5</v>
      </c>
      <c r="V61" t="s">
        <v>251</v>
      </c>
      <c r="X61">
        <v>1.1415525114155251E-4</v>
      </c>
      <c r="Y61">
        <v>1.7237235744060203E-4</v>
      </c>
      <c r="Z61" t="s">
        <v>991</v>
      </c>
      <c r="AA61" t="s">
        <v>25</v>
      </c>
      <c r="AC61" t="s">
        <v>22</v>
      </c>
      <c r="AD61" t="s">
        <v>991</v>
      </c>
      <c r="AE61">
        <v>3.0864125197511471E-5</v>
      </c>
      <c r="AG61" t="s">
        <v>97</v>
      </c>
      <c r="AH61" t="s">
        <v>991</v>
      </c>
      <c r="AI61">
        <v>0</v>
      </c>
      <c r="AK61">
        <v>2026</v>
      </c>
      <c r="AL61" t="s">
        <v>159</v>
      </c>
      <c r="AM61">
        <v>0.30530000000000002</v>
      </c>
      <c r="AN61" t="s">
        <v>430</v>
      </c>
    </row>
    <row r="62" spans="5:40" x14ac:dyDescent="0.45">
      <c r="E62" t="s">
        <v>856</v>
      </c>
      <c r="G62" t="s">
        <v>164</v>
      </c>
      <c r="I62" t="s">
        <v>249</v>
      </c>
      <c r="J62" t="s">
        <v>992</v>
      </c>
      <c r="K62">
        <v>0</v>
      </c>
      <c r="L62" t="s">
        <v>251</v>
      </c>
      <c r="N62" t="s">
        <v>419</v>
      </c>
      <c r="O62" t="s">
        <v>992</v>
      </c>
      <c r="P62">
        <v>4.7398512142300739E-5</v>
      </c>
      <c r="Q62" t="s">
        <v>251</v>
      </c>
      <c r="S62" t="s">
        <v>420</v>
      </c>
      <c r="T62" t="s">
        <v>992</v>
      </c>
      <c r="U62">
        <v>4.4686590761554908E-5</v>
      </c>
      <c r="V62" t="s">
        <v>251</v>
      </c>
      <c r="X62">
        <v>1.1415525114155251E-4</v>
      </c>
      <c r="Y62">
        <v>1.5579809230208258E-4</v>
      </c>
      <c r="Z62" t="s">
        <v>992</v>
      </c>
      <c r="AA62" t="s">
        <v>25</v>
      </c>
      <c r="AC62" t="s">
        <v>22</v>
      </c>
      <c r="AD62" t="s">
        <v>992</v>
      </c>
      <c r="AE62">
        <v>2.7615303706526557E-5</v>
      </c>
      <c r="AG62" t="s">
        <v>97</v>
      </c>
      <c r="AH62" t="s">
        <v>992</v>
      </c>
      <c r="AI62">
        <v>0</v>
      </c>
      <c r="AK62">
        <v>2026</v>
      </c>
      <c r="AL62" t="s">
        <v>163</v>
      </c>
      <c r="AM62">
        <v>0.34670000000000001</v>
      </c>
      <c r="AN62" t="s">
        <v>430</v>
      </c>
    </row>
    <row r="63" spans="5:40" x14ac:dyDescent="0.45">
      <c r="E63" t="s">
        <v>857</v>
      </c>
      <c r="G63" t="s">
        <v>164</v>
      </c>
      <c r="I63" t="s">
        <v>249</v>
      </c>
      <c r="J63" t="s">
        <v>993</v>
      </c>
      <c r="K63">
        <v>0</v>
      </c>
      <c r="L63" t="s">
        <v>251</v>
      </c>
      <c r="N63" t="s">
        <v>419</v>
      </c>
      <c r="O63" t="s">
        <v>993</v>
      </c>
      <c r="P63">
        <v>5.6100924975230607E-5</v>
      </c>
      <c r="Q63" t="s">
        <v>251</v>
      </c>
      <c r="S63" t="s">
        <v>420</v>
      </c>
      <c r="T63" t="s">
        <v>993</v>
      </c>
      <c r="U63">
        <v>4.2442161914150678E-5</v>
      </c>
      <c r="V63" t="s">
        <v>251</v>
      </c>
      <c r="X63">
        <v>1.1415525114155251E-4</v>
      </c>
      <c r="Y63">
        <v>1.093901499142282E-4</v>
      </c>
      <c r="Z63" t="s">
        <v>993</v>
      </c>
      <c r="AA63" t="s">
        <v>25</v>
      </c>
      <c r="AC63" t="s">
        <v>22</v>
      </c>
      <c r="AD63" t="s">
        <v>993</v>
      </c>
      <c r="AE63">
        <v>2.9639689388666313E-5</v>
      </c>
      <c r="AG63" t="s">
        <v>97</v>
      </c>
      <c r="AH63" t="s">
        <v>993</v>
      </c>
      <c r="AI63">
        <v>0</v>
      </c>
      <c r="AK63">
        <v>2026</v>
      </c>
      <c r="AL63" t="s">
        <v>167</v>
      </c>
      <c r="AM63">
        <v>0.41049999999999998</v>
      </c>
      <c r="AN63" t="s">
        <v>430</v>
      </c>
    </row>
    <row r="64" spans="5:40" x14ac:dyDescent="0.45">
      <c r="E64" t="s">
        <v>858</v>
      </c>
      <c r="G64" t="s">
        <v>164</v>
      </c>
      <c r="I64" t="s">
        <v>249</v>
      </c>
      <c r="J64" t="s">
        <v>994</v>
      </c>
      <c r="K64">
        <v>0</v>
      </c>
      <c r="L64" t="s">
        <v>251</v>
      </c>
      <c r="N64" t="s">
        <v>419</v>
      </c>
      <c r="O64" t="s">
        <v>994</v>
      </c>
      <c r="P64">
        <v>5.9230415512668889E-5</v>
      </c>
      <c r="Q64" t="s">
        <v>251</v>
      </c>
      <c r="S64" t="s">
        <v>420</v>
      </c>
      <c r="T64" t="s">
        <v>994</v>
      </c>
      <c r="U64">
        <v>3.9491114446807281E-5</v>
      </c>
      <c r="V64" t="s">
        <v>251</v>
      </c>
      <c r="X64">
        <v>1.1415525114155251E-4</v>
      </c>
      <c r="Y64">
        <v>7.9556472664893237E-5</v>
      </c>
      <c r="Z64" t="s">
        <v>994</v>
      </c>
      <c r="AA64" t="s">
        <v>25</v>
      </c>
      <c r="AC64" t="s">
        <v>22</v>
      </c>
      <c r="AD64" t="s">
        <v>994</v>
      </c>
      <c r="AE64">
        <v>2.8967865191456502E-5</v>
      </c>
      <c r="AG64" t="s">
        <v>97</v>
      </c>
      <c r="AH64" t="s">
        <v>994</v>
      </c>
      <c r="AI64">
        <v>0</v>
      </c>
      <c r="AK64">
        <v>2026</v>
      </c>
      <c r="AL64" t="s">
        <v>169</v>
      </c>
      <c r="AM64">
        <v>0.50549999999999995</v>
      </c>
      <c r="AN64" t="s">
        <v>430</v>
      </c>
    </row>
    <row r="65" spans="5:40" x14ac:dyDescent="0.45">
      <c r="E65" t="s">
        <v>859</v>
      </c>
      <c r="G65" t="s">
        <v>164</v>
      </c>
      <c r="I65" t="s">
        <v>249</v>
      </c>
      <c r="J65" t="s">
        <v>995</v>
      </c>
      <c r="K65">
        <v>0</v>
      </c>
      <c r="L65" t="s">
        <v>251</v>
      </c>
      <c r="N65" t="s">
        <v>419</v>
      </c>
      <c r="O65" t="s">
        <v>995</v>
      </c>
      <c r="P65">
        <v>5.9856618438794252E-5</v>
      </c>
      <c r="Q65" t="s">
        <v>251</v>
      </c>
      <c r="S65" t="s">
        <v>420</v>
      </c>
      <c r="T65" t="s">
        <v>995</v>
      </c>
      <c r="U65">
        <v>3.7622363973047671E-5</v>
      </c>
      <c r="V65" t="s">
        <v>251</v>
      </c>
      <c r="X65">
        <v>1.1415525114155251E-4</v>
      </c>
      <c r="Y65">
        <v>5.6352501470966035E-5</v>
      </c>
      <c r="Z65" t="s">
        <v>995</v>
      </c>
      <c r="AA65" t="s">
        <v>25</v>
      </c>
      <c r="AC65" t="s">
        <v>22</v>
      </c>
      <c r="AD65" t="s">
        <v>995</v>
      </c>
      <c r="AE65">
        <v>3.1021218417754572E-5</v>
      </c>
      <c r="AG65" t="s">
        <v>97</v>
      </c>
      <c r="AH65" t="s">
        <v>995</v>
      </c>
      <c r="AI65">
        <v>0</v>
      </c>
      <c r="AK65">
        <v>2026</v>
      </c>
      <c r="AL65" t="s">
        <v>171</v>
      </c>
      <c r="AM65">
        <v>0.57340000000000002</v>
      </c>
      <c r="AN65" t="s">
        <v>430</v>
      </c>
    </row>
    <row r="66" spans="5:40" x14ac:dyDescent="0.45">
      <c r="E66" t="s">
        <v>860</v>
      </c>
      <c r="G66" t="s">
        <v>164</v>
      </c>
      <c r="I66" t="s">
        <v>249</v>
      </c>
      <c r="J66" t="s">
        <v>996</v>
      </c>
      <c r="K66">
        <v>0</v>
      </c>
      <c r="L66" t="s">
        <v>251</v>
      </c>
      <c r="N66" t="s">
        <v>419</v>
      </c>
      <c r="O66" t="s">
        <v>996</v>
      </c>
      <c r="P66">
        <v>5.9097527931974077E-5</v>
      </c>
      <c r="Q66" t="s">
        <v>251</v>
      </c>
      <c r="S66" t="s">
        <v>420</v>
      </c>
      <c r="T66" t="s">
        <v>996</v>
      </c>
      <c r="U66">
        <v>3.5773446233379123E-5</v>
      </c>
      <c r="V66" t="s">
        <v>251</v>
      </c>
      <c r="X66">
        <v>1.1415525114155251E-4</v>
      </c>
      <c r="Y66">
        <v>2.9833677249334962E-5</v>
      </c>
      <c r="Z66" t="s">
        <v>996</v>
      </c>
      <c r="AA66" t="s">
        <v>25</v>
      </c>
      <c r="AC66" t="s">
        <v>22</v>
      </c>
      <c r="AD66" t="s">
        <v>996</v>
      </c>
      <c r="AE66">
        <v>5.0465125365857729E-5</v>
      </c>
      <c r="AG66" t="s">
        <v>97</v>
      </c>
      <c r="AH66" t="s">
        <v>996</v>
      </c>
      <c r="AI66">
        <v>0</v>
      </c>
      <c r="AK66">
        <v>2026</v>
      </c>
      <c r="AL66" t="s">
        <v>158</v>
      </c>
      <c r="AM66">
        <v>0.76170000000000004</v>
      </c>
      <c r="AN66" t="s">
        <v>430</v>
      </c>
    </row>
    <row r="67" spans="5:40" x14ac:dyDescent="0.45">
      <c r="E67" t="s">
        <v>861</v>
      </c>
      <c r="G67" t="s">
        <v>164</v>
      </c>
      <c r="I67" t="s">
        <v>249</v>
      </c>
      <c r="J67" t="s">
        <v>259</v>
      </c>
      <c r="K67">
        <v>0</v>
      </c>
      <c r="L67" t="s">
        <v>251</v>
      </c>
      <c r="N67" t="s">
        <v>419</v>
      </c>
      <c r="O67" t="s">
        <v>259</v>
      </c>
      <c r="P67">
        <v>1.6839964131480336E-2</v>
      </c>
      <c r="Q67" t="s">
        <v>251</v>
      </c>
      <c r="S67" t="s">
        <v>420</v>
      </c>
      <c r="T67" t="s">
        <v>259</v>
      </c>
      <c r="U67">
        <v>1.4357734927052774E-2</v>
      </c>
      <c r="V67" t="s">
        <v>251</v>
      </c>
      <c r="X67">
        <v>2.2374429223744292E-2</v>
      </c>
      <c r="Y67">
        <v>8.8360722306474754E-3</v>
      </c>
      <c r="Z67" t="s">
        <v>259</v>
      </c>
      <c r="AA67" t="s">
        <v>25</v>
      </c>
      <c r="AC67" t="s">
        <v>22</v>
      </c>
      <c r="AD67" t="s">
        <v>259</v>
      </c>
      <c r="AE67">
        <v>1.7740078321897119E-2</v>
      </c>
      <c r="AG67" t="s">
        <v>97</v>
      </c>
      <c r="AH67" t="s">
        <v>259</v>
      </c>
      <c r="AI67">
        <v>0.14633377109330481</v>
      </c>
      <c r="AK67">
        <v>2026</v>
      </c>
      <c r="AL67" t="s">
        <v>162</v>
      </c>
      <c r="AM67">
        <v>0.75239999999999996</v>
      </c>
      <c r="AN67" t="s">
        <v>430</v>
      </c>
    </row>
    <row r="68" spans="5:40" x14ac:dyDescent="0.45">
      <c r="E68" t="s">
        <v>862</v>
      </c>
      <c r="G68" t="s">
        <v>164</v>
      </c>
      <c r="I68" t="s">
        <v>249</v>
      </c>
      <c r="J68" t="s">
        <v>260</v>
      </c>
      <c r="K68">
        <v>1.3744729811050727E-3</v>
      </c>
      <c r="L68" t="s">
        <v>251</v>
      </c>
      <c r="N68" t="s">
        <v>419</v>
      </c>
      <c r="O68" t="s">
        <v>260</v>
      </c>
      <c r="P68">
        <v>1.675421865146762E-3</v>
      </c>
      <c r="Q68" t="s">
        <v>251</v>
      </c>
      <c r="S68" t="s">
        <v>420</v>
      </c>
      <c r="T68" t="s">
        <v>260</v>
      </c>
      <c r="U68">
        <v>2.0874895392113909E-3</v>
      </c>
      <c r="V68" t="s">
        <v>251</v>
      </c>
      <c r="X68">
        <v>3.1963470319634705E-3</v>
      </c>
      <c r="Y68">
        <v>5.3369133746032542E-3</v>
      </c>
      <c r="Z68" t="s">
        <v>260</v>
      </c>
      <c r="AA68" t="s">
        <v>25</v>
      </c>
      <c r="AC68" t="s">
        <v>22</v>
      </c>
      <c r="AD68" t="s">
        <v>260</v>
      </c>
      <c r="AE68">
        <v>3.0869304791650691E-3</v>
      </c>
      <c r="AG68" t="s">
        <v>97</v>
      </c>
      <c r="AH68" t="s">
        <v>260</v>
      </c>
      <c r="AI68">
        <v>5.0572918025461489E-2</v>
      </c>
      <c r="AK68">
        <v>2026</v>
      </c>
      <c r="AL68" t="s">
        <v>175</v>
      </c>
      <c r="AM68">
        <v>0.48809999999999998</v>
      </c>
      <c r="AN68" t="s">
        <v>430</v>
      </c>
    </row>
    <row r="69" spans="5:40" x14ac:dyDescent="0.45">
      <c r="E69" t="s">
        <v>863</v>
      </c>
      <c r="G69" t="s">
        <v>164</v>
      </c>
      <c r="I69" t="s">
        <v>249</v>
      </c>
      <c r="J69" t="s">
        <v>261</v>
      </c>
      <c r="K69">
        <v>5.6351738993605004E-3</v>
      </c>
      <c r="L69" t="s">
        <v>251</v>
      </c>
      <c r="N69" t="s">
        <v>419</v>
      </c>
      <c r="O69" t="s">
        <v>261</v>
      </c>
      <c r="P69">
        <v>1.1556557148236276E-3</v>
      </c>
      <c r="Q69" t="s">
        <v>251</v>
      </c>
      <c r="S69" t="s">
        <v>420</v>
      </c>
      <c r="T69" t="s">
        <v>261</v>
      </c>
      <c r="U69">
        <v>2.0457665836738988E-3</v>
      </c>
      <c r="V69" t="s">
        <v>251</v>
      </c>
      <c r="X69">
        <v>3.1963470319634705E-3</v>
      </c>
      <c r="Y69">
        <v>4.0838989301311864E-3</v>
      </c>
      <c r="Z69" t="s">
        <v>261</v>
      </c>
      <c r="AA69" t="s">
        <v>25</v>
      </c>
      <c r="AC69" t="s">
        <v>22</v>
      </c>
      <c r="AD69" t="s">
        <v>261</v>
      </c>
      <c r="AE69">
        <v>3.1947187109781102E-3</v>
      </c>
      <c r="AG69" t="s">
        <v>97</v>
      </c>
      <c r="AH69" t="s">
        <v>261</v>
      </c>
      <c r="AI69">
        <v>4.3209447839231307E-2</v>
      </c>
      <c r="AK69">
        <v>2026</v>
      </c>
      <c r="AL69" t="s">
        <v>166</v>
      </c>
      <c r="AM69">
        <v>0.35849999999999999</v>
      </c>
      <c r="AN69" t="s">
        <v>430</v>
      </c>
    </row>
    <row r="70" spans="5:40" x14ac:dyDescent="0.45">
      <c r="E70" t="s">
        <v>864</v>
      </c>
      <c r="G70" t="s">
        <v>164</v>
      </c>
      <c r="I70" t="s">
        <v>249</v>
      </c>
      <c r="J70" t="s">
        <v>262</v>
      </c>
      <c r="K70">
        <v>8.0353932514736996E-3</v>
      </c>
      <c r="L70" t="s">
        <v>251</v>
      </c>
      <c r="N70" t="s">
        <v>419</v>
      </c>
      <c r="O70" t="s">
        <v>262</v>
      </c>
      <c r="P70">
        <v>1.0616092047809685E-3</v>
      </c>
      <c r="Q70" t="s">
        <v>251</v>
      </c>
      <c r="S70" t="s">
        <v>420</v>
      </c>
      <c r="T70" t="s">
        <v>262</v>
      </c>
      <c r="U70">
        <v>1.9680906790904224E-3</v>
      </c>
      <c r="V70" t="s">
        <v>251</v>
      </c>
      <c r="X70">
        <v>3.1963470319634705E-3</v>
      </c>
      <c r="Y70">
        <v>4.0467725762209023E-3</v>
      </c>
      <c r="Z70" t="s">
        <v>262</v>
      </c>
      <c r="AA70" t="s">
        <v>25</v>
      </c>
      <c r="AC70" t="s">
        <v>22</v>
      </c>
      <c r="AD70" t="s">
        <v>262</v>
      </c>
      <c r="AE70">
        <v>3.2472558088544453E-3</v>
      </c>
      <c r="AG70" t="s">
        <v>97</v>
      </c>
      <c r="AH70" t="s">
        <v>262</v>
      </c>
      <c r="AI70">
        <v>5.3013612391023646E-2</v>
      </c>
      <c r="AK70">
        <v>2026</v>
      </c>
      <c r="AL70" t="s">
        <v>178</v>
      </c>
      <c r="AM70">
        <v>0.28820000000000001</v>
      </c>
      <c r="AN70" t="s">
        <v>430</v>
      </c>
    </row>
    <row r="71" spans="5:40" x14ac:dyDescent="0.45">
      <c r="E71" t="s">
        <v>865</v>
      </c>
      <c r="G71" t="s">
        <v>164</v>
      </c>
      <c r="I71" t="s">
        <v>249</v>
      </c>
      <c r="J71" t="s">
        <v>263</v>
      </c>
      <c r="K71">
        <v>6.2216285412588598E-2</v>
      </c>
      <c r="L71" t="s">
        <v>251</v>
      </c>
      <c r="N71" t="s">
        <v>419</v>
      </c>
      <c r="O71" t="s">
        <v>263</v>
      </c>
      <c r="P71">
        <v>8.1032721134406665E-3</v>
      </c>
      <c r="Q71" t="s">
        <v>251</v>
      </c>
      <c r="S71" t="s">
        <v>420</v>
      </c>
      <c r="T71" t="s">
        <v>263</v>
      </c>
      <c r="U71">
        <v>1.1931276034789457E-2</v>
      </c>
      <c r="V71" t="s">
        <v>251</v>
      </c>
      <c r="X71">
        <v>2.2374429223744292E-2</v>
      </c>
      <c r="Y71">
        <v>3.1297516346368993E-2</v>
      </c>
      <c r="Z71" t="s">
        <v>263</v>
      </c>
      <c r="AA71" t="s">
        <v>25</v>
      </c>
      <c r="AC71" t="s">
        <v>22</v>
      </c>
      <c r="AD71" t="s">
        <v>263</v>
      </c>
      <c r="AE71">
        <v>2.3621561585166231E-2</v>
      </c>
      <c r="AG71" t="s">
        <v>97</v>
      </c>
      <c r="AH71" t="s">
        <v>263</v>
      </c>
      <c r="AI71">
        <v>0.18724621409254349</v>
      </c>
      <c r="AK71">
        <v>2027</v>
      </c>
      <c r="AL71" t="s">
        <v>151</v>
      </c>
      <c r="AM71">
        <v>0.30059999999999998</v>
      </c>
      <c r="AN71" t="s">
        <v>430</v>
      </c>
    </row>
    <row r="72" spans="5:40" x14ac:dyDescent="0.45">
      <c r="E72" t="s">
        <v>866</v>
      </c>
      <c r="G72" t="s">
        <v>164</v>
      </c>
      <c r="I72" t="s">
        <v>249</v>
      </c>
      <c r="J72" t="s">
        <v>264</v>
      </c>
      <c r="K72">
        <v>5.8968813723748997E-3</v>
      </c>
      <c r="L72" t="s">
        <v>251</v>
      </c>
      <c r="N72" t="s">
        <v>419</v>
      </c>
      <c r="O72" t="s">
        <v>264</v>
      </c>
      <c r="P72">
        <v>1.5021228212447084E-3</v>
      </c>
      <c r="Q72" t="s">
        <v>251</v>
      </c>
      <c r="S72" t="s">
        <v>420</v>
      </c>
      <c r="T72" t="s">
        <v>264</v>
      </c>
      <c r="U72">
        <v>1.8782052620364214E-3</v>
      </c>
      <c r="V72" t="s">
        <v>251</v>
      </c>
      <c r="X72">
        <v>3.1963470319634705E-3</v>
      </c>
      <c r="Y72">
        <v>6.2186642799724884E-3</v>
      </c>
      <c r="Z72" t="s">
        <v>264</v>
      </c>
      <c r="AA72" t="s">
        <v>25</v>
      </c>
      <c r="AC72" t="s">
        <v>22</v>
      </c>
      <c r="AD72" t="s">
        <v>264</v>
      </c>
      <c r="AE72">
        <v>1.550549872097061E-3</v>
      </c>
      <c r="AG72" t="s">
        <v>97</v>
      </c>
      <c r="AH72" t="s">
        <v>264</v>
      </c>
      <c r="AI72">
        <v>3.8164786322408384E-2</v>
      </c>
      <c r="AK72">
        <v>2027</v>
      </c>
      <c r="AL72" t="s">
        <v>156</v>
      </c>
      <c r="AM72">
        <v>0.2923</v>
      </c>
      <c r="AN72" t="s">
        <v>430</v>
      </c>
    </row>
    <row r="73" spans="5:40" x14ac:dyDescent="0.45">
      <c r="E73" t="s">
        <v>867</v>
      </c>
      <c r="G73" t="s">
        <v>164</v>
      </c>
      <c r="I73" t="s">
        <v>249</v>
      </c>
      <c r="J73" t="s">
        <v>265</v>
      </c>
      <c r="K73">
        <v>2.5564716072675395E-3</v>
      </c>
      <c r="L73" t="s">
        <v>251</v>
      </c>
      <c r="N73" t="s">
        <v>419</v>
      </c>
      <c r="O73" t="s">
        <v>265</v>
      </c>
      <c r="P73">
        <v>1.9679905989127169E-3</v>
      </c>
      <c r="Q73" t="s">
        <v>251</v>
      </c>
      <c r="S73" t="s">
        <v>420</v>
      </c>
      <c r="T73" t="s">
        <v>265</v>
      </c>
      <c r="U73">
        <v>1.9764555667397491E-3</v>
      </c>
      <c r="V73" t="s">
        <v>251</v>
      </c>
      <c r="X73">
        <v>3.1963470319634705E-3</v>
      </c>
      <c r="Y73">
        <v>4.8264260083368555E-3</v>
      </c>
      <c r="Z73" t="s">
        <v>265</v>
      </c>
      <c r="AA73" t="s">
        <v>25</v>
      </c>
      <c r="AC73" t="s">
        <v>22</v>
      </c>
      <c r="AD73" t="s">
        <v>265</v>
      </c>
      <c r="AE73">
        <v>8.6897921041426216E-4</v>
      </c>
      <c r="AG73" t="s">
        <v>97</v>
      </c>
      <c r="AH73" t="s">
        <v>265</v>
      </c>
      <c r="AI73">
        <v>3.9400044323796291E-2</v>
      </c>
      <c r="AK73">
        <v>2027</v>
      </c>
      <c r="AL73" t="s">
        <v>159</v>
      </c>
      <c r="AM73">
        <v>0.33539999999999998</v>
      </c>
      <c r="AN73" t="s">
        <v>430</v>
      </c>
    </row>
    <row r="74" spans="5:40" x14ac:dyDescent="0.45">
      <c r="E74" t="s">
        <v>868</v>
      </c>
      <c r="G74" t="s">
        <v>164</v>
      </c>
      <c r="I74" t="s">
        <v>249</v>
      </c>
      <c r="J74" t="s">
        <v>266</v>
      </c>
      <c r="K74">
        <v>0</v>
      </c>
      <c r="L74" t="s">
        <v>251</v>
      </c>
      <c r="N74" t="s">
        <v>419</v>
      </c>
      <c r="O74" t="s">
        <v>266</v>
      </c>
      <c r="P74">
        <v>1.6202772410428563E-2</v>
      </c>
      <c r="Q74" t="s">
        <v>251</v>
      </c>
      <c r="S74" t="s">
        <v>420</v>
      </c>
      <c r="T74" t="s">
        <v>266</v>
      </c>
      <c r="U74">
        <v>1.0385168473129387E-2</v>
      </c>
      <c r="V74" t="s">
        <v>251</v>
      </c>
      <c r="X74">
        <v>1.5981735159817351E-2</v>
      </c>
      <c r="Y74">
        <v>1.2066065020842141E-2</v>
      </c>
      <c r="Z74" t="s">
        <v>266</v>
      </c>
      <c r="AA74" t="s">
        <v>25</v>
      </c>
      <c r="AC74" t="s">
        <v>22</v>
      </c>
      <c r="AD74" t="s">
        <v>266</v>
      </c>
      <c r="AE74">
        <v>4.1156959296003168E-3</v>
      </c>
      <c r="AG74" t="s">
        <v>97</v>
      </c>
      <c r="AH74" t="s">
        <v>266</v>
      </c>
      <c r="AI74">
        <v>0.15706424323730062</v>
      </c>
      <c r="AK74">
        <v>2027</v>
      </c>
      <c r="AL74" t="s">
        <v>163</v>
      </c>
      <c r="AM74">
        <v>0.32800000000000001</v>
      </c>
      <c r="AN74" t="s">
        <v>430</v>
      </c>
    </row>
    <row r="75" spans="5:40" x14ac:dyDescent="0.45">
      <c r="E75" t="s">
        <v>869</v>
      </c>
      <c r="G75" t="s">
        <v>164</v>
      </c>
      <c r="I75" t="s">
        <v>249</v>
      </c>
      <c r="J75" t="s">
        <v>267</v>
      </c>
      <c r="K75">
        <v>2.9312646605838719E-4</v>
      </c>
      <c r="L75" t="s">
        <v>251</v>
      </c>
      <c r="N75" t="s">
        <v>419</v>
      </c>
      <c r="O75" t="s">
        <v>267</v>
      </c>
      <c r="P75">
        <v>1.9345563279855673E-2</v>
      </c>
      <c r="Q75" t="s">
        <v>251</v>
      </c>
      <c r="S75" t="s">
        <v>420</v>
      </c>
      <c r="T75" t="s">
        <v>267</v>
      </c>
      <c r="U75">
        <v>1.6143224990212101E-2</v>
      </c>
      <c r="V75" t="s">
        <v>251</v>
      </c>
      <c r="X75">
        <v>2.4771689497716895E-2</v>
      </c>
      <c r="Y75">
        <v>9.7827942553597048E-3</v>
      </c>
      <c r="Z75" t="s">
        <v>267</v>
      </c>
      <c r="AA75" t="s">
        <v>25</v>
      </c>
      <c r="AC75" t="s">
        <v>22</v>
      </c>
      <c r="AD75" t="s">
        <v>267</v>
      </c>
      <c r="AE75">
        <v>2.4302320859487976E-2</v>
      </c>
      <c r="AG75" t="s">
        <v>97</v>
      </c>
      <c r="AH75" t="s">
        <v>267</v>
      </c>
      <c r="AI75">
        <v>0.14526265579127196</v>
      </c>
      <c r="AK75">
        <v>2027</v>
      </c>
      <c r="AL75" t="s">
        <v>167</v>
      </c>
      <c r="AM75">
        <v>0.43840000000000001</v>
      </c>
      <c r="AN75" t="s">
        <v>430</v>
      </c>
    </row>
    <row r="76" spans="5:40" x14ac:dyDescent="0.45">
      <c r="E76" t="s">
        <v>870</v>
      </c>
      <c r="G76" t="s">
        <v>164</v>
      </c>
      <c r="I76" t="s">
        <v>249</v>
      </c>
      <c r="J76" t="s">
        <v>268</v>
      </c>
      <c r="K76">
        <v>3.4677654736681939E-3</v>
      </c>
      <c r="L76" t="s">
        <v>251</v>
      </c>
      <c r="N76" t="s">
        <v>419</v>
      </c>
      <c r="O76" t="s">
        <v>268</v>
      </c>
      <c r="P76">
        <v>1.6352365781032144E-3</v>
      </c>
      <c r="Q76" t="s">
        <v>251</v>
      </c>
      <c r="S76" t="s">
        <v>420</v>
      </c>
      <c r="T76" t="s">
        <v>268</v>
      </c>
      <c r="U76">
        <v>2.0041009813787599E-3</v>
      </c>
      <c r="V76" t="s">
        <v>251</v>
      </c>
      <c r="X76">
        <v>3.5388127853881279E-3</v>
      </c>
      <c r="Y76">
        <v>5.9087255218821738E-3</v>
      </c>
      <c r="Z76" t="s">
        <v>268</v>
      </c>
      <c r="AA76" t="s">
        <v>25</v>
      </c>
      <c r="AC76" t="s">
        <v>22</v>
      </c>
      <c r="AD76" t="s">
        <v>268</v>
      </c>
      <c r="AE76">
        <v>4.2282817583791125E-3</v>
      </c>
      <c r="AG76" t="s">
        <v>97</v>
      </c>
      <c r="AH76" t="s">
        <v>268</v>
      </c>
      <c r="AI76">
        <v>4.2218000759207452E-2</v>
      </c>
      <c r="AK76">
        <v>2027</v>
      </c>
      <c r="AL76" t="s">
        <v>169</v>
      </c>
      <c r="AM76">
        <v>0.49719999999999998</v>
      </c>
      <c r="AN76" t="s">
        <v>430</v>
      </c>
    </row>
    <row r="77" spans="5:40" x14ac:dyDescent="0.45">
      <c r="E77" t="s">
        <v>871</v>
      </c>
      <c r="G77" t="s">
        <v>164</v>
      </c>
      <c r="I77" t="s">
        <v>249</v>
      </c>
      <c r="J77" t="s">
        <v>269</v>
      </c>
      <c r="K77">
        <v>7.2857682322527845E-3</v>
      </c>
      <c r="L77" t="s">
        <v>251</v>
      </c>
      <c r="N77" t="s">
        <v>419</v>
      </c>
      <c r="O77" t="s">
        <v>269</v>
      </c>
      <c r="P77">
        <v>1.1202547024485481E-3</v>
      </c>
      <c r="Q77" t="s">
        <v>251</v>
      </c>
      <c r="S77" t="s">
        <v>420</v>
      </c>
      <c r="T77" t="s">
        <v>269</v>
      </c>
      <c r="U77">
        <v>1.8781287612856272E-3</v>
      </c>
      <c r="V77" t="s">
        <v>251</v>
      </c>
      <c r="X77">
        <v>3.5388127853881279E-3</v>
      </c>
      <c r="Y77">
        <v>4.521459529788099E-3</v>
      </c>
      <c r="Z77" t="s">
        <v>269</v>
      </c>
      <c r="AA77" t="s">
        <v>25</v>
      </c>
      <c r="AC77" t="s">
        <v>22</v>
      </c>
      <c r="AD77" t="s">
        <v>269</v>
      </c>
      <c r="AE77">
        <v>4.485965889848227E-3</v>
      </c>
      <c r="AG77" t="s">
        <v>97</v>
      </c>
      <c r="AH77" t="s">
        <v>269</v>
      </c>
      <c r="AI77">
        <v>3.3345104619624921E-2</v>
      </c>
      <c r="AK77">
        <v>2027</v>
      </c>
      <c r="AL77" t="s">
        <v>171</v>
      </c>
      <c r="AM77">
        <v>0.58409999999999995</v>
      </c>
      <c r="AN77" t="s">
        <v>430</v>
      </c>
    </row>
    <row r="78" spans="5:40" x14ac:dyDescent="0.45">
      <c r="E78" t="s">
        <v>872</v>
      </c>
      <c r="G78" t="s">
        <v>164</v>
      </c>
      <c r="I78" t="s">
        <v>249</v>
      </c>
      <c r="J78" t="s">
        <v>270</v>
      </c>
      <c r="K78">
        <v>9.4148614109767995E-3</v>
      </c>
      <c r="L78" t="s">
        <v>251</v>
      </c>
      <c r="N78" t="s">
        <v>419</v>
      </c>
      <c r="O78" t="s">
        <v>270</v>
      </c>
      <c r="P78">
        <v>1.0053230087414301E-3</v>
      </c>
      <c r="Q78" t="s">
        <v>251</v>
      </c>
      <c r="S78" t="s">
        <v>420</v>
      </c>
      <c r="T78" t="s">
        <v>270</v>
      </c>
      <c r="U78">
        <v>1.7552643939331876E-3</v>
      </c>
      <c r="V78" t="s">
        <v>251</v>
      </c>
      <c r="X78">
        <v>3.5388127853881279E-3</v>
      </c>
      <c r="Y78">
        <v>4.4803553522445696E-3</v>
      </c>
      <c r="Z78" t="s">
        <v>270</v>
      </c>
      <c r="AA78" t="s">
        <v>25</v>
      </c>
      <c r="AC78" t="s">
        <v>22</v>
      </c>
      <c r="AD78" t="s">
        <v>270</v>
      </c>
      <c r="AE78">
        <v>4.6045679287228247E-3</v>
      </c>
      <c r="AG78" t="s">
        <v>97</v>
      </c>
      <c r="AH78" t="s">
        <v>270</v>
      </c>
      <c r="AI78">
        <v>2.2564439224357358E-2</v>
      </c>
      <c r="AK78">
        <v>2027</v>
      </c>
      <c r="AL78" t="s">
        <v>158</v>
      </c>
      <c r="AM78">
        <v>0.70130000000000003</v>
      </c>
      <c r="AN78" t="s">
        <v>430</v>
      </c>
    </row>
    <row r="79" spans="5:40" x14ac:dyDescent="0.45">
      <c r="E79" t="s">
        <v>873</v>
      </c>
      <c r="G79" t="s">
        <v>164</v>
      </c>
      <c r="I79" t="s">
        <v>249</v>
      </c>
      <c r="J79" t="s">
        <v>271</v>
      </c>
      <c r="K79">
        <v>7.16507697908111E-2</v>
      </c>
      <c r="L79" t="s">
        <v>251</v>
      </c>
      <c r="N79" t="s">
        <v>419</v>
      </c>
      <c r="O79" t="s">
        <v>271</v>
      </c>
      <c r="P79">
        <v>7.846475582240317E-3</v>
      </c>
      <c r="Q79" t="s">
        <v>251</v>
      </c>
      <c r="S79" t="s">
        <v>420</v>
      </c>
      <c r="T79" t="s">
        <v>271</v>
      </c>
      <c r="U79">
        <v>1.1697585227563988E-2</v>
      </c>
      <c r="V79" t="s">
        <v>251</v>
      </c>
      <c r="X79">
        <v>2.4771689497716895E-2</v>
      </c>
      <c r="Y79">
        <v>3.4650821669194247E-2</v>
      </c>
      <c r="Z79" t="s">
        <v>271</v>
      </c>
      <c r="AA79" t="s">
        <v>25</v>
      </c>
      <c r="AC79" t="s">
        <v>22</v>
      </c>
      <c r="AD79" t="s">
        <v>271</v>
      </c>
      <c r="AE79">
        <v>3.1498985220223361E-2</v>
      </c>
      <c r="AG79" t="s">
        <v>97</v>
      </c>
      <c r="AH79" t="s">
        <v>271</v>
      </c>
      <c r="AI79">
        <v>0.15398274646096599</v>
      </c>
      <c r="AK79">
        <v>2027</v>
      </c>
      <c r="AL79" t="s">
        <v>162</v>
      </c>
      <c r="AM79">
        <v>0.6401</v>
      </c>
      <c r="AN79" t="s">
        <v>430</v>
      </c>
    </row>
    <row r="80" spans="5:40" x14ac:dyDescent="0.45">
      <c r="E80" t="s">
        <v>874</v>
      </c>
      <c r="G80" t="s">
        <v>164</v>
      </c>
      <c r="I80" t="s">
        <v>249</v>
      </c>
      <c r="J80" t="s">
        <v>272</v>
      </c>
      <c r="K80">
        <v>7.0094705433080004E-3</v>
      </c>
      <c r="L80" t="s">
        <v>251</v>
      </c>
      <c r="N80" t="s">
        <v>419</v>
      </c>
      <c r="O80" t="s">
        <v>272</v>
      </c>
      <c r="P80">
        <v>1.7617574108067997E-3</v>
      </c>
      <c r="Q80" t="s">
        <v>251</v>
      </c>
      <c r="S80" t="s">
        <v>420</v>
      </c>
      <c r="T80" t="s">
        <v>272</v>
      </c>
      <c r="U80">
        <v>2.1600429705377054E-3</v>
      </c>
      <c r="V80" t="s">
        <v>251</v>
      </c>
      <c r="X80">
        <v>3.5388127853881279E-3</v>
      </c>
      <c r="Y80">
        <v>6.8849497385409693E-3</v>
      </c>
      <c r="Z80" t="s">
        <v>272</v>
      </c>
      <c r="AA80" t="s">
        <v>25</v>
      </c>
      <c r="AC80" t="s">
        <v>22</v>
      </c>
      <c r="AD80" t="s">
        <v>272</v>
      </c>
      <c r="AE80">
        <v>1.8909129029720201E-3</v>
      </c>
      <c r="AG80" t="s">
        <v>97</v>
      </c>
      <c r="AH80" t="s">
        <v>272</v>
      </c>
      <c r="AI80">
        <v>9.3662396235574263E-3</v>
      </c>
      <c r="AK80">
        <v>2027</v>
      </c>
      <c r="AL80" t="s">
        <v>175</v>
      </c>
      <c r="AM80">
        <v>0.47910000000000003</v>
      </c>
      <c r="AN80" t="s">
        <v>430</v>
      </c>
    </row>
    <row r="81" spans="5:40" x14ac:dyDescent="0.45">
      <c r="E81" t="s">
        <v>875</v>
      </c>
      <c r="G81" t="s">
        <v>164</v>
      </c>
      <c r="I81" t="s">
        <v>249</v>
      </c>
      <c r="J81" t="s">
        <v>273</v>
      </c>
      <c r="K81">
        <v>3.2517568683463165E-3</v>
      </c>
      <c r="L81" t="s">
        <v>251</v>
      </c>
      <c r="N81" t="s">
        <v>419</v>
      </c>
      <c r="O81" t="s">
        <v>273</v>
      </c>
      <c r="P81">
        <v>2.3440424715298353E-3</v>
      </c>
      <c r="Q81" t="s">
        <v>251</v>
      </c>
      <c r="S81" t="s">
        <v>420</v>
      </c>
      <c r="T81" t="s">
        <v>273</v>
      </c>
      <c r="U81">
        <v>2.2669641357076502E-3</v>
      </c>
      <c r="V81" t="s">
        <v>251</v>
      </c>
      <c r="X81">
        <v>3.5388127853881279E-3</v>
      </c>
      <c r="Y81">
        <v>5.3435430806586613E-3</v>
      </c>
      <c r="Z81" t="s">
        <v>273</v>
      </c>
      <c r="AA81" t="s">
        <v>25</v>
      </c>
      <c r="AC81" t="s">
        <v>22</v>
      </c>
      <c r="AD81" t="s">
        <v>273</v>
      </c>
      <c r="AE81">
        <v>1.3568416337343522E-3</v>
      </c>
      <c r="AG81" t="s">
        <v>97</v>
      </c>
      <c r="AH81" t="s">
        <v>273</v>
      </c>
      <c r="AI81">
        <v>0.20468904606086746</v>
      </c>
      <c r="AK81">
        <v>2027</v>
      </c>
      <c r="AL81" t="s">
        <v>166</v>
      </c>
      <c r="AM81">
        <v>0.3034</v>
      </c>
      <c r="AN81" t="s">
        <v>430</v>
      </c>
    </row>
    <row r="82" spans="5:40" x14ac:dyDescent="0.45">
      <c r="E82" t="s">
        <v>876</v>
      </c>
      <c r="G82" t="s">
        <v>164</v>
      </c>
      <c r="I82" t="s">
        <v>249</v>
      </c>
      <c r="J82" t="s">
        <v>274</v>
      </c>
      <c r="K82">
        <v>0</v>
      </c>
      <c r="L82" t="s">
        <v>251</v>
      </c>
      <c r="N82" t="s">
        <v>419</v>
      </c>
      <c r="O82" t="s">
        <v>274</v>
      </c>
      <c r="P82">
        <v>1.9002466882048097E-2</v>
      </c>
      <c r="Q82" t="s">
        <v>251</v>
      </c>
      <c r="S82" t="s">
        <v>420</v>
      </c>
      <c r="T82" t="s">
        <v>274</v>
      </c>
      <c r="U82">
        <v>1.1863639741341246E-2</v>
      </c>
      <c r="V82" t="s">
        <v>251</v>
      </c>
      <c r="X82">
        <v>1.7694063926940638E-2</v>
      </c>
      <c r="Y82">
        <v>1.3358857701646654E-2</v>
      </c>
      <c r="Z82" t="s">
        <v>274</v>
      </c>
      <c r="AA82" t="s">
        <v>25</v>
      </c>
      <c r="AC82" t="s">
        <v>22</v>
      </c>
      <c r="AD82" t="s">
        <v>274</v>
      </c>
      <c r="AE82">
        <v>7.0952003803463459E-3</v>
      </c>
      <c r="AG82" t="s">
        <v>97</v>
      </c>
      <c r="AH82" t="s">
        <v>274</v>
      </c>
      <c r="AI82">
        <v>0.24030876524921596</v>
      </c>
      <c r="AK82">
        <v>2027</v>
      </c>
      <c r="AL82" t="s">
        <v>178</v>
      </c>
      <c r="AM82">
        <v>0.30459999999999998</v>
      </c>
      <c r="AN82" t="s">
        <v>430</v>
      </c>
    </row>
    <row r="83" spans="5:40" x14ac:dyDescent="0.45">
      <c r="E83" t="s">
        <v>431</v>
      </c>
      <c r="G83" t="s">
        <v>435</v>
      </c>
      <c r="I83" t="s">
        <v>249</v>
      </c>
      <c r="J83" t="s">
        <v>275</v>
      </c>
      <c r="K83">
        <v>1.0360373361579407E-3</v>
      </c>
      <c r="L83" t="s">
        <v>251</v>
      </c>
      <c r="N83" t="s">
        <v>419</v>
      </c>
      <c r="O83" t="s">
        <v>275</v>
      </c>
      <c r="P83">
        <v>1.9485233150436806E-2</v>
      </c>
      <c r="Q83" t="s">
        <v>251</v>
      </c>
      <c r="S83" t="s">
        <v>420</v>
      </c>
      <c r="T83" t="s">
        <v>275</v>
      </c>
      <c r="U83">
        <v>1.7777663579304985E-2</v>
      </c>
      <c r="V83" t="s">
        <v>251</v>
      </c>
      <c r="X83">
        <v>2.3972602739726026E-2</v>
      </c>
      <c r="Y83">
        <v>9.4672202471222967E-3</v>
      </c>
      <c r="Z83" t="s">
        <v>275</v>
      </c>
      <c r="AA83" t="s">
        <v>25</v>
      </c>
      <c r="AC83" t="s">
        <v>22</v>
      </c>
      <c r="AD83" t="s">
        <v>275</v>
      </c>
      <c r="AE83">
        <v>2.9518305559343878E-2</v>
      </c>
      <c r="AG83" t="s">
        <v>97</v>
      </c>
      <c r="AH83" t="s">
        <v>275</v>
      </c>
      <c r="AI83">
        <v>0.16334421103227581</v>
      </c>
      <c r="AK83">
        <v>2028</v>
      </c>
      <c r="AL83" t="s">
        <v>151</v>
      </c>
      <c r="AM83">
        <v>0.25540000000000002</v>
      </c>
      <c r="AN83" t="s">
        <v>430</v>
      </c>
    </row>
    <row r="84" spans="5:40" x14ac:dyDescent="0.45">
      <c r="E84" t="s">
        <v>432</v>
      </c>
      <c r="G84" t="s">
        <v>435</v>
      </c>
      <c r="I84" t="s">
        <v>249</v>
      </c>
      <c r="J84" t="s">
        <v>276</v>
      </c>
      <c r="K84">
        <v>4.7521279065798E-3</v>
      </c>
      <c r="L84" t="s">
        <v>251</v>
      </c>
      <c r="N84" t="s">
        <v>419</v>
      </c>
      <c r="O84" t="s">
        <v>276</v>
      </c>
      <c r="P84">
        <v>1.3223677969484721E-3</v>
      </c>
      <c r="Q84" t="s">
        <v>251</v>
      </c>
      <c r="S84" t="s">
        <v>420</v>
      </c>
      <c r="T84" t="s">
        <v>276</v>
      </c>
      <c r="U84">
        <v>1.960563960703049E-3</v>
      </c>
      <c r="V84" t="s">
        <v>251</v>
      </c>
      <c r="X84">
        <v>3.4246575342465752E-3</v>
      </c>
      <c r="Y84">
        <v>5.7181214727892006E-3</v>
      </c>
      <c r="Z84" t="s">
        <v>276</v>
      </c>
      <c r="AA84" t="s">
        <v>25</v>
      </c>
      <c r="AC84" t="s">
        <v>22</v>
      </c>
      <c r="AD84" t="s">
        <v>276</v>
      </c>
      <c r="AE84">
        <v>5.1934961842249223E-3</v>
      </c>
      <c r="AG84" t="s">
        <v>97</v>
      </c>
      <c r="AH84" t="s">
        <v>276</v>
      </c>
      <c r="AI84">
        <v>3.5216654126259295E-2</v>
      </c>
      <c r="AK84">
        <v>2028</v>
      </c>
      <c r="AL84" t="s">
        <v>156</v>
      </c>
      <c r="AM84">
        <v>0.25409999999999999</v>
      </c>
      <c r="AN84" t="s">
        <v>430</v>
      </c>
    </row>
    <row r="85" spans="5:40" x14ac:dyDescent="0.45">
      <c r="E85" t="s">
        <v>433</v>
      </c>
      <c r="G85" t="s">
        <v>435</v>
      </c>
      <c r="I85" t="s">
        <v>249</v>
      </c>
      <c r="J85" t="s">
        <v>277</v>
      </c>
      <c r="K85">
        <v>7.4743577824974003E-3</v>
      </c>
      <c r="L85" t="s">
        <v>251</v>
      </c>
      <c r="N85" t="s">
        <v>419</v>
      </c>
      <c r="O85" t="s">
        <v>277</v>
      </c>
      <c r="P85">
        <v>1.1012807675443903E-3</v>
      </c>
      <c r="Q85" t="s">
        <v>251</v>
      </c>
      <c r="S85" t="s">
        <v>420</v>
      </c>
      <c r="T85" t="s">
        <v>277</v>
      </c>
      <c r="U85">
        <v>1.8117095019118666E-3</v>
      </c>
      <c r="V85" t="s">
        <v>251</v>
      </c>
      <c r="X85">
        <v>3.4246575342465752E-3</v>
      </c>
      <c r="Y85">
        <v>4.3756059965691279E-3</v>
      </c>
      <c r="Z85" t="s">
        <v>277</v>
      </c>
      <c r="AA85" t="s">
        <v>25</v>
      </c>
      <c r="AC85" t="s">
        <v>22</v>
      </c>
      <c r="AD85" t="s">
        <v>277</v>
      </c>
      <c r="AE85">
        <v>5.3258221542126722E-3</v>
      </c>
      <c r="AG85" t="s">
        <v>97</v>
      </c>
      <c r="AH85" t="s">
        <v>277</v>
      </c>
      <c r="AI85">
        <v>3.0311797291973974E-2</v>
      </c>
      <c r="AK85">
        <v>2028</v>
      </c>
      <c r="AL85" t="s">
        <v>159</v>
      </c>
      <c r="AM85">
        <v>0.24859999999999999</v>
      </c>
      <c r="AN85" t="s">
        <v>430</v>
      </c>
    </row>
    <row r="86" spans="5:40" x14ac:dyDescent="0.45">
      <c r="E86" t="s">
        <v>434</v>
      </c>
      <c r="G86" t="s">
        <v>435</v>
      </c>
      <c r="I86" t="s">
        <v>249</v>
      </c>
      <c r="J86" t="s">
        <v>278</v>
      </c>
      <c r="K86">
        <v>9.0619381609644001E-3</v>
      </c>
      <c r="L86" t="s">
        <v>251</v>
      </c>
      <c r="N86" t="s">
        <v>419</v>
      </c>
      <c r="O86" t="s">
        <v>278</v>
      </c>
      <c r="P86">
        <v>9.9556642823737593E-4</v>
      </c>
      <c r="Q86" t="s">
        <v>251</v>
      </c>
      <c r="S86" t="s">
        <v>420</v>
      </c>
      <c r="T86" t="s">
        <v>278</v>
      </c>
      <c r="U86">
        <v>1.6715865529542569E-3</v>
      </c>
      <c r="V86" t="s">
        <v>251</v>
      </c>
      <c r="X86">
        <v>3.4246575342465752E-3</v>
      </c>
      <c r="Y86">
        <v>4.3358277602366805E-3</v>
      </c>
      <c r="Z86" t="s">
        <v>278</v>
      </c>
      <c r="AA86" t="s">
        <v>25</v>
      </c>
      <c r="AC86" t="s">
        <v>22</v>
      </c>
      <c r="AD86" t="s">
        <v>278</v>
      </c>
      <c r="AE86">
        <v>5.3672123182696308E-3</v>
      </c>
      <c r="AG86" t="s">
        <v>97</v>
      </c>
      <c r="AH86" t="s">
        <v>278</v>
      </c>
      <c r="AI86">
        <v>2.5632939012395717E-2</v>
      </c>
      <c r="AK86">
        <v>2028</v>
      </c>
      <c r="AL86" t="s">
        <v>163</v>
      </c>
      <c r="AM86">
        <v>0.33439999999999998</v>
      </c>
      <c r="AN86" t="s">
        <v>430</v>
      </c>
    </row>
    <row r="87" spans="5:40" x14ac:dyDescent="0.45">
      <c r="E87" t="s">
        <v>436</v>
      </c>
      <c r="G87" t="s">
        <v>435</v>
      </c>
      <c r="I87" t="s">
        <v>249</v>
      </c>
      <c r="J87" t="s">
        <v>279</v>
      </c>
      <c r="K87">
        <v>6.8036515685839002E-2</v>
      </c>
      <c r="L87" t="s">
        <v>251</v>
      </c>
      <c r="N87" t="s">
        <v>419</v>
      </c>
      <c r="O87" t="s">
        <v>279</v>
      </c>
      <c r="P87">
        <v>9.4407612288413979E-3</v>
      </c>
      <c r="Q87" t="s">
        <v>251</v>
      </c>
      <c r="S87" t="s">
        <v>420</v>
      </c>
      <c r="T87" t="s">
        <v>279</v>
      </c>
      <c r="U87">
        <v>1.4296790910960555E-2</v>
      </c>
      <c r="V87" t="s">
        <v>251</v>
      </c>
      <c r="X87">
        <v>2.3972602739726026E-2</v>
      </c>
      <c r="Y87">
        <v>3.3533053228252493E-2</v>
      </c>
      <c r="Z87" t="s">
        <v>279</v>
      </c>
      <c r="AA87" t="s">
        <v>25</v>
      </c>
      <c r="AC87" t="s">
        <v>22</v>
      </c>
      <c r="AD87" t="s">
        <v>279</v>
      </c>
      <c r="AE87">
        <v>3.6374035294971817E-2</v>
      </c>
      <c r="AG87" t="s">
        <v>97</v>
      </c>
      <c r="AH87" t="s">
        <v>279</v>
      </c>
      <c r="AI87">
        <v>0.12107479110399866</v>
      </c>
      <c r="AK87">
        <v>2028</v>
      </c>
      <c r="AL87" t="s">
        <v>167</v>
      </c>
      <c r="AM87">
        <v>0.39839999999999998</v>
      </c>
      <c r="AN87" t="s">
        <v>430</v>
      </c>
    </row>
    <row r="88" spans="5:40" x14ac:dyDescent="0.45">
      <c r="E88" t="s">
        <v>438</v>
      </c>
      <c r="G88" t="s">
        <v>435</v>
      </c>
      <c r="I88" t="s">
        <v>249</v>
      </c>
      <c r="J88" t="s">
        <v>280</v>
      </c>
      <c r="K88">
        <v>6.2620054594643999E-3</v>
      </c>
      <c r="L88" t="s">
        <v>251</v>
      </c>
      <c r="N88" t="s">
        <v>419</v>
      </c>
      <c r="O88" t="s">
        <v>280</v>
      </c>
      <c r="P88">
        <v>2.7097780121235144E-3</v>
      </c>
      <c r="Q88" t="s">
        <v>251</v>
      </c>
      <c r="S88" t="s">
        <v>420</v>
      </c>
      <c r="T88" t="s">
        <v>280</v>
      </c>
      <c r="U88">
        <v>2.9540873951373016E-3</v>
      </c>
      <c r="V88" t="s">
        <v>251</v>
      </c>
      <c r="X88">
        <v>3.4246575342465752E-3</v>
      </c>
      <c r="Y88">
        <v>6.662854585684809E-3</v>
      </c>
      <c r="Z88" t="s">
        <v>280</v>
      </c>
      <c r="AA88" t="s">
        <v>25</v>
      </c>
      <c r="AC88" t="s">
        <v>22</v>
      </c>
      <c r="AD88" t="s">
        <v>280</v>
      </c>
      <c r="AE88">
        <v>2.7678320259506982E-3</v>
      </c>
      <c r="AG88" t="s">
        <v>97</v>
      </c>
      <c r="AH88" t="s">
        <v>280</v>
      </c>
      <c r="AI88">
        <v>8.6761717202879396E-2</v>
      </c>
      <c r="AK88">
        <v>2028</v>
      </c>
      <c r="AL88" t="s">
        <v>169</v>
      </c>
      <c r="AM88">
        <v>0.5161</v>
      </c>
      <c r="AN88" t="s">
        <v>430</v>
      </c>
    </row>
    <row r="89" spans="5:40" x14ac:dyDescent="0.45">
      <c r="E89" t="s">
        <v>440</v>
      </c>
      <c r="G89" t="s">
        <v>435</v>
      </c>
      <c r="I89" t="s">
        <v>249</v>
      </c>
      <c r="J89" t="s">
        <v>281</v>
      </c>
      <c r="K89">
        <v>3.5888896639685057E-3</v>
      </c>
      <c r="L89" t="s">
        <v>251</v>
      </c>
      <c r="N89" t="s">
        <v>419</v>
      </c>
      <c r="O89" t="s">
        <v>281</v>
      </c>
      <c r="P89">
        <v>3.2681817578805012E-3</v>
      </c>
      <c r="Q89" t="s">
        <v>251</v>
      </c>
      <c r="S89" t="s">
        <v>420</v>
      </c>
      <c r="T89" t="s">
        <v>281</v>
      </c>
      <c r="U89">
        <v>3.0913498080904936E-3</v>
      </c>
      <c r="V89" t="s">
        <v>251</v>
      </c>
      <c r="X89">
        <v>3.4246575342465752E-3</v>
      </c>
      <c r="Y89">
        <v>5.1711707232180593E-3</v>
      </c>
      <c r="Z89" t="s">
        <v>281</v>
      </c>
      <c r="AA89" t="s">
        <v>25</v>
      </c>
      <c r="AC89" t="s">
        <v>22</v>
      </c>
      <c r="AD89" t="s">
        <v>281</v>
      </c>
      <c r="AE89">
        <v>3.3043699929870768E-3</v>
      </c>
      <c r="AG89" t="s">
        <v>97</v>
      </c>
      <c r="AH89" t="s">
        <v>281</v>
      </c>
      <c r="AI89">
        <v>0.11709209908661999</v>
      </c>
      <c r="AK89">
        <v>2028</v>
      </c>
      <c r="AL89" t="s">
        <v>171</v>
      </c>
      <c r="AM89">
        <v>0.59350000000000003</v>
      </c>
      <c r="AN89" t="s">
        <v>430</v>
      </c>
    </row>
    <row r="90" spans="5:40" x14ac:dyDescent="0.45">
      <c r="E90" t="s">
        <v>442</v>
      </c>
      <c r="G90" t="s">
        <v>435</v>
      </c>
      <c r="I90" t="s">
        <v>249</v>
      </c>
      <c r="J90" t="s">
        <v>282</v>
      </c>
      <c r="K90">
        <v>2.4148579671858214E-4</v>
      </c>
      <c r="L90" t="s">
        <v>251</v>
      </c>
      <c r="N90" t="s">
        <v>419</v>
      </c>
      <c r="O90" t="s">
        <v>282</v>
      </c>
      <c r="P90">
        <v>2.094799313478261E-2</v>
      </c>
      <c r="Q90" t="s">
        <v>251</v>
      </c>
      <c r="S90" t="s">
        <v>420</v>
      </c>
      <c r="T90" t="s">
        <v>282</v>
      </c>
      <c r="U90">
        <v>1.53525731100944E-2</v>
      </c>
      <c r="V90" t="s">
        <v>251</v>
      </c>
      <c r="X90">
        <v>1.7123287671232876E-2</v>
      </c>
      <c r="Y90">
        <v>1.2927926808045149E-2</v>
      </c>
      <c r="Z90" t="s">
        <v>282</v>
      </c>
      <c r="AA90" t="s">
        <v>25</v>
      </c>
      <c r="AC90" t="s">
        <v>22</v>
      </c>
      <c r="AD90" t="s">
        <v>282</v>
      </c>
      <c r="AE90">
        <v>1.3764633323452066E-2</v>
      </c>
      <c r="AG90" t="s">
        <v>97</v>
      </c>
      <c r="AH90" t="s">
        <v>282</v>
      </c>
      <c r="AI90">
        <v>0.17218577644945188</v>
      </c>
      <c r="AK90">
        <v>2028</v>
      </c>
      <c r="AL90" t="s">
        <v>158</v>
      </c>
      <c r="AM90">
        <v>0.58140000000000003</v>
      </c>
      <c r="AN90" t="s">
        <v>430</v>
      </c>
    </row>
    <row r="91" spans="5:40" x14ac:dyDescent="0.45">
      <c r="E91" t="s">
        <v>444</v>
      </c>
      <c r="G91" t="s">
        <v>435</v>
      </c>
      <c r="I91" t="s">
        <v>249</v>
      </c>
      <c r="J91" t="s">
        <v>283</v>
      </c>
      <c r="K91">
        <v>1.7101879242693943E-3</v>
      </c>
      <c r="L91" t="s">
        <v>251</v>
      </c>
      <c r="N91" t="s">
        <v>419</v>
      </c>
      <c r="O91" t="s">
        <v>283</v>
      </c>
      <c r="P91">
        <v>3.5148411383994695E-2</v>
      </c>
      <c r="Q91" t="s">
        <v>251</v>
      </c>
      <c r="S91" t="s">
        <v>420</v>
      </c>
      <c r="T91" t="s">
        <v>283</v>
      </c>
      <c r="U91">
        <v>2.8049636399863069E-2</v>
      </c>
      <c r="V91" t="s">
        <v>251</v>
      </c>
      <c r="X91">
        <v>2.3972602739726026E-2</v>
      </c>
      <c r="Y91">
        <v>9.4672202471222967E-3</v>
      </c>
      <c r="Z91" t="s">
        <v>283</v>
      </c>
      <c r="AA91" t="s">
        <v>25</v>
      </c>
      <c r="AC91" t="s">
        <v>22</v>
      </c>
      <c r="AD91" t="s">
        <v>283</v>
      </c>
      <c r="AE91">
        <v>3.2702415860054977E-2</v>
      </c>
      <c r="AG91" t="s">
        <v>97</v>
      </c>
      <c r="AH91" t="s">
        <v>283</v>
      </c>
      <c r="AI91">
        <v>0.104608976386112</v>
      </c>
      <c r="AK91">
        <v>2028</v>
      </c>
      <c r="AL91" t="s">
        <v>162</v>
      </c>
      <c r="AM91">
        <v>0.67200000000000004</v>
      </c>
      <c r="AN91" t="s">
        <v>430</v>
      </c>
    </row>
    <row r="92" spans="5:40" x14ac:dyDescent="0.45">
      <c r="E92" t="s">
        <v>446</v>
      </c>
      <c r="G92" t="s">
        <v>435</v>
      </c>
      <c r="I92" t="s">
        <v>249</v>
      </c>
      <c r="J92" t="s">
        <v>284</v>
      </c>
      <c r="K92">
        <v>5.1031729032522E-3</v>
      </c>
      <c r="L92" t="s">
        <v>251</v>
      </c>
      <c r="N92" t="s">
        <v>419</v>
      </c>
      <c r="O92" t="s">
        <v>284</v>
      </c>
      <c r="P92">
        <v>3.9630805181287542E-3</v>
      </c>
      <c r="Q92" t="s">
        <v>251</v>
      </c>
      <c r="S92" t="s">
        <v>420</v>
      </c>
      <c r="T92" t="s">
        <v>284</v>
      </c>
      <c r="U92">
        <v>3.3507536401114688E-3</v>
      </c>
      <c r="V92" t="s">
        <v>251</v>
      </c>
      <c r="X92">
        <v>3.4246575342465752E-3</v>
      </c>
      <c r="Y92">
        <v>5.7181214727892006E-3</v>
      </c>
      <c r="Z92" t="s">
        <v>284</v>
      </c>
      <c r="AA92" t="s">
        <v>25</v>
      </c>
      <c r="AC92" t="s">
        <v>22</v>
      </c>
      <c r="AD92" t="s">
        <v>284</v>
      </c>
      <c r="AE92">
        <v>5.4123517209138201E-3</v>
      </c>
      <c r="AG92" t="s">
        <v>97</v>
      </c>
      <c r="AH92" t="s">
        <v>284</v>
      </c>
      <c r="AI92">
        <v>1.4038297707322789E-2</v>
      </c>
      <c r="AK92">
        <v>2028</v>
      </c>
      <c r="AL92" t="s">
        <v>175</v>
      </c>
      <c r="AM92">
        <v>0.48330000000000001</v>
      </c>
      <c r="AN92" t="s">
        <v>430</v>
      </c>
    </row>
    <row r="93" spans="5:40" x14ac:dyDescent="0.45">
      <c r="E93" t="s">
        <v>447</v>
      </c>
      <c r="G93" t="s">
        <v>435</v>
      </c>
      <c r="I93" t="s">
        <v>249</v>
      </c>
      <c r="J93" t="s">
        <v>285</v>
      </c>
      <c r="K93">
        <v>7.3839557076324997E-3</v>
      </c>
      <c r="L93" t="s">
        <v>251</v>
      </c>
      <c r="N93" t="s">
        <v>419</v>
      </c>
      <c r="O93" t="s">
        <v>285</v>
      </c>
      <c r="P93">
        <v>3.8218467122849232E-3</v>
      </c>
      <c r="Q93" t="s">
        <v>251</v>
      </c>
      <c r="S93" t="s">
        <v>420</v>
      </c>
      <c r="T93" t="s">
        <v>285</v>
      </c>
      <c r="U93">
        <v>3.2295669491755078E-3</v>
      </c>
      <c r="V93" t="s">
        <v>251</v>
      </c>
      <c r="X93">
        <v>3.4246575342465752E-3</v>
      </c>
      <c r="Y93">
        <v>4.3756059965691279E-3</v>
      </c>
      <c r="Z93" t="s">
        <v>285</v>
      </c>
      <c r="AA93" t="s">
        <v>25</v>
      </c>
      <c r="AC93" t="s">
        <v>22</v>
      </c>
      <c r="AD93" t="s">
        <v>285</v>
      </c>
      <c r="AE93">
        <v>5.4721139927850233E-3</v>
      </c>
      <c r="AG93" t="s">
        <v>97</v>
      </c>
      <c r="AH93" t="s">
        <v>285</v>
      </c>
      <c r="AI93">
        <v>1.9628002299997505E-2</v>
      </c>
      <c r="AK93">
        <v>2028</v>
      </c>
      <c r="AL93" t="s">
        <v>166</v>
      </c>
      <c r="AM93">
        <v>0.26340000000000002</v>
      </c>
      <c r="AN93" t="s">
        <v>430</v>
      </c>
    </row>
    <row r="94" spans="5:40" x14ac:dyDescent="0.45">
      <c r="E94" t="s">
        <v>448</v>
      </c>
      <c r="G94" t="s">
        <v>435</v>
      </c>
      <c r="I94" t="s">
        <v>249</v>
      </c>
      <c r="J94" t="s">
        <v>286</v>
      </c>
      <c r="K94">
        <v>8.7863725259539997E-3</v>
      </c>
      <c r="L94" t="s">
        <v>251</v>
      </c>
      <c r="N94" t="s">
        <v>419</v>
      </c>
      <c r="O94" t="s">
        <v>286</v>
      </c>
      <c r="P94">
        <v>3.5790214863900059E-3</v>
      </c>
      <c r="Q94" t="s">
        <v>251</v>
      </c>
      <c r="S94" t="s">
        <v>420</v>
      </c>
      <c r="T94" t="s">
        <v>286</v>
      </c>
      <c r="U94">
        <v>3.1352656487619451E-3</v>
      </c>
      <c r="V94" t="s">
        <v>251</v>
      </c>
      <c r="X94">
        <v>3.4246575342465752E-3</v>
      </c>
      <c r="Y94">
        <v>4.3358277602366805E-3</v>
      </c>
      <c r="Z94" t="s">
        <v>286</v>
      </c>
      <c r="AA94" t="s">
        <v>25</v>
      </c>
      <c r="AC94" t="s">
        <v>22</v>
      </c>
      <c r="AD94" t="s">
        <v>286</v>
      </c>
      <c r="AE94">
        <v>5.4754073797285592E-3</v>
      </c>
      <c r="AG94" t="s">
        <v>97</v>
      </c>
      <c r="AH94" t="s">
        <v>286</v>
      </c>
      <c r="AI94">
        <v>1.9262970822628178E-2</v>
      </c>
      <c r="AK94">
        <v>2028</v>
      </c>
      <c r="AL94" t="s">
        <v>178</v>
      </c>
      <c r="AM94">
        <v>0.23949999999999999</v>
      </c>
      <c r="AN94" t="s">
        <v>430</v>
      </c>
    </row>
    <row r="95" spans="5:40" x14ac:dyDescent="0.45">
      <c r="E95" t="s">
        <v>449</v>
      </c>
      <c r="G95" t="s">
        <v>435</v>
      </c>
      <c r="I95" t="s">
        <v>249</v>
      </c>
      <c r="J95" t="s">
        <v>287</v>
      </c>
      <c r="K95">
        <v>6.6944918365481706E-2</v>
      </c>
      <c r="L95" t="s">
        <v>251</v>
      </c>
      <c r="N95" t="s">
        <v>419</v>
      </c>
      <c r="O95" t="s">
        <v>287</v>
      </c>
      <c r="P95">
        <v>2.4327966702511188E-2</v>
      </c>
      <c r="Q95" t="s">
        <v>251</v>
      </c>
      <c r="S95" t="s">
        <v>420</v>
      </c>
      <c r="T95" t="s">
        <v>287</v>
      </c>
      <c r="U95">
        <v>2.4427171180778109E-2</v>
      </c>
      <c r="V95" t="s">
        <v>251</v>
      </c>
      <c r="X95">
        <v>2.3972602739726026E-2</v>
      </c>
      <c r="Y95">
        <v>3.3533053228252493E-2</v>
      </c>
      <c r="Z95" t="s">
        <v>287</v>
      </c>
      <c r="AA95" t="s">
        <v>25</v>
      </c>
      <c r="AC95" t="s">
        <v>22</v>
      </c>
      <c r="AD95" t="s">
        <v>287</v>
      </c>
      <c r="AE95">
        <v>3.8129481915703867E-2</v>
      </c>
      <c r="AG95" t="s">
        <v>97</v>
      </c>
      <c r="AH95" t="s">
        <v>287</v>
      </c>
      <c r="AI95">
        <v>0.10000524469777883</v>
      </c>
      <c r="AK95">
        <v>2029</v>
      </c>
      <c r="AL95" t="s">
        <v>151</v>
      </c>
      <c r="AM95">
        <v>0.2417</v>
      </c>
      <c r="AN95" t="s">
        <v>430</v>
      </c>
    </row>
    <row r="96" spans="5:40" x14ac:dyDescent="0.45">
      <c r="E96" t="s">
        <v>450</v>
      </c>
      <c r="G96" t="s">
        <v>435</v>
      </c>
      <c r="I96" t="s">
        <v>249</v>
      </c>
      <c r="J96" t="s">
        <v>288</v>
      </c>
      <c r="K96">
        <v>6.3602841217720004E-3</v>
      </c>
      <c r="L96" t="s">
        <v>251</v>
      </c>
      <c r="N96" t="s">
        <v>419</v>
      </c>
      <c r="O96" t="s">
        <v>288</v>
      </c>
      <c r="P96">
        <v>4.5290212011811805E-3</v>
      </c>
      <c r="Q96" t="s">
        <v>251</v>
      </c>
      <c r="S96" t="s">
        <v>420</v>
      </c>
      <c r="T96" t="s">
        <v>288</v>
      </c>
      <c r="U96">
        <v>4.1685696999609941E-3</v>
      </c>
      <c r="V96" t="s">
        <v>251</v>
      </c>
      <c r="X96">
        <v>3.4246575342465752E-3</v>
      </c>
      <c r="Y96">
        <v>6.662854585684809E-3</v>
      </c>
      <c r="Z96" t="s">
        <v>288</v>
      </c>
      <c r="AA96" t="s">
        <v>25</v>
      </c>
      <c r="AC96" t="s">
        <v>22</v>
      </c>
      <c r="AD96" t="s">
        <v>288</v>
      </c>
      <c r="AE96">
        <v>3.2513706984318813E-3</v>
      </c>
      <c r="AG96" t="s">
        <v>97</v>
      </c>
      <c r="AH96" t="s">
        <v>288</v>
      </c>
      <c r="AI96">
        <v>6.6317077378176048E-2</v>
      </c>
      <c r="AK96">
        <v>2029</v>
      </c>
      <c r="AL96" t="s">
        <v>156</v>
      </c>
      <c r="AM96">
        <v>0.26079999999999998</v>
      </c>
      <c r="AN96" t="s">
        <v>430</v>
      </c>
    </row>
    <row r="97" spans="5:40" x14ac:dyDescent="0.45">
      <c r="E97" t="s">
        <v>451</v>
      </c>
      <c r="G97" t="s">
        <v>435</v>
      </c>
      <c r="I97" t="s">
        <v>249</v>
      </c>
      <c r="J97" t="s">
        <v>289</v>
      </c>
      <c r="K97">
        <v>4.0112837900768E-3</v>
      </c>
      <c r="L97" t="s">
        <v>251</v>
      </c>
      <c r="N97" t="s">
        <v>419</v>
      </c>
      <c r="O97" t="s">
        <v>289</v>
      </c>
      <c r="P97">
        <v>5.0780357349968896E-3</v>
      </c>
      <c r="Q97" t="s">
        <v>251</v>
      </c>
      <c r="S97" t="s">
        <v>420</v>
      </c>
      <c r="T97" t="s">
        <v>289</v>
      </c>
      <c r="U97">
        <v>4.2840300699957369E-3</v>
      </c>
      <c r="V97" t="s">
        <v>251</v>
      </c>
      <c r="X97">
        <v>3.4246575342465752E-3</v>
      </c>
      <c r="Y97">
        <v>5.1711707232180593E-3</v>
      </c>
      <c r="Z97" t="s">
        <v>289</v>
      </c>
      <c r="AA97" t="s">
        <v>25</v>
      </c>
      <c r="AC97" t="s">
        <v>22</v>
      </c>
      <c r="AD97" t="s">
        <v>289</v>
      </c>
      <c r="AE97">
        <v>4.1191848428715405E-3</v>
      </c>
      <c r="AG97" t="s">
        <v>97</v>
      </c>
      <c r="AH97" t="s">
        <v>289</v>
      </c>
      <c r="AI97">
        <v>1.171488347620131E-2</v>
      </c>
      <c r="AK97">
        <v>2029</v>
      </c>
      <c r="AL97" t="s">
        <v>159</v>
      </c>
      <c r="AM97">
        <v>0.27239999999999998</v>
      </c>
      <c r="AN97" t="s">
        <v>430</v>
      </c>
    </row>
    <row r="98" spans="5:40" x14ac:dyDescent="0.45">
      <c r="E98" t="s">
        <v>452</v>
      </c>
      <c r="G98" t="s">
        <v>435</v>
      </c>
      <c r="I98" t="s">
        <v>249</v>
      </c>
      <c r="J98" t="s">
        <v>290</v>
      </c>
      <c r="K98">
        <v>1.3383110290522099E-3</v>
      </c>
      <c r="L98" t="s">
        <v>251</v>
      </c>
      <c r="N98" t="s">
        <v>419</v>
      </c>
      <c r="O98" t="s">
        <v>290</v>
      </c>
      <c r="P98">
        <v>3.0874056115762799E-2</v>
      </c>
      <c r="Q98" t="s">
        <v>251</v>
      </c>
      <c r="S98" t="s">
        <v>420</v>
      </c>
      <c r="T98" t="s">
        <v>290</v>
      </c>
      <c r="U98">
        <v>2.1983988370993406E-2</v>
      </c>
      <c r="V98" t="s">
        <v>251</v>
      </c>
      <c r="X98">
        <v>1.7123287671232876E-2</v>
      </c>
      <c r="Y98">
        <v>1.2927926808045149E-2</v>
      </c>
      <c r="Z98" t="s">
        <v>290</v>
      </c>
      <c r="AA98" t="s">
        <v>25</v>
      </c>
      <c r="AC98" t="s">
        <v>22</v>
      </c>
      <c r="AD98" t="s">
        <v>290</v>
      </c>
      <c r="AE98">
        <v>1.8199464911276615E-2</v>
      </c>
      <c r="AG98" t="s">
        <v>97</v>
      </c>
      <c r="AH98" t="s">
        <v>290</v>
      </c>
      <c r="AI98">
        <v>5.8841856249415514E-2</v>
      </c>
      <c r="AK98">
        <v>2029</v>
      </c>
      <c r="AL98" t="s">
        <v>163</v>
      </c>
      <c r="AM98">
        <v>0.2833</v>
      </c>
      <c r="AN98" t="s">
        <v>430</v>
      </c>
    </row>
    <row r="99" spans="5:40" x14ac:dyDescent="0.45">
      <c r="E99" t="s">
        <v>453</v>
      </c>
      <c r="G99" t="s">
        <v>435</v>
      </c>
      <c r="I99" t="s">
        <v>249</v>
      </c>
      <c r="J99" t="s">
        <v>997</v>
      </c>
      <c r="K99">
        <v>0</v>
      </c>
      <c r="L99" t="s">
        <v>251</v>
      </c>
      <c r="N99" t="s">
        <v>419</v>
      </c>
      <c r="O99" t="s">
        <v>997</v>
      </c>
      <c r="P99">
        <v>3.405140192545E-4</v>
      </c>
      <c r="Q99" t="s">
        <v>251</v>
      </c>
      <c r="S99" t="s">
        <v>420</v>
      </c>
      <c r="T99" t="s">
        <v>997</v>
      </c>
      <c r="U99">
        <v>2.114041618913E-4</v>
      </c>
      <c r="V99" t="s">
        <v>251</v>
      </c>
      <c r="X99">
        <v>1.1415525114155251E-4</v>
      </c>
      <c r="Y99">
        <v>2.1546544680075254E-5</v>
      </c>
      <c r="Z99" t="s">
        <v>997</v>
      </c>
      <c r="AA99" t="s">
        <v>25</v>
      </c>
      <c r="AC99" t="s">
        <v>22</v>
      </c>
      <c r="AD99" t="s">
        <v>997</v>
      </c>
      <c r="AE99">
        <v>1.3744869660146103E-4</v>
      </c>
      <c r="AG99" t="s">
        <v>97</v>
      </c>
      <c r="AH99" t="s">
        <v>997</v>
      </c>
      <c r="AI99">
        <v>0</v>
      </c>
      <c r="AK99">
        <v>2029</v>
      </c>
      <c r="AL99" t="s">
        <v>167</v>
      </c>
      <c r="AM99">
        <v>0.36370000000000002</v>
      </c>
      <c r="AN99" t="s">
        <v>430</v>
      </c>
    </row>
    <row r="100" spans="5:40" x14ac:dyDescent="0.45">
      <c r="E100" t="s">
        <v>454</v>
      </c>
      <c r="G100" t="s">
        <v>435</v>
      </c>
      <c r="I100" t="s">
        <v>249</v>
      </c>
      <c r="J100" t="s">
        <v>998</v>
      </c>
      <c r="K100">
        <v>0</v>
      </c>
      <c r="L100" t="s">
        <v>251</v>
      </c>
      <c r="N100" t="s">
        <v>419</v>
      </c>
      <c r="O100" t="s">
        <v>998</v>
      </c>
      <c r="P100">
        <v>3.348412914218E-4</v>
      </c>
      <c r="Q100" t="s">
        <v>251</v>
      </c>
      <c r="S100" t="s">
        <v>420</v>
      </c>
      <c r="T100" t="s">
        <v>998</v>
      </c>
      <c r="U100">
        <v>2.1246608564689999E-4</v>
      </c>
      <c r="V100" t="s">
        <v>251</v>
      </c>
      <c r="X100">
        <v>1.1415525114155251E-4</v>
      </c>
      <c r="Y100">
        <v>1.4916838624667481E-5</v>
      </c>
      <c r="Z100" t="s">
        <v>998</v>
      </c>
      <c r="AA100" t="s">
        <v>25</v>
      </c>
      <c r="AC100" t="s">
        <v>22</v>
      </c>
      <c r="AD100" t="s">
        <v>998</v>
      </c>
      <c r="AE100">
        <v>1.4116099879897878E-4</v>
      </c>
      <c r="AG100" t="s">
        <v>97</v>
      </c>
      <c r="AH100" t="s">
        <v>998</v>
      </c>
      <c r="AI100">
        <v>0</v>
      </c>
      <c r="AK100">
        <v>2029</v>
      </c>
      <c r="AL100" t="s">
        <v>169</v>
      </c>
      <c r="AM100">
        <v>0.43809999999999999</v>
      </c>
      <c r="AN100" t="s">
        <v>430</v>
      </c>
    </row>
    <row r="101" spans="5:40" x14ac:dyDescent="0.45">
      <c r="E101" t="s">
        <v>455</v>
      </c>
      <c r="G101" t="s">
        <v>435</v>
      </c>
      <c r="I101" t="s">
        <v>249</v>
      </c>
      <c r="J101" t="s">
        <v>999</v>
      </c>
      <c r="K101">
        <v>0</v>
      </c>
      <c r="L101" t="s">
        <v>251</v>
      </c>
      <c r="N101" t="s">
        <v>419</v>
      </c>
      <c r="O101" t="s">
        <v>999</v>
      </c>
      <c r="P101">
        <v>3.192719354936E-4</v>
      </c>
      <c r="Q101" t="s">
        <v>251</v>
      </c>
      <c r="S101" t="s">
        <v>420</v>
      </c>
      <c r="T101" t="s">
        <v>999</v>
      </c>
      <c r="U101">
        <v>2.0557810020699999E-4</v>
      </c>
      <c r="V101" t="s">
        <v>251</v>
      </c>
      <c r="X101">
        <v>1.1415525114155251E-4</v>
      </c>
      <c r="Y101">
        <v>1.6574265138519424E-5</v>
      </c>
      <c r="Z101" t="s">
        <v>999</v>
      </c>
      <c r="AA101" t="s">
        <v>25</v>
      </c>
      <c r="AC101" t="s">
        <v>22</v>
      </c>
      <c r="AD101" t="s">
        <v>999</v>
      </c>
      <c r="AE101">
        <v>1.5539743261647028E-4</v>
      </c>
      <c r="AG101" t="s">
        <v>97</v>
      </c>
      <c r="AH101" t="s">
        <v>999</v>
      </c>
      <c r="AI101">
        <v>0</v>
      </c>
      <c r="AK101">
        <v>2029</v>
      </c>
      <c r="AL101" t="s">
        <v>171</v>
      </c>
      <c r="AM101">
        <v>0.60219999999999996</v>
      </c>
      <c r="AN101" t="s">
        <v>430</v>
      </c>
    </row>
    <row r="102" spans="5:40" x14ac:dyDescent="0.45">
      <c r="E102" t="s">
        <v>456</v>
      </c>
      <c r="G102" t="s">
        <v>435</v>
      </c>
      <c r="I102" t="s">
        <v>249</v>
      </c>
      <c r="J102" t="s">
        <v>1000</v>
      </c>
      <c r="K102">
        <v>0</v>
      </c>
      <c r="L102" t="s">
        <v>251</v>
      </c>
      <c r="N102" t="s">
        <v>419</v>
      </c>
      <c r="O102" t="s">
        <v>1000</v>
      </c>
      <c r="P102">
        <v>2.8345623229899999E-4</v>
      </c>
      <c r="Q102" t="s">
        <v>251</v>
      </c>
      <c r="S102" t="s">
        <v>420</v>
      </c>
      <c r="T102" t="s">
        <v>1000</v>
      </c>
      <c r="U102">
        <v>1.938355815724E-4</v>
      </c>
      <c r="V102" t="s">
        <v>251</v>
      </c>
      <c r="X102">
        <v>1.1415525114155251E-4</v>
      </c>
      <c r="Y102">
        <v>1.4585353321897093E-5</v>
      </c>
      <c r="Z102" t="s">
        <v>1000</v>
      </c>
      <c r="AA102" t="s">
        <v>25</v>
      </c>
      <c r="AC102" t="s">
        <v>22</v>
      </c>
      <c r="AD102" t="s">
        <v>1000</v>
      </c>
      <c r="AE102">
        <v>1.6830358767530752E-4</v>
      </c>
      <c r="AG102" t="s">
        <v>97</v>
      </c>
      <c r="AH102" t="s">
        <v>1000</v>
      </c>
      <c r="AI102">
        <v>0</v>
      </c>
      <c r="AK102">
        <v>2029</v>
      </c>
      <c r="AL102" t="s">
        <v>158</v>
      </c>
      <c r="AM102">
        <v>0.62319999999999998</v>
      </c>
      <c r="AN102" t="s">
        <v>430</v>
      </c>
    </row>
    <row r="103" spans="5:40" x14ac:dyDescent="0.45">
      <c r="E103" t="s">
        <v>457</v>
      </c>
      <c r="G103" t="s">
        <v>435</v>
      </c>
      <c r="I103" t="s">
        <v>249</v>
      </c>
      <c r="J103" t="s">
        <v>1001</v>
      </c>
      <c r="K103">
        <v>0</v>
      </c>
      <c r="L103" t="s">
        <v>251</v>
      </c>
      <c r="N103" t="s">
        <v>419</v>
      </c>
      <c r="O103" t="s">
        <v>1001</v>
      </c>
      <c r="P103">
        <v>2.7660386705450002E-4</v>
      </c>
      <c r="Q103" t="s">
        <v>251</v>
      </c>
      <c r="S103" t="s">
        <v>420</v>
      </c>
      <c r="T103" t="s">
        <v>1001</v>
      </c>
      <c r="U103">
        <v>1.6851759446059999E-4</v>
      </c>
      <c r="V103" t="s">
        <v>251</v>
      </c>
      <c r="X103">
        <v>1.1415525114155251E-4</v>
      </c>
      <c r="Y103">
        <v>2.1215059377304864E-5</v>
      </c>
      <c r="Z103" t="s">
        <v>1001</v>
      </c>
      <c r="AA103" t="s">
        <v>25</v>
      </c>
      <c r="AC103" t="s">
        <v>22</v>
      </c>
      <c r="AD103" t="s">
        <v>1001</v>
      </c>
      <c r="AE103">
        <v>1.7011517332151519E-4</v>
      </c>
      <c r="AG103" t="s">
        <v>97</v>
      </c>
      <c r="AH103" t="s">
        <v>1001</v>
      </c>
      <c r="AI103">
        <v>0</v>
      </c>
      <c r="AK103">
        <v>2029</v>
      </c>
      <c r="AL103" t="s">
        <v>162</v>
      </c>
      <c r="AM103">
        <v>0.56759999999999999</v>
      </c>
      <c r="AN103" t="s">
        <v>430</v>
      </c>
    </row>
    <row r="104" spans="5:40" x14ac:dyDescent="0.45">
      <c r="E104" t="s">
        <v>458</v>
      </c>
      <c r="G104" t="s">
        <v>435</v>
      </c>
      <c r="I104" t="s">
        <v>249</v>
      </c>
      <c r="J104" t="s">
        <v>1002</v>
      </c>
      <c r="K104">
        <v>0</v>
      </c>
      <c r="L104" t="s">
        <v>251</v>
      </c>
      <c r="N104" t="s">
        <v>419</v>
      </c>
      <c r="O104" t="s">
        <v>1002</v>
      </c>
      <c r="P104">
        <v>2.7055857267279998E-4</v>
      </c>
      <c r="Q104" t="s">
        <v>251</v>
      </c>
      <c r="S104" t="s">
        <v>420</v>
      </c>
      <c r="T104" t="s">
        <v>1002</v>
      </c>
      <c r="U104">
        <v>1.5816267265169999E-4</v>
      </c>
      <c r="V104" t="s">
        <v>251</v>
      </c>
      <c r="X104">
        <v>1.1415525114155251E-4</v>
      </c>
      <c r="Y104">
        <v>5.7678442682047593E-5</v>
      </c>
      <c r="Z104" t="s">
        <v>1002</v>
      </c>
      <c r="AA104" t="s">
        <v>25</v>
      </c>
      <c r="AC104" t="s">
        <v>22</v>
      </c>
      <c r="AD104" t="s">
        <v>1002</v>
      </c>
      <c r="AE104">
        <v>1.7515775427768724E-4</v>
      </c>
      <c r="AG104" t="s">
        <v>97</v>
      </c>
      <c r="AH104" t="s">
        <v>1002</v>
      </c>
      <c r="AI104">
        <v>0</v>
      </c>
      <c r="AK104">
        <v>2029</v>
      </c>
      <c r="AL104" t="s">
        <v>175</v>
      </c>
      <c r="AM104">
        <v>0.42130000000000001</v>
      </c>
      <c r="AN104" t="s">
        <v>430</v>
      </c>
    </row>
    <row r="105" spans="5:40" x14ac:dyDescent="0.45">
      <c r="E105" t="s">
        <v>459</v>
      </c>
      <c r="G105" t="s">
        <v>435</v>
      </c>
      <c r="I105" t="s">
        <v>249</v>
      </c>
      <c r="J105" t="s">
        <v>1003</v>
      </c>
      <c r="K105">
        <v>5.6839293651483767E-5</v>
      </c>
      <c r="L105" t="s">
        <v>251</v>
      </c>
      <c r="N105" t="s">
        <v>419</v>
      </c>
      <c r="O105" t="s">
        <v>1003</v>
      </c>
      <c r="P105">
        <v>2.6259451553489998E-4</v>
      </c>
      <c r="Q105" t="s">
        <v>251</v>
      </c>
      <c r="S105" t="s">
        <v>420</v>
      </c>
      <c r="T105" t="s">
        <v>1003</v>
      </c>
      <c r="U105">
        <v>1.490317531355E-4</v>
      </c>
      <c r="V105" t="s">
        <v>251</v>
      </c>
      <c r="X105">
        <v>1.1415525114155251E-4</v>
      </c>
      <c r="Y105">
        <v>1.6905750441289813E-4</v>
      </c>
      <c r="Z105" t="s">
        <v>1003</v>
      </c>
      <c r="AA105" t="s">
        <v>25</v>
      </c>
      <c r="AC105" t="s">
        <v>22</v>
      </c>
      <c r="AD105" t="s">
        <v>1003</v>
      </c>
      <c r="AE105">
        <v>1.7515775427768724E-4</v>
      </c>
      <c r="AG105" t="s">
        <v>97</v>
      </c>
      <c r="AH105" t="s">
        <v>1003</v>
      </c>
      <c r="AI105">
        <v>0</v>
      </c>
      <c r="AK105">
        <v>2029</v>
      </c>
      <c r="AL105" t="s">
        <v>166</v>
      </c>
      <c r="AM105">
        <v>0.26490000000000002</v>
      </c>
      <c r="AN105" t="s">
        <v>430</v>
      </c>
    </row>
    <row r="106" spans="5:40" x14ac:dyDescent="0.45">
      <c r="E106" t="s">
        <v>460</v>
      </c>
      <c r="G106" t="s">
        <v>435</v>
      </c>
      <c r="I106" t="s">
        <v>249</v>
      </c>
      <c r="J106" t="s">
        <v>1004</v>
      </c>
      <c r="K106">
        <v>1.42665318893E-4</v>
      </c>
      <c r="L106" t="s">
        <v>251</v>
      </c>
      <c r="N106" t="s">
        <v>419</v>
      </c>
      <c r="O106" t="s">
        <v>1004</v>
      </c>
      <c r="P106">
        <v>2.7566364676290001E-4</v>
      </c>
      <c r="Q106" t="s">
        <v>251</v>
      </c>
      <c r="S106" t="s">
        <v>420</v>
      </c>
      <c r="T106" t="s">
        <v>1004</v>
      </c>
      <c r="U106">
        <v>1.383981555499E-4</v>
      </c>
      <c r="V106" t="s">
        <v>251</v>
      </c>
      <c r="X106">
        <v>1.1415525114155251E-4</v>
      </c>
      <c r="Y106">
        <v>1.9060404909297337E-4</v>
      </c>
      <c r="Z106" t="s">
        <v>1004</v>
      </c>
      <c r="AA106" t="s">
        <v>25</v>
      </c>
      <c r="AC106" t="s">
        <v>22</v>
      </c>
      <c r="AD106" t="s">
        <v>1004</v>
      </c>
      <c r="AE106">
        <v>1.7484356783720105E-4</v>
      </c>
      <c r="AG106" t="s">
        <v>97</v>
      </c>
      <c r="AH106" t="s">
        <v>1004</v>
      </c>
      <c r="AI106">
        <v>0</v>
      </c>
      <c r="AK106">
        <v>2029</v>
      </c>
      <c r="AL106" t="s">
        <v>178</v>
      </c>
      <c r="AM106">
        <v>0.2467</v>
      </c>
      <c r="AN106" t="s">
        <v>430</v>
      </c>
    </row>
    <row r="107" spans="5:40" x14ac:dyDescent="0.45">
      <c r="E107" t="s">
        <v>877</v>
      </c>
      <c r="G107" t="s">
        <v>437</v>
      </c>
      <c r="I107" t="s">
        <v>249</v>
      </c>
      <c r="J107" t="s">
        <v>1005</v>
      </c>
      <c r="K107">
        <v>2.0583582732930001E-4</v>
      </c>
      <c r="L107" t="s">
        <v>251</v>
      </c>
      <c r="N107" t="s">
        <v>419</v>
      </c>
      <c r="O107" t="s">
        <v>1005</v>
      </c>
      <c r="P107">
        <v>2.7032812319590001E-4</v>
      </c>
      <c r="Q107" t="s">
        <v>251</v>
      </c>
      <c r="S107" t="s">
        <v>420</v>
      </c>
      <c r="T107" t="s">
        <v>1005</v>
      </c>
      <c r="U107">
        <v>1.315359905714E-4</v>
      </c>
      <c r="V107" t="s">
        <v>251</v>
      </c>
      <c r="X107">
        <v>1.1415525114155251E-4</v>
      </c>
      <c r="Y107">
        <v>1.4585353321897094E-4</v>
      </c>
      <c r="Z107" t="s">
        <v>1005</v>
      </c>
      <c r="AA107" t="s">
        <v>25</v>
      </c>
      <c r="AC107" t="s">
        <v>22</v>
      </c>
      <c r="AD107" t="s">
        <v>1005</v>
      </c>
      <c r="AE107">
        <v>1.7471878457005758E-4</v>
      </c>
      <c r="AG107" t="s">
        <v>97</v>
      </c>
      <c r="AH107" t="s">
        <v>1005</v>
      </c>
      <c r="AI107">
        <v>0</v>
      </c>
      <c r="AK107">
        <v>2030</v>
      </c>
      <c r="AL107" t="s">
        <v>151</v>
      </c>
      <c r="AM107">
        <v>0.23350000000000001</v>
      </c>
      <c r="AN107" t="s">
        <v>430</v>
      </c>
    </row>
    <row r="108" spans="5:40" x14ac:dyDescent="0.45">
      <c r="E108" t="s">
        <v>878</v>
      </c>
      <c r="G108" t="s">
        <v>437</v>
      </c>
      <c r="I108" t="s">
        <v>249</v>
      </c>
      <c r="J108" t="s">
        <v>1006</v>
      </c>
      <c r="K108">
        <v>2.5969989522369997E-4</v>
      </c>
      <c r="L108" t="s">
        <v>251</v>
      </c>
      <c r="N108" t="s">
        <v>419</v>
      </c>
      <c r="O108" t="s">
        <v>1006</v>
      </c>
      <c r="P108">
        <v>2.5340932272799999E-4</v>
      </c>
      <c r="Q108" t="s">
        <v>251</v>
      </c>
      <c r="S108" t="s">
        <v>420</v>
      </c>
      <c r="T108" t="s">
        <v>1006</v>
      </c>
      <c r="U108">
        <v>1.295034484139E-4</v>
      </c>
      <c r="V108" t="s">
        <v>251</v>
      </c>
      <c r="X108">
        <v>1.1415525114155251E-4</v>
      </c>
      <c r="Y108">
        <v>1.4452759200788939E-4</v>
      </c>
      <c r="Z108" t="s">
        <v>1006</v>
      </c>
      <c r="AA108" t="s">
        <v>25</v>
      </c>
      <c r="AC108" t="s">
        <v>22</v>
      </c>
      <c r="AD108" t="s">
        <v>1006</v>
      </c>
      <c r="AE108">
        <v>1.7471878457005758E-4</v>
      </c>
      <c r="AG108" t="s">
        <v>97</v>
      </c>
      <c r="AH108" t="s">
        <v>1006</v>
      </c>
      <c r="AI108">
        <v>0</v>
      </c>
      <c r="AK108">
        <v>2030</v>
      </c>
      <c r="AL108" t="s">
        <v>156</v>
      </c>
      <c r="AM108">
        <v>0.26919999999999999</v>
      </c>
      <c r="AN108" t="s">
        <v>430</v>
      </c>
    </row>
    <row r="109" spans="5:40" x14ac:dyDescent="0.45">
      <c r="E109" t="s">
        <v>879</v>
      </c>
      <c r="G109" t="s">
        <v>437</v>
      </c>
      <c r="I109" t="s">
        <v>249</v>
      </c>
      <c r="J109" t="s">
        <v>1007</v>
      </c>
      <c r="K109">
        <v>2.9832764352920001E-4</v>
      </c>
      <c r="L109" t="s">
        <v>251</v>
      </c>
      <c r="N109" t="s">
        <v>419</v>
      </c>
      <c r="O109" t="s">
        <v>1007</v>
      </c>
      <c r="P109">
        <v>2.4180726227520001E-4</v>
      </c>
      <c r="Q109" t="s">
        <v>251</v>
      </c>
      <c r="S109" t="s">
        <v>420</v>
      </c>
      <c r="T109" t="s">
        <v>1007</v>
      </c>
      <c r="U109">
        <v>1.2251493853439999E-4</v>
      </c>
      <c r="V109" t="s">
        <v>251</v>
      </c>
      <c r="X109">
        <v>1.1415525114155251E-4</v>
      </c>
      <c r="Y109">
        <v>1.408812536774151E-4</v>
      </c>
      <c r="Z109" t="s">
        <v>1007</v>
      </c>
      <c r="AA109" t="s">
        <v>25</v>
      </c>
      <c r="AC109" t="s">
        <v>22</v>
      </c>
      <c r="AD109" t="s">
        <v>1007</v>
      </c>
      <c r="AE109">
        <v>1.7334839690410714E-4</v>
      </c>
      <c r="AG109" t="s">
        <v>97</v>
      </c>
      <c r="AH109" t="s">
        <v>1007</v>
      </c>
      <c r="AI109">
        <v>0</v>
      </c>
      <c r="AK109">
        <v>2030</v>
      </c>
      <c r="AL109" t="s">
        <v>159</v>
      </c>
      <c r="AM109">
        <v>0.29170000000000001</v>
      </c>
      <c r="AN109" t="s">
        <v>430</v>
      </c>
    </row>
    <row r="110" spans="5:40" x14ac:dyDescent="0.45">
      <c r="E110" t="s">
        <v>880</v>
      </c>
      <c r="G110" t="s">
        <v>437</v>
      </c>
      <c r="I110" t="s">
        <v>249</v>
      </c>
      <c r="J110" t="s">
        <v>1008</v>
      </c>
      <c r="K110">
        <v>3.2893490830259998E-4</v>
      </c>
      <c r="L110" t="s">
        <v>251</v>
      </c>
      <c r="N110" t="s">
        <v>419</v>
      </c>
      <c r="O110" t="s">
        <v>1008</v>
      </c>
      <c r="P110">
        <v>2.3770882732059999E-4</v>
      </c>
      <c r="Q110" t="s">
        <v>251</v>
      </c>
      <c r="S110" t="s">
        <v>420</v>
      </c>
      <c r="T110" t="s">
        <v>1008</v>
      </c>
      <c r="U110">
        <v>1.1562486416209999E-4</v>
      </c>
      <c r="V110" t="s">
        <v>251</v>
      </c>
      <c r="X110">
        <v>1.1415525114155251E-4</v>
      </c>
      <c r="Y110">
        <v>1.4054976837464471E-4</v>
      </c>
      <c r="Z110" t="s">
        <v>1008</v>
      </c>
      <c r="AA110" t="s">
        <v>25</v>
      </c>
      <c r="AC110" t="s">
        <v>22</v>
      </c>
      <c r="AD110" t="s">
        <v>1008</v>
      </c>
      <c r="AE110">
        <v>1.743176954970965E-4</v>
      </c>
      <c r="AG110" t="s">
        <v>97</v>
      </c>
      <c r="AH110" t="s">
        <v>1008</v>
      </c>
      <c r="AI110">
        <v>0</v>
      </c>
      <c r="AK110">
        <v>2030</v>
      </c>
      <c r="AL110" t="s">
        <v>163</v>
      </c>
      <c r="AM110">
        <v>0.32640000000000002</v>
      </c>
      <c r="AN110" t="s">
        <v>430</v>
      </c>
    </row>
    <row r="111" spans="5:40" x14ac:dyDescent="0.45">
      <c r="E111" t="s">
        <v>881</v>
      </c>
      <c r="G111" t="s">
        <v>437</v>
      </c>
      <c r="I111" t="s">
        <v>249</v>
      </c>
      <c r="J111" t="s">
        <v>1009</v>
      </c>
      <c r="K111">
        <v>3.3802767134329998E-4</v>
      </c>
      <c r="L111" t="s">
        <v>251</v>
      </c>
      <c r="N111" t="s">
        <v>419</v>
      </c>
      <c r="O111" t="s">
        <v>1009</v>
      </c>
      <c r="P111">
        <v>2.4177392553469999E-4</v>
      </c>
      <c r="Q111" t="s">
        <v>251</v>
      </c>
      <c r="S111" t="s">
        <v>420</v>
      </c>
      <c r="T111" t="s">
        <v>1009</v>
      </c>
      <c r="U111">
        <v>1.1370675019170001E-4</v>
      </c>
      <c r="V111" t="s">
        <v>251</v>
      </c>
      <c r="X111">
        <v>1.1415525114155251E-4</v>
      </c>
      <c r="Y111">
        <v>1.4253868019126702E-4</v>
      </c>
      <c r="Z111" t="s">
        <v>1009</v>
      </c>
      <c r="AA111" t="s">
        <v>25</v>
      </c>
      <c r="AC111" t="s">
        <v>22</v>
      </c>
      <c r="AD111" t="s">
        <v>1009</v>
      </c>
      <c r="AE111">
        <v>2.1041014138202668E-4</v>
      </c>
      <c r="AG111" t="s">
        <v>97</v>
      </c>
      <c r="AH111" t="s">
        <v>1009</v>
      </c>
      <c r="AI111">
        <v>0</v>
      </c>
      <c r="AK111">
        <v>2030</v>
      </c>
      <c r="AL111" t="s">
        <v>167</v>
      </c>
      <c r="AM111">
        <v>0.37280000000000002</v>
      </c>
      <c r="AN111" t="s">
        <v>430</v>
      </c>
    </row>
    <row r="112" spans="5:40" x14ac:dyDescent="0.45">
      <c r="E112" t="s">
        <v>882</v>
      </c>
      <c r="G112" t="s">
        <v>437</v>
      </c>
      <c r="I112" t="s">
        <v>249</v>
      </c>
      <c r="J112" t="s">
        <v>1010</v>
      </c>
      <c r="K112">
        <v>3.3646641354369999E-4</v>
      </c>
      <c r="L112" t="s">
        <v>251</v>
      </c>
      <c r="N112" t="s">
        <v>419</v>
      </c>
      <c r="O112" t="s">
        <v>1010</v>
      </c>
      <c r="P112">
        <v>2.5185156799779998E-4</v>
      </c>
      <c r="Q112" t="s">
        <v>251</v>
      </c>
      <c r="S112" t="s">
        <v>420</v>
      </c>
      <c r="T112" t="s">
        <v>1010</v>
      </c>
      <c r="U112">
        <v>1.157292796753E-4</v>
      </c>
      <c r="V112" t="s">
        <v>251</v>
      </c>
      <c r="X112">
        <v>1.1415525114155251E-4</v>
      </c>
      <c r="Y112">
        <v>1.4883690094390442E-4</v>
      </c>
      <c r="Z112" t="s">
        <v>1010</v>
      </c>
      <c r="AA112" t="s">
        <v>25</v>
      </c>
      <c r="AC112" t="s">
        <v>22</v>
      </c>
      <c r="AD112" t="s">
        <v>1010</v>
      </c>
      <c r="AE112">
        <v>2.1214039507732831E-4</v>
      </c>
      <c r="AG112" t="s">
        <v>97</v>
      </c>
      <c r="AH112" t="s">
        <v>1010</v>
      </c>
      <c r="AI112">
        <v>0</v>
      </c>
      <c r="AK112">
        <v>2030</v>
      </c>
      <c r="AL112" t="s">
        <v>169</v>
      </c>
      <c r="AM112">
        <v>0.42849999999999999</v>
      </c>
      <c r="AN112" t="s">
        <v>430</v>
      </c>
    </row>
    <row r="113" spans="5:40" x14ac:dyDescent="0.45">
      <c r="E113" t="s">
        <v>883</v>
      </c>
      <c r="G113" t="s">
        <v>437</v>
      </c>
      <c r="I113" t="s">
        <v>249</v>
      </c>
      <c r="J113" t="s">
        <v>1011</v>
      </c>
      <c r="K113">
        <v>3.2187471865340002E-4</v>
      </c>
      <c r="L113" t="s">
        <v>251</v>
      </c>
      <c r="N113" t="s">
        <v>419</v>
      </c>
      <c r="O113" t="s">
        <v>1011</v>
      </c>
      <c r="P113">
        <v>2.6236490241149997E-4</v>
      </c>
      <c r="Q113" t="s">
        <v>251</v>
      </c>
      <c r="S113" t="s">
        <v>420</v>
      </c>
      <c r="T113" t="s">
        <v>1011</v>
      </c>
      <c r="U113">
        <v>1.1723397316269999E-4</v>
      </c>
      <c r="V113" t="s">
        <v>251</v>
      </c>
      <c r="X113">
        <v>1.1415525114155251E-4</v>
      </c>
      <c r="Y113">
        <v>1.5049432745775637E-4</v>
      </c>
      <c r="Z113" t="s">
        <v>1011</v>
      </c>
      <c r="AA113" t="s">
        <v>25</v>
      </c>
      <c r="AC113" t="s">
        <v>22</v>
      </c>
      <c r="AD113" t="s">
        <v>1011</v>
      </c>
      <c r="AE113">
        <v>1.9772681358594564E-4</v>
      </c>
      <c r="AG113" t="s">
        <v>97</v>
      </c>
      <c r="AH113" t="s">
        <v>1011</v>
      </c>
      <c r="AI113">
        <v>0</v>
      </c>
      <c r="AK113">
        <v>2030</v>
      </c>
      <c r="AL113" t="s">
        <v>171</v>
      </c>
      <c r="AM113">
        <v>0.55489999999999995</v>
      </c>
      <c r="AN113" t="s">
        <v>430</v>
      </c>
    </row>
    <row r="114" spans="5:40" x14ac:dyDescent="0.45">
      <c r="E114" t="s">
        <v>884</v>
      </c>
      <c r="G114" t="s">
        <v>437</v>
      </c>
      <c r="I114" t="s">
        <v>249</v>
      </c>
      <c r="J114" t="s">
        <v>1012</v>
      </c>
      <c r="K114">
        <v>2.9572101848139999E-4</v>
      </c>
      <c r="L114" t="s">
        <v>251</v>
      </c>
      <c r="N114" t="s">
        <v>419</v>
      </c>
      <c r="O114" t="s">
        <v>1012</v>
      </c>
      <c r="P114">
        <v>2.7825247922919999E-4</v>
      </c>
      <c r="Q114" t="s">
        <v>251</v>
      </c>
      <c r="S114" t="s">
        <v>420</v>
      </c>
      <c r="T114" t="s">
        <v>1012</v>
      </c>
      <c r="U114">
        <v>1.188903213515E-4</v>
      </c>
      <c r="V114" t="s">
        <v>251</v>
      </c>
      <c r="X114">
        <v>1.1415525114155251E-4</v>
      </c>
      <c r="Y114">
        <v>1.7237235744060203E-4</v>
      </c>
      <c r="Z114" t="s">
        <v>1012</v>
      </c>
      <c r="AA114" t="s">
        <v>25</v>
      </c>
      <c r="AC114" t="s">
        <v>22</v>
      </c>
      <c r="AD114" t="s">
        <v>1012</v>
      </c>
      <c r="AE114">
        <v>1.6885285687800149E-4</v>
      </c>
      <c r="AG114" t="s">
        <v>97</v>
      </c>
      <c r="AH114" t="s">
        <v>1012</v>
      </c>
      <c r="AI114">
        <v>0</v>
      </c>
      <c r="AK114">
        <v>2030</v>
      </c>
      <c r="AL114" t="s">
        <v>158</v>
      </c>
      <c r="AM114">
        <v>0.69620000000000004</v>
      </c>
      <c r="AN114" t="s">
        <v>430</v>
      </c>
    </row>
    <row r="115" spans="5:40" x14ac:dyDescent="0.45">
      <c r="E115" t="s">
        <v>885</v>
      </c>
      <c r="G115" t="s">
        <v>437</v>
      </c>
      <c r="I115" t="s">
        <v>249</v>
      </c>
      <c r="J115" t="s">
        <v>1013</v>
      </c>
      <c r="K115">
        <v>2.6216021800130001E-4</v>
      </c>
      <c r="L115" t="s">
        <v>251</v>
      </c>
      <c r="N115" t="s">
        <v>419</v>
      </c>
      <c r="O115" t="s">
        <v>1013</v>
      </c>
      <c r="P115">
        <v>2.8355375188229999E-4</v>
      </c>
      <c r="Q115" t="s">
        <v>251</v>
      </c>
      <c r="S115" t="s">
        <v>420</v>
      </c>
      <c r="T115" t="s">
        <v>1013</v>
      </c>
      <c r="U115">
        <v>1.2343089524529999E-4</v>
      </c>
      <c r="V115" t="s">
        <v>251</v>
      </c>
      <c r="X115">
        <v>1.1415525114155251E-4</v>
      </c>
      <c r="Y115">
        <v>2.2209515285616027E-4</v>
      </c>
      <c r="Z115" t="s">
        <v>1013</v>
      </c>
      <c r="AA115" t="s">
        <v>25</v>
      </c>
      <c r="AC115" t="s">
        <v>22</v>
      </c>
      <c r="AD115" t="s">
        <v>1013</v>
      </c>
      <c r="AE115">
        <v>1.3351245300487335E-4</v>
      </c>
      <c r="AG115" t="s">
        <v>97</v>
      </c>
      <c r="AH115" t="s">
        <v>1013</v>
      </c>
      <c r="AI115">
        <v>0</v>
      </c>
      <c r="AK115">
        <v>2030</v>
      </c>
      <c r="AL115" t="s">
        <v>162</v>
      </c>
      <c r="AM115">
        <v>0.57189999999999996</v>
      </c>
      <c r="AN115" t="s">
        <v>430</v>
      </c>
    </row>
    <row r="116" spans="5:40" x14ac:dyDescent="0.45">
      <c r="E116" t="s">
        <v>886</v>
      </c>
      <c r="G116" t="s">
        <v>437</v>
      </c>
      <c r="I116" t="s">
        <v>249</v>
      </c>
      <c r="J116" t="s">
        <v>1014</v>
      </c>
      <c r="K116">
        <v>2.0990820797029999E-4</v>
      </c>
      <c r="L116" t="s">
        <v>251</v>
      </c>
      <c r="N116" t="s">
        <v>419</v>
      </c>
      <c r="O116" t="s">
        <v>1014</v>
      </c>
      <c r="P116">
        <v>2.8596745298890001E-4</v>
      </c>
      <c r="Q116" t="s">
        <v>251</v>
      </c>
      <c r="S116" t="s">
        <v>420</v>
      </c>
      <c r="T116" t="s">
        <v>1014</v>
      </c>
      <c r="U116">
        <v>1.293391188076E-4</v>
      </c>
      <c r="V116" t="s">
        <v>251</v>
      </c>
      <c r="X116">
        <v>1.1415525114155251E-4</v>
      </c>
      <c r="Y116">
        <v>2.2209515285616027E-4</v>
      </c>
      <c r="Z116" t="s">
        <v>1014</v>
      </c>
      <c r="AA116" t="s">
        <v>25</v>
      </c>
      <c r="AC116" t="s">
        <v>22</v>
      </c>
      <c r="AD116" t="s">
        <v>1014</v>
      </c>
      <c r="AE116">
        <v>1.0784052406273529E-4</v>
      </c>
      <c r="AG116" t="s">
        <v>97</v>
      </c>
      <c r="AH116" t="s">
        <v>1014</v>
      </c>
      <c r="AI116">
        <v>0</v>
      </c>
      <c r="AK116">
        <v>2030</v>
      </c>
      <c r="AL116" t="s">
        <v>175</v>
      </c>
      <c r="AM116">
        <v>0.4728</v>
      </c>
      <c r="AN116" t="s">
        <v>430</v>
      </c>
    </row>
    <row r="117" spans="5:40" x14ac:dyDescent="0.45">
      <c r="E117" t="s">
        <v>887</v>
      </c>
      <c r="G117" t="s">
        <v>437</v>
      </c>
      <c r="I117" t="s">
        <v>249</v>
      </c>
      <c r="J117" t="s">
        <v>1015</v>
      </c>
      <c r="K117">
        <v>1.3231276909679999E-4</v>
      </c>
      <c r="L117" t="s">
        <v>251</v>
      </c>
      <c r="N117" t="s">
        <v>419</v>
      </c>
      <c r="O117" t="s">
        <v>1015</v>
      </c>
      <c r="P117">
        <v>2.8368919870980003E-4</v>
      </c>
      <c r="Q117" t="s">
        <v>251</v>
      </c>
      <c r="S117" t="s">
        <v>420</v>
      </c>
      <c r="T117" t="s">
        <v>1015</v>
      </c>
      <c r="U117">
        <v>1.3057899963320001E-4</v>
      </c>
      <c r="V117" t="s">
        <v>251</v>
      </c>
      <c r="X117">
        <v>1.1415525114155251E-4</v>
      </c>
      <c r="Y117">
        <v>1.7237235744060203E-4</v>
      </c>
      <c r="Z117" t="s">
        <v>1015</v>
      </c>
      <c r="AA117" t="s">
        <v>25</v>
      </c>
      <c r="AC117" t="s">
        <v>22</v>
      </c>
      <c r="AD117" t="s">
        <v>1015</v>
      </c>
      <c r="AE117">
        <v>1.3863525177563763E-4</v>
      </c>
      <c r="AG117" t="s">
        <v>97</v>
      </c>
      <c r="AH117" t="s">
        <v>1015</v>
      </c>
      <c r="AI117">
        <v>0</v>
      </c>
      <c r="AK117">
        <v>2030</v>
      </c>
      <c r="AL117" t="s">
        <v>166</v>
      </c>
      <c r="AM117">
        <v>0.2646</v>
      </c>
      <c r="AN117" t="s">
        <v>430</v>
      </c>
    </row>
    <row r="118" spans="5:40" x14ac:dyDescent="0.45">
      <c r="E118" t="s">
        <v>888</v>
      </c>
      <c r="G118" t="s">
        <v>437</v>
      </c>
      <c r="I118" t="s">
        <v>249</v>
      </c>
      <c r="J118" t="s">
        <v>1016</v>
      </c>
      <c r="K118">
        <v>4.5599593517079086E-5</v>
      </c>
      <c r="L118" t="s">
        <v>251</v>
      </c>
      <c r="N118" t="s">
        <v>419</v>
      </c>
      <c r="O118" t="s">
        <v>1016</v>
      </c>
      <c r="P118">
        <v>3.0596347485969998E-4</v>
      </c>
      <c r="Q118" t="s">
        <v>251</v>
      </c>
      <c r="S118" t="s">
        <v>420</v>
      </c>
      <c r="T118" t="s">
        <v>1016</v>
      </c>
      <c r="U118">
        <v>1.305856848746E-4</v>
      </c>
      <c r="V118" t="s">
        <v>251</v>
      </c>
      <c r="X118">
        <v>1.1415525114155251E-4</v>
      </c>
      <c r="Y118">
        <v>1.5579809230208258E-4</v>
      </c>
      <c r="Z118" t="s">
        <v>1016</v>
      </c>
      <c r="AA118" t="s">
        <v>25</v>
      </c>
      <c r="AC118" t="s">
        <v>22</v>
      </c>
      <c r="AD118" t="s">
        <v>1016</v>
      </c>
      <c r="AE118">
        <v>1.3152371968477456E-4</v>
      </c>
      <c r="AG118" t="s">
        <v>97</v>
      </c>
      <c r="AH118" t="s">
        <v>1016</v>
      </c>
      <c r="AI118">
        <v>0</v>
      </c>
      <c r="AK118">
        <v>2030</v>
      </c>
      <c r="AL118" t="s">
        <v>178</v>
      </c>
      <c r="AM118">
        <v>0.26090000000000002</v>
      </c>
      <c r="AN118" t="s">
        <v>430</v>
      </c>
    </row>
    <row r="119" spans="5:40" x14ac:dyDescent="0.45">
      <c r="E119" t="s">
        <v>889</v>
      </c>
      <c r="G119" t="s">
        <v>437</v>
      </c>
      <c r="I119" t="s">
        <v>249</v>
      </c>
      <c r="J119" t="s">
        <v>1017</v>
      </c>
      <c r="K119">
        <v>0</v>
      </c>
      <c r="L119" t="s">
        <v>251</v>
      </c>
      <c r="N119" t="s">
        <v>419</v>
      </c>
      <c r="O119" t="s">
        <v>1017</v>
      </c>
      <c r="P119">
        <v>3.2573279140679998E-4</v>
      </c>
      <c r="Q119" t="s">
        <v>251</v>
      </c>
      <c r="S119" t="s">
        <v>420</v>
      </c>
      <c r="T119" t="s">
        <v>1017</v>
      </c>
      <c r="U119">
        <v>1.3553423769150001E-4</v>
      </c>
      <c r="V119" t="s">
        <v>251</v>
      </c>
      <c r="X119">
        <v>1.1415525114155251E-4</v>
      </c>
      <c r="Y119">
        <v>1.093901499142282E-4</v>
      </c>
      <c r="Z119" t="s">
        <v>1017</v>
      </c>
      <c r="AA119" t="s">
        <v>25</v>
      </c>
      <c r="AC119" t="s">
        <v>22</v>
      </c>
      <c r="AD119" t="s">
        <v>1017</v>
      </c>
      <c r="AE119">
        <v>1.234228345472741E-4</v>
      </c>
      <c r="AG119" t="s">
        <v>97</v>
      </c>
      <c r="AH119" t="s">
        <v>1017</v>
      </c>
      <c r="AI119">
        <v>0</v>
      </c>
      <c r="AK119">
        <v>2031</v>
      </c>
      <c r="AL119" t="s">
        <v>151</v>
      </c>
      <c r="AM119">
        <v>0.23710000000000001</v>
      </c>
      <c r="AN119" t="s">
        <v>430</v>
      </c>
    </row>
    <row r="120" spans="5:40" x14ac:dyDescent="0.45">
      <c r="E120" t="s">
        <v>890</v>
      </c>
      <c r="G120" t="s">
        <v>437</v>
      </c>
      <c r="I120" t="s">
        <v>249</v>
      </c>
      <c r="J120" t="s">
        <v>1018</v>
      </c>
      <c r="K120">
        <v>0</v>
      </c>
      <c r="L120" t="s">
        <v>251</v>
      </c>
      <c r="N120" t="s">
        <v>419</v>
      </c>
      <c r="O120" t="s">
        <v>1018</v>
      </c>
      <c r="P120">
        <v>3.3232780612590002E-4</v>
      </c>
      <c r="Q120" t="s">
        <v>251</v>
      </c>
      <c r="S120" t="s">
        <v>420</v>
      </c>
      <c r="T120" t="s">
        <v>1018</v>
      </c>
      <c r="U120">
        <v>1.4039110618269999E-4</v>
      </c>
      <c r="V120" t="s">
        <v>251</v>
      </c>
      <c r="X120">
        <v>1.1415525114155251E-4</v>
      </c>
      <c r="Y120">
        <v>7.9556472664893237E-5</v>
      </c>
      <c r="Z120" t="s">
        <v>1018</v>
      </c>
      <c r="AA120" t="s">
        <v>25</v>
      </c>
      <c r="AC120" t="s">
        <v>22</v>
      </c>
      <c r="AD120" t="s">
        <v>1018</v>
      </c>
      <c r="AE120">
        <v>1.2081352730039937E-4</v>
      </c>
      <c r="AG120" t="s">
        <v>97</v>
      </c>
      <c r="AH120" t="s">
        <v>1018</v>
      </c>
      <c r="AI120">
        <v>0</v>
      </c>
      <c r="AK120">
        <v>2031</v>
      </c>
      <c r="AL120" t="s">
        <v>156</v>
      </c>
      <c r="AM120">
        <v>0.28249999999999997</v>
      </c>
      <c r="AN120" t="s">
        <v>430</v>
      </c>
    </row>
    <row r="121" spans="5:40" x14ac:dyDescent="0.45">
      <c r="E121" t="s">
        <v>891</v>
      </c>
      <c r="G121" t="s">
        <v>437</v>
      </c>
      <c r="I121" t="s">
        <v>249</v>
      </c>
      <c r="J121" t="s">
        <v>1019</v>
      </c>
      <c r="K121">
        <v>0</v>
      </c>
      <c r="L121" t="s">
        <v>251</v>
      </c>
      <c r="N121" t="s">
        <v>419</v>
      </c>
      <c r="O121" t="s">
        <v>1019</v>
      </c>
      <c r="P121">
        <v>3.3011398423280001E-4</v>
      </c>
      <c r="Q121" t="s">
        <v>251</v>
      </c>
      <c r="S121" t="s">
        <v>420</v>
      </c>
      <c r="T121" t="s">
        <v>1019</v>
      </c>
      <c r="U121">
        <v>1.449445414495E-4</v>
      </c>
      <c r="V121" t="s">
        <v>251</v>
      </c>
      <c r="X121">
        <v>1.1415525114155251E-4</v>
      </c>
      <c r="Y121">
        <v>5.6352501470966035E-5</v>
      </c>
      <c r="Z121" t="s">
        <v>1019</v>
      </c>
      <c r="AA121" t="s">
        <v>25</v>
      </c>
      <c r="AC121" t="s">
        <v>22</v>
      </c>
      <c r="AD121" t="s">
        <v>1019</v>
      </c>
      <c r="AE121">
        <v>1.2802533165950274E-4</v>
      </c>
      <c r="AG121" t="s">
        <v>97</v>
      </c>
      <c r="AH121" t="s">
        <v>1019</v>
      </c>
      <c r="AI121">
        <v>0</v>
      </c>
      <c r="AK121">
        <v>2031</v>
      </c>
      <c r="AL121" t="s">
        <v>159</v>
      </c>
      <c r="AM121">
        <v>0.28789999999999999</v>
      </c>
      <c r="AN121" t="s">
        <v>430</v>
      </c>
    </row>
    <row r="122" spans="5:40" x14ac:dyDescent="0.45">
      <c r="E122" t="s">
        <v>892</v>
      </c>
      <c r="G122" t="s">
        <v>437</v>
      </c>
      <c r="I122" t="s">
        <v>249</v>
      </c>
      <c r="J122" t="s">
        <v>1020</v>
      </c>
      <c r="K122">
        <v>0</v>
      </c>
      <c r="L122" t="s">
        <v>251</v>
      </c>
      <c r="N122" t="s">
        <v>419</v>
      </c>
      <c r="O122" t="s">
        <v>1020</v>
      </c>
      <c r="P122">
        <v>3.2607136278639998E-4</v>
      </c>
      <c r="Q122" t="s">
        <v>251</v>
      </c>
      <c r="S122" t="s">
        <v>420</v>
      </c>
      <c r="T122" t="s">
        <v>1020</v>
      </c>
      <c r="U122">
        <v>1.50459068523E-4</v>
      </c>
      <c r="V122" t="s">
        <v>251</v>
      </c>
      <c r="X122">
        <v>1.1415525114155251E-4</v>
      </c>
      <c r="Y122">
        <v>2.9833677249334962E-5</v>
      </c>
      <c r="Z122" t="s">
        <v>1020</v>
      </c>
      <c r="AA122" t="s">
        <v>25</v>
      </c>
      <c r="AC122" t="s">
        <v>22</v>
      </c>
      <c r="AD122" t="s">
        <v>1020</v>
      </c>
      <c r="AE122">
        <v>1.3577192144922088E-4</v>
      </c>
      <c r="AG122" t="s">
        <v>97</v>
      </c>
      <c r="AH122" t="s">
        <v>1020</v>
      </c>
      <c r="AI122">
        <v>0</v>
      </c>
      <c r="AK122">
        <v>2031</v>
      </c>
      <c r="AL122" t="s">
        <v>163</v>
      </c>
      <c r="AM122">
        <v>0.30680000000000002</v>
      </c>
      <c r="AN122" t="s">
        <v>430</v>
      </c>
    </row>
    <row r="123" spans="5:40" x14ac:dyDescent="0.45">
      <c r="E123" t="s">
        <v>893</v>
      </c>
      <c r="G123" t="s">
        <v>437</v>
      </c>
      <c r="I123" t="s">
        <v>249</v>
      </c>
      <c r="J123" t="s">
        <v>291</v>
      </c>
      <c r="K123">
        <v>1.0436857710503405E-3</v>
      </c>
      <c r="L123" t="s">
        <v>251</v>
      </c>
      <c r="N123" t="s">
        <v>419</v>
      </c>
      <c r="O123" t="s">
        <v>291</v>
      </c>
      <c r="P123">
        <v>3.944773700764715E-2</v>
      </c>
      <c r="Q123" t="s">
        <v>251</v>
      </c>
      <c r="S123" t="s">
        <v>420</v>
      </c>
      <c r="T123" t="s">
        <v>291</v>
      </c>
      <c r="U123">
        <v>3.9975692726160098E-2</v>
      </c>
      <c r="V123" t="s">
        <v>251</v>
      </c>
      <c r="X123">
        <v>2.3972602739726026E-2</v>
      </c>
      <c r="Y123">
        <v>9.4672202471222967E-3</v>
      </c>
      <c r="Z123" t="s">
        <v>291</v>
      </c>
      <c r="AA123" t="s">
        <v>25</v>
      </c>
      <c r="AC123" t="s">
        <v>22</v>
      </c>
      <c r="AD123" t="s">
        <v>291</v>
      </c>
      <c r="AE123">
        <v>3.1367388069247076E-2</v>
      </c>
      <c r="AG123" t="s">
        <v>97</v>
      </c>
      <c r="AH123" t="s">
        <v>291</v>
      </c>
      <c r="AI123">
        <v>0.12654517842613111</v>
      </c>
      <c r="AK123">
        <v>2031</v>
      </c>
      <c r="AL123" t="s">
        <v>167</v>
      </c>
      <c r="AM123">
        <v>0.41089999999999999</v>
      </c>
      <c r="AN123" t="s">
        <v>430</v>
      </c>
    </row>
    <row r="124" spans="5:40" x14ac:dyDescent="0.45">
      <c r="E124" t="s">
        <v>894</v>
      </c>
      <c r="G124" t="s">
        <v>437</v>
      </c>
      <c r="I124" t="s">
        <v>249</v>
      </c>
      <c r="J124" t="s">
        <v>292</v>
      </c>
      <c r="K124">
        <v>3.1266623424225292E-3</v>
      </c>
      <c r="L124" t="s">
        <v>251</v>
      </c>
      <c r="N124" t="s">
        <v>419</v>
      </c>
      <c r="O124" t="s">
        <v>292</v>
      </c>
      <c r="P124">
        <v>5.278470963195548E-3</v>
      </c>
      <c r="Q124" t="s">
        <v>251</v>
      </c>
      <c r="S124" t="s">
        <v>420</v>
      </c>
      <c r="T124" t="s">
        <v>292</v>
      </c>
      <c r="U124">
        <v>5.1765481631041842E-3</v>
      </c>
      <c r="V124" t="s">
        <v>251</v>
      </c>
      <c r="X124">
        <v>3.4246575342465752E-3</v>
      </c>
      <c r="Y124">
        <v>5.7181214727892006E-3</v>
      </c>
      <c r="Z124" t="s">
        <v>292</v>
      </c>
      <c r="AA124" t="s">
        <v>25</v>
      </c>
      <c r="AC124" t="s">
        <v>22</v>
      </c>
      <c r="AD124" t="s">
        <v>292</v>
      </c>
      <c r="AE124">
        <v>5.0324410226670127E-3</v>
      </c>
      <c r="AG124" t="s">
        <v>97</v>
      </c>
      <c r="AH124" t="s">
        <v>292</v>
      </c>
      <c r="AI124">
        <v>5.4623288193452524E-2</v>
      </c>
      <c r="AK124">
        <v>2031</v>
      </c>
      <c r="AL124" t="s">
        <v>169</v>
      </c>
      <c r="AM124">
        <v>0.4637</v>
      </c>
      <c r="AN124" t="s">
        <v>430</v>
      </c>
    </row>
    <row r="125" spans="5:40" x14ac:dyDescent="0.45">
      <c r="E125" t="s">
        <v>895</v>
      </c>
      <c r="G125" t="s">
        <v>437</v>
      </c>
      <c r="I125" t="s">
        <v>249</v>
      </c>
      <c r="J125" t="s">
        <v>293</v>
      </c>
      <c r="K125">
        <v>5.0750441322154997E-3</v>
      </c>
      <c r="L125" t="s">
        <v>251</v>
      </c>
      <c r="N125" t="s">
        <v>419</v>
      </c>
      <c r="O125" t="s">
        <v>293</v>
      </c>
      <c r="P125">
        <v>6.1018272305427643E-3</v>
      </c>
      <c r="Q125" t="s">
        <v>251</v>
      </c>
      <c r="S125" t="s">
        <v>420</v>
      </c>
      <c r="T125" t="s">
        <v>293</v>
      </c>
      <c r="U125">
        <v>5.1174221310656444E-3</v>
      </c>
      <c r="V125" t="s">
        <v>251</v>
      </c>
      <c r="X125">
        <v>3.4246575342465752E-3</v>
      </c>
      <c r="Y125">
        <v>4.3756059965691279E-3</v>
      </c>
      <c r="Z125" t="s">
        <v>293</v>
      </c>
      <c r="AA125" t="s">
        <v>25</v>
      </c>
      <c r="AC125" t="s">
        <v>22</v>
      </c>
      <c r="AD125" t="s">
        <v>293</v>
      </c>
      <c r="AE125">
        <v>5.0825125368809503E-3</v>
      </c>
      <c r="AG125" t="s">
        <v>97</v>
      </c>
      <c r="AH125" t="s">
        <v>293</v>
      </c>
      <c r="AI125">
        <v>4.8634603784541763E-2</v>
      </c>
      <c r="AK125">
        <v>2031</v>
      </c>
      <c r="AL125" t="s">
        <v>171</v>
      </c>
      <c r="AM125">
        <v>0.54390000000000005</v>
      </c>
      <c r="AN125" t="s">
        <v>430</v>
      </c>
    </row>
    <row r="126" spans="5:40" x14ac:dyDescent="0.45">
      <c r="E126" t="s">
        <v>896</v>
      </c>
      <c r="G126" t="s">
        <v>437</v>
      </c>
      <c r="I126" t="s">
        <v>249</v>
      </c>
      <c r="J126" t="s">
        <v>294</v>
      </c>
      <c r="K126">
        <v>6.5019753804751003E-3</v>
      </c>
      <c r="L126" t="s">
        <v>251</v>
      </c>
      <c r="N126" t="s">
        <v>419</v>
      </c>
      <c r="O126" t="s">
        <v>294</v>
      </c>
      <c r="P126">
        <v>6.3253143755274271E-3</v>
      </c>
      <c r="Q126" t="s">
        <v>251</v>
      </c>
      <c r="S126" t="s">
        <v>420</v>
      </c>
      <c r="T126" t="s">
        <v>294</v>
      </c>
      <c r="U126">
        <v>5.1175180867328723E-3</v>
      </c>
      <c r="V126" t="s">
        <v>251</v>
      </c>
      <c r="X126">
        <v>3.4246575342465752E-3</v>
      </c>
      <c r="Y126">
        <v>4.3358277602366805E-3</v>
      </c>
      <c r="Z126" t="s">
        <v>294</v>
      </c>
      <c r="AA126" t="s">
        <v>25</v>
      </c>
      <c r="AC126" t="s">
        <v>22</v>
      </c>
      <c r="AD126" t="s">
        <v>294</v>
      </c>
      <c r="AE126">
        <v>5.0888608855968742E-3</v>
      </c>
      <c r="AG126" t="s">
        <v>97</v>
      </c>
      <c r="AH126" t="s">
        <v>294</v>
      </c>
      <c r="AI126">
        <v>4.7880179351180274E-2</v>
      </c>
      <c r="AK126">
        <v>2031</v>
      </c>
      <c r="AL126" t="s">
        <v>158</v>
      </c>
      <c r="AM126">
        <v>0.67930000000000001</v>
      </c>
      <c r="AN126" t="s">
        <v>430</v>
      </c>
    </row>
    <row r="127" spans="5:40" x14ac:dyDescent="0.45">
      <c r="E127" t="s">
        <v>897</v>
      </c>
      <c r="G127" t="s">
        <v>437</v>
      </c>
      <c r="I127" t="s">
        <v>249</v>
      </c>
      <c r="J127" t="s">
        <v>295</v>
      </c>
      <c r="K127">
        <v>5.2408395071258398E-2</v>
      </c>
      <c r="L127" t="s">
        <v>251</v>
      </c>
      <c r="N127" t="s">
        <v>419</v>
      </c>
      <c r="O127" t="s">
        <v>295</v>
      </c>
      <c r="P127">
        <v>4.4149492272705773E-2</v>
      </c>
      <c r="Q127" t="s">
        <v>251</v>
      </c>
      <c r="S127" t="s">
        <v>420</v>
      </c>
      <c r="T127" t="s">
        <v>295</v>
      </c>
      <c r="U127">
        <v>3.8365477548783382E-2</v>
      </c>
      <c r="V127" t="s">
        <v>251</v>
      </c>
      <c r="X127">
        <v>2.3972602739726026E-2</v>
      </c>
      <c r="Y127">
        <v>3.3533053228252493E-2</v>
      </c>
      <c r="Z127" t="s">
        <v>295</v>
      </c>
      <c r="AA127" t="s">
        <v>25</v>
      </c>
      <c r="AC127" t="s">
        <v>22</v>
      </c>
      <c r="AD127" t="s">
        <v>295</v>
      </c>
      <c r="AE127">
        <v>3.6083706461427875E-2</v>
      </c>
      <c r="AG127" t="s">
        <v>97</v>
      </c>
      <c r="AH127" t="s">
        <v>295</v>
      </c>
      <c r="AI127">
        <v>0.12780921466955442</v>
      </c>
      <c r="AK127">
        <v>2031</v>
      </c>
      <c r="AL127" t="s">
        <v>162</v>
      </c>
      <c r="AM127">
        <v>0.55269999999999997</v>
      </c>
      <c r="AN127" t="s">
        <v>430</v>
      </c>
    </row>
    <row r="128" spans="5:40" x14ac:dyDescent="0.45">
      <c r="E128" t="s">
        <v>898</v>
      </c>
      <c r="G128" t="s">
        <v>437</v>
      </c>
      <c r="I128" t="s">
        <v>249</v>
      </c>
      <c r="J128" t="s">
        <v>296</v>
      </c>
      <c r="K128">
        <v>4.2724821694190831E-3</v>
      </c>
      <c r="L128" t="s">
        <v>251</v>
      </c>
      <c r="N128" t="s">
        <v>419</v>
      </c>
      <c r="O128" t="s">
        <v>296</v>
      </c>
      <c r="P128">
        <v>6.3009483613797098E-3</v>
      </c>
      <c r="Q128" t="s">
        <v>251</v>
      </c>
      <c r="S128" t="s">
        <v>420</v>
      </c>
      <c r="T128" t="s">
        <v>296</v>
      </c>
      <c r="U128">
        <v>5.8747546722316092E-3</v>
      </c>
      <c r="V128" t="s">
        <v>251</v>
      </c>
      <c r="X128">
        <v>3.4246575342465752E-3</v>
      </c>
      <c r="Y128">
        <v>6.662854585684809E-3</v>
      </c>
      <c r="Z128" t="s">
        <v>296</v>
      </c>
      <c r="AA128" t="s">
        <v>25</v>
      </c>
      <c r="AC128" t="s">
        <v>22</v>
      </c>
      <c r="AD128" t="s">
        <v>296</v>
      </c>
      <c r="AE128">
        <v>3.1423811851982193E-3</v>
      </c>
      <c r="AG128" t="s">
        <v>97</v>
      </c>
      <c r="AH128" t="s">
        <v>296</v>
      </c>
      <c r="AI128">
        <v>8.9423036891613572E-2</v>
      </c>
      <c r="AK128">
        <v>2031</v>
      </c>
      <c r="AL128" t="s">
        <v>175</v>
      </c>
      <c r="AM128">
        <v>0.4325</v>
      </c>
      <c r="AN128" t="s">
        <v>430</v>
      </c>
    </row>
    <row r="129" spans="5:40" x14ac:dyDescent="0.45">
      <c r="E129" t="s">
        <v>899</v>
      </c>
      <c r="G129" t="s">
        <v>437</v>
      </c>
      <c r="I129" t="s">
        <v>249</v>
      </c>
      <c r="J129" t="s">
        <v>297</v>
      </c>
      <c r="K129">
        <v>2.380249128749159E-3</v>
      </c>
      <c r="L129" t="s">
        <v>251</v>
      </c>
      <c r="N129" t="s">
        <v>419</v>
      </c>
      <c r="O129" t="s">
        <v>297</v>
      </c>
      <c r="P129">
        <v>6.4942321030568998E-3</v>
      </c>
      <c r="Q129" t="s">
        <v>251</v>
      </c>
      <c r="S129" t="s">
        <v>420</v>
      </c>
      <c r="T129" t="s">
        <v>297</v>
      </c>
      <c r="U129">
        <v>6.0119750941272799E-3</v>
      </c>
      <c r="V129" t="s">
        <v>251</v>
      </c>
      <c r="X129">
        <v>3.4246575342465752E-3</v>
      </c>
      <c r="Y129">
        <v>5.1711707232180593E-3</v>
      </c>
      <c r="Z129" t="s">
        <v>297</v>
      </c>
      <c r="AA129" t="s">
        <v>25</v>
      </c>
      <c r="AC129" t="s">
        <v>22</v>
      </c>
      <c r="AD129" t="s">
        <v>297</v>
      </c>
      <c r="AE129">
        <v>3.8905794267177396E-3</v>
      </c>
      <c r="AG129" t="s">
        <v>97</v>
      </c>
      <c r="AH129" t="s">
        <v>297</v>
      </c>
      <c r="AI129">
        <v>1.6280183193151831E-2</v>
      </c>
      <c r="AK129">
        <v>2031</v>
      </c>
      <c r="AL129" t="s">
        <v>166</v>
      </c>
      <c r="AM129">
        <v>0.28139999999999998</v>
      </c>
      <c r="AN129" t="s">
        <v>430</v>
      </c>
    </row>
    <row r="130" spans="5:40" x14ac:dyDescent="0.45">
      <c r="E130" t="s">
        <v>900</v>
      </c>
      <c r="G130" t="s">
        <v>437</v>
      </c>
      <c r="I130" t="s">
        <v>249</v>
      </c>
      <c r="J130" t="s">
        <v>298</v>
      </c>
      <c r="K130">
        <v>6.5942701400987245E-4</v>
      </c>
      <c r="L130" t="s">
        <v>251</v>
      </c>
      <c r="N130" t="s">
        <v>419</v>
      </c>
      <c r="O130" t="s">
        <v>298</v>
      </c>
      <c r="P130">
        <v>3.4052871775288797E-2</v>
      </c>
      <c r="Q130" t="s">
        <v>251</v>
      </c>
      <c r="S130" t="s">
        <v>420</v>
      </c>
      <c r="T130" t="s">
        <v>298</v>
      </c>
      <c r="U130">
        <v>3.0989048617552705E-2</v>
      </c>
      <c r="V130" t="s">
        <v>251</v>
      </c>
      <c r="X130">
        <v>1.7123287671232876E-2</v>
      </c>
      <c r="Y130">
        <v>1.2927926808045149E-2</v>
      </c>
      <c r="Z130" t="s">
        <v>298</v>
      </c>
      <c r="AA130" t="s">
        <v>25</v>
      </c>
      <c r="AC130" t="s">
        <v>22</v>
      </c>
      <c r="AD130" t="s">
        <v>298</v>
      </c>
      <c r="AE130">
        <v>1.7665221966811109E-2</v>
      </c>
      <c r="AG130" t="s">
        <v>97</v>
      </c>
      <c r="AH130" t="s">
        <v>298</v>
      </c>
      <c r="AI130">
        <v>5.6224292849093915E-2</v>
      </c>
      <c r="AK130">
        <v>2031</v>
      </c>
      <c r="AL130" t="s">
        <v>178</v>
      </c>
      <c r="AM130">
        <v>0.24030000000000001</v>
      </c>
      <c r="AN130" t="s">
        <v>430</v>
      </c>
    </row>
    <row r="131" spans="5:40" x14ac:dyDescent="0.45">
      <c r="E131" t="s">
        <v>461</v>
      </c>
      <c r="G131" t="s">
        <v>439</v>
      </c>
      <c r="I131" t="s">
        <v>249</v>
      </c>
      <c r="J131" t="s">
        <v>299</v>
      </c>
      <c r="K131">
        <v>3.9949852694818087E-4</v>
      </c>
      <c r="L131" t="s">
        <v>251</v>
      </c>
      <c r="N131" t="s">
        <v>419</v>
      </c>
      <c r="O131" t="s">
        <v>299</v>
      </c>
      <c r="P131">
        <v>5.21461902063994E-2</v>
      </c>
      <c r="Q131" t="s">
        <v>251</v>
      </c>
      <c r="S131" t="s">
        <v>420</v>
      </c>
      <c r="T131" t="s">
        <v>299</v>
      </c>
      <c r="U131">
        <v>5.8266126603190097E-2</v>
      </c>
      <c r="V131" t="s">
        <v>251</v>
      </c>
      <c r="X131">
        <v>2.4771689497716895E-2</v>
      </c>
      <c r="Y131">
        <v>9.7827942553597048E-3</v>
      </c>
      <c r="Z131" t="s">
        <v>299</v>
      </c>
      <c r="AA131" t="s">
        <v>25</v>
      </c>
      <c r="AC131" t="s">
        <v>22</v>
      </c>
      <c r="AD131" t="s">
        <v>299</v>
      </c>
      <c r="AE131">
        <v>3.1290129919684682E-2</v>
      </c>
      <c r="AG131" t="s">
        <v>97</v>
      </c>
      <c r="AH131" t="s">
        <v>299</v>
      </c>
      <c r="AI131">
        <v>9.0557243741560711E-2</v>
      </c>
      <c r="AK131">
        <v>2032</v>
      </c>
      <c r="AL131" t="s">
        <v>151</v>
      </c>
      <c r="AM131">
        <v>0.22370000000000001</v>
      </c>
      <c r="AN131" t="s">
        <v>430</v>
      </c>
    </row>
    <row r="132" spans="5:40" x14ac:dyDescent="0.45">
      <c r="E132" t="s">
        <v>462</v>
      </c>
      <c r="G132" t="s">
        <v>439</v>
      </c>
      <c r="I132" t="s">
        <v>249</v>
      </c>
      <c r="J132" t="s">
        <v>300</v>
      </c>
      <c r="K132">
        <v>1.5950621698403843E-3</v>
      </c>
      <c r="L132" t="s">
        <v>251</v>
      </c>
      <c r="N132" t="s">
        <v>419</v>
      </c>
      <c r="O132" t="s">
        <v>300</v>
      </c>
      <c r="P132">
        <v>6.9797535869503E-3</v>
      </c>
      <c r="Q132" t="s">
        <v>251</v>
      </c>
      <c r="S132" t="s">
        <v>420</v>
      </c>
      <c r="T132" t="s">
        <v>300</v>
      </c>
      <c r="U132">
        <v>7.9219619050836E-3</v>
      </c>
      <c r="V132" t="s">
        <v>251</v>
      </c>
      <c r="X132">
        <v>3.5388127853881279E-3</v>
      </c>
      <c r="Y132">
        <v>5.9087255218821738E-3</v>
      </c>
      <c r="Z132" t="s">
        <v>300</v>
      </c>
      <c r="AA132" t="s">
        <v>25</v>
      </c>
      <c r="AC132" t="s">
        <v>22</v>
      </c>
      <c r="AD132" t="s">
        <v>300</v>
      </c>
      <c r="AE132">
        <v>4.878510750396468E-3</v>
      </c>
      <c r="AG132" t="s">
        <v>97</v>
      </c>
      <c r="AH132" t="s">
        <v>300</v>
      </c>
      <c r="AI132">
        <v>3.8525592846895274E-2</v>
      </c>
      <c r="AK132">
        <v>2032</v>
      </c>
      <c r="AL132" t="s">
        <v>156</v>
      </c>
      <c r="AM132">
        <v>0.27400000000000002</v>
      </c>
      <c r="AN132" t="s">
        <v>430</v>
      </c>
    </row>
    <row r="133" spans="5:40" x14ac:dyDescent="0.45">
      <c r="E133" t="s">
        <v>463</v>
      </c>
      <c r="G133" t="s">
        <v>439</v>
      </c>
      <c r="I133" t="s">
        <v>249</v>
      </c>
      <c r="J133" t="s">
        <v>301</v>
      </c>
      <c r="K133">
        <v>3.0283477756202618E-3</v>
      </c>
      <c r="L133" t="s">
        <v>251</v>
      </c>
      <c r="N133" t="s">
        <v>419</v>
      </c>
      <c r="O133" t="s">
        <v>301</v>
      </c>
      <c r="P133">
        <v>7.7421033792447001E-3</v>
      </c>
      <c r="Q133" t="s">
        <v>251</v>
      </c>
      <c r="S133" t="s">
        <v>420</v>
      </c>
      <c r="T133" t="s">
        <v>301</v>
      </c>
      <c r="U133">
        <v>7.8743154094812005E-3</v>
      </c>
      <c r="V133" t="s">
        <v>251</v>
      </c>
      <c r="X133">
        <v>3.5388127853881279E-3</v>
      </c>
      <c r="Y133">
        <v>4.521459529788099E-3</v>
      </c>
      <c r="Z133" t="s">
        <v>301</v>
      </c>
      <c r="AA133" t="s">
        <v>25</v>
      </c>
      <c r="AC133" t="s">
        <v>22</v>
      </c>
      <c r="AD133" t="s">
        <v>301</v>
      </c>
      <c r="AE133">
        <v>4.9283984321186322E-3</v>
      </c>
      <c r="AG133" t="s">
        <v>97</v>
      </c>
      <c r="AH133" t="s">
        <v>301</v>
      </c>
      <c r="AI133">
        <v>6.5790488331782804E-2</v>
      </c>
      <c r="AK133">
        <v>2032</v>
      </c>
      <c r="AL133" t="s">
        <v>159</v>
      </c>
      <c r="AM133">
        <v>0.26619999999999999</v>
      </c>
      <c r="AN133" t="s">
        <v>430</v>
      </c>
    </row>
    <row r="134" spans="5:40" x14ac:dyDescent="0.45">
      <c r="E134" t="s">
        <v>464</v>
      </c>
      <c r="G134" t="s">
        <v>439</v>
      </c>
      <c r="I134" t="s">
        <v>249</v>
      </c>
      <c r="J134" t="s">
        <v>302</v>
      </c>
      <c r="K134">
        <v>4.2983747799500358E-3</v>
      </c>
      <c r="L134" t="s">
        <v>251</v>
      </c>
      <c r="N134" t="s">
        <v>419</v>
      </c>
      <c r="O134" t="s">
        <v>302</v>
      </c>
      <c r="P134">
        <v>8.1553262393319007E-3</v>
      </c>
      <c r="Q134" t="s">
        <v>251</v>
      </c>
      <c r="S134" t="s">
        <v>420</v>
      </c>
      <c r="T134" t="s">
        <v>302</v>
      </c>
      <c r="U134">
        <v>7.8451054959140995E-3</v>
      </c>
      <c r="V134" t="s">
        <v>251</v>
      </c>
      <c r="X134">
        <v>3.5388127853881279E-3</v>
      </c>
      <c r="Y134">
        <v>4.4803553522445696E-3</v>
      </c>
      <c r="Z134" t="s">
        <v>302</v>
      </c>
      <c r="AA134" t="s">
        <v>25</v>
      </c>
      <c r="AC134" t="s">
        <v>22</v>
      </c>
      <c r="AD134" t="s">
        <v>302</v>
      </c>
      <c r="AE134">
        <v>4.937018504778355E-3</v>
      </c>
      <c r="AG134" t="s">
        <v>97</v>
      </c>
      <c r="AH134" t="s">
        <v>302</v>
      </c>
      <c r="AI134">
        <v>5.5477041993539533E-2</v>
      </c>
      <c r="AK134">
        <v>2032</v>
      </c>
      <c r="AL134" t="s">
        <v>163</v>
      </c>
      <c r="AM134">
        <v>0.30599999999999999</v>
      </c>
      <c r="AN134" t="s">
        <v>430</v>
      </c>
    </row>
    <row r="135" spans="5:40" x14ac:dyDescent="0.45">
      <c r="E135" t="s">
        <v>465</v>
      </c>
      <c r="G135" t="s">
        <v>439</v>
      </c>
      <c r="I135" t="s">
        <v>249</v>
      </c>
      <c r="J135" t="s">
        <v>303</v>
      </c>
      <c r="K135">
        <v>3.8843648177558546E-2</v>
      </c>
      <c r="L135" t="s">
        <v>251</v>
      </c>
      <c r="N135" t="s">
        <v>419</v>
      </c>
      <c r="O135" t="s">
        <v>303</v>
      </c>
      <c r="P135">
        <v>5.84657992409887E-2</v>
      </c>
      <c r="Q135" t="s">
        <v>251</v>
      </c>
      <c r="S135" t="s">
        <v>420</v>
      </c>
      <c r="T135" t="s">
        <v>303</v>
      </c>
      <c r="U135">
        <v>5.5983631985480599E-2</v>
      </c>
      <c r="V135" t="s">
        <v>251</v>
      </c>
      <c r="X135">
        <v>2.4771689497716895E-2</v>
      </c>
      <c r="Y135">
        <v>3.4650821669194247E-2</v>
      </c>
      <c r="Z135" t="s">
        <v>303</v>
      </c>
      <c r="AA135" t="s">
        <v>25</v>
      </c>
      <c r="AC135" t="s">
        <v>22</v>
      </c>
      <c r="AD135" t="s">
        <v>303</v>
      </c>
      <c r="AE135">
        <v>3.5605578723758191E-2</v>
      </c>
      <c r="AG135" t="s">
        <v>97</v>
      </c>
      <c r="AH135" t="s">
        <v>303</v>
      </c>
      <c r="AI135">
        <v>0.11764578777160528</v>
      </c>
      <c r="AK135">
        <v>2032</v>
      </c>
      <c r="AL135" t="s">
        <v>167</v>
      </c>
      <c r="AM135">
        <v>0.41270000000000001</v>
      </c>
      <c r="AN135" t="s">
        <v>430</v>
      </c>
    </row>
    <row r="136" spans="5:40" x14ac:dyDescent="0.45">
      <c r="E136" t="s">
        <v>466</v>
      </c>
      <c r="G136" t="s">
        <v>439</v>
      </c>
      <c r="I136" t="s">
        <v>249</v>
      </c>
      <c r="J136" t="s">
        <v>304</v>
      </c>
      <c r="K136">
        <v>2.7779154947420817E-3</v>
      </c>
      <c r="L136" t="s">
        <v>251</v>
      </c>
      <c r="N136" t="s">
        <v>419</v>
      </c>
      <c r="O136" t="s">
        <v>304</v>
      </c>
      <c r="P136">
        <v>8.3100494361197999E-3</v>
      </c>
      <c r="Q136" t="s">
        <v>251</v>
      </c>
      <c r="S136" t="s">
        <v>420</v>
      </c>
      <c r="T136" t="s">
        <v>304</v>
      </c>
      <c r="U136">
        <v>8.3495263949457006E-3</v>
      </c>
      <c r="V136" t="s">
        <v>251</v>
      </c>
      <c r="X136">
        <v>3.5388127853881279E-3</v>
      </c>
      <c r="Y136">
        <v>6.8849497385409693E-3</v>
      </c>
      <c r="Z136" t="s">
        <v>304</v>
      </c>
      <c r="AA136" t="s">
        <v>25</v>
      </c>
      <c r="AC136" t="s">
        <v>22</v>
      </c>
      <c r="AD136" t="s">
        <v>304</v>
      </c>
      <c r="AE136">
        <v>3.0673261932617898E-3</v>
      </c>
      <c r="AG136" t="s">
        <v>97</v>
      </c>
      <c r="AH136" t="s">
        <v>304</v>
      </c>
      <c r="AI136">
        <v>4.169317729613109E-2</v>
      </c>
      <c r="AK136">
        <v>2032</v>
      </c>
      <c r="AL136" t="s">
        <v>169</v>
      </c>
      <c r="AM136">
        <v>0.51</v>
      </c>
      <c r="AN136" t="s">
        <v>430</v>
      </c>
    </row>
    <row r="137" spans="5:40" x14ac:dyDescent="0.45">
      <c r="E137" t="s">
        <v>467</v>
      </c>
      <c r="G137" t="s">
        <v>439</v>
      </c>
      <c r="I137" t="s">
        <v>249</v>
      </c>
      <c r="J137" t="s">
        <v>305</v>
      </c>
      <c r="K137">
        <v>1.4128730063523956E-3</v>
      </c>
      <c r="L137" t="s">
        <v>251</v>
      </c>
      <c r="N137" t="s">
        <v>419</v>
      </c>
      <c r="O137" t="s">
        <v>305</v>
      </c>
      <c r="P137">
        <v>8.4304595037270995E-3</v>
      </c>
      <c r="Q137" t="s">
        <v>251</v>
      </c>
      <c r="S137" t="s">
        <v>420</v>
      </c>
      <c r="T137" t="s">
        <v>305</v>
      </c>
      <c r="U137">
        <v>8.4649161656644E-3</v>
      </c>
      <c r="V137" t="s">
        <v>251</v>
      </c>
      <c r="X137">
        <v>3.5388127853881279E-3</v>
      </c>
      <c r="Y137">
        <v>5.3435430806586613E-3</v>
      </c>
      <c r="Z137" t="s">
        <v>305</v>
      </c>
      <c r="AA137" t="s">
        <v>25</v>
      </c>
      <c r="AC137" t="s">
        <v>22</v>
      </c>
      <c r="AD137" t="s">
        <v>305</v>
      </c>
      <c r="AE137">
        <v>3.7456547182714863E-3</v>
      </c>
      <c r="AG137" t="s">
        <v>97</v>
      </c>
      <c r="AH137" t="s">
        <v>305</v>
      </c>
      <c r="AI137">
        <v>1.8929036410713973E-2</v>
      </c>
      <c r="AK137">
        <v>2032</v>
      </c>
      <c r="AL137" t="s">
        <v>171</v>
      </c>
      <c r="AM137">
        <v>0.51129999999999998</v>
      </c>
      <c r="AN137" t="s">
        <v>430</v>
      </c>
    </row>
    <row r="138" spans="5:40" x14ac:dyDescent="0.45">
      <c r="E138" t="s">
        <v>468</v>
      </c>
      <c r="G138" t="s">
        <v>439</v>
      </c>
      <c r="I138" t="s">
        <v>249</v>
      </c>
      <c r="J138" t="s">
        <v>306</v>
      </c>
      <c r="K138">
        <v>3.1655616640138384E-4</v>
      </c>
      <c r="L138" t="s">
        <v>251</v>
      </c>
      <c r="N138" t="s">
        <v>419</v>
      </c>
      <c r="O138" t="s">
        <v>306</v>
      </c>
      <c r="P138">
        <v>4.2188424357887597E-2</v>
      </c>
      <c r="Q138" t="s">
        <v>251</v>
      </c>
      <c r="S138" t="s">
        <v>420</v>
      </c>
      <c r="T138" t="s">
        <v>306</v>
      </c>
      <c r="U138">
        <v>4.2296696757634797E-2</v>
      </c>
      <c r="V138" t="s">
        <v>251</v>
      </c>
      <c r="X138">
        <v>1.7694063926940638E-2</v>
      </c>
      <c r="Y138">
        <v>1.3358857701646654E-2</v>
      </c>
      <c r="Z138" t="s">
        <v>306</v>
      </c>
      <c r="AA138" t="s">
        <v>25</v>
      </c>
      <c r="AC138" t="s">
        <v>22</v>
      </c>
      <c r="AD138" t="s">
        <v>306</v>
      </c>
      <c r="AE138">
        <v>1.7309067814546067E-2</v>
      </c>
      <c r="AG138" t="s">
        <v>97</v>
      </c>
      <c r="AH138" t="s">
        <v>306</v>
      </c>
      <c r="AI138">
        <v>7.3955067275157216E-2</v>
      </c>
      <c r="AK138">
        <v>2032</v>
      </c>
      <c r="AL138" t="s">
        <v>158</v>
      </c>
      <c r="AM138">
        <v>0.61519999999999997</v>
      </c>
      <c r="AN138" t="s">
        <v>430</v>
      </c>
    </row>
    <row r="139" spans="5:40" x14ac:dyDescent="0.45">
      <c r="E139" t="s">
        <v>469</v>
      </c>
      <c r="G139" t="s">
        <v>439</v>
      </c>
      <c r="I139" t="s">
        <v>249</v>
      </c>
      <c r="J139" t="s">
        <v>307</v>
      </c>
      <c r="K139">
        <v>2.7636625871195226E-4</v>
      </c>
      <c r="L139" t="s">
        <v>251</v>
      </c>
      <c r="N139" t="s">
        <v>419</v>
      </c>
      <c r="O139" t="s">
        <v>307</v>
      </c>
      <c r="P139">
        <v>2.9861311187154297E-2</v>
      </c>
      <c r="Q139" t="s">
        <v>251</v>
      </c>
      <c r="S139" t="s">
        <v>420</v>
      </c>
      <c r="T139" t="s">
        <v>307</v>
      </c>
      <c r="U139">
        <v>3.3955278111826928E-2</v>
      </c>
      <c r="V139" t="s">
        <v>251</v>
      </c>
      <c r="X139">
        <v>2.0776255707762557E-2</v>
      </c>
      <c r="Y139">
        <v>8.2049242141726559E-3</v>
      </c>
      <c r="Z139" t="s">
        <v>307</v>
      </c>
      <c r="AA139" t="s">
        <v>25</v>
      </c>
      <c r="AC139" t="s">
        <v>22</v>
      </c>
      <c r="AD139" t="s">
        <v>307</v>
      </c>
      <c r="AE139">
        <v>2.3512299293297418E-2</v>
      </c>
      <c r="AG139" t="s">
        <v>97</v>
      </c>
      <c r="AH139" t="s">
        <v>307</v>
      </c>
      <c r="AI139">
        <v>0.12436747250502989</v>
      </c>
      <c r="AK139">
        <v>2032</v>
      </c>
      <c r="AL139" t="s">
        <v>162</v>
      </c>
      <c r="AM139">
        <v>0.57240000000000002</v>
      </c>
      <c r="AN139" t="s">
        <v>430</v>
      </c>
    </row>
    <row r="140" spans="5:40" x14ac:dyDescent="0.45">
      <c r="E140" t="s">
        <v>470</v>
      </c>
      <c r="G140" t="s">
        <v>439</v>
      </c>
      <c r="I140" t="s">
        <v>249</v>
      </c>
      <c r="J140" t="s">
        <v>308</v>
      </c>
      <c r="K140">
        <v>1.470490572620195E-3</v>
      </c>
      <c r="L140" t="s">
        <v>251</v>
      </c>
      <c r="N140" t="s">
        <v>419</v>
      </c>
      <c r="O140" t="s">
        <v>308</v>
      </c>
      <c r="P140">
        <v>4.039711147549036E-3</v>
      </c>
      <c r="Q140" t="s">
        <v>251</v>
      </c>
      <c r="S140" t="s">
        <v>420</v>
      </c>
      <c r="T140" t="s">
        <v>308</v>
      </c>
      <c r="U140">
        <v>4.4984217423749903E-3</v>
      </c>
      <c r="V140" t="s">
        <v>251</v>
      </c>
      <c r="X140">
        <v>2.9680365296803654E-3</v>
      </c>
      <c r="Y140">
        <v>4.9557052764173069E-3</v>
      </c>
      <c r="Z140" t="s">
        <v>308</v>
      </c>
      <c r="AA140" t="s">
        <v>25</v>
      </c>
      <c r="AC140" t="s">
        <v>22</v>
      </c>
      <c r="AD140" t="s">
        <v>308</v>
      </c>
      <c r="AE140">
        <v>3.8964495018517804E-3</v>
      </c>
      <c r="AG140" t="s">
        <v>97</v>
      </c>
      <c r="AH140" t="s">
        <v>308</v>
      </c>
      <c r="AI140">
        <v>3.8946519652547806E-2</v>
      </c>
      <c r="AK140">
        <v>2032</v>
      </c>
      <c r="AL140" t="s">
        <v>175</v>
      </c>
      <c r="AM140">
        <v>0.41599999999999998</v>
      </c>
      <c r="AN140" t="s">
        <v>430</v>
      </c>
    </row>
    <row r="141" spans="5:40" x14ac:dyDescent="0.45">
      <c r="E141" t="s">
        <v>471</v>
      </c>
      <c r="G141" t="s">
        <v>439</v>
      </c>
      <c r="I141" t="s">
        <v>249</v>
      </c>
      <c r="J141" t="s">
        <v>309</v>
      </c>
      <c r="K141">
        <v>2.9967466814948816E-3</v>
      </c>
      <c r="L141" t="s">
        <v>251</v>
      </c>
      <c r="N141" t="s">
        <v>419</v>
      </c>
      <c r="O141" t="s">
        <v>309</v>
      </c>
      <c r="P141">
        <v>4.7349505754210024E-3</v>
      </c>
      <c r="Q141" t="s">
        <v>251</v>
      </c>
      <c r="S141" t="s">
        <v>420</v>
      </c>
      <c r="T141" t="s">
        <v>309</v>
      </c>
      <c r="U141">
        <v>4.4299659267647805E-3</v>
      </c>
      <c r="V141" t="s">
        <v>251</v>
      </c>
      <c r="X141">
        <v>2.9680365296803654E-3</v>
      </c>
      <c r="Y141">
        <v>3.7921918636932448E-3</v>
      </c>
      <c r="Z141" t="s">
        <v>309</v>
      </c>
      <c r="AA141" t="s">
        <v>25</v>
      </c>
      <c r="AC141" t="s">
        <v>22</v>
      </c>
      <c r="AD141" t="s">
        <v>309</v>
      </c>
      <c r="AE141">
        <v>3.9250270983002588E-3</v>
      </c>
      <c r="AG141" t="s">
        <v>97</v>
      </c>
      <c r="AH141" t="s">
        <v>309</v>
      </c>
      <c r="AI141">
        <v>3.6914868265085499E-2</v>
      </c>
      <c r="AK141">
        <v>2032</v>
      </c>
      <c r="AL141" t="s">
        <v>166</v>
      </c>
      <c r="AM141">
        <v>0.27539999999999998</v>
      </c>
      <c r="AN141" t="s">
        <v>430</v>
      </c>
    </row>
    <row r="142" spans="5:40" x14ac:dyDescent="0.45">
      <c r="E142" t="s">
        <v>472</v>
      </c>
      <c r="G142" t="s">
        <v>439</v>
      </c>
      <c r="I142" t="s">
        <v>249</v>
      </c>
      <c r="J142" t="s">
        <v>310</v>
      </c>
      <c r="K142">
        <v>4.2816200392466666E-3</v>
      </c>
      <c r="L142" t="s">
        <v>251</v>
      </c>
      <c r="N142" t="s">
        <v>419</v>
      </c>
      <c r="O142" t="s">
        <v>310</v>
      </c>
      <c r="P142">
        <v>4.7729951467661699E-3</v>
      </c>
      <c r="Q142" t="s">
        <v>251</v>
      </c>
      <c r="S142" t="s">
        <v>420</v>
      </c>
      <c r="T142" t="s">
        <v>310</v>
      </c>
      <c r="U142">
        <v>4.3672882684247828E-3</v>
      </c>
      <c r="V142" t="s">
        <v>251</v>
      </c>
      <c r="X142">
        <v>2.9680365296803654E-3</v>
      </c>
      <c r="Y142">
        <v>3.7577173922051237E-3</v>
      </c>
      <c r="Z142" t="s">
        <v>310</v>
      </c>
      <c r="AA142" t="s">
        <v>25</v>
      </c>
      <c r="AC142" t="s">
        <v>22</v>
      </c>
      <c r="AD142" t="s">
        <v>310</v>
      </c>
      <c r="AE142">
        <v>3.9171835786512409E-3</v>
      </c>
      <c r="AG142" t="s">
        <v>97</v>
      </c>
      <c r="AH142" t="s">
        <v>310</v>
      </c>
      <c r="AI142">
        <v>3.8041696745869213E-2</v>
      </c>
      <c r="AK142">
        <v>2032</v>
      </c>
      <c r="AL142" t="s">
        <v>178</v>
      </c>
      <c r="AM142">
        <v>0.2432</v>
      </c>
      <c r="AN142" t="s">
        <v>430</v>
      </c>
    </row>
    <row r="143" spans="5:40" x14ac:dyDescent="0.45">
      <c r="E143" t="s">
        <v>473</v>
      </c>
      <c r="G143" t="s">
        <v>439</v>
      </c>
      <c r="I143" t="s">
        <v>249</v>
      </c>
      <c r="J143" t="s">
        <v>311</v>
      </c>
      <c r="K143">
        <v>3.6435854123744012E-2</v>
      </c>
      <c r="L143" t="s">
        <v>251</v>
      </c>
      <c r="N143" t="s">
        <v>419</v>
      </c>
      <c r="O143" t="s">
        <v>311</v>
      </c>
      <c r="P143">
        <v>3.4579487143279956E-2</v>
      </c>
      <c r="Q143" t="s">
        <v>251</v>
      </c>
      <c r="S143" t="s">
        <v>420</v>
      </c>
      <c r="T143" t="s">
        <v>311</v>
      </c>
      <c r="U143">
        <v>3.0978116664996495E-2</v>
      </c>
      <c r="V143" t="s">
        <v>251</v>
      </c>
      <c r="X143">
        <v>2.0776255707762557E-2</v>
      </c>
      <c r="Y143">
        <v>2.90619794644855E-2</v>
      </c>
      <c r="Z143" t="s">
        <v>311</v>
      </c>
      <c r="AA143" t="s">
        <v>25</v>
      </c>
      <c r="AC143" t="s">
        <v>22</v>
      </c>
      <c r="AD143" t="s">
        <v>311</v>
      </c>
      <c r="AE143">
        <v>2.8729623617195499E-2</v>
      </c>
      <c r="AG143" t="s">
        <v>97</v>
      </c>
      <c r="AH143" t="s">
        <v>311</v>
      </c>
      <c r="AI143">
        <v>0.14594351149170981</v>
      </c>
      <c r="AK143">
        <v>2033</v>
      </c>
      <c r="AL143" t="s">
        <v>151</v>
      </c>
      <c r="AM143">
        <v>0.26369999999999999</v>
      </c>
      <c r="AN143" t="s">
        <v>430</v>
      </c>
    </row>
    <row r="144" spans="5:40" x14ac:dyDescent="0.45">
      <c r="E144" t="s">
        <v>474</v>
      </c>
      <c r="G144" t="s">
        <v>439</v>
      </c>
      <c r="I144" t="s">
        <v>249</v>
      </c>
      <c r="J144" t="s">
        <v>312</v>
      </c>
      <c r="K144">
        <v>2.6821857106824067E-3</v>
      </c>
      <c r="L144" t="s">
        <v>251</v>
      </c>
      <c r="N144" t="s">
        <v>419</v>
      </c>
      <c r="O144" t="s">
        <v>312</v>
      </c>
      <c r="P144">
        <v>4.6379169213899988E-3</v>
      </c>
      <c r="Q144" t="s">
        <v>251</v>
      </c>
      <c r="S144" t="s">
        <v>420</v>
      </c>
      <c r="T144" t="s">
        <v>312</v>
      </c>
      <c r="U144">
        <v>4.4750969356631811E-3</v>
      </c>
      <c r="V144" t="s">
        <v>251</v>
      </c>
      <c r="X144">
        <v>2.9680365296803654E-3</v>
      </c>
      <c r="Y144">
        <v>5.7744739742601678E-3</v>
      </c>
      <c r="Z144" t="s">
        <v>312</v>
      </c>
      <c r="AA144" t="s">
        <v>25</v>
      </c>
      <c r="AC144" t="s">
        <v>22</v>
      </c>
      <c r="AD144" t="s">
        <v>312</v>
      </c>
      <c r="AE144">
        <v>2.2424305838205949E-3</v>
      </c>
      <c r="AG144" t="s">
        <v>97</v>
      </c>
      <c r="AH144" t="s">
        <v>312</v>
      </c>
      <c r="AI144">
        <v>3.8152906050995528E-2</v>
      </c>
      <c r="AK144">
        <v>2033</v>
      </c>
      <c r="AL144" t="s">
        <v>156</v>
      </c>
      <c r="AM144">
        <v>0.28339999999999999</v>
      </c>
      <c r="AN144" t="s">
        <v>430</v>
      </c>
    </row>
    <row r="145" spans="5:40" x14ac:dyDescent="0.45">
      <c r="E145" t="s">
        <v>475</v>
      </c>
      <c r="G145" t="s">
        <v>439</v>
      </c>
      <c r="I145" t="s">
        <v>249</v>
      </c>
      <c r="J145" t="s">
        <v>313</v>
      </c>
      <c r="K145">
        <v>1.2379489066040824E-3</v>
      </c>
      <c r="L145" t="s">
        <v>251</v>
      </c>
      <c r="N145" t="s">
        <v>419</v>
      </c>
      <c r="O145" t="s">
        <v>313</v>
      </c>
      <c r="P145">
        <v>4.6975359975702452E-3</v>
      </c>
      <c r="Q145" t="s">
        <v>251</v>
      </c>
      <c r="S145" t="s">
        <v>420</v>
      </c>
      <c r="T145" t="s">
        <v>313</v>
      </c>
      <c r="U145">
        <v>4.5125355645834093E-3</v>
      </c>
      <c r="V145" t="s">
        <v>251</v>
      </c>
      <c r="X145">
        <v>2.9680365296803654E-3</v>
      </c>
      <c r="Y145">
        <v>4.4816812934556517E-3</v>
      </c>
      <c r="Z145" t="s">
        <v>313</v>
      </c>
      <c r="AA145" t="s">
        <v>25</v>
      </c>
      <c r="AC145" t="s">
        <v>22</v>
      </c>
      <c r="AD145" t="s">
        <v>313</v>
      </c>
      <c r="AE145">
        <v>1.4708287948937938E-3</v>
      </c>
      <c r="AG145" t="s">
        <v>97</v>
      </c>
      <c r="AH145" t="s">
        <v>313</v>
      </c>
      <c r="AI145">
        <v>3.8958886369777623E-2</v>
      </c>
      <c r="AK145">
        <v>2033</v>
      </c>
      <c r="AL145" t="s">
        <v>159</v>
      </c>
      <c r="AM145">
        <v>0.26419999999999999</v>
      </c>
      <c r="AN145" t="s">
        <v>430</v>
      </c>
    </row>
    <row r="146" spans="5:40" x14ac:dyDescent="0.45">
      <c r="E146" t="s">
        <v>476</v>
      </c>
      <c r="G146" t="s">
        <v>439</v>
      </c>
      <c r="I146" t="s">
        <v>249</v>
      </c>
      <c r="J146" t="s">
        <v>314</v>
      </c>
      <c r="K146">
        <v>1.6908201643948479E-4</v>
      </c>
      <c r="L146" t="s">
        <v>251</v>
      </c>
      <c r="N146" t="s">
        <v>419</v>
      </c>
      <c r="O146" t="s">
        <v>314</v>
      </c>
      <c r="P146">
        <v>2.3023309807869784E-2</v>
      </c>
      <c r="Q146" t="s">
        <v>251</v>
      </c>
      <c r="S146" t="s">
        <v>420</v>
      </c>
      <c r="T146" t="s">
        <v>314</v>
      </c>
      <c r="U146">
        <v>2.2891225949445159E-2</v>
      </c>
      <c r="V146" t="s">
        <v>251</v>
      </c>
      <c r="X146">
        <v>1.4840182648401826E-2</v>
      </c>
      <c r="Y146">
        <v>1.1204203233639128E-2</v>
      </c>
      <c r="Z146" t="s">
        <v>314</v>
      </c>
      <c r="AA146" t="s">
        <v>25</v>
      </c>
      <c r="AC146" t="s">
        <v>22</v>
      </c>
      <c r="AD146" t="s">
        <v>314</v>
      </c>
      <c r="AE146">
        <v>7.6642716163640616E-3</v>
      </c>
      <c r="AG146" t="s">
        <v>97</v>
      </c>
      <c r="AH146" t="s">
        <v>314</v>
      </c>
      <c r="AI146">
        <v>0.1685721876316304</v>
      </c>
      <c r="AK146">
        <v>2033</v>
      </c>
      <c r="AL146" t="s">
        <v>163</v>
      </c>
      <c r="AM146">
        <v>0.30669999999999997</v>
      </c>
      <c r="AN146" t="s">
        <v>430</v>
      </c>
    </row>
    <row r="147" spans="5:40" x14ac:dyDescent="0.45">
      <c r="E147" t="s">
        <v>477</v>
      </c>
      <c r="G147" t="s">
        <v>439</v>
      </c>
      <c r="I147" t="s">
        <v>249</v>
      </c>
      <c r="J147" t="s">
        <v>1021</v>
      </c>
      <c r="K147">
        <v>0</v>
      </c>
      <c r="L147" t="s">
        <v>251</v>
      </c>
      <c r="N147" t="s">
        <v>419</v>
      </c>
      <c r="O147" t="s">
        <v>1021</v>
      </c>
      <c r="P147">
        <v>1.2601112764770001E-4</v>
      </c>
      <c r="Q147" t="s">
        <v>251</v>
      </c>
      <c r="S147" t="s">
        <v>420</v>
      </c>
      <c r="T147" t="s">
        <v>1021</v>
      </c>
      <c r="U147">
        <v>1.7798239725810001E-4</v>
      </c>
      <c r="V147" t="s">
        <v>251</v>
      </c>
      <c r="X147">
        <v>1.1415525114155251E-4</v>
      </c>
      <c r="Y147">
        <v>2.1546544680075254E-5</v>
      </c>
      <c r="Z147" t="s">
        <v>1021</v>
      </c>
      <c r="AA147" t="s">
        <v>25</v>
      </c>
      <c r="AC147" t="s">
        <v>22</v>
      </c>
      <c r="AD147" t="s">
        <v>1021</v>
      </c>
      <c r="AE147">
        <v>8.3562990104477759E-5</v>
      </c>
      <c r="AG147" t="s">
        <v>97</v>
      </c>
      <c r="AH147" t="s">
        <v>1021</v>
      </c>
      <c r="AI147">
        <v>0</v>
      </c>
      <c r="AK147">
        <v>2033</v>
      </c>
      <c r="AL147" t="s">
        <v>167</v>
      </c>
      <c r="AM147">
        <v>0.41010000000000002</v>
      </c>
      <c r="AN147" t="s">
        <v>430</v>
      </c>
    </row>
    <row r="148" spans="5:40" x14ac:dyDescent="0.45">
      <c r="E148" t="s">
        <v>478</v>
      </c>
      <c r="G148" t="s">
        <v>439</v>
      </c>
      <c r="I148" t="s">
        <v>249</v>
      </c>
      <c r="J148" t="s">
        <v>1022</v>
      </c>
      <c r="K148">
        <v>0</v>
      </c>
      <c r="L148" t="s">
        <v>251</v>
      </c>
      <c r="N148" t="s">
        <v>419</v>
      </c>
      <c r="O148" t="s">
        <v>1022</v>
      </c>
      <c r="P148">
        <v>1.211834667305E-4</v>
      </c>
      <c r="Q148" t="s">
        <v>251</v>
      </c>
      <c r="S148" t="s">
        <v>420</v>
      </c>
      <c r="T148" t="s">
        <v>1022</v>
      </c>
      <c r="U148">
        <v>1.8424080289859999E-4</v>
      </c>
      <c r="V148" t="s">
        <v>251</v>
      </c>
      <c r="X148">
        <v>1.1415525114155251E-4</v>
      </c>
      <c r="Y148">
        <v>1.4916838624667481E-5</v>
      </c>
      <c r="Z148" t="s">
        <v>1022</v>
      </c>
      <c r="AA148" t="s">
        <v>25</v>
      </c>
      <c r="AC148" t="s">
        <v>22</v>
      </c>
      <c r="AD148" t="s">
        <v>1022</v>
      </c>
      <c r="AE148">
        <v>9.805121872888376E-5</v>
      </c>
      <c r="AG148" t="s">
        <v>97</v>
      </c>
      <c r="AH148" t="s">
        <v>1022</v>
      </c>
      <c r="AI148">
        <v>0</v>
      </c>
      <c r="AK148">
        <v>2033</v>
      </c>
      <c r="AL148" t="s">
        <v>169</v>
      </c>
      <c r="AM148">
        <v>0.51259999999999994</v>
      </c>
      <c r="AN148" t="s">
        <v>430</v>
      </c>
    </row>
    <row r="149" spans="5:40" x14ac:dyDescent="0.45">
      <c r="E149" t="s">
        <v>479</v>
      </c>
      <c r="G149" t="s">
        <v>439</v>
      </c>
      <c r="I149" t="s">
        <v>249</v>
      </c>
      <c r="J149" t="s">
        <v>1023</v>
      </c>
      <c r="K149">
        <v>0</v>
      </c>
      <c r="L149" t="s">
        <v>251</v>
      </c>
      <c r="N149" t="s">
        <v>419</v>
      </c>
      <c r="O149" t="s">
        <v>1023</v>
      </c>
      <c r="P149">
        <v>1.083316747056E-4</v>
      </c>
      <c r="Q149" t="s">
        <v>251</v>
      </c>
      <c r="S149" t="s">
        <v>420</v>
      </c>
      <c r="T149" t="s">
        <v>1023</v>
      </c>
      <c r="U149">
        <v>1.8554314921530001E-4</v>
      </c>
      <c r="V149" t="s">
        <v>251</v>
      </c>
      <c r="X149">
        <v>1.1415525114155251E-4</v>
      </c>
      <c r="Y149">
        <v>1.6574265138519424E-5</v>
      </c>
      <c r="Z149" t="s">
        <v>1023</v>
      </c>
      <c r="AA149" t="s">
        <v>25</v>
      </c>
      <c r="AC149" t="s">
        <v>22</v>
      </c>
      <c r="AD149" t="s">
        <v>1023</v>
      </c>
      <c r="AE149">
        <v>1.2149933158871525E-4</v>
      </c>
      <c r="AG149" t="s">
        <v>97</v>
      </c>
      <c r="AH149" t="s">
        <v>1023</v>
      </c>
      <c r="AI149">
        <v>0</v>
      </c>
      <c r="AK149">
        <v>2033</v>
      </c>
      <c r="AL149" t="s">
        <v>171</v>
      </c>
      <c r="AM149">
        <v>0.50719999999999998</v>
      </c>
      <c r="AN149" t="s">
        <v>430</v>
      </c>
    </row>
    <row r="150" spans="5:40" x14ac:dyDescent="0.45">
      <c r="E150" t="s">
        <v>480</v>
      </c>
      <c r="G150" t="s">
        <v>439</v>
      </c>
      <c r="I150" t="s">
        <v>249</v>
      </c>
      <c r="J150" t="s">
        <v>1024</v>
      </c>
      <c r="K150">
        <v>0</v>
      </c>
      <c r="L150" t="s">
        <v>251</v>
      </c>
      <c r="N150" t="s">
        <v>419</v>
      </c>
      <c r="O150" t="s">
        <v>1024</v>
      </c>
      <c r="P150">
        <v>9.8520048618432765E-5</v>
      </c>
      <c r="Q150" t="s">
        <v>251</v>
      </c>
      <c r="S150" t="s">
        <v>420</v>
      </c>
      <c r="T150" t="s">
        <v>1024</v>
      </c>
      <c r="U150">
        <v>1.7961260235230001E-4</v>
      </c>
      <c r="V150" t="s">
        <v>251</v>
      </c>
      <c r="X150">
        <v>1.1415525114155251E-4</v>
      </c>
      <c r="Y150">
        <v>1.4585353321897093E-5</v>
      </c>
      <c r="Z150" t="s">
        <v>1024</v>
      </c>
      <c r="AA150" t="s">
        <v>25</v>
      </c>
      <c r="AC150" t="s">
        <v>22</v>
      </c>
      <c r="AD150" t="s">
        <v>1024</v>
      </c>
      <c r="AE150">
        <v>1.3843308942187017E-4</v>
      </c>
      <c r="AG150" t="s">
        <v>97</v>
      </c>
      <c r="AH150" t="s">
        <v>1024</v>
      </c>
      <c r="AI150">
        <v>0</v>
      </c>
      <c r="AK150">
        <v>2033</v>
      </c>
      <c r="AL150" t="s">
        <v>158</v>
      </c>
      <c r="AM150">
        <v>0.70079999999999998</v>
      </c>
      <c r="AN150" t="s">
        <v>430</v>
      </c>
    </row>
    <row r="151" spans="5:40" x14ac:dyDescent="0.45">
      <c r="E151" t="s">
        <v>481</v>
      </c>
      <c r="G151" t="s">
        <v>439</v>
      </c>
      <c r="I151" t="s">
        <v>249</v>
      </c>
      <c r="J151" t="s">
        <v>1025</v>
      </c>
      <c r="K151">
        <v>0</v>
      </c>
      <c r="L151" t="s">
        <v>251</v>
      </c>
      <c r="N151" t="s">
        <v>419</v>
      </c>
      <c r="O151" t="s">
        <v>1025</v>
      </c>
      <c r="P151">
        <v>9.34572788900108E-5</v>
      </c>
      <c r="Q151" t="s">
        <v>251</v>
      </c>
      <c r="S151" t="s">
        <v>420</v>
      </c>
      <c r="T151" t="s">
        <v>1025</v>
      </c>
      <c r="U151">
        <v>1.7526482950529999E-4</v>
      </c>
      <c r="V151" t="s">
        <v>251</v>
      </c>
      <c r="X151">
        <v>1.1415525114155251E-4</v>
      </c>
      <c r="Y151">
        <v>2.1215059377304864E-5</v>
      </c>
      <c r="Z151" t="s">
        <v>1025</v>
      </c>
      <c r="AA151" t="s">
        <v>25</v>
      </c>
      <c r="AC151" t="s">
        <v>22</v>
      </c>
      <c r="AD151" t="s">
        <v>1025</v>
      </c>
      <c r="AE151">
        <v>1.4317596770963519E-4</v>
      </c>
      <c r="AG151" t="s">
        <v>97</v>
      </c>
      <c r="AH151" t="s">
        <v>1025</v>
      </c>
      <c r="AI151">
        <v>0</v>
      </c>
      <c r="AK151">
        <v>2033</v>
      </c>
      <c r="AL151" t="s">
        <v>162</v>
      </c>
      <c r="AM151">
        <v>0.58540000000000003</v>
      </c>
      <c r="AN151" t="s">
        <v>430</v>
      </c>
    </row>
    <row r="152" spans="5:40" x14ac:dyDescent="0.45">
      <c r="E152" t="s">
        <v>482</v>
      </c>
      <c r="G152" t="s">
        <v>439</v>
      </c>
      <c r="I152" t="s">
        <v>249</v>
      </c>
      <c r="J152" t="s">
        <v>1026</v>
      </c>
      <c r="K152">
        <v>0</v>
      </c>
      <c r="L152" t="s">
        <v>251</v>
      </c>
      <c r="N152" t="s">
        <v>419</v>
      </c>
      <c r="O152" t="s">
        <v>1026</v>
      </c>
      <c r="P152">
        <v>9.4784510750611122E-5</v>
      </c>
      <c r="Q152" t="s">
        <v>251</v>
      </c>
      <c r="S152" t="s">
        <v>420</v>
      </c>
      <c r="T152" t="s">
        <v>1026</v>
      </c>
      <c r="U152">
        <v>1.693023390476E-4</v>
      </c>
      <c r="V152" t="s">
        <v>251</v>
      </c>
      <c r="X152">
        <v>1.1415525114155251E-4</v>
      </c>
      <c r="Y152">
        <v>5.7678442682047593E-5</v>
      </c>
      <c r="Z152" t="s">
        <v>1026</v>
      </c>
      <c r="AA152" t="s">
        <v>25</v>
      </c>
      <c r="AC152" t="s">
        <v>22</v>
      </c>
      <c r="AD152" t="s">
        <v>1026</v>
      </c>
      <c r="AE152">
        <v>1.4344001801600126E-4</v>
      </c>
      <c r="AG152" t="s">
        <v>97</v>
      </c>
      <c r="AH152" t="s">
        <v>1026</v>
      </c>
      <c r="AI152">
        <v>0</v>
      </c>
      <c r="AK152">
        <v>2033</v>
      </c>
      <c r="AL152" t="s">
        <v>175</v>
      </c>
      <c r="AM152">
        <v>0.44950000000000001</v>
      </c>
      <c r="AN152" t="s">
        <v>430</v>
      </c>
    </row>
    <row r="153" spans="5:40" x14ac:dyDescent="0.45">
      <c r="E153" t="s">
        <v>483</v>
      </c>
      <c r="G153" t="s">
        <v>439</v>
      </c>
      <c r="I153" t="s">
        <v>249</v>
      </c>
      <c r="J153" t="s">
        <v>1027</v>
      </c>
      <c r="K153">
        <v>5.8830506525029086E-6</v>
      </c>
      <c r="L153" t="s">
        <v>251</v>
      </c>
      <c r="N153" t="s">
        <v>419</v>
      </c>
      <c r="O153" t="s">
        <v>1027</v>
      </c>
      <c r="P153">
        <v>9.12287856459073E-5</v>
      </c>
      <c r="Q153" t="s">
        <v>251</v>
      </c>
      <c r="S153" t="s">
        <v>420</v>
      </c>
      <c r="T153" t="s">
        <v>1027</v>
      </c>
      <c r="U153">
        <v>1.601932940855E-4</v>
      </c>
      <c r="V153" t="s">
        <v>251</v>
      </c>
      <c r="X153">
        <v>1.1415525114155251E-4</v>
      </c>
      <c r="Y153">
        <v>1.6905750441289813E-4</v>
      </c>
      <c r="Z153" t="s">
        <v>1027</v>
      </c>
      <c r="AA153" t="s">
        <v>25</v>
      </c>
      <c r="AC153" t="s">
        <v>22</v>
      </c>
      <c r="AD153" t="s">
        <v>1027</v>
      </c>
      <c r="AE153">
        <v>1.4344001801600126E-4</v>
      </c>
      <c r="AG153" t="s">
        <v>97</v>
      </c>
      <c r="AH153" t="s">
        <v>1027</v>
      </c>
      <c r="AI153">
        <v>0</v>
      </c>
      <c r="AK153">
        <v>2033</v>
      </c>
      <c r="AL153" t="s">
        <v>166</v>
      </c>
      <c r="AM153">
        <v>0.31309999999999999</v>
      </c>
      <c r="AN153" t="s">
        <v>430</v>
      </c>
    </row>
    <row r="154" spans="5:40" x14ac:dyDescent="0.45">
      <c r="E154" t="s">
        <v>484</v>
      </c>
      <c r="G154" t="s">
        <v>439</v>
      </c>
      <c r="I154" t="s">
        <v>249</v>
      </c>
      <c r="J154" t="s">
        <v>1028</v>
      </c>
      <c r="K154">
        <v>2.6374471772130844E-5</v>
      </c>
      <c r="L154" t="s">
        <v>251</v>
      </c>
      <c r="N154" t="s">
        <v>419</v>
      </c>
      <c r="O154" t="s">
        <v>1028</v>
      </c>
      <c r="P154">
        <v>1.054113109837E-4</v>
      </c>
      <c r="Q154" t="s">
        <v>251</v>
      </c>
      <c r="S154" t="s">
        <v>420</v>
      </c>
      <c r="T154" t="s">
        <v>1028</v>
      </c>
      <c r="U154">
        <v>1.5540023864360001E-4</v>
      </c>
      <c r="V154" t="s">
        <v>251</v>
      </c>
      <c r="X154">
        <v>1.1415525114155251E-4</v>
      </c>
      <c r="Y154">
        <v>1.9060404909297337E-4</v>
      </c>
      <c r="Z154" t="s">
        <v>1028</v>
      </c>
      <c r="AA154" t="s">
        <v>25</v>
      </c>
      <c r="AC154" t="s">
        <v>22</v>
      </c>
      <c r="AD154" t="s">
        <v>1028</v>
      </c>
      <c r="AE154">
        <v>1.4369961177711219E-4</v>
      </c>
      <c r="AG154" t="s">
        <v>97</v>
      </c>
      <c r="AH154" t="s">
        <v>1028</v>
      </c>
      <c r="AI154">
        <v>0</v>
      </c>
      <c r="AK154">
        <v>2033</v>
      </c>
      <c r="AL154" t="s">
        <v>178</v>
      </c>
      <c r="AM154">
        <v>0.24959999999999999</v>
      </c>
      <c r="AN154" t="s">
        <v>430</v>
      </c>
    </row>
    <row r="155" spans="5:40" x14ac:dyDescent="0.45">
      <c r="E155" t="s">
        <v>153</v>
      </c>
      <c r="G155" t="s">
        <v>441</v>
      </c>
      <c r="I155" t="s">
        <v>249</v>
      </c>
      <c r="J155" t="s">
        <v>1029</v>
      </c>
      <c r="K155">
        <v>5.8718185060113219E-5</v>
      </c>
      <c r="L155" t="s">
        <v>251</v>
      </c>
      <c r="N155" t="s">
        <v>419</v>
      </c>
      <c r="O155" t="s">
        <v>1029</v>
      </c>
      <c r="P155">
        <v>1.207104011835E-4</v>
      </c>
      <c r="Q155" t="s">
        <v>251</v>
      </c>
      <c r="S155" t="s">
        <v>420</v>
      </c>
      <c r="T155" t="s">
        <v>1029</v>
      </c>
      <c r="U155">
        <v>1.5313587284409999E-4</v>
      </c>
      <c r="V155" t="s">
        <v>251</v>
      </c>
      <c r="X155">
        <v>1.1415525114155251E-4</v>
      </c>
      <c r="Y155">
        <v>1.4585353321897094E-4</v>
      </c>
      <c r="Z155" t="s">
        <v>1029</v>
      </c>
      <c r="AA155" t="s">
        <v>25</v>
      </c>
      <c r="AC155" t="s">
        <v>22</v>
      </c>
      <c r="AD155" t="s">
        <v>1029</v>
      </c>
      <c r="AE155">
        <v>1.4386338981523799E-4</v>
      </c>
      <c r="AG155" t="s">
        <v>97</v>
      </c>
      <c r="AH155" t="s">
        <v>1029</v>
      </c>
      <c r="AI155">
        <v>0</v>
      </c>
      <c r="AK155">
        <v>2034</v>
      </c>
      <c r="AL155" t="s">
        <v>151</v>
      </c>
      <c r="AM155">
        <v>0.23400000000000001</v>
      </c>
      <c r="AN155" t="s">
        <v>430</v>
      </c>
    </row>
    <row r="156" spans="5:40" x14ac:dyDescent="0.45">
      <c r="E156" t="s">
        <v>157</v>
      </c>
      <c r="G156" t="s">
        <v>441</v>
      </c>
      <c r="I156" t="s">
        <v>249</v>
      </c>
      <c r="J156" t="s">
        <v>1030</v>
      </c>
      <c r="K156">
        <v>9.1337058678560095E-5</v>
      </c>
      <c r="L156" t="s">
        <v>251</v>
      </c>
      <c r="N156" t="s">
        <v>419</v>
      </c>
      <c r="O156" t="s">
        <v>1030</v>
      </c>
      <c r="P156">
        <v>1.3247918325539999E-4</v>
      </c>
      <c r="Q156" t="s">
        <v>251</v>
      </c>
      <c r="S156" t="s">
        <v>420</v>
      </c>
      <c r="T156" t="s">
        <v>1030</v>
      </c>
      <c r="U156">
        <v>1.5541915171739999E-4</v>
      </c>
      <c r="V156" t="s">
        <v>251</v>
      </c>
      <c r="X156">
        <v>1.1415525114155251E-4</v>
      </c>
      <c r="Y156">
        <v>1.4452759200788939E-4</v>
      </c>
      <c r="Z156" t="s">
        <v>1030</v>
      </c>
      <c r="AA156" t="s">
        <v>25</v>
      </c>
      <c r="AC156" t="s">
        <v>22</v>
      </c>
      <c r="AD156" t="s">
        <v>1030</v>
      </c>
      <c r="AE156">
        <v>1.4386338981523799E-4</v>
      </c>
      <c r="AG156" t="s">
        <v>97</v>
      </c>
      <c r="AH156" t="s">
        <v>1030</v>
      </c>
      <c r="AI156">
        <v>0</v>
      </c>
      <c r="AK156">
        <v>2034</v>
      </c>
      <c r="AL156" t="s">
        <v>156</v>
      </c>
      <c r="AM156">
        <v>0.28210000000000002</v>
      </c>
      <c r="AN156" t="s">
        <v>430</v>
      </c>
    </row>
    <row r="157" spans="5:40" x14ac:dyDescent="0.45">
      <c r="E157" t="s">
        <v>161</v>
      </c>
      <c r="G157" t="s">
        <v>441</v>
      </c>
      <c r="I157" t="s">
        <v>249</v>
      </c>
      <c r="J157" t="s">
        <v>1031</v>
      </c>
      <c r="K157">
        <v>1.172473371246E-4</v>
      </c>
      <c r="L157" t="s">
        <v>251</v>
      </c>
      <c r="N157" t="s">
        <v>419</v>
      </c>
      <c r="O157" t="s">
        <v>1031</v>
      </c>
      <c r="P157">
        <v>1.2802060636720001E-4</v>
      </c>
      <c r="Q157" t="s">
        <v>251</v>
      </c>
      <c r="S157" t="s">
        <v>420</v>
      </c>
      <c r="T157" t="s">
        <v>1031</v>
      </c>
      <c r="U157">
        <v>1.604746370069E-4</v>
      </c>
      <c r="V157" t="s">
        <v>251</v>
      </c>
      <c r="X157">
        <v>1.1415525114155251E-4</v>
      </c>
      <c r="Y157">
        <v>1.408812536774151E-4</v>
      </c>
      <c r="Z157" t="s">
        <v>1031</v>
      </c>
      <c r="AA157" t="s">
        <v>25</v>
      </c>
      <c r="AC157" t="s">
        <v>22</v>
      </c>
      <c r="AD157" t="s">
        <v>1031</v>
      </c>
      <c r="AE157">
        <v>1.4387564531468953E-4</v>
      </c>
      <c r="AG157" t="s">
        <v>97</v>
      </c>
      <c r="AH157" t="s">
        <v>1031</v>
      </c>
      <c r="AI157">
        <v>0</v>
      </c>
      <c r="AK157">
        <v>2034</v>
      </c>
      <c r="AL157" t="s">
        <v>159</v>
      </c>
      <c r="AM157">
        <v>0.27650000000000002</v>
      </c>
      <c r="AN157" t="s">
        <v>430</v>
      </c>
    </row>
    <row r="158" spans="5:40" x14ac:dyDescent="0.45">
      <c r="E158" t="s">
        <v>165</v>
      </c>
      <c r="G158" t="s">
        <v>441</v>
      </c>
      <c r="I158" t="s">
        <v>249</v>
      </c>
      <c r="J158" t="s">
        <v>1032</v>
      </c>
      <c r="K158">
        <v>1.591540995549E-4</v>
      </c>
      <c r="L158" t="s">
        <v>251</v>
      </c>
      <c r="N158" t="s">
        <v>419</v>
      </c>
      <c r="O158" t="s">
        <v>1032</v>
      </c>
      <c r="P158">
        <v>1.2249370299149999E-4</v>
      </c>
      <c r="Q158" t="s">
        <v>251</v>
      </c>
      <c r="S158" t="s">
        <v>420</v>
      </c>
      <c r="T158" t="s">
        <v>1032</v>
      </c>
      <c r="U158">
        <v>1.6586853691730001E-4</v>
      </c>
      <c r="V158" t="s">
        <v>251</v>
      </c>
      <c r="X158">
        <v>1.1415525114155251E-4</v>
      </c>
      <c r="Y158">
        <v>1.4054976837464471E-4</v>
      </c>
      <c r="Z158" t="s">
        <v>1032</v>
      </c>
      <c r="AA158" t="s">
        <v>25</v>
      </c>
      <c r="AC158" t="s">
        <v>22</v>
      </c>
      <c r="AD158" t="s">
        <v>1032</v>
      </c>
      <c r="AE158">
        <v>1.4416086421101745E-4</v>
      </c>
      <c r="AG158" t="s">
        <v>97</v>
      </c>
      <c r="AH158" t="s">
        <v>1032</v>
      </c>
      <c r="AI158">
        <v>0</v>
      </c>
      <c r="AK158">
        <v>2034</v>
      </c>
      <c r="AL158" t="s">
        <v>163</v>
      </c>
      <c r="AM158">
        <v>0.31869999999999998</v>
      </c>
      <c r="AN158" t="s">
        <v>430</v>
      </c>
    </row>
    <row r="159" spans="5:40" x14ac:dyDescent="0.45">
      <c r="E159" t="s">
        <v>168</v>
      </c>
      <c r="G159" t="s">
        <v>441</v>
      </c>
      <c r="I159" t="s">
        <v>249</v>
      </c>
      <c r="J159" t="s">
        <v>1033</v>
      </c>
      <c r="K159">
        <v>1.884276671698E-4</v>
      </c>
      <c r="L159" t="s">
        <v>251</v>
      </c>
      <c r="N159" t="s">
        <v>419</v>
      </c>
      <c r="O159" t="s">
        <v>1033</v>
      </c>
      <c r="P159">
        <v>1.214479262059E-4</v>
      </c>
      <c r="Q159" t="s">
        <v>251</v>
      </c>
      <c r="S159" t="s">
        <v>420</v>
      </c>
      <c r="T159" t="s">
        <v>1033</v>
      </c>
      <c r="U159">
        <v>1.705950684063E-4</v>
      </c>
      <c r="V159" t="s">
        <v>251</v>
      </c>
      <c r="X159">
        <v>1.1415525114155251E-4</v>
      </c>
      <c r="Y159">
        <v>1.4253868019126702E-4</v>
      </c>
      <c r="Z159" t="s">
        <v>1033</v>
      </c>
      <c r="AA159" t="s">
        <v>25</v>
      </c>
      <c r="AC159" t="s">
        <v>22</v>
      </c>
      <c r="AD159" t="s">
        <v>1033</v>
      </c>
      <c r="AE159">
        <v>1.7197527728455604E-4</v>
      </c>
      <c r="AG159" t="s">
        <v>97</v>
      </c>
      <c r="AH159" t="s">
        <v>1033</v>
      </c>
      <c r="AI159">
        <v>0</v>
      </c>
      <c r="AK159">
        <v>2034</v>
      </c>
      <c r="AL159" t="s">
        <v>167</v>
      </c>
      <c r="AM159">
        <v>0.37459999999999999</v>
      </c>
      <c r="AN159" t="s">
        <v>430</v>
      </c>
    </row>
    <row r="160" spans="5:40" x14ac:dyDescent="0.45">
      <c r="E160" t="s">
        <v>170</v>
      </c>
      <c r="G160" t="s">
        <v>441</v>
      </c>
      <c r="I160" t="s">
        <v>249</v>
      </c>
      <c r="J160" t="s">
        <v>1034</v>
      </c>
      <c r="K160">
        <v>1.7529246306250001E-4</v>
      </c>
      <c r="L160" t="s">
        <v>251</v>
      </c>
      <c r="N160" t="s">
        <v>419</v>
      </c>
      <c r="O160" t="s">
        <v>1034</v>
      </c>
      <c r="P160">
        <v>1.170295112227E-4</v>
      </c>
      <c r="Q160" t="s">
        <v>251</v>
      </c>
      <c r="S160" t="s">
        <v>420</v>
      </c>
      <c r="T160" t="s">
        <v>1034</v>
      </c>
      <c r="U160">
        <v>1.647392022292E-4</v>
      </c>
      <c r="V160" t="s">
        <v>251</v>
      </c>
      <c r="X160">
        <v>1.1415525114155251E-4</v>
      </c>
      <c r="Y160">
        <v>1.4883690094390442E-4</v>
      </c>
      <c r="Z160" t="s">
        <v>1034</v>
      </c>
      <c r="AA160" t="s">
        <v>25</v>
      </c>
      <c r="AC160" t="s">
        <v>22</v>
      </c>
      <c r="AD160" t="s">
        <v>1034</v>
      </c>
      <c r="AE160">
        <v>1.7373338438770219E-4</v>
      </c>
      <c r="AG160" t="s">
        <v>97</v>
      </c>
      <c r="AH160" t="s">
        <v>1034</v>
      </c>
      <c r="AI160">
        <v>0</v>
      </c>
      <c r="AK160">
        <v>2034</v>
      </c>
      <c r="AL160" t="s">
        <v>169</v>
      </c>
      <c r="AM160">
        <v>0.47089999999999999</v>
      </c>
      <c r="AN160" t="s">
        <v>430</v>
      </c>
    </row>
    <row r="161" spans="5:40" x14ac:dyDescent="0.45">
      <c r="E161" t="s">
        <v>172</v>
      </c>
      <c r="G161" t="s">
        <v>441</v>
      </c>
      <c r="I161" t="s">
        <v>249</v>
      </c>
      <c r="J161" t="s">
        <v>1035</v>
      </c>
      <c r="K161">
        <v>1.8585651164819999E-4</v>
      </c>
      <c r="L161" t="s">
        <v>251</v>
      </c>
      <c r="N161" t="s">
        <v>419</v>
      </c>
      <c r="O161" t="s">
        <v>1035</v>
      </c>
      <c r="P161">
        <v>1.2490181674820001E-4</v>
      </c>
      <c r="Q161" t="s">
        <v>251</v>
      </c>
      <c r="S161" t="s">
        <v>420</v>
      </c>
      <c r="T161" t="s">
        <v>1035</v>
      </c>
      <c r="U161">
        <v>1.6790724781839999E-4</v>
      </c>
      <c r="V161" t="s">
        <v>251</v>
      </c>
      <c r="X161">
        <v>1.1415525114155251E-4</v>
      </c>
      <c r="Y161">
        <v>1.5049432745775637E-4</v>
      </c>
      <c r="Z161" t="s">
        <v>1035</v>
      </c>
      <c r="AA161" t="s">
        <v>25</v>
      </c>
      <c r="AC161" t="s">
        <v>22</v>
      </c>
      <c r="AD161" t="s">
        <v>1035</v>
      </c>
      <c r="AE161">
        <v>1.6688367433057759E-4</v>
      </c>
      <c r="AG161" t="s">
        <v>97</v>
      </c>
      <c r="AH161" t="s">
        <v>1035</v>
      </c>
      <c r="AI161">
        <v>0</v>
      </c>
      <c r="AK161">
        <v>2034</v>
      </c>
      <c r="AL161" t="s">
        <v>171</v>
      </c>
      <c r="AM161">
        <v>0.56269999999999998</v>
      </c>
      <c r="AN161" t="s">
        <v>430</v>
      </c>
    </row>
    <row r="162" spans="5:40" x14ac:dyDescent="0.45">
      <c r="E162" t="s">
        <v>173</v>
      </c>
      <c r="G162" t="s">
        <v>441</v>
      </c>
      <c r="I162" t="s">
        <v>249</v>
      </c>
      <c r="J162" t="s">
        <v>1036</v>
      </c>
      <c r="K162">
        <v>1.520995413796E-4</v>
      </c>
      <c r="L162" t="s">
        <v>251</v>
      </c>
      <c r="N162" t="s">
        <v>419</v>
      </c>
      <c r="O162" t="s">
        <v>1036</v>
      </c>
      <c r="P162">
        <v>9.866894097634884E-5</v>
      </c>
      <c r="Q162" t="s">
        <v>251</v>
      </c>
      <c r="S162" t="s">
        <v>420</v>
      </c>
      <c r="T162" t="s">
        <v>1036</v>
      </c>
      <c r="U162">
        <v>1.6725772135039999E-4</v>
      </c>
      <c r="V162" t="s">
        <v>251</v>
      </c>
      <c r="X162">
        <v>1.1415525114155251E-4</v>
      </c>
      <c r="Y162">
        <v>1.7237235744060203E-4</v>
      </c>
      <c r="Z162" t="s">
        <v>1036</v>
      </c>
      <c r="AA162" t="s">
        <v>25</v>
      </c>
      <c r="AC162" t="s">
        <v>22</v>
      </c>
      <c r="AD162" t="s">
        <v>1036</v>
      </c>
      <c r="AE162">
        <v>1.4592454199573252E-4</v>
      </c>
      <c r="AG162" t="s">
        <v>97</v>
      </c>
      <c r="AH162" t="s">
        <v>1036</v>
      </c>
      <c r="AI162">
        <v>0</v>
      </c>
      <c r="AK162">
        <v>2034</v>
      </c>
      <c r="AL162" t="s">
        <v>158</v>
      </c>
      <c r="AM162">
        <v>0.65029999999999999</v>
      </c>
      <c r="AN162" t="s">
        <v>430</v>
      </c>
    </row>
    <row r="163" spans="5:40" x14ac:dyDescent="0.45">
      <c r="E163" t="s">
        <v>174</v>
      </c>
      <c r="G163" t="s">
        <v>441</v>
      </c>
      <c r="I163" t="s">
        <v>249</v>
      </c>
      <c r="J163" t="s">
        <v>1037</v>
      </c>
      <c r="K163">
        <v>1.136335430105E-4</v>
      </c>
      <c r="L163" t="s">
        <v>251</v>
      </c>
      <c r="N163" t="s">
        <v>419</v>
      </c>
      <c r="O163" t="s">
        <v>1037</v>
      </c>
      <c r="P163">
        <v>1.126746932942E-4</v>
      </c>
      <c r="Q163" t="s">
        <v>251</v>
      </c>
      <c r="S163" t="s">
        <v>420</v>
      </c>
      <c r="T163" t="s">
        <v>1037</v>
      </c>
      <c r="U163">
        <v>1.7191431129749999E-4</v>
      </c>
      <c r="V163" t="s">
        <v>251</v>
      </c>
      <c r="X163">
        <v>1.1415525114155251E-4</v>
      </c>
      <c r="Y163">
        <v>2.2209515285616027E-4</v>
      </c>
      <c r="Z163" t="s">
        <v>1037</v>
      </c>
      <c r="AA163" t="s">
        <v>25</v>
      </c>
      <c r="AC163" t="s">
        <v>22</v>
      </c>
      <c r="AD163" t="s">
        <v>1037</v>
      </c>
      <c r="AE163">
        <v>1.2107150324422339E-4</v>
      </c>
      <c r="AG163" t="s">
        <v>97</v>
      </c>
      <c r="AH163" t="s">
        <v>1037</v>
      </c>
      <c r="AI163">
        <v>0</v>
      </c>
      <c r="AK163">
        <v>2034</v>
      </c>
      <c r="AL163" t="s">
        <v>162</v>
      </c>
      <c r="AM163">
        <v>0.62109999999999999</v>
      </c>
      <c r="AN163" t="s">
        <v>430</v>
      </c>
    </row>
    <row r="164" spans="5:40" x14ac:dyDescent="0.45">
      <c r="E164" t="s">
        <v>176</v>
      </c>
      <c r="G164" t="s">
        <v>441</v>
      </c>
      <c r="I164" t="s">
        <v>249</v>
      </c>
      <c r="J164" t="s">
        <v>1038</v>
      </c>
      <c r="K164">
        <v>6.8360790772152542E-5</v>
      </c>
      <c r="L164" t="s">
        <v>251</v>
      </c>
      <c r="N164" t="s">
        <v>419</v>
      </c>
      <c r="O164" t="s">
        <v>1038</v>
      </c>
      <c r="P164">
        <v>1.087887152725E-4</v>
      </c>
      <c r="Q164" t="s">
        <v>251</v>
      </c>
      <c r="S164" t="s">
        <v>420</v>
      </c>
      <c r="T164" t="s">
        <v>1038</v>
      </c>
      <c r="U164">
        <v>1.793667447263E-4</v>
      </c>
      <c r="V164" t="s">
        <v>251</v>
      </c>
      <c r="X164">
        <v>1.1415525114155251E-4</v>
      </c>
      <c r="Y164">
        <v>2.2209515285616027E-4</v>
      </c>
      <c r="Z164" t="s">
        <v>1038</v>
      </c>
      <c r="AA164" t="s">
        <v>25</v>
      </c>
      <c r="AC164" t="s">
        <v>22</v>
      </c>
      <c r="AD164" t="s">
        <v>1038</v>
      </c>
      <c r="AE164">
        <v>8.9962589090834873E-5</v>
      </c>
      <c r="AG164" t="s">
        <v>97</v>
      </c>
      <c r="AH164" t="s">
        <v>1038</v>
      </c>
      <c r="AI164">
        <v>0</v>
      </c>
      <c r="AK164">
        <v>2034</v>
      </c>
      <c r="AL164" t="s">
        <v>175</v>
      </c>
      <c r="AM164">
        <v>0.40689999999999998</v>
      </c>
      <c r="AN164" t="s">
        <v>430</v>
      </c>
    </row>
    <row r="165" spans="5:40" x14ac:dyDescent="0.45">
      <c r="E165" t="s">
        <v>177</v>
      </c>
      <c r="G165" t="s">
        <v>441</v>
      </c>
      <c r="I165" t="s">
        <v>249</v>
      </c>
      <c r="J165" t="s">
        <v>1039</v>
      </c>
      <c r="K165">
        <v>2.6584719071291404E-5</v>
      </c>
      <c r="L165" t="s">
        <v>251</v>
      </c>
      <c r="N165" t="s">
        <v>419</v>
      </c>
      <c r="O165" t="s">
        <v>1039</v>
      </c>
      <c r="P165">
        <v>1.2208028738510001E-4</v>
      </c>
      <c r="Q165" t="s">
        <v>251</v>
      </c>
      <c r="S165" t="s">
        <v>420</v>
      </c>
      <c r="T165" t="s">
        <v>1039</v>
      </c>
      <c r="U165">
        <v>1.807915951222E-4</v>
      </c>
      <c r="V165" t="s">
        <v>251</v>
      </c>
      <c r="X165">
        <v>1.1415525114155251E-4</v>
      </c>
      <c r="Y165">
        <v>1.7237235744060203E-4</v>
      </c>
      <c r="Z165" t="s">
        <v>1039</v>
      </c>
      <c r="AA165" t="s">
        <v>25</v>
      </c>
      <c r="AC165" t="s">
        <v>22</v>
      </c>
      <c r="AD165" t="s">
        <v>1039</v>
      </c>
      <c r="AE165">
        <v>5.4902947568779515E-5</v>
      </c>
      <c r="AG165" t="s">
        <v>97</v>
      </c>
      <c r="AH165" t="s">
        <v>1039</v>
      </c>
      <c r="AI165">
        <v>0</v>
      </c>
      <c r="AK165">
        <v>2034</v>
      </c>
      <c r="AL165" t="s">
        <v>166</v>
      </c>
      <c r="AM165">
        <v>0.28749999999999998</v>
      </c>
      <c r="AN165" t="s">
        <v>430</v>
      </c>
    </row>
    <row r="166" spans="5:40" x14ac:dyDescent="0.45">
      <c r="E166" t="s">
        <v>179</v>
      </c>
      <c r="G166" t="s">
        <v>441</v>
      </c>
      <c r="I166" t="s">
        <v>249</v>
      </c>
      <c r="J166" t="s">
        <v>1040</v>
      </c>
      <c r="K166">
        <v>2.8774524670806219E-6</v>
      </c>
      <c r="L166" t="s">
        <v>251</v>
      </c>
      <c r="N166" t="s">
        <v>419</v>
      </c>
      <c r="O166" t="s">
        <v>1040</v>
      </c>
      <c r="P166">
        <v>1.2949964727649999E-4</v>
      </c>
      <c r="Q166" t="s">
        <v>251</v>
      </c>
      <c r="S166" t="s">
        <v>420</v>
      </c>
      <c r="T166" t="s">
        <v>1040</v>
      </c>
      <c r="U166">
        <v>1.7827188201359999E-4</v>
      </c>
      <c r="V166" t="s">
        <v>251</v>
      </c>
      <c r="X166">
        <v>1.1415525114155251E-4</v>
      </c>
      <c r="Y166">
        <v>1.5579809230208258E-4</v>
      </c>
      <c r="Z166" t="s">
        <v>1040</v>
      </c>
      <c r="AA166" t="s">
        <v>25</v>
      </c>
      <c r="AC166" t="s">
        <v>22</v>
      </c>
      <c r="AD166" t="s">
        <v>1040</v>
      </c>
      <c r="AE166">
        <v>4.7263314865184305E-5</v>
      </c>
      <c r="AG166" t="s">
        <v>97</v>
      </c>
      <c r="AH166" t="s">
        <v>1040</v>
      </c>
      <c r="AI166">
        <v>0</v>
      </c>
      <c r="AK166">
        <v>2034</v>
      </c>
      <c r="AL166" t="s">
        <v>178</v>
      </c>
      <c r="AM166">
        <v>0.27529999999999999</v>
      </c>
      <c r="AN166" t="s">
        <v>430</v>
      </c>
    </row>
    <row r="167" spans="5:40" x14ac:dyDescent="0.45">
      <c r="E167" t="s">
        <v>180</v>
      </c>
      <c r="G167" t="s">
        <v>441</v>
      </c>
      <c r="I167" t="s">
        <v>249</v>
      </c>
      <c r="J167" t="s">
        <v>1041</v>
      </c>
      <c r="K167">
        <v>0</v>
      </c>
      <c r="L167" t="s">
        <v>251</v>
      </c>
      <c r="N167" t="s">
        <v>419</v>
      </c>
      <c r="O167" t="s">
        <v>1041</v>
      </c>
      <c r="P167">
        <v>1.3893851906209999E-4</v>
      </c>
      <c r="Q167" t="s">
        <v>251</v>
      </c>
      <c r="S167" t="s">
        <v>420</v>
      </c>
      <c r="T167" t="s">
        <v>1041</v>
      </c>
      <c r="U167">
        <v>1.688570018209E-4</v>
      </c>
      <c r="V167" t="s">
        <v>251</v>
      </c>
      <c r="X167">
        <v>1.1415525114155251E-4</v>
      </c>
      <c r="Y167">
        <v>1.093901499142282E-4</v>
      </c>
      <c r="Z167" t="s">
        <v>1041</v>
      </c>
      <c r="AA167" t="s">
        <v>25</v>
      </c>
      <c r="AC167" t="s">
        <v>22</v>
      </c>
      <c r="AD167" t="s">
        <v>1041</v>
      </c>
      <c r="AE167">
        <v>4.7298967227225342E-5</v>
      </c>
      <c r="AG167" t="s">
        <v>97</v>
      </c>
      <c r="AH167" t="s">
        <v>1041</v>
      </c>
      <c r="AI167">
        <v>0</v>
      </c>
      <c r="AK167">
        <v>2035</v>
      </c>
      <c r="AL167" t="s">
        <v>151</v>
      </c>
      <c r="AM167">
        <v>0.26050000000000001</v>
      </c>
      <c r="AN167" t="s">
        <v>430</v>
      </c>
    </row>
    <row r="168" spans="5:40" x14ac:dyDescent="0.45">
      <c r="E168" t="s">
        <v>181</v>
      </c>
      <c r="G168" t="s">
        <v>441</v>
      </c>
      <c r="I168" t="s">
        <v>249</v>
      </c>
      <c r="J168" t="s">
        <v>1042</v>
      </c>
      <c r="K168">
        <v>0</v>
      </c>
      <c r="L168" t="s">
        <v>251</v>
      </c>
      <c r="N168" t="s">
        <v>419</v>
      </c>
      <c r="O168" t="s">
        <v>1042</v>
      </c>
      <c r="P168">
        <v>1.4628662882370001E-4</v>
      </c>
      <c r="Q168" t="s">
        <v>251</v>
      </c>
      <c r="S168" t="s">
        <v>420</v>
      </c>
      <c r="T168" t="s">
        <v>1042</v>
      </c>
      <c r="U168">
        <v>1.612767549545E-4</v>
      </c>
      <c r="V168" t="s">
        <v>251</v>
      </c>
      <c r="X168">
        <v>1.1415525114155251E-4</v>
      </c>
      <c r="Y168">
        <v>7.9556472664893237E-5</v>
      </c>
      <c r="Z168" t="s">
        <v>1042</v>
      </c>
      <c r="AA168" t="s">
        <v>25</v>
      </c>
      <c r="AC168" t="s">
        <v>22</v>
      </c>
      <c r="AD168" t="s">
        <v>1042</v>
      </c>
      <c r="AE168">
        <v>4.8152395643581416E-5</v>
      </c>
      <c r="AG168" t="s">
        <v>97</v>
      </c>
      <c r="AH168" t="s">
        <v>1042</v>
      </c>
      <c r="AI168">
        <v>0</v>
      </c>
      <c r="AK168">
        <v>2035</v>
      </c>
      <c r="AL168" t="s">
        <v>156</v>
      </c>
      <c r="AM168">
        <v>0.2777</v>
      </c>
      <c r="AN168" t="s">
        <v>430</v>
      </c>
    </row>
    <row r="169" spans="5:40" x14ac:dyDescent="0.45">
      <c r="E169" t="s">
        <v>182</v>
      </c>
      <c r="G169" t="s">
        <v>441</v>
      </c>
      <c r="I169" t="s">
        <v>249</v>
      </c>
      <c r="J169" t="s">
        <v>1043</v>
      </c>
      <c r="K169">
        <v>0</v>
      </c>
      <c r="L169" t="s">
        <v>251</v>
      </c>
      <c r="N169" t="s">
        <v>419</v>
      </c>
      <c r="O169" t="s">
        <v>1043</v>
      </c>
      <c r="P169">
        <v>1.5022555921660001E-4</v>
      </c>
      <c r="Q169" t="s">
        <v>251</v>
      </c>
      <c r="S169" t="s">
        <v>420</v>
      </c>
      <c r="T169" t="s">
        <v>1043</v>
      </c>
      <c r="U169">
        <v>1.638423430661E-4</v>
      </c>
      <c r="V169" t="s">
        <v>251</v>
      </c>
      <c r="X169">
        <v>1.1415525114155251E-4</v>
      </c>
      <c r="Y169">
        <v>5.6352501470966035E-5</v>
      </c>
      <c r="Z169" t="s">
        <v>1043</v>
      </c>
      <c r="AA169" t="s">
        <v>25</v>
      </c>
      <c r="AC169" t="s">
        <v>22</v>
      </c>
      <c r="AD169" t="s">
        <v>1043</v>
      </c>
      <c r="AE169">
        <v>6.0099279336253349E-5</v>
      </c>
      <c r="AG169" t="s">
        <v>97</v>
      </c>
      <c r="AH169" t="s">
        <v>1043</v>
      </c>
      <c r="AI169">
        <v>0</v>
      </c>
      <c r="AK169">
        <v>2035</v>
      </c>
      <c r="AL169" t="s">
        <v>159</v>
      </c>
      <c r="AM169">
        <v>0.2737</v>
      </c>
      <c r="AN169" t="s">
        <v>430</v>
      </c>
    </row>
    <row r="170" spans="5:40" x14ac:dyDescent="0.45">
      <c r="E170" t="s">
        <v>183</v>
      </c>
      <c r="G170" t="s">
        <v>441</v>
      </c>
      <c r="I170" t="s">
        <v>249</v>
      </c>
      <c r="J170" t="s">
        <v>1044</v>
      </c>
      <c r="K170">
        <v>0</v>
      </c>
      <c r="L170" t="s">
        <v>251</v>
      </c>
      <c r="N170" t="s">
        <v>419</v>
      </c>
      <c r="O170" t="s">
        <v>1044</v>
      </c>
      <c r="P170">
        <v>1.508597038331E-4</v>
      </c>
      <c r="Q170" t="s">
        <v>251</v>
      </c>
      <c r="S170" t="s">
        <v>420</v>
      </c>
      <c r="T170" t="s">
        <v>1044</v>
      </c>
      <c r="U170">
        <v>1.6798672363750001E-4</v>
      </c>
      <c r="V170" t="s">
        <v>251</v>
      </c>
      <c r="X170">
        <v>1.1415525114155251E-4</v>
      </c>
      <c r="Y170">
        <v>2.9833677249334962E-5</v>
      </c>
      <c r="Z170" t="s">
        <v>1044</v>
      </c>
      <c r="AA170" t="s">
        <v>25</v>
      </c>
      <c r="AC170" t="s">
        <v>22</v>
      </c>
      <c r="AD170" t="s">
        <v>1044</v>
      </c>
      <c r="AE170">
        <v>8.3236548164539978E-5</v>
      </c>
      <c r="AG170" t="s">
        <v>97</v>
      </c>
      <c r="AH170" t="s">
        <v>1044</v>
      </c>
      <c r="AI170">
        <v>0</v>
      </c>
      <c r="AK170">
        <v>2035</v>
      </c>
      <c r="AL170" t="s">
        <v>163</v>
      </c>
      <c r="AM170">
        <v>0.29349999999999998</v>
      </c>
      <c r="AN170" t="s">
        <v>430</v>
      </c>
    </row>
    <row r="171" spans="5:40" x14ac:dyDescent="0.45">
      <c r="E171" t="s">
        <v>184</v>
      </c>
      <c r="G171" t="s">
        <v>441</v>
      </c>
      <c r="I171" t="s">
        <v>249</v>
      </c>
      <c r="J171" t="s">
        <v>1045</v>
      </c>
      <c r="K171">
        <v>0</v>
      </c>
      <c r="L171" t="s">
        <v>251</v>
      </c>
      <c r="N171" t="s">
        <v>419</v>
      </c>
      <c r="O171" t="s">
        <v>1045</v>
      </c>
      <c r="P171">
        <v>1.4405149809000001E-4</v>
      </c>
      <c r="Q171" t="s">
        <v>251</v>
      </c>
      <c r="S171" t="s">
        <v>420</v>
      </c>
      <c r="T171" t="s">
        <v>1045</v>
      </c>
      <c r="U171">
        <v>1.6940082184579999E-4</v>
      </c>
      <c r="V171" t="s">
        <v>251</v>
      </c>
      <c r="X171">
        <v>1.1415525114155251E-4</v>
      </c>
      <c r="Y171">
        <v>2.1546544680075254E-5</v>
      </c>
      <c r="Z171" t="s">
        <v>1045</v>
      </c>
      <c r="AA171" t="s">
        <v>25</v>
      </c>
      <c r="AC171" t="s">
        <v>22</v>
      </c>
      <c r="AD171" t="s">
        <v>1045</v>
      </c>
      <c r="AE171">
        <v>8.3562990104477759E-5</v>
      </c>
      <c r="AG171" t="s">
        <v>97</v>
      </c>
      <c r="AH171" t="s">
        <v>1045</v>
      </c>
      <c r="AI171">
        <v>0</v>
      </c>
      <c r="AK171">
        <v>2035</v>
      </c>
      <c r="AL171" t="s">
        <v>167</v>
      </c>
      <c r="AM171">
        <v>0.37319999999999998</v>
      </c>
      <c r="AN171" t="s">
        <v>430</v>
      </c>
    </row>
    <row r="172" spans="5:40" x14ac:dyDescent="0.45">
      <c r="E172" t="s">
        <v>185</v>
      </c>
      <c r="G172" t="s">
        <v>441</v>
      </c>
      <c r="I172" t="s">
        <v>249</v>
      </c>
      <c r="J172" t="s">
        <v>1046</v>
      </c>
      <c r="K172">
        <v>0</v>
      </c>
      <c r="L172" t="s">
        <v>251</v>
      </c>
      <c r="N172" t="s">
        <v>419</v>
      </c>
      <c r="O172" t="s">
        <v>1046</v>
      </c>
      <c r="P172">
        <v>1.382383999392E-4</v>
      </c>
      <c r="Q172" t="s">
        <v>251</v>
      </c>
      <c r="S172" t="s">
        <v>420</v>
      </c>
      <c r="T172" t="s">
        <v>1046</v>
      </c>
      <c r="U172">
        <v>1.733800566312E-4</v>
      </c>
      <c r="V172" t="s">
        <v>251</v>
      </c>
      <c r="X172">
        <v>1.1415525114155251E-4</v>
      </c>
      <c r="Y172">
        <v>1.4916838624667481E-5</v>
      </c>
      <c r="Z172" t="s">
        <v>1046</v>
      </c>
      <c r="AA172" t="s">
        <v>25</v>
      </c>
      <c r="AC172" t="s">
        <v>22</v>
      </c>
      <c r="AD172" t="s">
        <v>1046</v>
      </c>
      <c r="AE172">
        <v>9.805121872888376E-5</v>
      </c>
      <c r="AG172" t="s">
        <v>97</v>
      </c>
      <c r="AH172" t="s">
        <v>1046</v>
      </c>
      <c r="AI172">
        <v>0</v>
      </c>
      <c r="AK172">
        <v>2035</v>
      </c>
      <c r="AL172" t="s">
        <v>169</v>
      </c>
      <c r="AM172">
        <v>0.48170000000000002</v>
      </c>
      <c r="AN172" t="s">
        <v>430</v>
      </c>
    </row>
    <row r="173" spans="5:40" x14ac:dyDescent="0.45">
      <c r="E173" t="s">
        <v>186</v>
      </c>
      <c r="G173" t="s">
        <v>441</v>
      </c>
      <c r="I173" t="s">
        <v>249</v>
      </c>
      <c r="J173" t="s">
        <v>1047</v>
      </c>
      <c r="K173">
        <v>0</v>
      </c>
      <c r="L173" t="s">
        <v>251</v>
      </c>
      <c r="N173" t="s">
        <v>419</v>
      </c>
      <c r="O173" t="s">
        <v>1047</v>
      </c>
      <c r="P173">
        <v>1.218326488931E-4</v>
      </c>
      <c r="Q173" t="s">
        <v>251</v>
      </c>
      <c r="S173" t="s">
        <v>420</v>
      </c>
      <c r="T173" t="s">
        <v>1047</v>
      </c>
      <c r="U173">
        <v>1.613468866249E-4</v>
      </c>
      <c r="V173" t="s">
        <v>251</v>
      </c>
      <c r="X173">
        <v>1.1415525114155251E-4</v>
      </c>
      <c r="Y173">
        <v>1.6574265138519424E-5</v>
      </c>
      <c r="Z173" t="s">
        <v>1047</v>
      </c>
      <c r="AA173" t="s">
        <v>25</v>
      </c>
      <c r="AC173" t="s">
        <v>22</v>
      </c>
      <c r="AD173" t="s">
        <v>1047</v>
      </c>
      <c r="AE173">
        <v>1.2149933158871525E-4</v>
      </c>
      <c r="AG173" t="s">
        <v>97</v>
      </c>
      <c r="AH173" t="s">
        <v>1047</v>
      </c>
      <c r="AI173">
        <v>0</v>
      </c>
      <c r="AK173">
        <v>2035</v>
      </c>
      <c r="AL173" t="s">
        <v>171</v>
      </c>
      <c r="AM173">
        <v>0.50290000000000001</v>
      </c>
      <c r="AN173" t="s">
        <v>430</v>
      </c>
    </row>
    <row r="174" spans="5:40" x14ac:dyDescent="0.45">
      <c r="E174" t="s">
        <v>187</v>
      </c>
      <c r="G174" t="s">
        <v>441</v>
      </c>
      <c r="I174" t="s">
        <v>249</v>
      </c>
      <c r="J174" t="s">
        <v>1048</v>
      </c>
      <c r="K174">
        <v>0</v>
      </c>
      <c r="L174" t="s">
        <v>251</v>
      </c>
      <c r="N174" t="s">
        <v>419</v>
      </c>
      <c r="O174" t="s">
        <v>1048</v>
      </c>
      <c r="P174">
        <v>1.127949457698E-4</v>
      </c>
      <c r="Q174" t="s">
        <v>251</v>
      </c>
      <c r="S174" t="s">
        <v>420</v>
      </c>
      <c r="T174" t="s">
        <v>1048</v>
      </c>
      <c r="U174">
        <v>1.54672918371E-4</v>
      </c>
      <c r="V174" t="s">
        <v>251</v>
      </c>
      <c r="X174">
        <v>1.1415525114155251E-4</v>
      </c>
      <c r="Y174">
        <v>1.4585353321897093E-5</v>
      </c>
      <c r="Z174" t="s">
        <v>1048</v>
      </c>
      <c r="AA174" t="s">
        <v>25</v>
      </c>
      <c r="AC174" t="s">
        <v>22</v>
      </c>
      <c r="AD174" t="s">
        <v>1048</v>
      </c>
      <c r="AE174">
        <v>1.3843308942187017E-4</v>
      </c>
      <c r="AG174" t="s">
        <v>97</v>
      </c>
      <c r="AH174" t="s">
        <v>1048</v>
      </c>
      <c r="AI174">
        <v>0</v>
      </c>
      <c r="AK174">
        <v>2035</v>
      </c>
      <c r="AL174" t="s">
        <v>158</v>
      </c>
      <c r="AM174">
        <v>0.66069999999999995</v>
      </c>
      <c r="AN174" t="s">
        <v>430</v>
      </c>
    </row>
    <row r="175" spans="5:40" x14ac:dyDescent="0.45">
      <c r="E175" t="s">
        <v>188</v>
      </c>
      <c r="G175" t="s">
        <v>441</v>
      </c>
      <c r="I175" t="s">
        <v>249</v>
      </c>
      <c r="J175" t="s">
        <v>1049</v>
      </c>
      <c r="K175">
        <v>0</v>
      </c>
      <c r="L175" t="s">
        <v>251</v>
      </c>
      <c r="N175" t="s">
        <v>419</v>
      </c>
      <c r="O175" t="s">
        <v>1049</v>
      </c>
      <c r="P175">
        <v>1.0262538755579999E-4</v>
      </c>
      <c r="Q175" t="s">
        <v>251</v>
      </c>
      <c r="S175" t="s">
        <v>420</v>
      </c>
      <c r="T175" t="s">
        <v>1049</v>
      </c>
      <c r="U175">
        <v>1.5133764379440001E-4</v>
      </c>
      <c r="V175" t="s">
        <v>251</v>
      </c>
      <c r="X175">
        <v>1.1415525114155251E-4</v>
      </c>
      <c r="Y175">
        <v>2.1215059377304864E-5</v>
      </c>
      <c r="Z175" t="s">
        <v>1049</v>
      </c>
      <c r="AA175" t="s">
        <v>25</v>
      </c>
      <c r="AC175" t="s">
        <v>22</v>
      </c>
      <c r="AD175" t="s">
        <v>1049</v>
      </c>
      <c r="AE175">
        <v>1.4317596770963519E-4</v>
      </c>
      <c r="AG175" t="s">
        <v>97</v>
      </c>
      <c r="AH175" t="s">
        <v>1049</v>
      </c>
      <c r="AI175">
        <v>0</v>
      </c>
      <c r="AK175">
        <v>2035</v>
      </c>
      <c r="AL175" t="s">
        <v>162</v>
      </c>
      <c r="AM175">
        <v>0.60460000000000003</v>
      </c>
      <c r="AN175" t="s">
        <v>430</v>
      </c>
    </row>
    <row r="176" spans="5:40" x14ac:dyDescent="0.45">
      <c r="E176" t="s">
        <v>189</v>
      </c>
      <c r="G176" t="s">
        <v>441</v>
      </c>
      <c r="I176" t="s">
        <v>249</v>
      </c>
      <c r="J176" t="s">
        <v>1050</v>
      </c>
      <c r="K176">
        <v>0</v>
      </c>
      <c r="L176" t="s">
        <v>251</v>
      </c>
      <c r="N176" t="s">
        <v>419</v>
      </c>
      <c r="O176" t="s">
        <v>1050</v>
      </c>
      <c r="P176">
        <v>9.4789178268890457E-5</v>
      </c>
      <c r="Q176" t="s">
        <v>251</v>
      </c>
      <c r="S176" t="s">
        <v>420</v>
      </c>
      <c r="T176" t="s">
        <v>1050</v>
      </c>
      <c r="U176">
        <v>1.481569518289E-4</v>
      </c>
      <c r="V176" t="s">
        <v>251</v>
      </c>
      <c r="X176">
        <v>1.1415525114155251E-4</v>
      </c>
      <c r="Y176">
        <v>5.7678442682047593E-5</v>
      </c>
      <c r="Z176" t="s">
        <v>1050</v>
      </c>
      <c r="AA176" t="s">
        <v>25</v>
      </c>
      <c r="AC176" t="s">
        <v>22</v>
      </c>
      <c r="AD176" t="s">
        <v>1050</v>
      </c>
      <c r="AE176">
        <v>1.4462100250860896E-4</v>
      </c>
      <c r="AG176" t="s">
        <v>97</v>
      </c>
      <c r="AH176" t="s">
        <v>1050</v>
      </c>
      <c r="AI176">
        <v>0</v>
      </c>
      <c r="AK176">
        <v>2035</v>
      </c>
      <c r="AL176" t="s">
        <v>175</v>
      </c>
      <c r="AM176">
        <v>0.42499999999999999</v>
      </c>
      <c r="AN176" t="s">
        <v>430</v>
      </c>
    </row>
    <row r="177" spans="5:40" x14ac:dyDescent="0.45">
      <c r="E177" t="s">
        <v>190</v>
      </c>
      <c r="G177" t="s">
        <v>441</v>
      </c>
      <c r="I177" t="s">
        <v>249</v>
      </c>
      <c r="J177" t="s">
        <v>1051</v>
      </c>
      <c r="K177">
        <v>2.520170504549642E-6</v>
      </c>
      <c r="L177" t="s">
        <v>251</v>
      </c>
      <c r="N177" t="s">
        <v>419</v>
      </c>
      <c r="O177" t="s">
        <v>1051</v>
      </c>
      <c r="P177">
        <v>9.1466639079702998E-5</v>
      </c>
      <c r="Q177" t="s">
        <v>251</v>
      </c>
      <c r="S177" t="s">
        <v>420</v>
      </c>
      <c r="T177" t="s">
        <v>1051</v>
      </c>
      <c r="U177">
        <v>1.4978452344740001E-4</v>
      </c>
      <c r="V177" t="s">
        <v>251</v>
      </c>
      <c r="X177">
        <v>1.1415525114155251E-4</v>
      </c>
      <c r="Y177">
        <v>1.6905750441289813E-4</v>
      </c>
      <c r="Z177" t="s">
        <v>1051</v>
      </c>
      <c r="AA177" t="s">
        <v>25</v>
      </c>
      <c r="AC177" t="s">
        <v>22</v>
      </c>
      <c r="AD177" t="s">
        <v>1051</v>
      </c>
      <c r="AE177">
        <v>1.4326398447842389E-4</v>
      </c>
      <c r="AG177" t="s">
        <v>97</v>
      </c>
      <c r="AH177" t="s">
        <v>1051</v>
      </c>
      <c r="AI177">
        <v>0</v>
      </c>
      <c r="AK177">
        <v>2035</v>
      </c>
      <c r="AL177" t="s">
        <v>166</v>
      </c>
      <c r="AM177">
        <v>0.27539999999999998</v>
      </c>
      <c r="AN177" t="s">
        <v>430</v>
      </c>
    </row>
    <row r="178" spans="5:40" x14ac:dyDescent="0.45">
      <c r="E178" t="s">
        <v>191</v>
      </c>
      <c r="G178" t="s">
        <v>441</v>
      </c>
      <c r="I178" t="s">
        <v>249</v>
      </c>
      <c r="J178" t="s">
        <v>1052</v>
      </c>
      <c r="K178">
        <v>1.8322073642891771E-5</v>
      </c>
      <c r="L178" t="s">
        <v>251</v>
      </c>
      <c r="N178" t="s">
        <v>419</v>
      </c>
      <c r="O178" t="s">
        <v>1052</v>
      </c>
      <c r="P178">
        <v>1.104544195606E-4</v>
      </c>
      <c r="Q178" t="s">
        <v>251</v>
      </c>
      <c r="S178" t="s">
        <v>420</v>
      </c>
      <c r="T178" t="s">
        <v>1052</v>
      </c>
      <c r="U178">
        <v>1.60838027998E-4</v>
      </c>
      <c r="V178" t="s">
        <v>251</v>
      </c>
      <c r="X178">
        <v>1.1415525114155251E-4</v>
      </c>
      <c r="Y178">
        <v>1.9060404909297337E-4</v>
      </c>
      <c r="Z178" t="s">
        <v>1052</v>
      </c>
      <c r="AA178" t="s">
        <v>25</v>
      </c>
      <c r="AC178" t="s">
        <v>22</v>
      </c>
      <c r="AD178" t="s">
        <v>1052</v>
      </c>
      <c r="AE178">
        <v>1.4372969345758429E-4</v>
      </c>
      <c r="AG178" t="s">
        <v>97</v>
      </c>
      <c r="AH178" t="s">
        <v>1052</v>
      </c>
      <c r="AI178">
        <v>0</v>
      </c>
      <c r="AK178">
        <v>2035</v>
      </c>
      <c r="AL178" t="s">
        <v>178</v>
      </c>
      <c r="AM178">
        <v>0.23300000000000001</v>
      </c>
      <c r="AN178" t="s">
        <v>430</v>
      </c>
    </row>
    <row r="179" spans="5:40" x14ac:dyDescent="0.45">
      <c r="E179" t="s">
        <v>901</v>
      </c>
      <c r="G179" t="s">
        <v>443</v>
      </c>
      <c r="I179" t="s">
        <v>249</v>
      </c>
      <c r="J179" t="s">
        <v>1053</v>
      </c>
      <c r="K179">
        <v>5.0752027464502607E-5</v>
      </c>
      <c r="L179" t="s">
        <v>251</v>
      </c>
      <c r="N179" t="s">
        <v>419</v>
      </c>
      <c r="O179" t="s">
        <v>1053</v>
      </c>
      <c r="P179">
        <v>1.374746806897E-4</v>
      </c>
      <c r="Q179" t="s">
        <v>251</v>
      </c>
      <c r="S179" t="s">
        <v>420</v>
      </c>
      <c r="T179" t="s">
        <v>1053</v>
      </c>
      <c r="U179">
        <v>1.710630174947E-4</v>
      </c>
      <c r="V179" t="s">
        <v>251</v>
      </c>
      <c r="X179">
        <v>1.1415525114155251E-4</v>
      </c>
      <c r="Y179">
        <v>1.4585353321897094E-4</v>
      </c>
      <c r="Z179" t="s">
        <v>1053</v>
      </c>
      <c r="AA179" t="s">
        <v>25</v>
      </c>
      <c r="AC179" t="s">
        <v>22</v>
      </c>
      <c r="AD179" t="s">
        <v>1053</v>
      </c>
      <c r="AE179">
        <v>1.4368735627766059E-4</v>
      </c>
      <c r="AG179" t="s">
        <v>97</v>
      </c>
      <c r="AH179" t="s">
        <v>1053</v>
      </c>
      <c r="AI179">
        <v>0</v>
      </c>
      <c r="AK179">
        <v>2036</v>
      </c>
      <c r="AL179" t="s">
        <v>151</v>
      </c>
      <c r="AM179">
        <v>0.22989999999999999</v>
      </c>
      <c r="AN179" t="s">
        <v>430</v>
      </c>
    </row>
    <row r="180" spans="5:40" x14ac:dyDescent="0.45">
      <c r="E180" t="s">
        <v>902</v>
      </c>
      <c r="G180" t="s">
        <v>443</v>
      </c>
      <c r="I180" t="s">
        <v>249</v>
      </c>
      <c r="J180" t="s">
        <v>1054</v>
      </c>
      <c r="K180">
        <v>8.5421960217266397E-5</v>
      </c>
      <c r="L180" t="s">
        <v>251</v>
      </c>
      <c r="N180" t="s">
        <v>419</v>
      </c>
      <c r="O180" t="s">
        <v>1054</v>
      </c>
      <c r="P180">
        <v>1.4553823162089999E-4</v>
      </c>
      <c r="Q180" t="s">
        <v>251</v>
      </c>
      <c r="S180" t="s">
        <v>420</v>
      </c>
      <c r="T180" t="s">
        <v>1054</v>
      </c>
      <c r="U180">
        <v>1.817398843312E-4</v>
      </c>
      <c r="V180" t="s">
        <v>251</v>
      </c>
      <c r="X180">
        <v>1.1415525114155251E-4</v>
      </c>
      <c r="Y180">
        <v>1.4452759200788939E-4</v>
      </c>
      <c r="Z180" t="s">
        <v>1054</v>
      </c>
      <c r="AA180" t="s">
        <v>25</v>
      </c>
      <c r="AC180" t="s">
        <v>22</v>
      </c>
      <c r="AD180" t="s">
        <v>1054</v>
      </c>
      <c r="AE180">
        <v>1.4419540243674467E-4</v>
      </c>
      <c r="AG180" t="s">
        <v>97</v>
      </c>
      <c r="AH180" t="s">
        <v>1054</v>
      </c>
      <c r="AI180">
        <v>0</v>
      </c>
      <c r="AK180">
        <v>2036</v>
      </c>
      <c r="AL180" t="s">
        <v>156</v>
      </c>
      <c r="AM180">
        <v>0.27160000000000001</v>
      </c>
      <c r="AN180" t="s">
        <v>430</v>
      </c>
    </row>
    <row r="181" spans="5:40" x14ac:dyDescent="0.45">
      <c r="E181" t="s">
        <v>903</v>
      </c>
      <c r="G181" t="s">
        <v>443</v>
      </c>
      <c r="I181" t="s">
        <v>249</v>
      </c>
      <c r="J181" t="s">
        <v>1055</v>
      </c>
      <c r="K181">
        <v>1.116504930499E-4</v>
      </c>
      <c r="L181" t="s">
        <v>251</v>
      </c>
      <c r="N181" t="s">
        <v>419</v>
      </c>
      <c r="O181" t="s">
        <v>1055</v>
      </c>
      <c r="P181">
        <v>1.4554207590969999E-4</v>
      </c>
      <c r="Q181" t="s">
        <v>251</v>
      </c>
      <c r="S181" t="s">
        <v>420</v>
      </c>
      <c r="T181" t="s">
        <v>1055</v>
      </c>
      <c r="U181">
        <v>1.9232321329270001E-4</v>
      </c>
      <c r="V181" t="s">
        <v>251</v>
      </c>
      <c r="X181">
        <v>1.1415525114155251E-4</v>
      </c>
      <c r="Y181">
        <v>1.408812536774151E-4</v>
      </c>
      <c r="Z181" t="s">
        <v>1055</v>
      </c>
      <c r="AA181" t="s">
        <v>25</v>
      </c>
      <c r="AC181" t="s">
        <v>22</v>
      </c>
      <c r="AD181" t="s">
        <v>1055</v>
      </c>
      <c r="AE181">
        <v>1.4387564531468953E-4</v>
      </c>
      <c r="AG181" t="s">
        <v>97</v>
      </c>
      <c r="AH181" t="s">
        <v>1055</v>
      </c>
      <c r="AI181">
        <v>0</v>
      </c>
      <c r="AK181">
        <v>2036</v>
      </c>
      <c r="AL181" t="s">
        <v>159</v>
      </c>
      <c r="AM181">
        <v>0.24759999999999999</v>
      </c>
      <c r="AN181" t="s">
        <v>430</v>
      </c>
    </row>
    <row r="182" spans="5:40" x14ac:dyDescent="0.45">
      <c r="E182" t="s">
        <v>904</v>
      </c>
      <c r="G182" t="s">
        <v>443</v>
      </c>
      <c r="I182" t="s">
        <v>249</v>
      </c>
      <c r="J182" t="s">
        <v>1056</v>
      </c>
      <c r="K182">
        <v>1.2994494591659999E-4</v>
      </c>
      <c r="L182" t="s">
        <v>251</v>
      </c>
      <c r="N182" t="s">
        <v>419</v>
      </c>
      <c r="O182" t="s">
        <v>1056</v>
      </c>
      <c r="P182">
        <v>1.3745057146169999E-4</v>
      </c>
      <c r="Q182" t="s">
        <v>251</v>
      </c>
      <c r="S182" t="s">
        <v>420</v>
      </c>
      <c r="T182" t="s">
        <v>1056</v>
      </c>
      <c r="U182">
        <v>1.9901611357930001E-4</v>
      </c>
      <c r="V182" t="s">
        <v>251</v>
      </c>
      <c r="X182">
        <v>1.1415525114155251E-4</v>
      </c>
      <c r="Y182">
        <v>1.4054976837464471E-4</v>
      </c>
      <c r="Z182" t="s">
        <v>1056</v>
      </c>
      <c r="AA182" t="s">
        <v>25</v>
      </c>
      <c r="AC182" t="s">
        <v>22</v>
      </c>
      <c r="AD182" t="s">
        <v>1056</v>
      </c>
      <c r="AE182">
        <v>1.4417311971046904E-4</v>
      </c>
      <c r="AG182" t="s">
        <v>97</v>
      </c>
      <c r="AH182" t="s">
        <v>1056</v>
      </c>
      <c r="AI182">
        <v>0</v>
      </c>
      <c r="AK182">
        <v>2036</v>
      </c>
      <c r="AL182" t="s">
        <v>163</v>
      </c>
      <c r="AM182">
        <v>0.28820000000000001</v>
      </c>
      <c r="AN182" t="s">
        <v>430</v>
      </c>
    </row>
    <row r="183" spans="5:40" x14ac:dyDescent="0.45">
      <c r="E183" t="s">
        <v>905</v>
      </c>
      <c r="G183" t="s">
        <v>443</v>
      </c>
      <c r="I183" t="s">
        <v>249</v>
      </c>
      <c r="J183" t="s">
        <v>1057</v>
      </c>
      <c r="K183">
        <v>1.5461059752270001E-4</v>
      </c>
      <c r="L183" t="s">
        <v>251</v>
      </c>
      <c r="N183" t="s">
        <v>419</v>
      </c>
      <c r="O183" t="s">
        <v>1057</v>
      </c>
      <c r="P183">
        <v>1.3689160589450001E-4</v>
      </c>
      <c r="Q183" t="s">
        <v>251</v>
      </c>
      <c r="S183" t="s">
        <v>420</v>
      </c>
      <c r="T183" t="s">
        <v>1057</v>
      </c>
      <c r="U183">
        <v>2.075138987254E-4</v>
      </c>
      <c r="V183" t="s">
        <v>251</v>
      </c>
      <c r="X183">
        <v>1.1415525114155251E-4</v>
      </c>
      <c r="Y183">
        <v>1.4253868019126702E-4</v>
      </c>
      <c r="Z183" t="s">
        <v>1057</v>
      </c>
      <c r="AA183" t="s">
        <v>25</v>
      </c>
      <c r="AC183" t="s">
        <v>22</v>
      </c>
      <c r="AD183" t="s">
        <v>1057</v>
      </c>
      <c r="AE183">
        <v>1.7415675618693893E-4</v>
      </c>
      <c r="AG183" t="s">
        <v>97</v>
      </c>
      <c r="AH183" t="s">
        <v>1057</v>
      </c>
      <c r="AI183">
        <v>0</v>
      </c>
      <c r="AK183">
        <v>2036</v>
      </c>
      <c r="AL183" t="s">
        <v>167</v>
      </c>
      <c r="AM183">
        <v>0.37619999999999998</v>
      </c>
      <c r="AN183" t="s">
        <v>430</v>
      </c>
    </row>
    <row r="184" spans="5:40" x14ac:dyDescent="0.45">
      <c r="E184" t="s">
        <v>906</v>
      </c>
      <c r="G184" t="s">
        <v>443</v>
      </c>
      <c r="I184" t="s">
        <v>249</v>
      </c>
      <c r="J184" t="s">
        <v>1058</v>
      </c>
      <c r="K184">
        <v>1.5535960095770001E-4</v>
      </c>
      <c r="L184" t="s">
        <v>251</v>
      </c>
      <c r="N184" t="s">
        <v>419</v>
      </c>
      <c r="O184" t="s">
        <v>1058</v>
      </c>
      <c r="P184">
        <v>1.495261860154E-4</v>
      </c>
      <c r="Q184" t="s">
        <v>251</v>
      </c>
      <c r="S184" t="s">
        <v>420</v>
      </c>
      <c r="T184" t="s">
        <v>1058</v>
      </c>
      <c r="U184">
        <v>2.1622525857880001E-4</v>
      </c>
      <c r="V184" t="s">
        <v>251</v>
      </c>
      <c r="X184">
        <v>1.1415525114155251E-4</v>
      </c>
      <c r="Y184">
        <v>1.4883690094390442E-4</v>
      </c>
      <c r="Z184" t="s">
        <v>1058</v>
      </c>
      <c r="AA184" t="s">
        <v>25</v>
      </c>
      <c r="AC184" t="s">
        <v>22</v>
      </c>
      <c r="AD184" t="s">
        <v>1058</v>
      </c>
      <c r="AE184">
        <v>1.7592711878953665E-4</v>
      </c>
      <c r="AG184" t="s">
        <v>97</v>
      </c>
      <c r="AH184" t="s">
        <v>1058</v>
      </c>
      <c r="AI184">
        <v>0</v>
      </c>
      <c r="AK184">
        <v>2036</v>
      </c>
      <c r="AL184" t="s">
        <v>169</v>
      </c>
      <c r="AM184">
        <v>0.44330000000000003</v>
      </c>
      <c r="AN184" t="s">
        <v>430</v>
      </c>
    </row>
    <row r="185" spans="5:40" x14ac:dyDescent="0.45">
      <c r="E185" t="s">
        <v>907</v>
      </c>
      <c r="G185" t="s">
        <v>443</v>
      </c>
      <c r="I185" t="s">
        <v>249</v>
      </c>
      <c r="J185" t="s">
        <v>1059</v>
      </c>
      <c r="K185">
        <v>1.5142382057450001E-4</v>
      </c>
      <c r="L185" t="s">
        <v>251</v>
      </c>
      <c r="N185" t="s">
        <v>419</v>
      </c>
      <c r="O185" t="s">
        <v>1059</v>
      </c>
      <c r="P185">
        <v>1.7262352488049999E-4</v>
      </c>
      <c r="Q185" t="s">
        <v>251</v>
      </c>
      <c r="S185" t="s">
        <v>420</v>
      </c>
      <c r="T185" t="s">
        <v>1059</v>
      </c>
      <c r="U185">
        <v>2.2339829382949999E-4</v>
      </c>
      <c r="V185" t="s">
        <v>251</v>
      </c>
      <c r="X185">
        <v>1.1415525114155251E-4</v>
      </c>
      <c r="Y185">
        <v>1.5049432745775637E-4</v>
      </c>
      <c r="Z185" t="s">
        <v>1059</v>
      </c>
      <c r="AA185" t="s">
        <v>25</v>
      </c>
      <c r="AC185" t="s">
        <v>22</v>
      </c>
      <c r="AD185" t="s">
        <v>1059</v>
      </c>
      <c r="AE185">
        <v>1.6712655604698184E-4</v>
      </c>
      <c r="AG185" t="s">
        <v>97</v>
      </c>
      <c r="AH185" t="s">
        <v>1059</v>
      </c>
      <c r="AI185">
        <v>0</v>
      </c>
      <c r="AK185">
        <v>2036</v>
      </c>
      <c r="AL185" t="s">
        <v>171</v>
      </c>
      <c r="AM185">
        <v>0.56479999999999997</v>
      </c>
      <c r="AN185" t="s">
        <v>430</v>
      </c>
    </row>
    <row r="186" spans="5:40" x14ac:dyDescent="0.45">
      <c r="E186" t="s">
        <v>908</v>
      </c>
      <c r="G186" t="s">
        <v>443</v>
      </c>
      <c r="I186" t="s">
        <v>249</v>
      </c>
      <c r="J186" t="s">
        <v>1060</v>
      </c>
      <c r="K186">
        <v>1.2714906831820001E-4</v>
      </c>
      <c r="L186" t="s">
        <v>251</v>
      </c>
      <c r="N186" t="s">
        <v>419</v>
      </c>
      <c r="O186" t="s">
        <v>1060</v>
      </c>
      <c r="P186">
        <v>1.8540423570860001E-4</v>
      </c>
      <c r="Q186" t="s">
        <v>251</v>
      </c>
      <c r="S186" t="s">
        <v>420</v>
      </c>
      <c r="T186" t="s">
        <v>1060</v>
      </c>
      <c r="U186">
        <v>2.1480954758729999E-4</v>
      </c>
      <c r="V186" t="s">
        <v>251</v>
      </c>
      <c r="X186">
        <v>1.1415525114155251E-4</v>
      </c>
      <c r="Y186">
        <v>1.7237235744060203E-4</v>
      </c>
      <c r="Z186" t="s">
        <v>1060</v>
      </c>
      <c r="AA186" t="s">
        <v>25</v>
      </c>
      <c r="AC186" t="s">
        <v>22</v>
      </c>
      <c r="AD186" t="s">
        <v>1060</v>
      </c>
      <c r="AE186">
        <v>1.4592454199573252E-4</v>
      </c>
      <c r="AG186" t="s">
        <v>97</v>
      </c>
      <c r="AH186" t="s">
        <v>1060</v>
      </c>
      <c r="AI186">
        <v>0</v>
      </c>
      <c r="AK186">
        <v>2036</v>
      </c>
      <c r="AL186" t="s">
        <v>158</v>
      </c>
      <c r="AM186">
        <v>0.6623</v>
      </c>
      <c r="AN186" t="s">
        <v>430</v>
      </c>
    </row>
    <row r="187" spans="5:40" x14ac:dyDescent="0.45">
      <c r="E187" t="s">
        <v>909</v>
      </c>
      <c r="G187" t="s">
        <v>443</v>
      </c>
      <c r="I187" t="s">
        <v>249</v>
      </c>
      <c r="J187" t="s">
        <v>1061</v>
      </c>
      <c r="K187">
        <v>8.8058653119109769E-5</v>
      </c>
      <c r="L187" t="s">
        <v>251</v>
      </c>
      <c r="N187" t="s">
        <v>419</v>
      </c>
      <c r="O187" t="s">
        <v>1061</v>
      </c>
      <c r="P187">
        <v>1.801819017545E-4</v>
      </c>
      <c r="Q187" t="s">
        <v>251</v>
      </c>
      <c r="S187" t="s">
        <v>420</v>
      </c>
      <c r="T187" t="s">
        <v>1061</v>
      </c>
      <c r="U187">
        <v>2.121675982766E-4</v>
      </c>
      <c r="V187" t="s">
        <v>251</v>
      </c>
      <c r="X187">
        <v>1.1415525114155251E-4</v>
      </c>
      <c r="Y187">
        <v>2.2209515285616027E-4</v>
      </c>
      <c r="Z187" t="s">
        <v>1061</v>
      </c>
      <c r="AA187" t="s">
        <v>25</v>
      </c>
      <c r="AC187" t="s">
        <v>22</v>
      </c>
      <c r="AD187" t="s">
        <v>1061</v>
      </c>
      <c r="AE187">
        <v>1.2107150324422339E-4</v>
      </c>
      <c r="AG187" t="s">
        <v>97</v>
      </c>
      <c r="AH187" t="s">
        <v>1061</v>
      </c>
      <c r="AI187">
        <v>0</v>
      </c>
      <c r="AK187">
        <v>2036</v>
      </c>
      <c r="AL187" t="s">
        <v>162</v>
      </c>
      <c r="AM187">
        <v>0.56359999999999999</v>
      </c>
      <c r="AN187" t="s">
        <v>430</v>
      </c>
    </row>
    <row r="188" spans="5:40" x14ac:dyDescent="0.45">
      <c r="E188" t="s">
        <v>910</v>
      </c>
      <c r="G188" t="s">
        <v>443</v>
      </c>
      <c r="I188" t="s">
        <v>249</v>
      </c>
      <c r="J188" t="s">
        <v>1062</v>
      </c>
      <c r="K188">
        <v>6.0316287722820277E-5</v>
      </c>
      <c r="L188" t="s">
        <v>251</v>
      </c>
      <c r="N188" t="s">
        <v>419</v>
      </c>
      <c r="O188" t="s">
        <v>1062</v>
      </c>
      <c r="P188">
        <v>1.6636361687789999E-4</v>
      </c>
      <c r="Q188" t="s">
        <v>251</v>
      </c>
      <c r="S188" t="s">
        <v>420</v>
      </c>
      <c r="T188" t="s">
        <v>1062</v>
      </c>
      <c r="U188">
        <v>2.1016975266709999E-4</v>
      </c>
      <c r="V188" t="s">
        <v>251</v>
      </c>
      <c r="X188">
        <v>1.1415525114155251E-4</v>
      </c>
      <c r="Y188">
        <v>2.2209515285616027E-4</v>
      </c>
      <c r="Z188" t="s">
        <v>1062</v>
      </c>
      <c r="AA188" t="s">
        <v>25</v>
      </c>
      <c r="AC188" t="s">
        <v>22</v>
      </c>
      <c r="AD188" t="s">
        <v>1062</v>
      </c>
      <c r="AE188">
        <v>8.9962589090834873E-5</v>
      </c>
      <c r="AG188" t="s">
        <v>97</v>
      </c>
      <c r="AH188" t="s">
        <v>1062</v>
      </c>
      <c r="AI188">
        <v>0</v>
      </c>
      <c r="AK188">
        <v>2036</v>
      </c>
      <c r="AL188" t="s">
        <v>175</v>
      </c>
      <c r="AM188">
        <v>0.48159999999999997</v>
      </c>
      <c r="AN188" t="s">
        <v>430</v>
      </c>
    </row>
    <row r="189" spans="5:40" x14ac:dyDescent="0.45">
      <c r="E189" t="s">
        <v>911</v>
      </c>
      <c r="G189" t="s">
        <v>443</v>
      </c>
      <c r="I189" t="s">
        <v>249</v>
      </c>
      <c r="J189" t="s">
        <v>1063</v>
      </c>
      <c r="K189">
        <v>2.15943414864629E-5</v>
      </c>
      <c r="L189" t="s">
        <v>251</v>
      </c>
      <c r="N189" t="s">
        <v>419</v>
      </c>
      <c r="O189" t="s">
        <v>1063</v>
      </c>
      <c r="P189">
        <v>1.5355505772659999E-4</v>
      </c>
      <c r="Q189" t="s">
        <v>251</v>
      </c>
      <c r="S189" t="s">
        <v>420</v>
      </c>
      <c r="T189" t="s">
        <v>1063</v>
      </c>
      <c r="U189">
        <v>2.03383647838E-4</v>
      </c>
      <c r="V189" t="s">
        <v>251</v>
      </c>
      <c r="X189">
        <v>1.1415525114155251E-4</v>
      </c>
      <c r="Y189">
        <v>1.7237235744060203E-4</v>
      </c>
      <c r="Z189" t="s">
        <v>1063</v>
      </c>
      <c r="AA189" t="s">
        <v>25</v>
      </c>
      <c r="AC189" t="s">
        <v>22</v>
      </c>
      <c r="AD189" t="s">
        <v>1063</v>
      </c>
      <c r="AE189">
        <v>5.5787571801921499E-5</v>
      </c>
      <c r="AG189" t="s">
        <v>97</v>
      </c>
      <c r="AH189" t="s">
        <v>1063</v>
      </c>
      <c r="AI189">
        <v>0</v>
      </c>
      <c r="AK189">
        <v>2036</v>
      </c>
      <c r="AL189" t="s">
        <v>166</v>
      </c>
      <c r="AM189">
        <v>0.26840000000000003</v>
      </c>
      <c r="AN189" t="s">
        <v>430</v>
      </c>
    </row>
    <row r="190" spans="5:40" x14ac:dyDescent="0.45">
      <c r="E190" t="s">
        <v>912</v>
      </c>
      <c r="G190" t="s">
        <v>443</v>
      </c>
      <c r="I190" t="s">
        <v>249</v>
      </c>
      <c r="J190" t="s">
        <v>1064</v>
      </c>
      <c r="K190">
        <v>1.9599985300549151E-6</v>
      </c>
      <c r="L190" t="s">
        <v>251</v>
      </c>
      <c r="N190" t="s">
        <v>419</v>
      </c>
      <c r="O190" t="s">
        <v>1064</v>
      </c>
      <c r="P190">
        <v>1.526746267582E-4</v>
      </c>
      <c r="Q190" t="s">
        <v>251</v>
      </c>
      <c r="S190" t="s">
        <v>420</v>
      </c>
      <c r="T190" t="s">
        <v>1064</v>
      </c>
      <c r="U190">
        <v>2.027971169687E-4</v>
      </c>
      <c r="V190" t="s">
        <v>251</v>
      </c>
      <c r="X190">
        <v>1.1415525114155251E-4</v>
      </c>
      <c r="Y190">
        <v>1.5579809230208258E-4</v>
      </c>
      <c r="Z190" t="s">
        <v>1064</v>
      </c>
      <c r="AA190" t="s">
        <v>25</v>
      </c>
      <c r="AC190" t="s">
        <v>22</v>
      </c>
      <c r="AD190" t="s">
        <v>1064</v>
      </c>
      <c r="AE190">
        <v>5.0162297553642043E-5</v>
      </c>
      <c r="AG190" t="s">
        <v>97</v>
      </c>
      <c r="AH190" t="s">
        <v>1064</v>
      </c>
      <c r="AI190">
        <v>0</v>
      </c>
      <c r="AK190">
        <v>2036</v>
      </c>
      <c r="AL190" t="s">
        <v>178</v>
      </c>
      <c r="AM190">
        <v>0.23630000000000001</v>
      </c>
      <c r="AN190" t="s">
        <v>430</v>
      </c>
    </row>
    <row r="191" spans="5:40" x14ac:dyDescent="0.45">
      <c r="E191" t="s">
        <v>913</v>
      </c>
      <c r="G191" t="s">
        <v>443</v>
      </c>
      <c r="I191" t="s">
        <v>249</v>
      </c>
      <c r="J191" t="s">
        <v>1065</v>
      </c>
      <c r="K191">
        <v>0</v>
      </c>
      <c r="L191" t="s">
        <v>251</v>
      </c>
      <c r="N191" t="s">
        <v>419</v>
      </c>
      <c r="O191" t="s">
        <v>1065</v>
      </c>
      <c r="P191">
        <v>1.550665949239E-4</v>
      </c>
      <c r="Q191" t="s">
        <v>251</v>
      </c>
      <c r="S191" t="s">
        <v>420</v>
      </c>
      <c r="T191" t="s">
        <v>1065</v>
      </c>
      <c r="U191">
        <v>2.030384009716E-4</v>
      </c>
      <c r="V191" t="s">
        <v>251</v>
      </c>
      <c r="X191">
        <v>1.1415525114155251E-4</v>
      </c>
      <c r="Y191">
        <v>1.093901499142282E-4</v>
      </c>
      <c r="Z191" t="s">
        <v>1065</v>
      </c>
      <c r="AA191" t="s">
        <v>25</v>
      </c>
      <c r="AC191" t="s">
        <v>22</v>
      </c>
      <c r="AD191" t="s">
        <v>1065</v>
      </c>
      <c r="AE191">
        <v>4.7298967227225321E-5</v>
      </c>
      <c r="AG191" t="s">
        <v>97</v>
      </c>
      <c r="AH191" t="s">
        <v>1065</v>
      </c>
      <c r="AI191">
        <v>0</v>
      </c>
      <c r="AK191">
        <v>2037</v>
      </c>
      <c r="AL191" t="s">
        <v>151</v>
      </c>
      <c r="AM191">
        <v>0.25280000000000002</v>
      </c>
      <c r="AN191" t="s">
        <v>430</v>
      </c>
    </row>
    <row r="192" spans="5:40" x14ac:dyDescent="0.45">
      <c r="E192" t="s">
        <v>914</v>
      </c>
      <c r="G192" t="s">
        <v>443</v>
      </c>
      <c r="I192" t="s">
        <v>249</v>
      </c>
      <c r="J192" t="s">
        <v>1066</v>
      </c>
      <c r="K192">
        <v>0</v>
      </c>
      <c r="L192" t="s">
        <v>251</v>
      </c>
      <c r="N192" t="s">
        <v>419</v>
      </c>
      <c r="O192" t="s">
        <v>1066</v>
      </c>
      <c r="P192">
        <v>1.5997763024699999E-4</v>
      </c>
      <c r="Q192" t="s">
        <v>251</v>
      </c>
      <c r="S192" t="s">
        <v>420</v>
      </c>
      <c r="T192" t="s">
        <v>1066</v>
      </c>
      <c r="U192">
        <v>1.9847640623070001E-4</v>
      </c>
      <c r="V192" t="s">
        <v>251</v>
      </c>
      <c r="X192">
        <v>1.1415525114155251E-4</v>
      </c>
      <c r="Y192">
        <v>7.9556472664893237E-5</v>
      </c>
      <c r="Z192" t="s">
        <v>1066</v>
      </c>
      <c r="AA192" t="s">
        <v>25</v>
      </c>
      <c r="AC192" t="s">
        <v>22</v>
      </c>
      <c r="AD192" t="s">
        <v>1066</v>
      </c>
      <c r="AE192">
        <v>4.6179260231875592E-5</v>
      </c>
      <c r="AG192" t="s">
        <v>97</v>
      </c>
      <c r="AH192" t="s">
        <v>1066</v>
      </c>
      <c r="AI192">
        <v>0</v>
      </c>
      <c r="AK192">
        <v>2037</v>
      </c>
      <c r="AL192" t="s">
        <v>156</v>
      </c>
      <c r="AM192">
        <v>0.27289999999999998</v>
      </c>
      <c r="AN192" t="s">
        <v>430</v>
      </c>
    </row>
    <row r="193" spans="5:40" x14ac:dyDescent="0.45">
      <c r="E193" t="s">
        <v>915</v>
      </c>
      <c r="G193" t="s">
        <v>443</v>
      </c>
      <c r="I193" t="s">
        <v>249</v>
      </c>
      <c r="J193" t="s">
        <v>1067</v>
      </c>
      <c r="K193">
        <v>0</v>
      </c>
      <c r="L193" t="s">
        <v>251</v>
      </c>
      <c r="N193" t="s">
        <v>419</v>
      </c>
      <c r="O193" t="s">
        <v>1067</v>
      </c>
      <c r="P193">
        <v>1.628672916344E-4</v>
      </c>
      <c r="Q193" t="s">
        <v>251</v>
      </c>
      <c r="S193" t="s">
        <v>420</v>
      </c>
      <c r="T193" t="s">
        <v>1067</v>
      </c>
      <c r="U193">
        <v>1.9106639849730001E-4</v>
      </c>
      <c r="V193" t="s">
        <v>251</v>
      </c>
      <c r="X193">
        <v>1.1415525114155251E-4</v>
      </c>
      <c r="Y193">
        <v>5.6352501470966035E-5</v>
      </c>
      <c r="Z193" t="s">
        <v>1067</v>
      </c>
      <c r="AA193" t="s">
        <v>25</v>
      </c>
      <c r="AC193" t="s">
        <v>22</v>
      </c>
      <c r="AD193" t="s">
        <v>1067</v>
      </c>
      <c r="AE193">
        <v>6.0099279336253349E-5</v>
      </c>
      <c r="AG193" t="s">
        <v>97</v>
      </c>
      <c r="AH193" t="s">
        <v>1067</v>
      </c>
      <c r="AI193">
        <v>0</v>
      </c>
      <c r="AK193">
        <v>2037</v>
      </c>
      <c r="AL193" t="s">
        <v>159</v>
      </c>
      <c r="AM193">
        <v>0.28689999999999999</v>
      </c>
      <c r="AN193" t="s">
        <v>430</v>
      </c>
    </row>
    <row r="194" spans="5:40" x14ac:dyDescent="0.45">
      <c r="E194" t="s">
        <v>916</v>
      </c>
      <c r="G194" t="s">
        <v>443</v>
      </c>
      <c r="I194" t="s">
        <v>249</v>
      </c>
      <c r="J194" t="s">
        <v>1068</v>
      </c>
      <c r="K194">
        <v>0</v>
      </c>
      <c r="L194" t="s">
        <v>251</v>
      </c>
      <c r="N194" t="s">
        <v>419</v>
      </c>
      <c r="O194" t="s">
        <v>1068</v>
      </c>
      <c r="P194">
        <v>1.6826711033150001E-4</v>
      </c>
      <c r="Q194" t="s">
        <v>251</v>
      </c>
      <c r="S194" t="s">
        <v>420</v>
      </c>
      <c r="T194" t="s">
        <v>1068</v>
      </c>
      <c r="U194">
        <v>1.9068997778930001E-4</v>
      </c>
      <c r="V194" t="s">
        <v>251</v>
      </c>
      <c r="X194">
        <v>1.1415525114155251E-4</v>
      </c>
      <c r="Y194">
        <v>2.9833677249334962E-5</v>
      </c>
      <c r="Z194" t="s">
        <v>1068</v>
      </c>
      <c r="AA194" t="s">
        <v>25</v>
      </c>
      <c r="AC194" t="s">
        <v>22</v>
      </c>
      <c r="AD194" t="s">
        <v>1068</v>
      </c>
      <c r="AE194">
        <v>8.1643333235833368E-5</v>
      </c>
      <c r="AG194" t="s">
        <v>97</v>
      </c>
      <c r="AH194" t="s">
        <v>1068</v>
      </c>
      <c r="AI194">
        <v>0</v>
      </c>
      <c r="AK194">
        <v>2037</v>
      </c>
      <c r="AL194" t="s">
        <v>163</v>
      </c>
      <c r="AM194">
        <v>0.33589999999999998</v>
      </c>
      <c r="AN194" t="s">
        <v>430</v>
      </c>
    </row>
    <row r="195" spans="5:40" x14ac:dyDescent="0.45">
      <c r="E195" t="s">
        <v>917</v>
      </c>
      <c r="G195" t="s">
        <v>443</v>
      </c>
      <c r="I195" t="s">
        <v>249</v>
      </c>
      <c r="J195" t="s">
        <v>1069</v>
      </c>
      <c r="K195">
        <v>0</v>
      </c>
      <c r="L195" t="s">
        <v>251</v>
      </c>
      <c r="N195" t="s">
        <v>419</v>
      </c>
      <c r="O195" t="s">
        <v>1069</v>
      </c>
      <c r="P195">
        <v>1.7447405777680001E-4</v>
      </c>
      <c r="Q195" t="s">
        <v>251</v>
      </c>
      <c r="S195" t="s">
        <v>420</v>
      </c>
      <c r="T195" t="s">
        <v>1069</v>
      </c>
      <c r="U195">
        <v>1.9427553844739999E-4</v>
      </c>
      <c r="V195" t="s">
        <v>251</v>
      </c>
      <c r="X195">
        <v>1.1415525114155251E-4</v>
      </c>
      <c r="Y195">
        <v>2.1546544680075254E-5</v>
      </c>
      <c r="Z195" t="s">
        <v>1069</v>
      </c>
      <c r="AA195" t="s">
        <v>25</v>
      </c>
      <c r="AC195" t="s">
        <v>22</v>
      </c>
      <c r="AD195" t="s">
        <v>1069</v>
      </c>
      <c r="AE195">
        <v>8.3562990104477759E-5</v>
      </c>
      <c r="AG195" t="s">
        <v>97</v>
      </c>
      <c r="AH195" t="s">
        <v>1069</v>
      </c>
      <c r="AI195">
        <v>0</v>
      </c>
      <c r="AK195">
        <v>2037</v>
      </c>
      <c r="AL195" t="s">
        <v>167</v>
      </c>
      <c r="AM195">
        <v>0.35089999999999999</v>
      </c>
      <c r="AN195" t="s">
        <v>430</v>
      </c>
    </row>
    <row r="196" spans="5:40" x14ac:dyDescent="0.45">
      <c r="E196" t="s">
        <v>918</v>
      </c>
      <c r="G196" t="s">
        <v>443</v>
      </c>
      <c r="I196" t="s">
        <v>249</v>
      </c>
      <c r="J196" t="s">
        <v>1070</v>
      </c>
      <c r="K196">
        <v>0</v>
      </c>
      <c r="L196" t="s">
        <v>251</v>
      </c>
      <c r="N196" t="s">
        <v>419</v>
      </c>
      <c r="O196" t="s">
        <v>1070</v>
      </c>
      <c r="P196">
        <v>1.780906888052E-4</v>
      </c>
      <c r="Q196" t="s">
        <v>251</v>
      </c>
      <c r="S196" t="s">
        <v>420</v>
      </c>
      <c r="T196" t="s">
        <v>1070</v>
      </c>
      <c r="U196">
        <v>2.0066699639759999E-4</v>
      </c>
      <c r="V196" t="s">
        <v>251</v>
      </c>
      <c r="X196">
        <v>1.1415525114155251E-4</v>
      </c>
      <c r="Y196">
        <v>1.4916838624667481E-5</v>
      </c>
      <c r="Z196" t="s">
        <v>1070</v>
      </c>
      <c r="AA196" t="s">
        <v>25</v>
      </c>
      <c r="AC196" t="s">
        <v>22</v>
      </c>
      <c r="AD196" t="s">
        <v>1070</v>
      </c>
      <c r="AE196">
        <v>9.805121872888376E-5</v>
      </c>
      <c r="AG196" t="s">
        <v>97</v>
      </c>
      <c r="AH196" t="s">
        <v>1070</v>
      </c>
      <c r="AI196">
        <v>0</v>
      </c>
      <c r="AK196">
        <v>2037</v>
      </c>
      <c r="AL196" t="s">
        <v>169</v>
      </c>
      <c r="AM196">
        <v>0.48730000000000001</v>
      </c>
      <c r="AN196" t="s">
        <v>430</v>
      </c>
    </row>
    <row r="197" spans="5:40" x14ac:dyDescent="0.45">
      <c r="E197" t="s">
        <v>919</v>
      </c>
      <c r="G197" t="s">
        <v>443</v>
      </c>
      <c r="I197" t="s">
        <v>249</v>
      </c>
      <c r="J197" t="s">
        <v>1071</v>
      </c>
      <c r="K197">
        <v>0</v>
      </c>
      <c r="L197" t="s">
        <v>251</v>
      </c>
      <c r="N197" t="s">
        <v>419</v>
      </c>
      <c r="O197" t="s">
        <v>1071</v>
      </c>
      <c r="P197">
        <v>1.5996395073180001E-4</v>
      </c>
      <c r="Q197" t="s">
        <v>251</v>
      </c>
      <c r="S197" t="s">
        <v>420</v>
      </c>
      <c r="T197" t="s">
        <v>1071</v>
      </c>
      <c r="U197">
        <v>1.937540190161E-4</v>
      </c>
      <c r="V197" t="s">
        <v>251</v>
      </c>
      <c r="X197">
        <v>1.1415525114155251E-4</v>
      </c>
      <c r="Y197">
        <v>1.6574265138519424E-5</v>
      </c>
      <c r="Z197" t="s">
        <v>1071</v>
      </c>
      <c r="AA197" t="s">
        <v>25</v>
      </c>
      <c r="AC197" t="s">
        <v>22</v>
      </c>
      <c r="AD197" t="s">
        <v>1071</v>
      </c>
      <c r="AE197">
        <v>1.2149933158871525E-4</v>
      </c>
      <c r="AG197" t="s">
        <v>97</v>
      </c>
      <c r="AH197" t="s">
        <v>1071</v>
      </c>
      <c r="AI197">
        <v>0</v>
      </c>
      <c r="AK197">
        <v>2037</v>
      </c>
      <c r="AL197" t="s">
        <v>171</v>
      </c>
      <c r="AM197">
        <v>0.49869999999999998</v>
      </c>
      <c r="AN197" t="s">
        <v>430</v>
      </c>
    </row>
    <row r="198" spans="5:40" x14ac:dyDescent="0.45">
      <c r="E198" t="s">
        <v>920</v>
      </c>
      <c r="G198" t="s">
        <v>443</v>
      </c>
      <c r="I198" t="s">
        <v>249</v>
      </c>
      <c r="J198" t="s">
        <v>1072</v>
      </c>
      <c r="K198">
        <v>0</v>
      </c>
      <c r="L198" t="s">
        <v>251</v>
      </c>
      <c r="N198" t="s">
        <v>419</v>
      </c>
      <c r="O198" t="s">
        <v>1072</v>
      </c>
      <c r="P198">
        <v>1.2722194748509999E-4</v>
      </c>
      <c r="Q198" t="s">
        <v>251</v>
      </c>
      <c r="S198" t="s">
        <v>420</v>
      </c>
      <c r="T198" t="s">
        <v>1072</v>
      </c>
      <c r="U198">
        <v>1.79892145683E-4</v>
      </c>
      <c r="V198" t="s">
        <v>251</v>
      </c>
      <c r="X198">
        <v>1.1415525114155251E-4</v>
      </c>
      <c r="Y198">
        <v>1.4585353321897093E-5</v>
      </c>
      <c r="Z198" t="s">
        <v>1072</v>
      </c>
      <c r="AA198" t="s">
        <v>25</v>
      </c>
      <c r="AC198" t="s">
        <v>22</v>
      </c>
      <c r="AD198" t="s">
        <v>1072</v>
      </c>
      <c r="AE198">
        <v>1.3827933861056843E-4</v>
      </c>
      <c r="AG198" t="s">
        <v>97</v>
      </c>
      <c r="AH198" t="s">
        <v>1072</v>
      </c>
      <c r="AI198">
        <v>0</v>
      </c>
      <c r="AK198">
        <v>2037</v>
      </c>
      <c r="AL198" t="s">
        <v>158</v>
      </c>
      <c r="AM198">
        <v>0.6482</v>
      </c>
      <c r="AN198" t="s">
        <v>430</v>
      </c>
    </row>
    <row r="199" spans="5:40" x14ac:dyDescent="0.45">
      <c r="E199" t="s">
        <v>921</v>
      </c>
      <c r="G199" t="s">
        <v>443</v>
      </c>
      <c r="I199" t="s">
        <v>249</v>
      </c>
      <c r="J199" t="s">
        <v>1073</v>
      </c>
      <c r="K199">
        <v>0</v>
      </c>
      <c r="L199" t="s">
        <v>251</v>
      </c>
      <c r="N199" t="s">
        <v>419</v>
      </c>
      <c r="O199" t="s">
        <v>1073</v>
      </c>
      <c r="P199">
        <v>1.2294317104090001E-4</v>
      </c>
      <c r="Q199" t="s">
        <v>251</v>
      </c>
      <c r="S199" t="s">
        <v>420</v>
      </c>
      <c r="T199" t="s">
        <v>1073</v>
      </c>
      <c r="U199">
        <v>1.6855805857409999E-4</v>
      </c>
      <c r="V199" t="s">
        <v>251</v>
      </c>
      <c r="X199">
        <v>1.1415525114155251E-4</v>
      </c>
      <c r="Y199">
        <v>2.1215059377304864E-5</v>
      </c>
      <c r="Z199" t="s">
        <v>1073</v>
      </c>
      <c r="AA199" t="s">
        <v>25</v>
      </c>
      <c r="AC199" t="s">
        <v>22</v>
      </c>
      <c r="AD199" t="s">
        <v>1073</v>
      </c>
      <c r="AE199">
        <v>1.4302221689833341E-4</v>
      </c>
      <c r="AG199" t="s">
        <v>97</v>
      </c>
      <c r="AH199" t="s">
        <v>1073</v>
      </c>
      <c r="AI199">
        <v>0</v>
      </c>
      <c r="AK199">
        <v>2037</v>
      </c>
      <c r="AL199" t="s">
        <v>162</v>
      </c>
      <c r="AM199">
        <v>0.5504</v>
      </c>
      <c r="AN199" t="s">
        <v>430</v>
      </c>
    </row>
    <row r="200" spans="5:40" x14ac:dyDescent="0.45">
      <c r="E200" t="s">
        <v>922</v>
      </c>
      <c r="G200" t="s">
        <v>443</v>
      </c>
      <c r="I200" t="s">
        <v>249</v>
      </c>
      <c r="J200" t="s">
        <v>1074</v>
      </c>
      <c r="K200">
        <v>0</v>
      </c>
      <c r="L200" t="s">
        <v>251</v>
      </c>
      <c r="N200" t="s">
        <v>419</v>
      </c>
      <c r="O200" t="s">
        <v>1074</v>
      </c>
      <c r="P200">
        <v>1.2047602864509999E-4</v>
      </c>
      <c r="Q200" t="s">
        <v>251</v>
      </c>
      <c r="S200" t="s">
        <v>420</v>
      </c>
      <c r="T200" t="s">
        <v>1074</v>
      </c>
      <c r="U200">
        <v>1.5770922912279999E-4</v>
      </c>
      <c r="V200" t="s">
        <v>251</v>
      </c>
      <c r="X200">
        <v>1.1415525114155251E-4</v>
      </c>
      <c r="Y200">
        <v>5.7678442682047593E-5</v>
      </c>
      <c r="Z200" t="s">
        <v>1074</v>
      </c>
      <c r="AA200" t="s">
        <v>25</v>
      </c>
      <c r="AC200" t="s">
        <v>22</v>
      </c>
      <c r="AD200" t="s">
        <v>1074</v>
      </c>
      <c r="AE200">
        <v>1.4326398447842389E-4</v>
      </c>
      <c r="AG200" t="s">
        <v>97</v>
      </c>
      <c r="AH200" t="s">
        <v>1074</v>
      </c>
      <c r="AI200">
        <v>0</v>
      </c>
      <c r="AK200">
        <v>2037</v>
      </c>
      <c r="AL200" t="s">
        <v>175</v>
      </c>
      <c r="AM200">
        <v>0.46239999999999998</v>
      </c>
      <c r="AN200" t="s">
        <v>430</v>
      </c>
    </row>
    <row r="201" spans="5:40" x14ac:dyDescent="0.45">
      <c r="E201" t="s">
        <v>923</v>
      </c>
      <c r="G201" t="s">
        <v>443</v>
      </c>
      <c r="I201" t="s">
        <v>249</v>
      </c>
      <c r="J201" t="s">
        <v>1075</v>
      </c>
      <c r="K201">
        <v>1.957163512402288E-6</v>
      </c>
      <c r="L201" t="s">
        <v>251</v>
      </c>
      <c r="N201" t="s">
        <v>419</v>
      </c>
      <c r="O201" t="s">
        <v>1075</v>
      </c>
      <c r="P201">
        <v>1.1220589106289999E-4</v>
      </c>
      <c r="Q201" t="s">
        <v>251</v>
      </c>
      <c r="S201" t="s">
        <v>420</v>
      </c>
      <c r="T201" t="s">
        <v>1075</v>
      </c>
      <c r="U201">
        <v>1.492706459301E-4</v>
      </c>
      <c r="V201" t="s">
        <v>251</v>
      </c>
      <c r="X201">
        <v>1.1415525114155251E-4</v>
      </c>
      <c r="Y201">
        <v>1.6905750441289813E-4</v>
      </c>
      <c r="Z201" t="s">
        <v>1075</v>
      </c>
      <c r="AA201" t="s">
        <v>25</v>
      </c>
      <c r="AC201" t="s">
        <v>22</v>
      </c>
      <c r="AD201" t="s">
        <v>1075</v>
      </c>
      <c r="AE201">
        <v>1.4330632165834755E-4</v>
      </c>
      <c r="AG201" t="s">
        <v>97</v>
      </c>
      <c r="AH201" t="s">
        <v>1075</v>
      </c>
      <c r="AI201">
        <v>0</v>
      </c>
      <c r="AK201">
        <v>2037</v>
      </c>
      <c r="AL201" t="s">
        <v>166</v>
      </c>
      <c r="AM201">
        <v>0.31819999999999998</v>
      </c>
      <c r="AN201" t="s">
        <v>430</v>
      </c>
    </row>
    <row r="202" spans="5:40" x14ac:dyDescent="0.45">
      <c r="E202" t="s">
        <v>924</v>
      </c>
      <c r="G202" t="s">
        <v>443</v>
      </c>
      <c r="I202" t="s">
        <v>249</v>
      </c>
      <c r="J202" t="s">
        <v>1076</v>
      </c>
      <c r="K202">
        <v>1.4991962399449421E-5</v>
      </c>
      <c r="L202" t="s">
        <v>251</v>
      </c>
      <c r="N202" t="s">
        <v>419</v>
      </c>
      <c r="O202" t="s">
        <v>1076</v>
      </c>
      <c r="P202">
        <v>1.2189489217889999E-4</v>
      </c>
      <c r="Q202" t="s">
        <v>251</v>
      </c>
      <c r="S202" t="s">
        <v>420</v>
      </c>
      <c r="T202" t="s">
        <v>1076</v>
      </c>
      <c r="U202">
        <v>1.4602742221040001E-4</v>
      </c>
      <c r="V202" t="s">
        <v>251</v>
      </c>
      <c r="X202">
        <v>1.1415525114155251E-4</v>
      </c>
      <c r="Y202">
        <v>1.9060404909297337E-4</v>
      </c>
      <c r="Z202" t="s">
        <v>1076</v>
      </c>
      <c r="AA202" t="s">
        <v>25</v>
      </c>
      <c r="AC202" t="s">
        <v>22</v>
      </c>
      <c r="AD202" t="s">
        <v>1076</v>
      </c>
      <c r="AE202">
        <v>1.4512682039506545E-4</v>
      </c>
      <c r="AG202" t="s">
        <v>97</v>
      </c>
      <c r="AH202" t="s">
        <v>1076</v>
      </c>
      <c r="AI202">
        <v>0</v>
      </c>
      <c r="AK202">
        <v>2037</v>
      </c>
      <c r="AL202" t="s">
        <v>178</v>
      </c>
      <c r="AM202">
        <v>0.24579999999999999</v>
      </c>
      <c r="AN202" t="s">
        <v>430</v>
      </c>
    </row>
    <row r="203" spans="5:40" x14ac:dyDescent="0.45">
      <c r="E203" t="s">
        <v>485</v>
      </c>
      <c r="G203" t="s">
        <v>445</v>
      </c>
      <c r="I203" t="s">
        <v>249</v>
      </c>
      <c r="J203" t="s">
        <v>1077</v>
      </c>
      <c r="K203">
        <v>3.7186029161178402E-5</v>
      </c>
      <c r="L203" t="s">
        <v>251</v>
      </c>
      <c r="N203" t="s">
        <v>419</v>
      </c>
      <c r="O203" t="s">
        <v>1077</v>
      </c>
      <c r="P203">
        <v>1.5152041769570001E-4</v>
      </c>
      <c r="Q203" t="s">
        <v>251</v>
      </c>
      <c r="S203" t="s">
        <v>420</v>
      </c>
      <c r="T203" t="s">
        <v>1077</v>
      </c>
      <c r="U203">
        <v>1.5009033357419999E-4</v>
      </c>
      <c r="V203" t="s">
        <v>251</v>
      </c>
      <c r="X203">
        <v>1.1415525114155251E-4</v>
      </c>
      <c r="Y203">
        <v>1.4585353321897094E-4</v>
      </c>
      <c r="Z203" t="s">
        <v>1077</v>
      </c>
      <c r="AA203" t="s">
        <v>25</v>
      </c>
      <c r="AC203" t="s">
        <v>22</v>
      </c>
      <c r="AD203" t="s">
        <v>1077</v>
      </c>
      <c r="AE203">
        <v>1.5393629622813051E-4</v>
      </c>
      <c r="AG203" t="s">
        <v>97</v>
      </c>
      <c r="AH203" t="s">
        <v>1077</v>
      </c>
      <c r="AI203">
        <v>0</v>
      </c>
      <c r="AK203">
        <v>2038</v>
      </c>
      <c r="AL203" t="s">
        <v>151</v>
      </c>
      <c r="AM203">
        <v>0.25800000000000001</v>
      </c>
      <c r="AN203" t="s">
        <v>430</v>
      </c>
    </row>
    <row r="204" spans="5:40" x14ac:dyDescent="0.45">
      <c r="E204" t="s">
        <v>486</v>
      </c>
      <c r="G204" t="s">
        <v>445</v>
      </c>
      <c r="I204" t="s">
        <v>249</v>
      </c>
      <c r="J204" t="s">
        <v>1078</v>
      </c>
      <c r="K204">
        <v>6.3693460825586202E-5</v>
      </c>
      <c r="L204" t="s">
        <v>251</v>
      </c>
      <c r="N204" t="s">
        <v>419</v>
      </c>
      <c r="O204" t="s">
        <v>1078</v>
      </c>
      <c r="P204">
        <v>1.4890376840259999E-4</v>
      </c>
      <c r="Q204" t="s">
        <v>251</v>
      </c>
      <c r="S204" t="s">
        <v>420</v>
      </c>
      <c r="T204" t="s">
        <v>1078</v>
      </c>
      <c r="U204">
        <v>1.5867796437189999E-4</v>
      </c>
      <c r="V204" t="s">
        <v>251</v>
      </c>
      <c r="X204">
        <v>1.1415525114155251E-4</v>
      </c>
      <c r="Y204">
        <v>1.4452759200788939E-4</v>
      </c>
      <c r="Z204" t="s">
        <v>1078</v>
      </c>
      <c r="AA204" t="s">
        <v>25</v>
      </c>
      <c r="AC204" t="s">
        <v>22</v>
      </c>
      <c r="AD204" t="s">
        <v>1078</v>
      </c>
      <c r="AE204">
        <v>1.581689000841839E-4</v>
      </c>
      <c r="AG204" t="s">
        <v>97</v>
      </c>
      <c r="AH204" t="s">
        <v>1078</v>
      </c>
      <c r="AI204">
        <v>0</v>
      </c>
      <c r="AK204">
        <v>2038</v>
      </c>
      <c r="AL204" t="s">
        <v>156</v>
      </c>
      <c r="AM204">
        <v>0.2656</v>
      </c>
      <c r="AN204" t="s">
        <v>430</v>
      </c>
    </row>
    <row r="205" spans="5:40" x14ac:dyDescent="0.45">
      <c r="E205" t="s">
        <v>487</v>
      </c>
      <c r="G205" t="s">
        <v>445</v>
      </c>
      <c r="I205" t="s">
        <v>249</v>
      </c>
      <c r="J205" t="s">
        <v>1079</v>
      </c>
      <c r="K205">
        <v>9.6675152775655576E-5</v>
      </c>
      <c r="L205" t="s">
        <v>251</v>
      </c>
      <c r="N205" t="s">
        <v>419</v>
      </c>
      <c r="O205" t="s">
        <v>1079</v>
      </c>
      <c r="P205">
        <v>1.467369578177E-4</v>
      </c>
      <c r="Q205" t="s">
        <v>251</v>
      </c>
      <c r="S205" t="s">
        <v>420</v>
      </c>
      <c r="T205" t="s">
        <v>1079</v>
      </c>
      <c r="U205">
        <v>1.710613436769E-4</v>
      </c>
      <c r="V205" t="s">
        <v>251</v>
      </c>
      <c r="X205">
        <v>1.1415525114155251E-4</v>
      </c>
      <c r="Y205">
        <v>1.408812536774151E-4</v>
      </c>
      <c r="Z205" t="s">
        <v>1079</v>
      </c>
      <c r="AA205" t="s">
        <v>25</v>
      </c>
      <c r="AC205" t="s">
        <v>22</v>
      </c>
      <c r="AD205" t="s">
        <v>1079</v>
      </c>
      <c r="AE205">
        <v>1.4369961177711221E-4</v>
      </c>
      <c r="AG205" t="s">
        <v>97</v>
      </c>
      <c r="AH205" t="s">
        <v>1079</v>
      </c>
      <c r="AI205">
        <v>0</v>
      </c>
      <c r="AK205">
        <v>2038</v>
      </c>
      <c r="AL205" t="s">
        <v>159</v>
      </c>
      <c r="AM205">
        <v>0.29360000000000003</v>
      </c>
      <c r="AN205" t="s">
        <v>430</v>
      </c>
    </row>
    <row r="206" spans="5:40" x14ac:dyDescent="0.45">
      <c r="E206" t="s">
        <v>488</v>
      </c>
      <c r="G206" t="s">
        <v>445</v>
      </c>
      <c r="I206" t="s">
        <v>249</v>
      </c>
      <c r="J206" t="s">
        <v>1080</v>
      </c>
      <c r="K206">
        <v>1.108768314426E-4</v>
      </c>
      <c r="L206" t="s">
        <v>251</v>
      </c>
      <c r="N206" t="s">
        <v>419</v>
      </c>
      <c r="O206" t="s">
        <v>1080</v>
      </c>
      <c r="P206">
        <v>1.4446332632790001E-4</v>
      </c>
      <c r="Q206" t="s">
        <v>251</v>
      </c>
      <c r="S206" t="s">
        <v>420</v>
      </c>
      <c r="T206" t="s">
        <v>1080</v>
      </c>
      <c r="U206">
        <v>1.7982820489190001E-4</v>
      </c>
      <c r="V206" t="s">
        <v>251</v>
      </c>
      <c r="X206">
        <v>1.1415525114155251E-4</v>
      </c>
      <c r="Y206">
        <v>1.4054976837464471E-4</v>
      </c>
      <c r="Z206" t="s">
        <v>1080</v>
      </c>
      <c r="AA206" t="s">
        <v>25</v>
      </c>
      <c r="AC206" t="s">
        <v>22</v>
      </c>
      <c r="AD206" t="s">
        <v>1080</v>
      </c>
      <c r="AE206">
        <v>1.4417311971046904E-4</v>
      </c>
      <c r="AG206" t="s">
        <v>97</v>
      </c>
      <c r="AH206" t="s">
        <v>1080</v>
      </c>
      <c r="AI206">
        <v>0</v>
      </c>
      <c r="AK206">
        <v>2038</v>
      </c>
      <c r="AL206" t="s">
        <v>163</v>
      </c>
      <c r="AM206">
        <v>0.32190000000000002</v>
      </c>
      <c r="AN206" t="s">
        <v>430</v>
      </c>
    </row>
    <row r="207" spans="5:40" x14ac:dyDescent="0.45">
      <c r="E207" t="s">
        <v>489</v>
      </c>
      <c r="G207" t="s">
        <v>445</v>
      </c>
      <c r="I207" t="s">
        <v>249</v>
      </c>
      <c r="J207" t="s">
        <v>1081</v>
      </c>
      <c r="K207">
        <v>1.228163010502E-4</v>
      </c>
      <c r="L207" t="s">
        <v>251</v>
      </c>
      <c r="N207" t="s">
        <v>419</v>
      </c>
      <c r="O207" t="s">
        <v>1081</v>
      </c>
      <c r="P207">
        <v>1.4441447650520001E-4</v>
      </c>
      <c r="Q207" t="s">
        <v>251</v>
      </c>
      <c r="S207" t="s">
        <v>420</v>
      </c>
      <c r="T207" t="s">
        <v>1081</v>
      </c>
      <c r="U207">
        <v>1.862374465613E-4</v>
      </c>
      <c r="V207" t="s">
        <v>251</v>
      </c>
      <c r="X207">
        <v>1.1415525114155251E-4</v>
      </c>
      <c r="Y207">
        <v>1.4253868019126702E-4</v>
      </c>
      <c r="Z207" t="s">
        <v>1081</v>
      </c>
      <c r="AA207" t="s">
        <v>25</v>
      </c>
      <c r="AC207" t="s">
        <v>22</v>
      </c>
      <c r="AD207" t="s">
        <v>1081</v>
      </c>
      <c r="AE207">
        <v>1.7417012582270433E-4</v>
      </c>
      <c r="AG207" t="s">
        <v>97</v>
      </c>
      <c r="AH207" t="s">
        <v>1081</v>
      </c>
      <c r="AI207">
        <v>0</v>
      </c>
      <c r="AK207">
        <v>2038</v>
      </c>
      <c r="AL207" t="s">
        <v>167</v>
      </c>
      <c r="AM207">
        <v>0.37019999999999997</v>
      </c>
      <c r="AN207" t="s">
        <v>430</v>
      </c>
    </row>
    <row r="208" spans="5:40" x14ac:dyDescent="0.45">
      <c r="E208" t="s">
        <v>490</v>
      </c>
      <c r="G208" t="s">
        <v>445</v>
      </c>
      <c r="I208" t="s">
        <v>249</v>
      </c>
      <c r="J208" t="s">
        <v>1082</v>
      </c>
      <c r="K208">
        <v>1.2845000609720001E-4</v>
      </c>
      <c r="L208" t="s">
        <v>251</v>
      </c>
      <c r="N208" t="s">
        <v>419</v>
      </c>
      <c r="O208" t="s">
        <v>1082</v>
      </c>
      <c r="P208">
        <v>1.5050785518850001E-4</v>
      </c>
      <c r="Q208" t="s">
        <v>251</v>
      </c>
      <c r="S208" t="s">
        <v>420</v>
      </c>
      <c r="T208" t="s">
        <v>1082</v>
      </c>
      <c r="U208">
        <v>1.9041447443699999E-4</v>
      </c>
      <c r="V208" t="s">
        <v>251</v>
      </c>
      <c r="X208">
        <v>1.1415525114155251E-4</v>
      </c>
      <c r="Y208">
        <v>1.4883690094390442E-4</v>
      </c>
      <c r="Z208" t="s">
        <v>1082</v>
      </c>
      <c r="AA208" t="s">
        <v>25</v>
      </c>
      <c r="AC208" t="s">
        <v>22</v>
      </c>
      <c r="AD208" t="s">
        <v>1082</v>
      </c>
      <c r="AE208">
        <v>1.7373338438770219E-4</v>
      </c>
      <c r="AG208" t="s">
        <v>97</v>
      </c>
      <c r="AH208" t="s">
        <v>1082</v>
      </c>
      <c r="AI208">
        <v>0</v>
      </c>
      <c r="AK208">
        <v>2038</v>
      </c>
      <c r="AL208" t="s">
        <v>169</v>
      </c>
      <c r="AM208">
        <v>0.50539999999999996</v>
      </c>
      <c r="AN208" t="s">
        <v>430</v>
      </c>
    </row>
    <row r="209" spans="5:40" x14ac:dyDescent="0.45">
      <c r="E209" t="s">
        <v>491</v>
      </c>
      <c r="G209" t="s">
        <v>445</v>
      </c>
      <c r="I209" t="s">
        <v>249</v>
      </c>
      <c r="J209" t="s">
        <v>1083</v>
      </c>
      <c r="K209">
        <v>1.265083198357E-4</v>
      </c>
      <c r="L209" t="s">
        <v>251</v>
      </c>
      <c r="N209" t="s">
        <v>419</v>
      </c>
      <c r="O209" t="s">
        <v>1083</v>
      </c>
      <c r="P209">
        <v>1.4899065847860001E-4</v>
      </c>
      <c r="Q209" t="s">
        <v>251</v>
      </c>
      <c r="S209" t="s">
        <v>420</v>
      </c>
      <c r="T209" t="s">
        <v>1083</v>
      </c>
      <c r="U209">
        <v>1.8210164614509999E-4</v>
      </c>
      <c r="V209" t="s">
        <v>251</v>
      </c>
      <c r="X209">
        <v>1.1415525114155251E-4</v>
      </c>
      <c r="Y209">
        <v>1.5049432745775637E-4</v>
      </c>
      <c r="Z209" t="s">
        <v>1083</v>
      </c>
      <c r="AA209" t="s">
        <v>25</v>
      </c>
      <c r="AC209" t="s">
        <v>22</v>
      </c>
      <c r="AD209" t="s">
        <v>1083</v>
      </c>
      <c r="AE209">
        <v>1.6688367433057762E-4</v>
      </c>
      <c r="AG209" t="s">
        <v>97</v>
      </c>
      <c r="AH209" t="s">
        <v>1083</v>
      </c>
      <c r="AI209">
        <v>0</v>
      </c>
      <c r="AK209">
        <v>2038</v>
      </c>
      <c r="AL209" t="s">
        <v>171</v>
      </c>
      <c r="AM209">
        <v>0.6018</v>
      </c>
      <c r="AN209" t="s">
        <v>430</v>
      </c>
    </row>
    <row r="210" spans="5:40" x14ac:dyDescent="0.45">
      <c r="E210" t="s">
        <v>492</v>
      </c>
      <c r="G210" t="s">
        <v>445</v>
      </c>
      <c r="I210" t="s">
        <v>249</v>
      </c>
      <c r="J210" t="s">
        <v>1084</v>
      </c>
      <c r="K210">
        <v>1.136848469396E-4</v>
      </c>
      <c r="L210" t="s">
        <v>251</v>
      </c>
      <c r="N210" t="s">
        <v>419</v>
      </c>
      <c r="O210" t="s">
        <v>1084</v>
      </c>
      <c r="P210">
        <v>1.387700401032E-4</v>
      </c>
      <c r="Q210" t="s">
        <v>251</v>
      </c>
      <c r="S210" t="s">
        <v>420</v>
      </c>
      <c r="T210" t="s">
        <v>1084</v>
      </c>
      <c r="U210">
        <v>1.6849401539710001E-4</v>
      </c>
      <c r="V210" t="s">
        <v>251</v>
      </c>
      <c r="X210">
        <v>1.1415525114155251E-4</v>
      </c>
      <c r="Y210">
        <v>1.7237235744060203E-4</v>
      </c>
      <c r="Z210" t="s">
        <v>1084</v>
      </c>
      <c r="AA210" t="s">
        <v>25</v>
      </c>
      <c r="AC210" t="s">
        <v>22</v>
      </c>
      <c r="AD210" t="s">
        <v>1084</v>
      </c>
      <c r="AE210">
        <v>1.4592454199573252E-4</v>
      </c>
      <c r="AG210" t="s">
        <v>97</v>
      </c>
      <c r="AH210" t="s">
        <v>1084</v>
      </c>
      <c r="AI210">
        <v>0</v>
      </c>
      <c r="AK210">
        <v>2038</v>
      </c>
      <c r="AL210" t="s">
        <v>158</v>
      </c>
      <c r="AM210">
        <v>0.68220000000000003</v>
      </c>
      <c r="AN210" t="s">
        <v>430</v>
      </c>
    </row>
    <row r="211" spans="5:40" x14ac:dyDescent="0.45">
      <c r="E211" t="s">
        <v>493</v>
      </c>
      <c r="G211" t="s">
        <v>445</v>
      </c>
      <c r="I211" t="s">
        <v>249</v>
      </c>
      <c r="J211" t="s">
        <v>1085</v>
      </c>
      <c r="K211">
        <v>8.8105713305392885E-5</v>
      </c>
      <c r="L211" t="s">
        <v>251</v>
      </c>
      <c r="N211" t="s">
        <v>419</v>
      </c>
      <c r="O211" t="s">
        <v>1085</v>
      </c>
      <c r="P211">
        <v>1.3169828150460001E-4</v>
      </c>
      <c r="Q211" t="s">
        <v>251</v>
      </c>
      <c r="S211" t="s">
        <v>420</v>
      </c>
      <c r="T211" t="s">
        <v>1085</v>
      </c>
      <c r="U211">
        <v>1.5634877814680001E-4</v>
      </c>
      <c r="V211" t="s">
        <v>251</v>
      </c>
      <c r="X211">
        <v>1.1415525114155251E-4</v>
      </c>
      <c r="Y211">
        <v>2.2209515285616027E-4</v>
      </c>
      <c r="Z211" t="s">
        <v>1085</v>
      </c>
      <c r="AA211" t="s">
        <v>25</v>
      </c>
      <c r="AC211" t="s">
        <v>22</v>
      </c>
      <c r="AD211" t="s">
        <v>1085</v>
      </c>
      <c r="AE211">
        <v>1.2107150324422339E-4</v>
      </c>
      <c r="AG211" t="s">
        <v>97</v>
      </c>
      <c r="AH211" t="s">
        <v>1085</v>
      </c>
      <c r="AI211">
        <v>0</v>
      </c>
      <c r="AK211">
        <v>2038</v>
      </c>
      <c r="AL211" t="s">
        <v>162</v>
      </c>
      <c r="AM211">
        <v>0.6694</v>
      </c>
      <c r="AN211" t="s">
        <v>430</v>
      </c>
    </row>
    <row r="212" spans="5:40" x14ac:dyDescent="0.45">
      <c r="E212" t="s">
        <v>494</v>
      </c>
      <c r="G212" t="s">
        <v>445</v>
      </c>
      <c r="I212" t="s">
        <v>249</v>
      </c>
      <c r="J212" t="s">
        <v>1086</v>
      </c>
      <c r="K212">
        <v>5.4106376793966952E-5</v>
      </c>
      <c r="L212" t="s">
        <v>251</v>
      </c>
      <c r="N212" t="s">
        <v>419</v>
      </c>
      <c r="O212" t="s">
        <v>1086</v>
      </c>
      <c r="P212">
        <v>1.354696986229E-4</v>
      </c>
      <c r="Q212" t="s">
        <v>251</v>
      </c>
      <c r="S212" t="s">
        <v>420</v>
      </c>
      <c r="T212" t="s">
        <v>1086</v>
      </c>
      <c r="U212">
        <v>1.5420835214700001E-4</v>
      </c>
      <c r="V212" t="s">
        <v>251</v>
      </c>
      <c r="X212">
        <v>1.1415525114155251E-4</v>
      </c>
      <c r="Y212">
        <v>2.2209515285616027E-4</v>
      </c>
      <c r="Z212" t="s">
        <v>1086</v>
      </c>
      <c r="AA212" t="s">
        <v>25</v>
      </c>
      <c r="AC212" t="s">
        <v>22</v>
      </c>
      <c r="AD212" t="s">
        <v>1086</v>
      </c>
      <c r="AE212">
        <v>8.9264025622094322E-5</v>
      </c>
      <c r="AG212" t="s">
        <v>97</v>
      </c>
      <c r="AH212" t="s">
        <v>1086</v>
      </c>
      <c r="AI212">
        <v>0</v>
      </c>
      <c r="AK212">
        <v>2038</v>
      </c>
      <c r="AL212" t="s">
        <v>175</v>
      </c>
      <c r="AM212">
        <v>0.47549999999999998</v>
      </c>
      <c r="AN212" t="s">
        <v>430</v>
      </c>
    </row>
    <row r="213" spans="5:40" x14ac:dyDescent="0.45">
      <c r="E213" t="s">
        <v>495</v>
      </c>
      <c r="G213" t="s">
        <v>445</v>
      </c>
      <c r="I213" t="s">
        <v>249</v>
      </c>
      <c r="J213" t="s">
        <v>1087</v>
      </c>
      <c r="K213">
        <v>2.5049259123457456E-5</v>
      </c>
      <c r="L213" t="s">
        <v>251</v>
      </c>
      <c r="N213" t="s">
        <v>419</v>
      </c>
      <c r="O213" t="s">
        <v>1087</v>
      </c>
      <c r="P213">
        <v>1.3143111621430001E-4</v>
      </c>
      <c r="Q213" t="s">
        <v>251</v>
      </c>
      <c r="S213" t="s">
        <v>420</v>
      </c>
      <c r="T213" t="s">
        <v>1087</v>
      </c>
      <c r="U213">
        <v>1.4959744463600001E-4</v>
      </c>
      <c r="V213" t="s">
        <v>251</v>
      </c>
      <c r="X213">
        <v>1.1415525114155251E-4</v>
      </c>
      <c r="Y213">
        <v>1.7237235744060203E-4</v>
      </c>
      <c r="Z213" t="s">
        <v>1087</v>
      </c>
      <c r="AA213" t="s">
        <v>25</v>
      </c>
      <c r="AC213" t="s">
        <v>22</v>
      </c>
      <c r="AD213" t="s">
        <v>1087</v>
      </c>
      <c r="AE213">
        <v>5.5787571801921499E-5</v>
      </c>
      <c r="AG213" t="s">
        <v>97</v>
      </c>
      <c r="AH213" t="s">
        <v>1087</v>
      </c>
      <c r="AI213">
        <v>0</v>
      </c>
      <c r="AK213">
        <v>2038</v>
      </c>
      <c r="AL213" t="s">
        <v>166</v>
      </c>
      <c r="AM213">
        <v>0.2802</v>
      </c>
      <c r="AN213" t="s">
        <v>430</v>
      </c>
    </row>
    <row r="214" spans="5:40" x14ac:dyDescent="0.45">
      <c r="E214" t="s">
        <v>496</v>
      </c>
      <c r="G214" t="s">
        <v>445</v>
      </c>
      <c r="I214" t="s">
        <v>249</v>
      </c>
      <c r="J214" t="s">
        <v>1088</v>
      </c>
      <c r="K214">
        <v>2.7458860145961398E-6</v>
      </c>
      <c r="L214" t="s">
        <v>251</v>
      </c>
      <c r="N214" t="s">
        <v>419</v>
      </c>
      <c r="O214" t="s">
        <v>1088</v>
      </c>
      <c r="P214">
        <v>1.3067774365039999E-4</v>
      </c>
      <c r="Q214" t="s">
        <v>251</v>
      </c>
      <c r="S214" t="s">
        <v>420</v>
      </c>
      <c r="T214" t="s">
        <v>1088</v>
      </c>
      <c r="U214">
        <v>1.4637082434460001E-4</v>
      </c>
      <c r="V214" t="s">
        <v>251</v>
      </c>
      <c r="X214">
        <v>1.1415525114155251E-4</v>
      </c>
      <c r="Y214">
        <v>1.5579809230208258E-4</v>
      </c>
      <c r="Z214" t="s">
        <v>1088</v>
      </c>
      <c r="AA214" t="s">
        <v>25</v>
      </c>
      <c r="AC214" t="s">
        <v>22</v>
      </c>
      <c r="AD214" t="s">
        <v>1088</v>
      </c>
      <c r="AE214">
        <v>5.0162297553642043E-5</v>
      </c>
      <c r="AG214" t="s">
        <v>97</v>
      </c>
      <c r="AH214" t="s">
        <v>1088</v>
      </c>
      <c r="AI214">
        <v>0</v>
      </c>
      <c r="AK214">
        <v>2038</v>
      </c>
      <c r="AL214" t="s">
        <v>178</v>
      </c>
      <c r="AM214">
        <v>0.23430000000000001</v>
      </c>
      <c r="AN214" t="s">
        <v>430</v>
      </c>
    </row>
    <row r="215" spans="5:40" x14ac:dyDescent="0.45">
      <c r="E215" t="s">
        <v>497</v>
      </c>
      <c r="G215" t="s">
        <v>445</v>
      </c>
      <c r="I215" t="s">
        <v>249</v>
      </c>
      <c r="J215" t="s">
        <v>1089</v>
      </c>
      <c r="K215">
        <v>0</v>
      </c>
      <c r="L215" t="s">
        <v>251</v>
      </c>
      <c r="N215" t="s">
        <v>419</v>
      </c>
      <c r="O215" t="s">
        <v>1089</v>
      </c>
      <c r="P215">
        <v>1.334555266663E-4</v>
      </c>
      <c r="Q215" t="s">
        <v>251</v>
      </c>
      <c r="S215" t="s">
        <v>420</v>
      </c>
      <c r="T215" t="s">
        <v>1089</v>
      </c>
      <c r="U215">
        <v>1.4489624812490001E-4</v>
      </c>
      <c r="V215" t="s">
        <v>251</v>
      </c>
      <c r="X215">
        <v>1.1415525114155251E-4</v>
      </c>
      <c r="Y215">
        <v>1.093901499142282E-4</v>
      </c>
      <c r="Z215" t="s">
        <v>1089</v>
      </c>
      <c r="AA215" t="s">
        <v>25</v>
      </c>
      <c r="AC215" t="s">
        <v>22</v>
      </c>
      <c r="AD215" t="s">
        <v>1089</v>
      </c>
      <c r="AE215">
        <v>4.7298967227225342E-5</v>
      </c>
      <c r="AG215" t="s">
        <v>97</v>
      </c>
      <c r="AH215" t="s">
        <v>1089</v>
      </c>
      <c r="AI215">
        <v>0</v>
      </c>
      <c r="AK215">
        <v>2039</v>
      </c>
      <c r="AL215" t="s">
        <v>151</v>
      </c>
      <c r="AM215">
        <v>0.26140000000000002</v>
      </c>
      <c r="AN215" t="s">
        <v>430</v>
      </c>
    </row>
    <row r="216" spans="5:40" x14ac:dyDescent="0.45">
      <c r="E216" t="s">
        <v>498</v>
      </c>
      <c r="G216" t="s">
        <v>445</v>
      </c>
      <c r="I216" t="s">
        <v>249</v>
      </c>
      <c r="J216" t="s">
        <v>1090</v>
      </c>
      <c r="K216">
        <v>0</v>
      </c>
      <c r="L216" t="s">
        <v>251</v>
      </c>
      <c r="N216" t="s">
        <v>419</v>
      </c>
      <c r="O216" t="s">
        <v>1090</v>
      </c>
      <c r="P216">
        <v>1.373468540685E-4</v>
      </c>
      <c r="Q216" t="s">
        <v>251</v>
      </c>
      <c r="S216" t="s">
        <v>420</v>
      </c>
      <c r="T216" t="s">
        <v>1090</v>
      </c>
      <c r="U216">
        <v>1.4197240594019999E-4</v>
      </c>
      <c r="V216" t="s">
        <v>251</v>
      </c>
      <c r="X216">
        <v>1.1415525114155251E-4</v>
      </c>
      <c r="Y216">
        <v>7.9556472664893237E-5</v>
      </c>
      <c r="Z216" t="s">
        <v>1090</v>
      </c>
      <c r="AA216" t="s">
        <v>25</v>
      </c>
      <c r="AC216" t="s">
        <v>22</v>
      </c>
      <c r="AD216" t="s">
        <v>1090</v>
      </c>
      <c r="AE216">
        <v>4.8739545480943938E-5</v>
      </c>
      <c r="AG216" t="s">
        <v>97</v>
      </c>
      <c r="AH216" t="s">
        <v>1090</v>
      </c>
      <c r="AI216">
        <v>0</v>
      </c>
      <c r="AK216">
        <v>2039</v>
      </c>
      <c r="AL216" t="s">
        <v>156</v>
      </c>
      <c r="AM216">
        <v>0.27189999999999998</v>
      </c>
      <c r="AN216" t="s">
        <v>430</v>
      </c>
    </row>
    <row r="217" spans="5:40" x14ac:dyDescent="0.45">
      <c r="E217" t="s">
        <v>499</v>
      </c>
      <c r="G217" t="s">
        <v>445</v>
      </c>
      <c r="I217" t="s">
        <v>249</v>
      </c>
      <c r="J217" t="s">
        <v>1091</v>
      </c>
      <c r="K217">
        <v>0</v>
      </c>
      <c r="L217" t="s">
        <v>251</v>
      </c>
      <c r="N217" t="s">
        <v>419</v>
      </c>
      <c r="O217" t="s">
        <v>1091</v>
      </c>
      <c r="P217">
        <v>1.412226500217E-4</v>
      </c>
      <c r="Q217" t="s">
        <v>251</v>
      </c>
      <c r="S217" t="s">
        <v>420</v>
      </c>
      <c r="T217" t="s">
        <v>1091</v>
      </c>
      <c r="U217">
        <v>1.4649756552019999E-4</v>
      </c>
      <c r="V217" t="s">
        <v>251</v>
      </c>
      <c r="X217">
        <v>1.1415525114155251E-4</v>
      </c>
      <c r="Y217">
        <v>5.6352501470966035E-5</v>
      </c>
      <c r="Z217" t="s">
        <v>1091</v>
      </c>
      <c r="AA217" t="s">
        <v>25</v>
      </c>
      <c r="AC217" t="s">
        <v>22</v>
      </c>
      <c r="AD217" t="s">
        <v>1091</v>
      </c>
      <c r="AE217">
        <v>6.0099279336253349E-5</v>
      </c>
      <c r="AG217" t="s">
        <v>97</v>
      </c>
      <c r="AH217" t="s">
        <v>1091</v>
      </c>
      <c r="AI217">
        <v>0</v>
      </c>
      <c r="AK217">
        <v>2039</v>
      </c>
      <c r="AL217" t="s">
        <v>159</v>
      </c>
      <c r="AM217">
        <v>0.26619999999999999</v>
      </c>
      <c r="AN217" t="s">
        <v>430</v>
      </c>
    </row>
    <row r="218" spans="5:40" x14ac:dyDescent="0.45">
      <c r="E218" t="s">
        <v>500</v>
      </c>
      <c r="G218" t="s">
        <v>445</v>
      </c>
      <c r="I218" t="s">
        <v>249</v>
      </c>
      <c r="J218" t="s">
        <v>1092</v>
      </c>
      <c r="K218">
        <v>0</v>
      </c>
      <c r="L218" t="s">
        <v>251</v>
      </c>
      <c r="N218" t="s">
        <v>419</v>
      </c>
      <c r="O218" t="s">
        <v>1092</v>
      </c>
      <c r="P218">
        <v>1.4871904274609999E-4</v>
      </c>
      <c r="Q218" t="s">
        <v>251</v>
      </c>
      <c r="S218" t="s">
        <v>420</v>
      </c>
      <c r="T218" t="s">
        <v>1092</v>
      </c>
      <c r="U218">
        <v>1.581364678058E-4</v>
      </c>
      <c r="V218" t="s">
        <v>251</v>
      </c>
      <c r="X218">
        <v>1.1415525114155251E-4</v>
      </c>
      <c r="Y218">
        <v>2.9833677249334962E-5</v>
      </c>
      <c r="Z218" t="s">
        <v>1092</v>
      </c>
      <c r="AA218" t="s">
        <v>25</v>
      </c>
      <c r="AC218" t="s">
        <v>22</v>
      </c>
      <c r="AD218" t="s">
        <v>1092</v>
      </c>
      <c r="AE218">
        <v>8.3236548164539978E-5</v>
      </c>
      <c r="AG218" t="s">
        <v>97</v>
      </c>
      <c r="AH218" t="s">
        <v>1092</v>
      </c>
      <c r="AI218">
        <v>0</v>
      </c>
      <c r="AK218">
        <v>2039</v>
      </c>
      <c r="AL218" t="s">
        <v>163</v>
      </c>
      <c r="AM218">
        <v>0.29189999999999999</v>
      </c>
      <c r="AN218" t="s">
        <v>430</v>
      </c>
    </row>
    <row r="219" spans="5:40" x14ac:dyDescent="0.45">
      <c r="E219" t="s">
        <v>501</v>
      </c>
      <c r="G219" t="s">
        <v>445</v>
      </c>
      <c r="I219" t="s">
        <v>249</v>
      </c>
      <c r="J219" t="s">
        <v>1093</v>
      </c>
      <c r="K219">
        <v>0</v>
      </c>
      <c r="L219" t="s">
        <v>251</v>
      </c>
      <c r="N219" t="s">
        <v>419</v>
      </c>
      <c r="O219" t="s">
        <v>1093</v>
      </c>
      <c r="P219">
        <v>1.522182912795E-4</v>
      </c>
      <c r="Q219" t="s">
        <v>251</v>
      </c>
      <c r="S219" t="s">
        <v>420</v>
      </c>
      <c r="T219" t="s">
        <v>1093</v>
      </c>
      <c r="U219">
        <v>1.72999940041E-4</v>
      </c>
      <c r="V219" t="s">
        <v>251</v>
      </c>
      <c r="X219">
        <v>1.1415525114155251E-4</v>
      </c>
      <c r="Y219">
        <v>2.1546544680075254E-5</v>
      </c>
      <c r="Z219" t="s">
        <v>1093</v>
      </c>
      <c r="AA219" t="s">
        <v>25</v>
      </c>
      <c r="AC219" t="s">
        <v>22</v>
      </c>
      <c r="AD219" t="s">
        <v>1093</v>
      </c>
      <c r="AE219">
        <v>8.3562990104477759E-5</v>
      </c>
      <c r="AG219" t="s">
        <v>97</v>
      </c>
      <c r="AH219" t="s">
        <v>1093</v>
      </c>
      <c r="AI219">
        <v>0</v>
      </c>
      <c r="AK219">
        <v>2039</v>
      </c>
      <c r="AL219" t="s">
        <v>167</v>
      </c>
      <c r="AM219">
        <v>0.41860000000000003</v>
      </c>
      <c r="AN219" t="s">
        <v>430</v>
      </c>
    </row>
    <row r="220" spans="5:40" x14ac:dyDescent="0.45">
      <c r="E220" t="s">
        <v>502</v>
      </c>
      <c r="G220" t="s">
        <v>445</v>
      </c>
      <c r="I220" t="s">
        <v>249</v>
      </c>
      <c r="J220" t="s">
        <v>1094</v>
      </c>
      <c r="K220">
        <v>0</v>
      </c>
      <c r="L220" t="s">
        <v>251</v>
      </c>
      <c r="N220" t="s">
        <v>419</v>
      </c>
      <c r="O220" t="s">
        <v>1094</v>
      </c>
      <c r="P220">
        <v>1.5556342747259999E-4</v>
      </c>
      <c r="Q220" t="s">
        <v>251</v>
      </c>
      <c r="S220" t="s">
        <v>420</v>
      </c>
      <c r="T220" t="s">
        <v>1094</v>
      </c>
      <c r="U220">
        <v>1.8480932242049999E-4</v>
      </c>
      <c r="V220" t="s">
        <v>251</v>
      </c>
      <c r="X220">
        <v>1.1415525114155251E-4</v>
      </c>
      <c r="Y220">
        <v>1.4916838624667481E-5</v>
      </c>
      <c r="Z220" t="s">
        <v>1094</v>
      </c>
      <c r="AA220" t="s">
        <v>25</v>
      </c>
      <c r="AC220" t="s">
        <v>22</v>
      </c>
      <c r="AD220" t="s">
        <v>1094</v>
      </c>
      <c r="AE220">
        <v>9.805121872888376E-5</v>
      </c>
      <c r="AG220" t="s">
        <v>97</v>
      </c>
      <c r="AH220" t="s">
        <v>1094</v>
      </c>
      <c r="AI220">
        <v>0</v>
      </c>
      <c r="AK220">
        <v>2039</v>
      </c>
      <c r="AL220" t="s">
        <v>169</v>
      </c>
      <c r="AM220">
        <v>0.44879999999999998</v>
      </c>
      <c r="AN220" t="s">
        <v>430</v>
      </c>
    </row>
    <row r="221" spans="5:40" x14ac:dyDescent="0.45">
      <c r="E221" t="s">
        <v>503</v>
      </c>
      <c r="G221" t="s">
        <v>445</v>
      </c>
      <c r="I221" t="s">
        <v>249</v>
      </c>
      <c r="J221" t="s">
        <v>1095</v>
      </c>
      <c r="K221">
        <v>0</v>
      </c>
      <c r="L221" t="s">
        <v>251</v>
      </c>
      <c r="N221" t="s">
        <v>419</v>
      </c>
      <c r="O221" t="s">
        <v>1095</v>
      </c>
      <c r="P221">
        <v>1.5156053006789999E-4</v>
      </c>
      <c r="Q221" t="s">
        <v>251</v>
      </c>
      <c r="S221" t="s">
        <v>420</v>
      </c>
      <c r="T221" t="s">
        <v>1095</v>
      </c>
      <c r="U221">
        <v>1.7533524937699999E-4</v>
      </c>
      <c r="V221" t="s">
        <v>251</v>
      </c>
      <c r="X221">
        <v>1.1415525114155251E-4</v>
      </c>
      <c r="Y221">
        <v>1.6574265138519424E-5</v>
      </c>
      <c r="Z221" t="s">
        <v>1095</v>
      </c>
      <c r="AA221" t="s">
        <v>25</v>
      </c>
      <c r="AC221" t="s">
        <v>22</v>
      </c>
      <c r="AD221" t="s">
        <v>1095</v>
      </c>
      <c r="AE221">
        <v>1.2160963108377956E-4</v>
      </c>
      <c r="AG221" t="s">
        <v>97</v>
      </c>
      <c r="AH221" t="s">
        <v>1095</v>
      </c>
      <c r="AI221">
        <v>0</v>
      </c>
      <c r="AK221">
        <v>2039</v>
      </c>
      <c r="AL221" t="s">
        <v>171</v>
      </c>
      <c r="AM221">
        <v>0.50519999999999998</v>
      </c>
      <c r="AN221" t="s">
        <v>430</v>
      </c>
    </row>
    <row r="222" spans="5:40" x14ac:dyDescent="0.45">
      <c r="E222" t="s">
        <v>504</v>
      </c>
      <c r="G222" t="s">
        <v>445</v>
      </c>
      <c r="I222" t="s">
        <v>249</v>
      </c>
      <c r="J222" t="s">
        <v>1096</v>
      </c>
      <c r="K222">
        <v>0</v>
      </c>
      <c r="L222" t="s">
        <v>251</v>
      </c>
      <c r="N222" t="s">
        <v>419</v>
      </c>
      <c r="O222" t="s">
        <v>1096</v>
      </c>
      <c r="P222">
        <v>1.491149919242E-4</v>
      </c>
      <c r="Q222" t="s">
        <v>251</v>
      </c>
      <c r="S222" t="s">
        <v>420</v>
      </c>
      <c r="T222" t="s">
        <v>1096</v>
      </c>
      <c r="U222">
        <v>1.5492316797329999E-4</v>
      </c>
      <c r="V222" t="s">
        <v>251</v>
      </c>
      <c r="X222">
        <v>1.1415525114155251E-4</v>
      </c>
      <c r="Y222">
        <v>1.4585353321897093E-5</v>
      </c>
      <c r="Z222" t="s">
        <v>1096</v>
      </c>
      <c r="AA222" t="s">
        <v>25</v>
      </c>
      <c r="AC222" t="s">
        <v>22</v>
      </c>
      <c r="AD222" t="s">
        <v>1096</v>
      </c>
      <c r="AE222">
        <v>1.3827933861056843E-4</v>
      </c>
      <c r="AG222" t="s">
        <v>97</v>
      </c>
      <c r="AH222" t="s">
        <v>1096</v>
      </c>
      <c r="AI222">
        <v>0</v>
      </c>
      <c r="AK222">
        <v>2039</v>
      </c>
      <c r="AL222" t="s">
        <v>158</v>
      </c>
      <c r="AM222">
        <v>0.62219999999999998</v>
      </c>
      <c r="AN222" t="s">
        <v>430</v>
      </c>
    </row>
    <row r="223" spans="5:40" x14ac:dyDescent="0.45">
      <c r="E223" t="s">
        <v>505</v>
      </c>
      <c r="G223" t="s">
        <v>445</v>
      </c>
      <c r="I223" t="s">
        <v>249</v>
      </c>
      <c r="J223" t="s">
        <v>1097</v>
      </c>
      <c r="K223">
        <v>0</v>
      </c>
      <c r="L223" t="s">
        <v>251</v>
      </c>
      <c r="N223" t="s">
        <v>419</v>
      </c>
      <c r="O223" t="s">
        <v>1097</v>
      </c>
      <c r="P223">
        <v>1.4664908931249999E-4</v>
      </c>
      <c r="Q223" t="s">
        <v>251</v>
      </c>
      <c r="S223" t="s">
        <v>420</v>
      </c>
      <c r="T223" t="s">
        <v>1097</v>
      </c>
      <c r="U223">
        <v>1.5688211176880001E-4</v>
      </c>
      <c r="V223" t="s">
        <v>251</v>
      </c>
      <c r="X223">
        <v>1.1415525114155251E-4</v>
      </c>
      <c r="Y223">
        <v>2.1215059377304864E-5</v>
      </c>
      <c r="Z223" t="s">
        <v>1097</v>
      </c>
      <c r="AA223" t="s">
        <v>25</v>
      </c>
      <c r="AC223" t="s">
        <v>22</v>
      </c>
      <c r="AD223" t="s">
        <v>1097</v>
      </c>
      <c r="AE223">
        <v>1.4302221689833341E-4</v>
      </c>
      <c r="AG223" t="s">
        <v>97</v>
      </c>
      <c r="AH223" t="s">
        <v>1097</v>
      </c>
      <c r="AI223">
        <v>0</v>
      </c>
      <c r="AK223">
        <v>2039</v>
      </c>
      <c r="AL223" t="s">
        <v>162</v>
      </c>
      <c r="AM223">
        <v>0.55089999999999995</v>
      </c>
      <c r="AN223" t="s">
        <v>430</v>
      </c>
    </row>
    <row r="224" spans="5:40" x14ac:dyDescent="0.45">
      <c r="E224" t="s">
        <v>506</v>
      </c>
      <c r="G224" t="s">
        <v>445</v>
      </c>
      <c r="I224" t="s">
        <v>249</v>
      </c>
      <c r="J224" t="s">
        <v>1098</v>
      </c>
      <c r="K224">
        <v>0</v>
      </c>
      <c r="L224" t="s">
        <v>251</v>
      </c>
      <c r="N224" t="s">
        <v>419</v>
      </c>
      <c r="O224" t="s">
        <v>1098</v>
      </c>
      <c r="P224">
        <v>1.2664495596369999E-4</v>
      </c>
      <c r="Q224" t="s">
        <v>251</v>
      </c>
      <c r="S224" t="s">
        <v>420</v>
      </c>
      <c r="T224" t="s">
        <v>1098</v>
      </c>
      <c r="U224">
        <v>1.547847777319E-4</v>
      </c>
      <c r="V224" t="s">
        <v>251</v>
      </c>
      <c r="X224">
        <v>1.1415525114155251E-4</v>
      </c>
      <c r="Y224">
        <v>5.7678442682047593E-5</v>
      </c>
      <c r="Z224" t="s">
        <v>1098</v>
      </c>
      <c r="AA224" t="s">
        <v>25</v>
      </c>
      <c r="AC224" t="s">
        <v>22</v>
      </c>
      <c r="AD224" t="s">
        <v>1098</v>
      </c>
      <c r="AE224">
        <v>1.4345227351545288E-4</v>
      </c>
      <c r="AG224" t="s">
        <v>97</v>
      </c>
      <c r="AH224" t="s">
        <v>1098</v>
      </c>
      <c r="AI224">
        <v>0</v>
      </c>
      <c r="AK224">
        <v>2039</v>
      </c>
      <c r="AL224" t="s">
        <v>175</v>
      </c>
      <c r="AM224">
        <v>0.43419999999999997</v>
      </c>
      <c r="AN224" t="s">
        <v>430</v>
      </c>
    </row>
    <row r="225" spans="5:40" x14ac:dyDescent="0.45">
      <c r="E225" t="s">
        <v>507</v>
      </c>
      <c r="G225" t="s">
        <v>445</v>
      </c>
      <c r="I225" t="s">
        <v>249</v>
      </c>
      <c r="J225" t="s">
        <v>1099</v>
      </c>
      <c r="K225">
        <v>1.0016384880752499E-6</v>
      </c>
      <c r="L225" t="s">
        <v>251</v>
      </c>
      <c r="N225" t="s">
        <v>419</v>
      </c>
      <c r="O225" t="s">
        <v>1099</v>
      </c>
      <c r="P225">
        <v>1.121684820416E-4</v>
      </c>
      <c r="Q225" t="s">
        <v>251</v>
      </c>
      <c r="S225" t="s">
        <v>420</v>
      </c>
      <c r="T225" t="s">
        <v>1099</v>
      </c>
      <c r="U225">
        <v>1.509465832036E-4</v>
      </c>
      <c r="V225" t="s">
        <v>251</v>
      </c>
      <c r="X225">
        <v>1.1415525114155251E-4</v>
      </c>
      <c r="Y225">
        <v>1.6905750441289813E-4</v>
      </c>
      <c r="Z225" t="s">
        <v>1099</v>
      </c>
      <c r="AA225" t="s">
        <v>25</v>
      </c>
      <c r="AC225" t="s">
        <v>22</v>
      </c>
      <c r="AD225" t="s">
        <v>1099</v>
      </c>
      <c r="AE225">
        <v>1.4344001801600128E-4</v>
      </c>
      <c r="AG225" t="s">
        <v>97</v>
      </c>
      <c r="AH225" t="s">
        <v>1099</v>
      </c>
      <c r="AI225">
        <v>0</v>
      </c>
      <c r="AK225">
        <v>2039</v>
      </c>
      <c r="AL225" t="s">
        <v>166</v>
      </c>
      <c r="AM225">
        <v>0.30220000000000002</v>
      </c>
      <c r="AN225" t="s">
        <v>430</v>
      </c>
    </row>
    <row r="226" spans="5:40" x14ac:dyDescent="0.45">
      <c r="E226" t="s">
        <v>508</v>
      </c>
      <c r="G226" t="s">
        <v>445</v>
      </c>
      <c r="I226" t="s">
        <v>249</v>
      </c>
      <c r="J226" t="s">
        <v>1100</v>
      </c>
      <c r="K226">
        <v>1.2264346700012346E-5</v>
      </c>
      <c r="L226" t="s">
        <v>251</v>
      </c>
      <c r="N226" t="s">
        <v>419</v>
      </c>
      <c r="O226" t="s">
        <v>1100</v>
      </c>
      <c r="P226">
        <v>1.125957765695E-4</v>
      </c>
      <c r="Q226" t="s">
        <v>251</v>
      </c>
      <c r="S226" t="s">
        <v>420</v>
      </c>
      <c r="T226" t="s">
        <v>1100</v>
      </c>
      <c r="U226">
        <v>1.4935013351649999E-4</v>
      </c>
      <c r="V226" t="s">
        <v>251</v>
      </c>
      <c r="X226">
        <v>1.1415525114155251E-4</v>
      </c>
      <c r="Y226">
        <v>1.9060404909297337E-4</v>
      </c>
      <c r="Z226" t="s">
        <v>1100</v>
      </c>
      <c r="AA226" t="s">
        <v>25</v>
      </c>
      <c r="AC226" t="s">
        <v>22</v>
      </c>
      <c r="AD226" t="s">
        <v>1100</v>
      </c>
      <c r="AE226">
        <v>1.4386338981523797E-4</v>
      </c>
      <c r="AG226" t="s">
        <v>97</v>
      </c>
      <c r="AH226" t="s">
        <v>1100</v>
      </c>
      <c r="AI226">
        <v>0</v>
      </c>
      <c r="AK226">
        <v>2039</v>
      </c>
      <c r="AL226" t="s">
        <v>178</v>
      </c>
      <c r="AM226">
        <v>0.24940000000000001</v>
      </c>
      <c r="AN226" t="s">
        <v>430</v>
      </c>
    </row>
    <row r="227" spans="5:40" x14ac:dyDescent="0.45">
      <c r="E227" t="s">
        <v>192</v>
      </c>
      <c r="G227" t="s">
        <v>809</v>
      </c>
      <c r="I227" t="s">
        <v>249</v>
      </c>
      <c r="J227" t="s">
        <v>1101</v>
      </c>
      <c r="K227">
        <v>4.0403304803000852E-5</v>
      </c>
      <c r="L227" t="s">
        <v>251</v>
      </c>
      <c r="N227" t="s">
        <v>419</v>
      </c>
      <c r="O227" t="s">
        <v>1101</v>
      </c>
      <c r="P227">
        <v>1.3180757916779999E-4</v>
      </c>
      <c r="Q227" t="s">
        <v>251</v>
      </c>
      <c r="S227" t="s">
        <v>420</v>
      </c>
      <c r="T227" t="s">
        <v>1101</v>
      </c>
      <c r="U227">
        <v>1.444660143032E-4</v>
      </c>
      <c r="V227" t="s">
        <v>251</v>
      </c>
      <c r="X227">
        <v>1.1415525114155251E-4</v>
      </c>
      <c r="Y227">
        <v>1.4585353321897094E-4</v>
      </c>
      <c r="Z227" t="s">
        <v>1101</v>
      </c>
      <c r="AA227" t="s">
        <v>25</v>
      </c>
      <c r="AC227" t="s">
        <v>22</v>
      </c>
      <c r="AD227" t="s">
        <v>1101</v>
      </c>
      <c r="AE227">
        <v>1.4423105479878564E-4</v>
      </c>
      <c r="AG227" t="s">
        <v>97</v>
      </c>
      <c r="AH227" t="s">
        <v>1101</v>
      </c>
      <c r="AI227">
        <v>0</v>
      </c>
      <c r="AK227">
        <v>2040</v>
      </c>
      <c r="AL227" t="s">
        <v>151</v>
      </c>
      <c r="AM227">
        <v>0.25440000000000002</v>
      </c>
      <c r="AN227" t="s">
        <v>430</v>
      </c>
    </row>
    <row r="228" spans="5:40" x14ac:dyDescent="0.45">
      <c r="E228" t="s">
        <v>193</v>
      </c>
      <c r="G228" t="s">
        <v>809</v>
      </c>
      <c r="I228" t="s">
        <v>249</v>
      </c>
      <c r="J228" t="s">
        <v>1102</v>
      </c>
      <c r="K228">
        <v>7.7349394411548513E-5</v>
      </c>
      <c r="L228" t="s">
        <v>251</v>
      </c>
      <c r="N228" t="s">
        <v>419</v>
      </c>
      <c r="O228" t="s">
        <v>1102</v>
      </c>
      <c r="P228">
        <v>1.2635197286859999E-4</v>
      </c>
      <c r="Q228" t="s">
        <v>251</v>
      </c>
      <c r="S228" t="s">
        <v>420</v>
      </c>
      <c r="T228" t="s">
        <v>1102</v>
      </c>
      <c r="U228">
        <v>1.313742460076E-4</v>
      </c>
      <c r="V228" t="s">
        <v>251</v>
      </c>
      <c r="X228">
        <v>1.1415525114155251E-4</v>
      </c>
      <c r="Y228">
        <v>1.4452759200788939E-4</v>
      </c>
      <c r="Z228" t="s">
        <v>1102</v>
      </c>
      <c r="AA228" t="s">
        <v>25</v>
      </c>
      <c r="AC228" t="s">
        <v>22</v>
      </c>
      <c r="AD228" t="s">
        <v>1102</v>
      </c>
      <c r="AE228">
        <v>1.4474021509418346E-4</v>
      </c>
      <c r="AG228" t="s">
        <v>97</v>
      </c>
      <c r="AH228" t="s">
        <v>1102</v>
      </c>
      <c r="AI228">
        <v>0</v>
      </c>
      <c r="AK228">
        <v>2040</v>
      </c>
      <c r="AL228" t="s">
        <v>156</v>
      </c>
      <c r="AM228">
        <v>0.2412</v>
      </c>
      <c r="AN228" t="s">
        <v>430</v>
      </c>
    </row>
    <row r="229" spans="5:40" x14ac:dyDescent="0.45">
      <c r="E229" t="s">
        <v>194</v>
      </c>
      <c r="G229" t="s">
        <v>809</v>
      </c>
      <c r="I229" t="s">
        <v>249</v>
      </c>
      <c r="J229" t="s">
        <v>1103</v>
      </c>
      <c r="K229">
        <v>9.0247097637856179E-5</v>
      </c>
      <c r="L229" t="s">
        <v>251</v>
      </c>
      <c r="N229" t="s">
        <v>419</v>
      </c>
      <c r="O229" t="s">
        <v>1103</v>
      </c>
      <c r="P229">
        <v>1.119760005833E-4</v>
      </c>
      <c r="Q229" t="s">
        <v>251</v>
      </c>
      <c r="S229" t="s">
        <v>420</v>
      </c>
      <c r="T229" t="s">
        <v>1103</v>
      </c>
      <c r="U229">
        <v>1.225665406667E-4</v>
      </c>
      <c r="V229" t="s">
        <v>251</v>
      </c>
      <c r="X229">
        <v>1.1415525114155251E-4</v>
      </c>
      <c r="Y229">
        <v>1.408812536774151E-4</v>
      </c>
      <c r="Z229" t="s">
        <v>1103</v>
      </c>
      <c r="AA229" t="s">
        <v>25</v>
      </c>
      <c r="AC229" t="s">
        <v>22</v>
      </c>
      <c r="AD229" t="s">
        <v>1103</v>
      </c>
      <c r="AE229">
        <v>1.4369961177711221E-4</v>
      </c>
      <c r="AG229" t="s">
        <v>97</v>
      </c>
      <c r="AH229" t="s">
        <v>1103</v>
      </c>
      <c r="AI229">
        <v>0</v>
      </c>
      <c r="AK229">
        <v>2040</v>
      </c>
      <c r="AL229" t="s">
        <v>159</v>
      </c>
      <c r="AM229">
        <v>0.27050000000000002</v>
      </c>
      <c r="AN229" t="s">
        <v>430</v>
      </c>
    </row>
    <row r="230" spans="5:40" x14ac:dyDescent="0.45">
      <c r="E230" t="s">
        <v>195</v>
      </c>
      <c r="G230" t="s">
        <v>809</v>
      </c>
      <c r="I230" t="s">
        <v>249</v>
      </c>
      <c r="J230" t="s">
        <v>1104</v>
      </c>
      <c r="K230">
        <v>1.114519257104E-4</v>
      </c>
      <c r="L230" t="s">
        <v>251</v>
      </c>
      <c r="N230" t="s">
        <v>419</v>
      </c>
      <c r="O230" t="s">
        <v>1104</v>
      </c>
      <c r="P230">
        <v>1.150207252312E-4</v>
      </c>
      <c r="Q230" t="s">
        <v>251</v>
      </c>
      <c r="S230" t="s">
        <v>420</v>
      </c>
      <c r="T230" t="s">
        <v>1104</v>
      </c>
      <c r="U230">
        <v>1.197502085009E-4</v>
      </c>
      <c r="V230" t="s">
        <v>251</v>
      </c>
      <c r="X230">
        <v>1.1415525114155251E-4</v>
      </c>
      <c r="Y230">
        <v>1.4054976837464471E-4</v>
      </c>
      <c r="Z230" t="s">
        <v>1104</v>
      </c>
      <c r="AA230" t="s">
        <v>25</v>
      </c>
      <c r="AC230" t="s">
        <v>22</v>
      </c>
      <c r="AD230" t="s">
        <v>1104</v>
      </c>
      <c r="AE230">
        <v>1.4396031967453692E-4</v>
      </c>
      <c r="AG230" t="s">
        <v>97</v>
      </c>
      <c r="AH230" t="s">
        <v>1104</v>
      </c>
      <c r="AI230">
        <v>0</v>
      </c>
      <c r="AK230">
        <v>2040</v>
      </c>
      <c r="AL230" t="s">
        <v>163</v>
      </c>
      <c r="AM230">
        <v>0.28489999999999999</v>
      </c>
      <c r="AN230" t="s">
        <v>430</v>
      </c>
    </row>
    <row r="231" spans="5:40" x14ac:dyDescent="0.45">
      <c r="E231" t="s">
        <v>196</v>
      </c>
      <c r="G231" t="s">
        <v>809</v>
      </c>
      <c r="I231" t="s">
        <v>249</v>
      </c>
      <c r="J231" t="s">
        <v>1105</v>
      </c>
      <c r="K231">
        <v>1.263560227172E-4</v>
      </c>
      <c r="L231" t="s">
        <v>251</v>
      </c>
      <c r="N231" t="s">
        <v>419</v>
      </c>
      <c r="O231" t="s">
        <v>1105</v>
      </c>
      <c r="P231">
        <v>1.0843902749799999E-4</v>
      </c>
      <c r="Q231" t="s">
        <v>251</v>
      </c>
      <c r="S231" t="s">
        <v>420</v>
      </c>
      <c r="T231" t="s">
        <v>1105</v>
      </c>
      <c r="U231">
        <v>1.227293088413E-4</v>
      </c>
      <c r="V231" t="s">
        <v>251</v>
      </c>
      <c r="X231">
        <v>1.1415525114155251E-4</v>
      </c>
      <c r="Y231">
        <v>1.4253868019126702E-4</v>
      </c>
      <c r="Z231" t="s">
        <v>1105</v>
      </c>
      <c r="AA231" t="s">
        <v>25</v>
      </c>
      <c r="AC231" t="s">
        <v>22</v>
      </c>
      <c r="AD231" t="s">
        <v>1105</v>
      </c>
      <c r="AE231">
        <v>1.7210674536958216E-4</v>
      </c>
      <c r="AG231" t="s">
        <v>97</v>
      </c>
      <c r="AH231" t="s">
        <v>1105</v>
      </c>
      <c r="AI231">
        <v>0</v>
      </c>
      <c r="AK231">
        <v>2040</v>
      </c>
      <c r="AL231" t="s">
        <v>167</v>
      </c>
      <c r="AM231">
        <v>0.3493</v>
      </c>
      <c r="AN231" t="s">
        <v>430</v>
      </c>
    </row>
    <row r="232" spans="5:40" x14ac:dyDescent="0.45">
      <c r="E232" t="s">
        <v>197</v>
      </c>
      <c r="G232" t="s">
        <v>809</v>
      </c>
      <c r="I232" t="s">
        <v>249</v>
      </c>
      <c r="J232" t="s">
        <v>1106</v>
      </c>
      <c r="K232">
        <v>1.3429775905430001E-4</v>
      </c>
      <c r="L232" t="s">
        <v>251</v>
      </c>
      <c r="N232" t="s">
        <v>419</v>
      </c>
      <c r="O232" t="s">
        <v>1106</v>
      </c>
      <c r="P232">
        <v>9.6493860490854446E-5</v>
      </c>
      <c r="Q232" t="s">
        <v>251</v>
      </c>
      <c r="S232" t="s">
        <v>420</v>
      </c>
      <c r="T232" t="s">
        <v>1106</v>
      </c>
      <c r="U232">
        <v>1.2629683515210001E-4</v>
      </c>
      <c r="V232" t="s">
        <v>251</v>
      </c>
      <c r="X232">
        <v>1.1415525114155251E-4</v>
      </c>
      <c r="Y232">
        <v>1.4883690094390442E-4</v>
      </c>
      <c r="Z232" t="s">
        <v>1106</v>
      </c>
      <c r="AA232" t="s">
        <v>25</v>
      </c>
      <c r="AC232" t="s">
        <v>22</v>
      </c>
      <c r="AD232" t="s">
        <v>1106</v>
      </c>
      <c r="AE232">
        <v>1.7386373833641453E-4</v>
      </c>
      <c r="AG232" t="s">
        <v>97</v>
      </c>
      <c r="AH232" t="s">
        <v>1106</v>
      </c>
      <c r="AI232">
        <v>0</v>
      </c>
      <c r="AK232">
        <v>2040</v>
      </c>
      <c r="AL232" t="s">
        <v>169</v>
      </c>
      <c r="AM232">
        <v>0.45989999999999998</v>
      </c>
      <c r="AN232" t="s">
        <v>430</v>
      </c>
    </row>
    <row r="233" spans="5:40" x14ac:dyDescent="0.45">
      <c r="E233" t="s">
        <v>198</v>
      </c>
      <c r="G233" t="s">
        <v>809</v>
      </c>
      <c r="I233" t="s">
        <v>249</v>
      </c>
      <c r="J233" t="s">
        <v>1107</v>
      </c>
      <c r="K233">
        <v>1.2505550460319999E-4</v>
      </c>
      <c r="L233" t="s">
        <v>251</v>
      </c>
      <c r="N233" t="s">
        <v>419</v>
      </c>
      <c r="O233" t="s">
        <v>1107</v>
      </c>
      <c r="P233">
        <v>9.2534016871152443E-5</v>
      </c>
      <c r="Q233" t="s">
        <v>251</v>
      </c>
      <c r="S233" t="s">
        <v>420</v>
      </c>
      <c r="T233" t="s">
        <v>1107</v>
      </c>
      <c r="U233">
        <v>1.2372389283090001E-4</v>
      </c>
      <c r="V233" t="s">
        <v>251</v>
      </c>
      <c r="X233">
        <v>1.1415525114155251E-4</v>
      </c>
      <c r="Y233">
        <v>1.5049432745775637E-4</v>
      </c>
      <c r="Z233" t="s">
        <v>1107</v>
      </c>
      <c r="AA233" t="s">
        <v>25</v>
      </c>
      <c r="AC233" t="s">
        <v>22</v>
      </c>
      <c r="AD233" t="s">
        <v>1107</v>
      </c>
      <c r="AE233">
        <v>1.6485037555792761E-4</v>
      </c>
      <c r="AG233" t="s">
        <v>97</v>
      </c>
      <c r="AH233" t="s">
        <v>1107</v>
      </c>
      <c r="AI233">
        <v>0</v>
      </c>
      <c r="AK233">
        <v>2040</v>
      </c>
      <c r="AL233" t="s">
        <v>171</v>
      </c>
      <c r="AM233">
        <v>0.56399999999999995</v>
      </c>
      <c r="AN233" t="s">
        <v>430</v>
      </c>
    </row>
    <row r="234" spans="5:40" x14ac:dyDescent="0.45">
      <c r="E234" t="s">
        <v>199</v>
      </c>
      <c r="G234" t="s">
        <v>809</v>
      </c>
      <c r="I234" t="s">
        <v>249</v>
      </c>
      <c r="J234" t="s">
        <v>1108</v>
      </c>
      <c r="K234">
        <v>1.162281446827E-4</v>
      </c>
      <c r="L234" t="s">
        <v>251</v>
      </c>
      <c r="N234" t="s">
        <v>419</v>
      </c>
      <c r="O234" t="s">
        <v>1108</v>
      </c>
      <c r="P234">
        <v>8.7721266161673657E-5</v>
      </c>
      <c r="Q234" t="s">
        <v>251</v>
      </c>
      <c r="S234" t="s">
        <v>420</v>
      </c>
      <c r="T234" t="s">
        <v>1108</v>
      </c>
      <c r="U234">
        <v>1.2782555083930001E-4</v>
      </c>
      <c r="V234" t="s">
        <v>251</v>
      </c>
      <c r="X234">
        <v>1.1415525114155251E-4</v>
      </c>
      <c r="Y234">
        <v>1.7237235744060203E-4</v>
      </c>
      <c r="Z234" t="s">
        <v>1108</v>
      </c>
      <c r="AA234" t="s">
        <v>25</v>
      </c>
      <c r="AC234" t="s">
        <v>22</v>
      </c>
      <c r="AD234" t="s">
        <v>1108</v>
      </c>
      <c r="AE234">
        <v>1.4592454199573252E-4</v>
      </c>
      <c r="AG234" t="s">
        <v>97</v>
      </c>
      <c r="AH234" t="s">
        <v>1108</v>
      </c>
      <c r="AI234">
        <v>0</v>
      </c>
      <c r="AK234">
        <v>2040</v>
      </c>
      <c r="AL234" t="s">
        <v>158</v>
      </c>
      <c r="AM234">
        <v>0.65269999999999995</v>
      </c>
      <c r="AN234" t="s">
        <v>430</v>
      </c>
    </row>
    <row r="235" spans="5:40" x14ac:dyDescent="0.45">
      <c r="E235" t="s">
        <v>200</v>
      </c>
      <c r="G235" t="s">
        <v>809</v>
      </c>
      <c r="I235" t="s">
        <v>249</v>
      </c>
      <c r="J235" t="s">
        <v>1109</v>
      </c>
      <c r="K235">
        <v>1.001166033133E-4</v>
      </c>
      <c r="L235" t="s">
        <v>251</v>
      </c>
      <c r="N235" t="s">
        <v>419</v>
      </c>
      <c r="O235" t="s">
        <v>1109</v>
      </c>
      <c r="P235">
        <v>9.6005790921314919E-5</v>
      </c>
      <c r="Q235" t="s">
        <v>251</v>
      </c>
      <c r="S235" t="s">
        <v>420</v>
      </c>
      <c r="T235" t="s">
        <v>1109</v>
      </c>
      <c r="U235">
        <v>1.303405722746E-4</v>
      </c>
      <c r="V235" t="s">
        <v>251</v>
      </c>
      <c r="X235">
        <v>1.1415525114155251E-4</v>
      </c>
      <c r="Y235">
        <v>2.2209515285616027E-4</v>
      </c>
      <c r="Z235" t="s">
        <v>1109</v>
      </c>
      <c r="AA235" t="s">
        <v>25</v>
      </c>
      <c r="AC235" t="s">
        <v>22</v>
      </c>
      <c r="AD235" t="s">
        <v>1109</v>
      </c>
      <c r="AE235">
        <v>1.2107150324422339E-4</v>
      </c>
      <c r="AG235" t="s">
        <v>97</v>
      </c>
      <c r="AH235" t="s">
        <v>1109</v>
      </c>
      <c r="AI235">
        <v>0</v>
      </c>
      <c r="AK235">
        <v>2040</v>
      </c>
      <c r="AL235" t="s">
        <v>162</v>
      </c>
      <c r="AM235">
        <v>0.61629999999999996</v>
      </c>
      <c r="AN235" t="s">
        <v>430</v>
      </c>
    </row>
    <row r="236" spans="5:40" x14ac:dyDescent="0.45">
      <c r="E236" t="s">
        <v>201</v>
      </c>
      <c r="G236" t="s">
        <v>809</v>
      </c>
      <c r="I236" t="s">
        <v>249</v>
      </c>
      <c r="J236" t="s">
        <v>1110</v>
      </c>
      <c r="K236">
        <v>6.9923083710151008E-5</v>
      </c>
      <c r="L236" t="s">
        <v>251</v>
      </c>
      <c r="N236" t="s">
        <v>419</v>
      </c>
      <c r="O236" t="s">
        <v>1110</v>
      </c>
      <c r="P236">
        <v>1.061613581649E-4</v>
      </c>
      <c r="Q236" t="s">
        <v>251</v>
      </c>
      <c r="S236" t="s">
        <v>420</v>
      </c>
      <c r="T236" t="s">
        <v>1110</v>
      </c>
      <c r="U236">
        <v>1.3289879262599999E-4</v>
      </c>
      <c r="V236" t="s">
        <v>251</v>
      </c>
      <c r="X236">
        <v>1.1415525114155251E-4</v>
      </c>
      <c r="Y236">
        <v>2.2209515285616027E-4</v>
      </c>
      <c r="Z236" t="s">
        <v>1110</v>
      </c>
      <c r="AA236" t="s">
        <v>25</v>
      </c>
      <c r="AC236" t="s">
        <v>22</v>
      </c>
      <c r="AD236" t="s">
        <v>1110</v>
      </c>
      <c r="AE236">
        <v>8.4663756782493238E-5</v>
      </c>
      <c r="AG236" t="s">
        <v>97</v>
      </c>
      <c r="AH236" t="s">
        <v>1110</v>
      </c>
      <c r="AI236">
        <v>0</v>
      </c>
      <c r="AK236">
        <v>2040</v>
      </c>
      <c r="AL236" t="s">
        <v>175</v>
      </c>
      <c r="AM236">
        <v>0.45469999999999999</v>
      </c>
      <c r="AN236" t="s">
        <v>430</v>
      </c>
    </row>
    <row r="237" spans="5:40" x14ac:dyDescent="0.45">
      <c r="E237" t="s">
        <v>202</v>
      </c>
      <c r="G237" t="s">
        <v>809</v>
      </c>
      <c r="I237" t="s">
        <v>249</v>
      </c>
      <c r="J237" t="s">
        <v>1111</v>
      </c>
      <c r="K237">
        <v>2.6837152104686377E-5</v>
      </c>
      <c r="L237" t="s">
        <v>251</v>
      </c>
      <c r="N237" t="s">
        <v>419</v>
      </c>
      <c r="O237" t="s">
        <v>1111</v>
      </c>
      <c r="P237">
        <v>1.239597736025E-4</v>
      </c>
      <c r="Q237" t="s">
        <v>251</v>
      </c>
      <c r="S237" t="s">
        <v>420</v>
      </c>
      <c r="T237" t="s">
        <v>1111</v>
      </c>
      <c r="U237">
        <v>1.3788531098379999E-4</v>
      </c>
      <c r="V237" t="s">
        <v>251</v>
      </c>
      <c r="X237">
        <v>1.1415525114155251E-4</v>
      </c>
      <c r="Y237">
        <v>1.7237235744060203E-4</v>
      </c>
      <c r="Z237" t="s">
        <v>1111</v>
      </c>
      <c r="AA237" t="s">
        <v>25</v>
      </c>
      <c r="AC237" t="s">
        <v>22</v>
      </c>
      <c r="AD237" t="s">
        <v>1111</v>
      </c>
      <c r="AE237">
        <v>5.2888589113463753E-5</v>
      </c>
      <c r="AG237" t="s">
        <v>97</v>
      </c>
      <c r="AH237" t="s">
        <v>1111</v>
      </c>
      <c r="AI237">
        <v>0</v>
      </c>
      <c r="AK237">
        <v>2040</v>
      </c>
      <c r="AL237" t="s">
        <v>166</v>
      </c>
      <c r="AM237">
        <v>0.29720000000000002</v>
      </c>
      <c r="AN237" t="s">
        <v>430</v>
      </c>
    </row>
    <row r="238" spans="5:40" x14ac:dyDescent="0.45">
      <c r="E238" t="s">
        <v>203</v>
      </c>
      <c r="G238" t="s">
        <v>809</v>
      </c>
      <c r="I238" t="s">
        <v>249</v>
      </c>
      <c r="J238" t="s">
        <v>1112</v>
      </c>
      <c r="K238">
        <v>3.3244923971372358E-6</v>
      </c>
      <c r="L238" t="s">
        <v>251</v>
      </c>
      <c r="N238" t="s">
        <v>419</v>
      </c>
      <c r="O238" t="s">
        <v>1112</v>
      </c>
      <c r="P238">
        <v>1.3209043763599999E-4</v>
      </c>
      <c r="Q238" t="s">
        <v>251</v>
      </c>
      <c r="S238" t="s">
        <v>420</v>
      </c>
      <c r="T238" t="s">
        <v>1112</v>
      </c>
      <c r="U238">
        <v>1.362121431499E-4</v>
      </c>
      <c r="V238" t="s">
        <v>251</v>
      </c>
      <c r="X238">
        <v>1.1415525114155251E-4</v>
      </c>
      <c r="Y238">
        <v>1.5579809230208258E-4</v>
      </c>
      <c r="Z238" t="s">
        <v>1112</v>
      </c>
      <c r="AA238" t="s">
        <v>25</v>
      </c>
      <c r="AC238" t="s">
        <v>22</v>
      </c>
      <c r="AD238" t="s">
        <v>1112</v>
      </c>
      <c r="AE238">
        <v>4.7263314865184305E-5</v>
      </c>
      <c r="AG238" t="s">
        <v>97</v>
      </c>
      <c r="AH238" t="s">
        <v>1112</v>
      </c>
      <c r="AI238">
        <v>0</v>
      </c>
      <c r="AK238">
        <v>2040</v>
      </c>
      <c r="AL238" t="s">
        <v>178</v>
      </c>
      <c r="AM238">
        <v>0.26290000000000002</v>
      </c>
      <c r="AN238" t="s">
        <v>430</v>
      </c>
    </row>
    <row r="239" spans="5:40" x14ac:dyDescent="0.45">
      <c r="E239" t="s">
        <v>204</v>
      </c>
      <c r="G239" t="s">
        <v>809</v>
      </c>
      <c r="I239" t="s">
        <v>249</v>
      </c>
      <c r="J239" t="s">
        <v>1113</v>
      </c>
      <c r="K239">
        <v>0</v>
      </c>
      <c r="L239" t="s">
        <v>251</v>
      </c>
      <c r="N239" t="s">
        <v>419</v>
      </c>
      <c r="O239" t="s">
        <v>1113</v>
      </c>
      <c r="P239">
        <v>1.3520520032260001E-4</v>
      </c>
      <c r="Q239" t="s">
        <v>251</v>
      </c>
      <c r="S239" t="s">
        <v>420</v>
      </c>
      <c r="T239" t="s">
        <v>1113</v>
      </c>
      <c r="U239">
        <v>1.278840178342E-4</v>
      </c>
      <c r="V239" t="s">
        <v>251</v>
      </c>
      <c r="X239">
        <v>1.1415525114155251E-4</v>
      </c>
      <c r="Y239">
        <v>1.093901499142282E-4</v>
      </c>
      <c r="Z239" t="s">
        <v>1113</v>
      </c>
      <c r="AA239" t="s">
        <v>25</v>
      </c>
      <c r="AC239" t="s">
        <v>22</v>
      </c>
      <c r="AD239" t="s">
        <v>1113</v>
      </c>
      <c r="AE239">
        <v>4.7298967227225321E-5</v>
      </c>
      <c r="AG239" t="s">
        <v>97</v>
      </c>
      <c r="AH239" t="s">
        <v>1113</v>
      </c>
      <c r="AI239">
        <v>0</v>
      </c>
      <c r="AK239">
        <v>2041</v>
      </c>
      <c r="AL239" t="s">
        <v>151</v>
      </c>
      <c r="AM239">
        <v>0.1925</v>
      </c>
      <c r="AN239" t="s">
        <v>430</v>
      </c>
    </row>
    <row r="240" spans="5:40" x14ac:dyDescent="0.45">
      <c r="E240" t="s">
        <v>205</v>
      </c>
      <c r="G240" t="s">
        <v>809</v>
      </c>
      <c r="I240" t="s">
        <v>249</v>
      </c>
      <c r="J240" t="s">
        <v>1114</v>
      </c>
      <c r="K240">
        <v>0</v>
      </c>
      <c r="L240" t="s">
        <v>251</v>
      </c>
      <c r="N240" t="s">
        <v>419</v>
      </c>
      <c r="O240" t="s">
        <v>1114</v>
      </c>
      <c r="P240">
        <v>1.3896008921179999E-4</v>
      </c>
      <c r="Q240" t="s">
        <v>251</v>
      </c>
      <c r="S240" t="s">
        <v>420</v>
      </c>
      <c r="T240" t="s">
        <v>1114</v>
      </c>
      <c r="U240">
        <v>1.2512968424220001E-4</v>
      </c>
      <c r="V240" t="s">
        <v>251</v>
      </c>
      <c r="X240">
        <v>1.1415525114155251E-4</v>
      </c>
      <c r="Y240">
        <v>7.9556472664893237E-5</v>
      </c>
      <c r="Z240" t="s">
        <v>1114</v>
      </c>
      <c r="AA240" t="s">
        <v>25</v>
      </c>
      <c r="AC240" t="s">
        <v>22</v>
      </c>
      <c r="AD240" t="s">
        <v>1114</v>
      </c>
      <c r="AE240">
        <v>4.6179260231875592E-5</v>
      </c>
      <c r="AG240" t="s">
        <v>97</v>
      </c>
      <c r="AH240" t="s">
        <v>1114</v>
      </c>
      <c r="AI240">
        <v>0</v>
      </c>
      <c r="AK240">
        <v>2041</v>
      </c>
      <c r="AL240" t="s">
        <v>156</v>
      </c>
      <c r="AM240">
        <v>0.21129999999999999</v>
      </c>
      <c r="AN240" t="s">
        <v>430</v>
      </c>
    </row>
    <row r="241" spans="5:40" x14ac:dyDescent="0.45">
      <c r="E241" t="s">
        <v>206</v>
      </c>
      <c r="G241" t="s">
        <v>809</v>
      </c>
      <c r="I241" t="s">
        <v>249</v>
      </c>
      <c r="J241" t="s">
        <v>1115</v>
      </c>
      <c r="K241">
        <v>0</v>
      </c>
      <c r="L241" t="s">
        <v>251</v>
      </c>
      <c r="N241" t="s">
        <v>419</v>
      </c>
      <c r="O241" t="s">
        <v>1115</v>
      </c>
      <c r="P241">
        <v>1.4424933989709999E-4</v>
      </c>
      <c r="Q241" t="s">
        <v>251</v>
      </c>
      <c r="S241" t="s">
        <v>420</v>
      </c>
      <c r="T241" t="s">
        <v>1115</v>
      </c>
      <c r="U241">
        <v>1.2428973334729999E-4</v>
      </c>
      <c r="V241" t="s">
        <v>251</v>
      </c>
      <c r="X241">
        <v>1.1415525114155251E-4</v>
      </c>
      <c r="Y241">
        <v>5.6352501470966035E-5</v>
      </c>
      <c r="Z241" t="s">
        <v>1115</v>
      </c>
      <c r="AA241" t="s">
        <v>25</v>
      </c>
      <c r="AC241" t="s">
        <v>22</v>
      </c>
      <c r="AD241" t="s">
        <v>1115</v>
      </c>
      <c r="AE241">
        <v>5.4651152761865029E-5</v>
      </c>
      <c r="AG241" t="s">
        <v>97</v>
      </c>
      <c r="AH241" t="s">
        <v>1115</v>
      </c>
      <c r="AI241">
        <v>0</v>
      </c>
      <c r="AK241">
        <v>2041</v>
      </c>
      <c r="AL241" t="s">
        <v>159</v>
      </c>
      <c r="AM241">
        <v>0.2382</v>
      </c>
      <c r="AN241" t="s">
        <v>430</v>
      </c>
    </row>
    <row r="242" spans="5:40" x14ac:dyDescent="0.45">
      <c r="E242" t="s">
        <v>207</v>
      </c>
      <c r="G242" t="s">
        <v>809</v>
      </c>
      <c r="I242" t="s">
        <v>249</v>
      </c>
      <c r="J242" t="s">
        <v>1116</v>
      </c>
      <c r="K242">
        <v>0</v>
      </c>
      <c r="L242" t="s">
        <v>251</v>
      </c>
      <c r="N242" t="s">
        <v>419</v>
      </c>
      <c r="O242" t="s">
        <v>1116</v>
      </c>
      <c r="P242">
        <v>1.4531272148810001E-4</v>
      </c>
      <c r="Q242" t="s">
        <v>251</v>
      </c>
      <c r="S242" t="s">
        <v>420</v>
      </c>
      <c r="T242" t="s">
        <v>1116</v>
      </c>
      <c r="U242">
        <v>1.2528797295160001E-4</v>
      </c>
      <c r="V242" t="s">
        <v>251</v>
      </c>
      <c r="X242">
        <v>1.1415525114155251E-4</v>
      </c>
      <c r="Y242">
        <v>2.9833677249334962E-5</v>
      </c>
      <c r="Z242" t="s">
        <v>1116</v>
      </c>
      <c r="AA242" t="s">
        <v>25</v>
      </c>
      <c r="AC242" t="s">
        <v>22</v>
      </c>
      <c r="AD242" t="s">
        <v>1116</v>
      </c>
      <c r="AE242">
        <v>8.1274554115971892E-5</v>
      </c>
      <c r="AG242" t="s">
        <v>97</v>
      </c>
      <c r="AH242" t="s">
        <v>1116</v>
      </c>
      <c r="AI242">
        <v>0</v>
      </c>
      <c r="AK242">
        <v>2041</v>
      </c>
      <c r="AL242" t="s">
        <v>163</v>
      </c>
      <c r="AM242">
        <v>0.2394</v>
      </c>
      <c r="AN242" t="s">
        <v>430</v>
      </c>
    </row>
    <row r="243" spans="5:40" x14ac:dyDescent="0.45">
      <c r="E243" t="s">
        <v>208</v>
      </c>
      <c r="G243" t="s">
        <v>809</v>
      </c>
      <c r="I243" t="s">
        <v>249</v>
      </c>
      <c r="J243" t="s">
        <v>1117</v>
      </c>
      <c r="K243">
        <v>0</v>
      </c>
      <c r="L243" t="s">
        <v>251</v>
      </c>
      <c r="N243" t="s">
        <v>419</v>
      </c>
      <c r="O243" t="s">
        <v>1117</v>
      </c>
      <c r="P243">
        <v>1.5392499300569999E-4</v>
      </c>
      <c r="Q243" t="s">
        <v>251</v>
      </c>
      <c r="S243" t="s">
        <v>420</v>
      </c>
      <c r="T243" t="s">
        <v>1117</v>
      </c>
      <c r="U243">
        <v>1.298375009948E-4</v>
      </c>
      <c r="V243" t="s">
        <v>251</v>
      </c>
      <c r="X243">
        <v>1.1415525114155251E-4</v>
      </c>
      <c r="Y243">
        <v>2.1546544680075254E-5</v>
      </c>
      <c r="Z243" t="s">
        <v>1117</v>
      </c>
      <c r="AA243" t="s">
        <v>25</v>
      </c>
      <c r="AC243" t="s">
        <v>22</v>
      </c>
      <c r="AD243" t="s">
        <v>1117</v>
      </c>
      <c r="AE243">
        <v>8.1969775175771189E-5</v>
      </c>
      <c r="AG243" t="s">
        <v>97</v>
      </c>
      <c r="AH243" t="s">
        <v>1117</v>
      </c>
      <c r="AI243">
        <v>0</v>
      </c>
      <c r="AK243">
        <v>2041</v>
      </c>
      <c r="AL243" t="s">
        <v>167</v>
      </c>
      <c r="AM243">
        <v>0.34799999999999998</v>
      </c>
      <c r="AN243" t="s">
        <v>430</v>
      </c>
    </row>
    <row r="244" spans="5:40" x14ac:dyDescent="0.45">
      <c r="E244" t="s">
        <v>209</v>
      </c>
      <c r="G244" t="s">
        <v>809</v>
      </c>
      <c r="I244" t="s">
        <v>249</v>
      </c>
      <c r="J244" t="s">
        <v>1118</v>
      </c>
      <c r="K244">
        <v>0</v>
      </c>
      <c r="L244" t="s">
        <v>251</v>
      </c>
      <c r="N244" t="s">
        <v>419</v>
      </c>
      <c r="O244" t="s">
        <v>1118</v>
      </c>
      <c r="P244">
        <v>1.5934739707969999E-4</v>
      </c>
      <c r="Q244" t="s">
        <v>251</v>
      </c>
      <c r="S244" t="s">
        <v>420</v>
      </c>
      <c r="T244" t="s">
        <v>1118</v>
      </c>
      <c r="U244">
        <v>1.3303403188500001E-4</v>
      </c>
      <c r="V244" t="s">
        <v>251</v>
      </c>
      <c r="X244">
        <v>1.1415525114155251E-4</v>
      </c>
      <c r="Y244">
        <v>1.4916838624667481E-5</v>
      </c>
      <c r="Z244" t="s">
        <v>1118</v>
      </c>
      <c r="AA244" t="s">
        <v>25</v>
      </c>
      <c r="AC244" t="s">
        <v>22</v>
      </c>
      <c r="AD244" t="s">
        <v>1118</v>
      </c>
      <c r="AE244">
        <v>9.805121872888376E-5</v>
      </c>
      <c r="AG244" t="s">
        <v>97</v>
      </c>
      <c r="AH244" t="s">
        <v>1118</v>
      </c>
      <c r="AI244">
        <v>0</v>
      </c>
      <c r="AK244">
        <v>2041</v>
      </c>
      <c r="AL244" t="s">
        <v>169</v>
      </c>
      <c r="AM244">
        <v>0.39019999999999999</v>
      </c>
      <c r="AN244" t="s">
        <v>430</v>
      </c>
    </row>
    <row r="245" spans="5:40" x14ac:dyDescent="0.45">
      <c r="E245" t="s">
        <v>210</v>
      </c>
      <c r="G245" t="s">
        <v>809</v>
      </c>
      <c r="I245" t="s">
        <v>249</v>
      </c>
      <c r="J245" t="s">
        <v>1119</v>
      </c>
      <c r="K245">
        <v>0</v>
      </c>
      <c r="L245" t="s">
        <v>251</v>
      </c>
      <c r="N245" t="s">
        <v>419</v>
      </c>
      <c r="O245" t="s">
        <v>1119</v>
      </c>
      <c r="P245">
        <v>1.5967412311789999E-4</v>
      </c>
      <c r="Q245" t="s">
        <v>251</v>
      </c>
      <c r="S245" t="s">
        <v>420</v>
      </c>
      <c r="T245" t="s">
        <v>1119</v>
      </c>
      <c r="U245">
        <v>1.3532098014E-4</v>
      </c>
      <c r="V245" t="s">
        <v>251</v>
      </c>
      <c r="X245">
        <v>1.1415525114155251E-4</v>
      </c>
      <c r="Y245">
        <v>1.6574265138519424E-5</v>
      </c>
      <c r="Z245" t="s">
        <v>1119</v>
      </c>
      <c r="AA245" t="s">
        <v>25</v>
      </c>
      <c r="AC245" t="s">
        <v>22</v>
      </c>
      <c r="AD245" t="s">
        <v>1119</v>
      </c>
      <c r="AE245">
        <v>1.2149933158871525E-4</v>
      </c>
      <c r="AG245" t="s">
        <v>97</v>
      </c>
      <c r="AH245" t="s">
        <v>1119</v>
      </c>
      <c r="AI245">
        <v>0</v>
      </c>
      <c r="AK245">
        <v>2041</v>
      </c>
      <c r="AL245" t="s">
        <v>171</v>
      </c>
      <c r="AM245">
        <v>0.47620000000000001</v>
      </c>
      <c r="AN245" t="s">
        <v>430</v>
      </c>
    </row>
    <row r="246" spans="5:40" x14ac:dyDescent="0.45">
      <c r="E246" t="s">
        <v>211</v>
      </c>
      <c r="G246" t="s">
        <v>809</v>
      </c>
      <c r="I246" t="s">
        <v>249</v>
      </c>
      <c r="J246" t="s">
        <v>1120</v>
      </c>
      <c r="K246">
        <v>0</v>
      </c>
      <c r="L246" t="s">
        <v>251</v>
      </c>
      <c r="N246" t="s">
        <v>419</v>
      </c>
      <c r="O246" t="s">
        <v>1120</v>
      </c>
      <c r="P246">
        <v>1.4996261433040001E-4</v>
      </c>
      <c r="Q246" t="s">
        <v>251</v>
      </c>
      <c r="S246" t="s">
        <v>420</v>
      </c>
      <c r="T246" t="s">
        <v>1120</v>
      </c>
      <c r="U246">
        <v>1.282875644923E-4</v>
      </c>
      <c r="V246" t="s">
        <v>251</v>
      </c>
      <c r="X246">
        <v>1.1415525114155251E-4</v>
      </c>
      <c r="Y246">
        <v>1.4585353321897093E-5</v>
      </c>
      <c r="Z246" t="s">
        <v>1120</v>
      </c>
      <c r="AA246" t="s">
        <v>25</v>
      </c>
      <c r="AC246" t="s">
        <v>22</v>
      </c>
      <c r="AD246" t="s">
        <v>1120</v>
      </c>
      <c r="AE246">
        <v>1.3827933861056843E-4</v>
      </c>
      <c r="AG246" t="s">
        <v>97</v>
      </c>
      <c r="AH246" t="s">
        <v>1120</v>
      </c>
      <c r="AI246">
        <v>0</v>
      </c>
      <c r="AK246">
        <v>2041</v>
      </c>
      <c r="AL246" t="s">
        <v>158</v>
      </c>
      <c r="AM246">
        <v>0.53459999999999996</v>
      </c>
      <c r="AN246" t="s">
        <v>430</v>
      </c>
    </row>
    <row r="247" spans="5:40" x14ac:dyDescent="0.45">
      <c r="E247" t="s">
        <v>212</v>
      </c>
      <c r="G247" t="s">
        <v>809</v>
      </c>
      <c r="I247" t="s">
        <v>249</v>
      </c>
      <c r="J247" t="s">
        <v>1121</v>
      </c>
      <c r="K247">
        <v>0</v>
      </c>
      <c r="L247" t="s">
        <v>251</v>
      </c>
      <c r="N247" t="s">
        <v>419</v>
      </c>
      <c r="O247" t="s">
        <v>1121</v>
      </c>
      <c r="P247">
        <v>1.3176240596900001E-4</v>
      </c>
      <c r="Q247" t="s">
        <v>251</v>
      </c>
      <c r="S247" t="s">
        <v>420</v>
      </c>
      <c r="T247" t="s">
        <v>1121</v>
      </c>
      <c r="U247">
        <v>1.263540939148E-4</v>
      </c>
      <c r="V247" t="s">
        <v>251</v>
      </c>
      <c r="X247">
        <v>1.1415525114155251E-4</v>
      </c>
      <c r="Y247">
        <v>2.1215059377304864E-5</v>
      </c>
      <c r="Z247" t="s">
        <v>1121</v>
      </c>
      <c r="AA247" t="s">
        <v>25</v>
      </c>
      <c r="AC247" t="s">
        <v>22</v>
      </c>
      <c r="AD247" t="s">
        <v>1121</v>
      </c>
      <c r="AE247">
        <v>1.4206628794110951E-4</v>
      </c>
      <c r="AG247" t="s">
        <v>97</v>
      </c>
      <c r="AH247" t="s">
        <v>1121</v>
      </c>
      <c r="AI247">
        <v>0</v>
      </c>
      <c r="AK247">
        <v>2041</v>
      </c>
      <c r="AL247" t="s">
        <v>162</v>
      </c>
      <c r="AM247">
        <v>0.5333</v>
      </c>
      <c r="AN247" t="s">
        <v>430</v>
      </c>
    </row>
    <row r="248" spans="5:40" x14ac:dyDescent="0.45">
      <c r="E248" t="s">
        <v>213</v>
      </c>
      <c r="G248" t="s">
        <v>809</v>
      </c>
      <c r="I248" t="s">
        <v>249</v>
      </c>
      <c r="J248" t="s">
        <v>1122</v>
      </c>
      <c r="K248">
        <v>0</v>
      </c>
      <c r="L248" t="s">
        <v>251</v>
      </c>
      <c r="N248" t="s">
        <v>419</v>
      </c>
      <c r="O248" t="s">
        <v>1122</v>
      </c>
      <c r="P248">
        <v>1.2087732011930001E-4</v>
      </c>
      <c r="Q248" t="s">
        <v>251</v>
      </c>
      <c r="S248" t="s">
        <v>420</v>
      </c>
      <c r="T248" t="s">
        <v>1122</v>
      </c>
      <c r="U248">
        <v>1.201728731185E-4</v>
      </c>
      <c r="V248" t="s">
        <v>251</v>
      </c>
      <c r="X248">
        <v>1.1415525114155251E-4</v>
      </c>
      <c r="Y248">
        <v>5.7678442682047593E-5</v>
      </c>
      <c r="Z248" t="s">
        <v>1122</v>
      </c>
      <c r="AA248" t="s">
        <v>25</v>
      </c>
      <c r="AC248" t="s">
        <v>22</v>
      </c>
      <c r="AD248" t="s">
        <v>1122</v>
      </c>
      <c r="AE248">
        <v>1.4344001801600128E-4</v>
      </c>
      <c r="AG248" t="s">
        <v>97</v>
      </c>
      <c r="AH248" t="s">
        <v>1122</v>
      </c>
      <c r="AI248">
        <v>0</v>
      </c>
      <c r="AK248">
        <v>2041</v>
      </c>
      <c r="AL248" t="s">
        <v>175</v>
      </c>
      <c r="AM248">
        <v>0.35160000000000002</v>
      </c>
      <c r="AN248" t="s">
        <v>430</v>
      </c>
    </row>
    <row r="249" spans="5:40" x14ac:dyDescent="0.45">
      <c r="E249" t="s">
        <v>214</v>
      </c>
      <c r="G249" t="s">
        <v>809</v>
      </c>
      <c r="I249" t="s">
        <v>249</v>
      </c>
      <c r="J249" t="s">
        <v>1123</v>
      </c>
      <c r="K249">
        <v>4.9226654108228781E-6</v>
      </c>
      <c r="L249" t="s">
        <v>251</v>
      </c>
      <c r="N249" t="s">
        <v>419</v>
      </c>
      <c r="O249" t="s">
        <v>1123</v>
      </c>
      <c r="P249">
        <v>1.153207860538E-4</v>
      </c>
      <c r="Q249" t="s">
        <v>251</v>
      </c>
      <c r="S249" t="s">
        <v>420</v>
      </c>
      <c r="T249" t="s">
        <v>1123</v>
      </c>
      <c r="U249">
        <v>1.077132265955E-4</v>
      </c>
      <c r="V249" t="s">
        <v>251</v>
      </c>
      <c r="X249">
        <v>1.1415525114155251E-4</v>
      </c>
      <c r="Y249">
        <v>1.6905750441289813E-4</v>
      </c>
      <c r="Z249" t="s">
        <v>1123</v>
      </c>
      <c r="AA249" t="s">
        <v>25</v>
      </c>
      <c r="AC249" t="s">
        <v>22</v>
      </c>
      <c r="AD249" t="s">
        <v>1123</v>
      </c>
      <c r="AE249">
        <v>1.4344001801600128E-4</v>
      </c>
      <c r="AG249" t="s">
        <v>97</v>
      </c>
      <c r="AH249" t="s">
        <v>1123</v>
      </c>
      <c r="AI249">
        <v>0</v>
      </c>
      <c r="AK249">
        <v>2041</v>
      </c>
      <c r="AL249" t="s">
        <v>166</v>
      </c>
      <c r="AM249">
        <v>0.2631</v>
      </c>
      <c r="AN249" t="s">
        <v>430</v>
      </c>
    </row>
    <row r="250" spans="5:40" x14ac:dyDescent="0.45">
      <c r="E250" t="s">
        <v>215</v>
      </c>
      <c r="G250" t="s">
        <v>809</v>
      </c>
      <c r="I250" t="s">
        <v>249</v>
      </c>
      <c r="J250" t="s">
        <v>1124</v>
      </c>
      <c r="K250">
        <v>2.3296886891990128E-5</v>
      </c>
      <c r="L250" t="s">
        <v>251</v>
      </c>
      <c r="N250" t="s">
        <v>419</v>
      </c>
      <c r="O250" t="s">
        <v>1124</v>
      </c>
      <c r="P250">
        <v>1.145933369259E-4</v>
      </c>
      <c r="Q250" t="s">
        <v>251</v>
      </c>
      <c r="S250" t="s">
        <v>420</v>
      </c>
      <c r="T250" t="s">
        <v>1124</v>
      </c>
      <c r="U250">
        <v>9.7241493873723723E-5</v>
      </c>
      <c r="V250" t="s">
        <v>251</v>
      </c>
      <c r="X250">
        <v>1.1415525114155251E-4</v>
      </c>
      <c r="Y250">
        <v>1.9060404909297337E-4</v>
      </c>
      <c r="Z250" t="s">
        <v>1124</v>
      </c>
      <c r="AA250" t="s">
        <v>25</v>
      </c>
      <c r="AC250" t="s">
        <v>22</v>
      </c>
      <c r="AD250" t="s">
        <v>1124</v>
      </c>
      <c r="AE250">
        <v>1.4386338981523799E-4</v>
      </c>
      <c r="AG250" t="s">
        <v>97</v>
      </c>
      <c r="AH250" t="s">
        <v>1124</v>
      </c>
      <c r="AI250">
        <v>0</v>
      </c>
      <c r="AK250">
        <v>2041</v>
      </c>
      <c r="AL250" t="s">
        <v>178</v>
      </c>
      <c r="AM250">
        <v>0.20330000000000001</v>
      </c>
      <c r="AN250" t="s">
        <v>430</v>
      </c>
    </row>
    <row r="251" spans="5:40" x14ac:dyDescent="0.45">
      <c r="E251" t="s">
        <v>509</v>
      </c>
      <c r="G251" t="s">
        <v>811</v>
      </c>
      <c r="I251" t="s">
        <v>249</v>
      </c>
      <c r="J251" t="s">
        <v>1125</v>
      </c>
      <c r="K251">
        <v>5.401517913459075E-5</v>
      </c>
      <c r="L251" t="s">
        <v>251</v>
      </c>
      <c r="N251" t="s">
        <v>419</v>
      </c>
      <c r="O251" t="s">
        <v>1125</v>
      </c>
      <c r="P251">
        <v>1.2085245798260001E-4</v>
      </c>
      <c r="Q251" t="s">
        <v>251</v>
      </c>
      <c r="S251" t="s">
        <v>420</v>
      </c>
      <c r="T251" t="s">
        <v>1125</v>
      </c>
      <c r="U251">
        <v>8.9662671076187183E-5</v>
      </c>
      <c r="V251" t="s">
        <v>251</v>
      </c>
      <c r="X251">
        <v>1.1415525114155251E-4</v>
      </c>
      <c r="Y251">
        <v>1.4585353321897094E-4</v>
      </c>
      <c r="Z251" t="s">
        <v>1125</v>
      </c>
      <c r="AA251" t="s">
        <v>25</v>
      </c>
      <c r="AC251" t="s">
        <v>22</v>
      </c>
      <c r="AD251" t="s">
        <v>1125</v>
      </c>
      <c r="AE251">
        <v>1.4504437430784567E-4</v>
      </c>
      <c r="AG251" t="s">
        <v>97</v>
      </c>
      <c r="AH251" t="s">
        <v>1125</v>
      </c>
      <c r="AI251">
        <v>0</v>
      </c>
      <c r="AK251">
        <v>2042</v>
      </c>
      <c r="AL251" t="s">
        <v>151</v>
      </c>
      <c r="AM251">
        <v>0.19800000000000001</v>
      </c>
      <c r="AN251" t="s">
        <v>430</v>
      </c>
    </row>
    <row r="252" spans="5:40" x14ac:dyDescent="0.45">
      <c r="E252" t="s">
        <v>510</v>
      </c>
      <c r="G252" t="s">
        <v>811</v>
      </c>
      <c r="I252" t="s">
        <v>249</v>
      </c>
      <c r="J252" t="s">
        <v>1126</v>
      </c>
      <c r="K252">
        <v>8.4335338071690364E-5</v>
      </c>
      <c r="L252" t="s">
        <v>251</v>
      </c>
      <c r="N252" t="s">
        <v>419</v>
      </c>
      <c r="O252" t="s">
        <v>1126</v>
      </c>
      <c r="P252">
        <v>1.096954334874E-4</v>
      </c>
      <c r="Q252" t="s">
        <v>251</v>
      </c>
      <c r="S252" t="s">
        <v>420</v>
      </c>
      <c r="T252" t="s">
        <v>1126</v>
      </c>
      <c r="U252">
        <v>8.3944298908245223E-5</v>
      </c>
      <c r="V252" t="s">
        <v>251</v>
      </c>
      <c r="X252">
        <v>1.1415525114155251E-4</v>
      </c>
      <c r="Y252">
        <v>1.4452759200788939E-4</v>
      </c>
      <c r="Z252" t="s">
        <v>1126</v>
      </c>
      <c r="AA252" t="s">
        <v>25</v>
      </c>
      <c r="AC252" t="s">
        <v>22</v>
      </c>
      <c r="AD252" t="s">
        <v>1126</v>
      </c>
      <c r="AE252">
        <v>1.4419540243674467E-4</v>
      </c>
      <c r="AG252" t="s">
        <v>97</v>
      </c>
      <c r="AH252" t="s">
        <v>1126</v>
      </c>
      <c r="AI252">
        <v>0</v>
      </c>
      <c r="AK252">
        <v>2042</v>
      </c>
      <c r="AL252" t="s">
        <v>156</v>
      </c>
      <c r="AM252">
        <v>0.21360000000000001</v>
      </c>
      <c r="AN252" t="s">
        <v>430</v>
      </c>
    </row>
    <row r="253" spans="5:40" x14ac:dyDescent="0.45">
      <c r="E253" t="s">
        <v>511</v>
      </c>
      <c r="G253" t="s">
        <v>811</v>
      </c>
      <c r="I253" t="s">
        <v>249</v>
      </c>
      <c r="J253" t="s">
        <v>1127</v>
      </c>
      <c r="K253">
        <v>1.293588393099E-4</v>
      </c>
      <c r="L253" t="s">
        <v>251</v>
      </c>
      <c r="N253" t="s">
        <v>419</v>
      </c>
      <c r="O253" t="s">
        <v>1127</v>
      </c>
      <c r="P253">
        <v>1.038698514331E-4</v>
      </c>
      <c r="Q253" t="s">
        <v>251</v>
      </c>
      <c r="S253" t="s">
        <v>420</v>
      </c>
      <c r="T253" t="s">
        <v>1127</v>
      </c>
      <c r="U253">
        <v>8.0530382356207151E-5</v>
      </c>
      <c r="V253" t="s">
        <v>251</v>
      </c>
      <c r="X253">
        <v>1.1415525114155251E-4</v>
      </c>
      <c r="Y253">
        <v>1.408812536774151E-4</v>
      </c>
      <c r="Z253" t="s">
        <v>1127</v>
      </c>
      <c r="AA253" t="s">
        <v>25</v>
      </c>
      <c r="AC253" t="s">
        <v>22</v>
      </c>
      <c r="AD253" t="s">
        <v>1127</v>
      </c>
      <c r="AE253">
        <v>1.4366395941507122E-4</v>
      </c>
      <c r="AG253" t="s">
        <v>97</v>
      </c>
      <c r="AH253" t="s">
        <v>1127</v>
      </c>
      <c r="AI253">
        <v>0</v>
      </c>
      <c r="AK253">
        <v>2042</v>
      </c>
      <c r="AL253" t="s">
        <v>159</v>
      </c>
      <c r="AM253">
        <v>0.2429</v>
      </c>
      <c r="AN253" t="s">
        <v>430</v>
      </c>
    </row>
    <row r="254" spans="5:40" x14ac:dyDescent="0.45">
      <c r="E254" t="s">
        <v>512</v>
      </c>
      <c r="G254" t="s">
        <v>811</v>
      </c>
      <c r="I254" t="s">
        <v>249</v>
      </c>
      <c r="J254" t="s">
        <v>1128</v>
      </c>
      <c r="K254">
        <v>1.601577265704E-4</v>
      </c>
      <c r="L254" t="s">
        <v>251</v>
      </c>
      <c r="N254" t="s">
        <v>419</v>
      </c>
      <c r="O254" t="s">
        <v>1128</v>
      </c>
      <c r="P254">
        <v>9.4824987783430055E-5</v>
      </c>
      <c r="Q254" t="s">
        <v>251</v>
      </c>
      <c r="S254" t="s">
        <v>420</v>
      </c>
      <c r="T254" t="s">
        <v>1128</v>
      </c>
      <c r="U254">
        <v>8.2132017631085237E-5</v>
      </c>
      <c r="V254" t="s">
        <v>251</v>
      </c>
      <c r="X254">
        <v>1.1415525114155251E-4</v>
      </c>
      <c r="Y254">
        <v>1.4054976837464471E-4</v>
      </c>
      <c r="Z254" t="s">
        <v>1128</v>
      </c>
      <c r="AA254" t="s">
        <v>25</v>
      </c>
      <c r="AC254" t="s">
        <v>22</v>
      </c>
      <c r="AD254" t="s">
        <v>1128</v>
      </c>
      <c r="AE254">
        <v>1.4417311971046904E-4</v>
      </c>
      <c r="AG254" t="s">
        <v>97</v>
      </c>
      <c r="AH254" t="s">
        <v>1128</v>
      </c>
      <c r="AI254">
        <v>0</v>
      </c>
      <c r="AK254">
        <v>2042</v>
      </c>
      <c r="AL254" t="s">
        <v>163</v>
      </c>
      <c r="AM254">
        <v>0.25829999999999997</v>
      </c>
      <c r="AN254" t="s">
        <v>430</v>
      </c>
    </row>
    <row r="255" spans="5:40" x14ac:dyDescent="0.45">
      <c r="E255" t="s">
        <v>513</v>
      </c>
      <c r="G255" t="s">
        <v>811</v>
      </c>
      <c r="I255" t="s">
        <v>249</v>
      </c>
      <c r="J255" t="s">
        <v>1129</v>
      </c>
      <c r="K255">
        <v>1.840926860764E-4</v>
      </c>
      <c r="L255" t="s">
        <v>251</v>
      </c>
      <c r="N255" t="s">
        <v>419</v>
      </c>
      <c r="O255" t="s">
        <v>1129</v>
      </c>
      <c r="P255">
        <v>8.4513077437411256E-5</v>
      </c>
      <c r="Q255" t="s">
        <v>251</v>
      </c>
      <c r="S255" t="s">
        <v>420</v>
      </c>
      <c r="T255" t="s">
        <v>1129</v>
      </c>
      <c r="U255">
        <v>9.004856192824607E-5</v>
      </c>
      <c r="V255" t="s">
        <v>251</v>
      </c>
      <c r="X255">
        <v>1.1415525114155251E-4</v>
      </c>
      <c r="Y255">
        <v>1.4253868019126702E-4</v>
      </c>
      <c r="Z255" t="s">
        <v>1129</v>
      </c>
      <c r="AA255" t="s">
        <v>25</v>
      </c>
      <c r="AC255" t="s">
        <v>22</v>
      </c>
      <c r="AD255" t="s">
        <v>1129</v>
      </c>
      <c r="AE255">
        <v>1.7210674536958216E-4</v>
      </c>
      <c r="AG255" t="s">
        <v>97</v>
      </c>
      <c r="AH255" t="s">
        <v>1129</v>
      </c>
      <c r="AI255">
        <v>0</v>
      </c>
      <c r="AK255">
        <v>2042</v>
      </c>
      <c r="AL255" t="s">
        <v>167</v>
      </c>
      <c r="AM255">
        <v>0.30969999999999998</v>
      </c>
      <c r="AN255" t="s">
        <v>430</v>
      </c>
    </row>
    <row r="256" spans="5:40" x14ac:dyDescent="0.45">
      <c r="E256" t="s">
        <v>514</v>
      </c>
      <c r="G256" t="s">
        <v>811</v>
      </c>
      <c r="I256" t="s">
        <v>249</v>
      </c>
      <c r="J256" t="s">
        <v>1130</v>
      </c>
      <c r="K256">
        <v>1.865388959533E-4</v>
      </c>
      <c r="L256" t="s">
        <v>251</v>
      </c>
      <c r="N256" t="s">
        <v>419</v>
      </c>
      <c r="O256" t="s">
        <v>1130</v>
      </c>
      <c r="P256">
        <v>8.1925375279020518E-5</v>
      </c>
      <c r="Q256" t="s">
        <v>251</v>
      </c>
      <c r="S256" t="s">
        <v>420</v>
      </c>
      <c r="T256" t="s">
        <v>1130</v>
      </c>
      <c r="U256">
        <v>9.6351946904466701E-5</v>
      </c>
      <c r="V256" t="s">
        <v>251</v>
      </c>
      <c r="X256">
        <v>1.1415525114155251E-4</v>
      </c>
      <c r="Y256">
        <v>1.4883690094390442E-4</v>
      </c>
      <c r="Z256" t="s">
        <v>1130</v>
      </c>
      <c r="AA256" t="s">
        <v>25</v>
      </c>
      <c r="AC256" t="s">
        <v>22</v>
      </c>
      <c r="AD256" t="s">
        <v>1130</v>
      </c>
      <c r="AE256">
        <v>1.7386373833641453E-4</v>
      </c>
      <c r="AG256" t="s">
        <v>97</v>
      </c>
      <c r="AH256" t="s">
        <v>1130</v>
      </c>
      <c r="AI256">
        <v>0</v>
      </c>
      <c r="AK256">
        <v>2042</v>
      </c>
      <c r="AL256" t="s">
        <v>169</v>
      </c>
      <c r="AM256">
        <v>0.4103</v>
      </c>
      <c r="AN256" t="s">
        <v>430</v>
      </c>
    </row>
    <row r="257" spans="5:40" x14ac:dyDescent="0.45">
      <c r="E257" t="s">
        <v>515</v>
      </c>
      <c r="G257" t="s">
        <v>811</v>
      </c>
      <c r="I257" t="s">
        <v>249</v>
      </c>
      <c r="J257" t="s">
        <v>1131</v>
      </c>
      <c r="K257">
        <v>1.804504985457E-4</v>
      </c>
      <c r="L257" t="s">
        <v>251</v>
      </c>
      <c r="N257" t="s">
        <v>419</v>
      </c>
      <c r="O257" t="s">
        <v>1131</v>
      </c>
      <c r="P257">
        <v>9.1500319555330115E-5</v>
      </c>
      <c r="Q257" t="s">
        <v>251</v>
      </c>
      <c r="S257" t="s">
        <v>420</v>
      </c>
      <c r="T257" t="s">
        <v>1131</v>
      </c>
      <c r="U257">
        <v>1.0899266651419999E-4</v>
      </c>
      <c r="V257" t="s">
        <v>251</v>
      </c>
      <c r="X257">
        <v>1.1415525114155251E-4</v>
      </c>
      <c r="Y257">
        <v>1.5049432745775637E-4</v>
      </c>
      <c r="Z257" t="s">
        <v>1131</v>
      </c>
      <c r="AA257" t="s">
        <v>25</v>
      </c>
      <c r="AC257" t="s">
        <v>22</v>
      </c>
      <c r="AD257" t="s">
        <v>1131</v>
      </c>
      <c r="AE257">
        <v>1.6485037555792761E-4</v>
      </c>
      <c r="AG257" t="s">
        <v>97</v>
      </c>
      <c r="AH257" t="s">
        <v>1131</v>
      </c>
      <c r="AI257">
        <v>0</v>
      </c>
      <c r="AK257">
        <v>2042</v>
      </c>
      <c r="AL257" t="s">
        <v>171</v>
      </c>
      <c r="AM257">
        <v>0.41949999999999998</v>
      </c>
      <c r="AN257" t="s">
        <v>430</v>
      </c>
    </row>
    <row r="258" spans="5:40" x14ac:dyDescent="0.45">
      <c r="E258" t="s">
        <v>516</v>
      </c>
      <c r="G258" t="s">
        <v>811</v>
      </c>
      <c r="I258" t="s">
        <v>249</v>
      </c>
      <c r="J258" t="s">
        <v>1132</v>
      </c>
      <c r="K258">
        <v>1.688568874091E-4</v>
      </c>
      <c r="L258" t="s">
        <v>251</v>
      </c>
      <c r="N258" t="s">
        <v>419</v>
      </c>
      <c r="O258" t="s">
        <v>1132</v>
      </c>
      <c r="P258">
        <v>1.048459170695E-4</v>
      </c>
      <c r="Q258" t="s">
        <v>251</v>
      </c>
      <c r="S258" t="s">
        <v>420</v>
      </c>
      <c r="T258" t="s">
        <v>1132</v>
      </c>
      <c r="U258">
        <v>1.1488866914639999E-4</v>
      </c>
      <c r="V258" t="s">
        <v>251</v>
      </c>
      <c r="X258">
        <v>1.1415525114155251E-4</v>
      </c>
      <c r="Y258">
        <v>1.7237235744060203E-4</v>
      </c>
      <c r="Z258" t="s">
        <v>1132</v>
      </c>
      <c r="AA258" t="s">
        <v>25</v>
      </c>
      <c r="AC258" t="s">
        <v>22</v>
      </c>
      <c r="AD258" t="s">
        <v>1132</v>
      </c>
      <c r="AE258">
        <v>1.4595239540357701E-4</v>
      </c>
      <c r="AG258" t="s">
        <v>97</v>
      </c>
      <c r="AH258" t="s">
        <v>1132</v>
      </c>
      <c r="AI258">
        <v>0</v>
      </c>
      <c r="AK258">
        <v>2042</v>
      </c>
      <c r="AL258" t="s">
        <v>158</v>
      </c>
      <c r="AM258">
        <v>0.52310000000000001</v>
      </c>
      <c r="AN258" t="s">
        <v>430</v>
      </c>
    </row>
    <row r="259" spans="5:40" x14ac:dyDescent="0.45">
      <c r="E259" t="s">
        <v>517</v>
      </c>
      <c r="G259" t="s">
        <v>811</v>
      </c>
      <c r="I259" t="s">
        <v>249</v>
      </c>
      <c r="J259" t="s">
        <v>1133</v>
      </c>
      <c r="K259">
        <v>1.407110931648E-4</v>
      </c>
      <c r="L259" t="s">
        <v>251</v>
      </c>
      <c r="N259" t="s">
        <v>419</v>
      </c>
      <c r="O259" t="s">
        <v>1133</v>
      </c>
      <c r="P259">
        <v>1.327587861132E-4</v>
      </c>
      <c r="Q259" t="s">
        <v>251</v>
      </c>
      <c r="S259" t="s">
        <v>420</v>
      </c>
      <c r="T259" t="s">
        <v>1133</v>
      </c>
      <c r="U259">
        <v>1.2470044064079999E-4</v>
      </c>
      <c r="V259" t="s">
        <v>251</v>
      </c>
      <c r="X259">
        <v>1.1415525114155251E-4</v>
      </c>
      <c r="Y259">
        <v>2.2209515285616027E-4</v>
      </c>
      <c r="Z259" t="s">
        <v>1133</v>
      </c>
      <c r="AA259" t="s">
        <v>25</v>
      </c>
      <c r="AC259" t="s">
        <v>22</v>
      </c>
      <c r="AD259" t="s">
        <v>1133</v>
      </c>
      <c r="AE259">
        <v>1.1774469221127382E-4</v>
      </c>
      <c r="AG259" t="s">
        <v>97</v>
      </c>
      <c r="AH259" t="s">
        <v>1133</v>
      </c>
      <c r="AI259">
        <v>0</v>
      </c>
      <c r="AK259">
        <v>2042</v>
      </c>
      <c r="AL259" t="s">
        <v>162</v>
      </c>
      <c r="AM259">
        <v>0.50209999999999999</v>
      </c>
      <c r="AN259" t="s">
        <v>430</v>
      </c>
    </row>
    <row r="260" spans="5:40" x14ac:dyDescent="0.45">
      <c r="E260" t="s">
        <v>518</v>
      </c>
      <c r="G260" t="s">
        <v>811</v>
      </c>
      <c r="I260" t="s">
        <v>249</v>
      </c>
      <c r="J260" t="s">
        <v>1134</v>
      </c>
      <c r="K260">
        <v>1.0245441937160001E-4</v>
      </c>
      <c r="L260" t="s">
        <v>251</v>
      </c>
      <c r="N260" t="s">
        <v>419</v>
      </c>
      <c r="O260" t="s">
        <v>1134</v>
      </c>
      <c r="P260">
        <v>1.4574169108459999E-4</v>
      </c>
      <c r="Q260" t="s">
        <v>251</v>
      </c>
      <c r="S260" t="s">
        <v>420</v>
      </c>
      <c r="T260" t="s">
        <v>1134</v>
      </c>
      <c r="U260">
        <v>1.3847314507839999E-4</v>
      </c>
      <c r="V260" t="s">
        <v>251</v>
      </c>
      <c r="X260">
        <v>1.1415525114155251E-4</v>
      </c>
      <c r="Y260">
        <v>2.2209515285616027E-4</v>
      </c>
      <c r="Z260" t="s">
        <v>1134</v>
      </c>
      <c r="AA260" t="s">
        <v>25</v>
      </c>
      <c r="AC260" t="s">
        <v>22</v>
      </c>
      <c r="AD260" t="s">
        <v>1134</v>
      </c>
      <c r="AE260">
        <v>8.3784703230920161E-5</v>
      </c>
      <c r="AG260" t="s">
        <v>97</v>
      </c>
      <c r="AH260" t="s">
        <v>1134</v>
      </c>
      <c r="AI260">
        <v>0</v>
      </c>
      <c r="AK260">
        <v>2042</v>
      </c>
      <c r="AL260" t="s">
        <v>175</v>
      </c>
      <c r="AM260">
        <v>0.35870000000000002</v>
      </c>
      <c r="AN260" t="s">
        <v>430</v>
      </c>
    </row>
    <row r="261" spans="5:40" x14ac:dyDescent="0.45">
      <c r="E261" t="s">
        <v>519</v>
      </c>
      <c r="G261" t="s">
        <v>811</v>
      </c>
      <c r="I261" t="s">
        <v>249</v>
      </c>
      <c r="J261" t="s">
        <v>1135</v>
      </c>
      <c r="K261">
        <v>4.6086887061891971E-5</v>
      </c>
      <c r="L261" t="s">
        <v>251</v>
      </c>
      <c r="N261" t="s">
        <v>419</v>
      </c>
      <c r="O261" t="s">
        <v>1135</v>
      </c>
      <c r="P261">
        <v>1.5006821069419999E-4</v>
      </c>
      <c r="Q261" t="s">
        <v>251</v>
      </c>
      <c r="S261" t="s">
        <v>420</v>
      </c>
      <c r="T261" t="s">
        <v>1135</v>
      </c>
      <c r="U261">
        <v>1.5078246793790001E-4</v>
      </c>
      <c r="V261" t="s">
        <v>251</v>
      </c>
      <c r="X261">
        <v>1.1415525114155251E-4</v>
      </c>
      <c r="Y261">
        <v>1.7237235744060203E-4</v>
      </c>
      <c r="Z261" t="s">
        <v>1135</v>
      </c>
      <c r="AA261" t="s">
        <v>25</v>
      </c>
      <c r="AC261" t="s">
        <v>22</v>
      </c>
      <c r="AD261" t="s">
        <v>1135</v>
      </c>
      <c r="AE261">
        <v>5.1124911328748726E-5</v>
      </c>
      <c r="AG261" t="s">
        <v>97</v>
      </c>
      <c r="AH261" t="s">
        <v>1135</v>
      </c>
      <c r="AI261">
        <v>0</v>
      </c>
      <c r="AK261">
        <v>2042</v>
      </c>
      <c r="AL261" t="s">
        <v>166</v>
      </c>
      <c r="AM261">
        <v>0.24540000000000001</v>
      </c>
      <c r="AN261" t="s">
        <v>430</v>
      </c>
    </row>
    <row r="262" spans="5:40" x14ac:dyDescent="0.45">
      <c r="E262" t="s">
        <v>520</v>
      </c>
      <c r="G262" t="s">
        <v>811</v>
      </c>
      <c r="I262" t="s">
        <v>249</v>
      </c>
      <c r="J262" t="s">
        <v>1136</v>
      </c>
      <c r="K262">
        <v>6.6487775720791401E-6</v>
      </c>
      <c r="L262" t="s">
        <v>251</v>
      </c>
      <c r="N262" t="s">
        <v>419</v>
      </c>
      <c r="O262" t="s">
        <v>1136</v>
      </c>
      <c r="P262">
        <v>1.4461533529030001E-4</v>
      </c>
      <c r="Q262" t="s">
        <v>251</v>
      </c>
      <c r="S262" t="s">
        <v>420</v>
      </c>
      <c r="T262" t="s">
        <v>1136</v>
      </c>
      <c r="U262">
        <v>1.6147240055370001E-4</v>
      </c>
      <c r="V262" t="s">
        <v>251</v>
      </c>
      <c r="X262">
        <v>1.1415525114155251E-4</v>
      </c>
      <c r="Y262">
        <v>1.5579809230208258E-4</v>
      </c>
      <c r="Z262" t="s">
        <v>1136</v>
      </c>
      <c r="AA262" t="s">
        <v>25</v>
      </c>
      <c r="AC262" t="s">
        <v>22</v>
      </c>
      <c r="AD262" t="s">
        <v>1136</v>
      </c>
      <c r="AE262">
        <v>4.7412609131230962E-5</v>
      </c>
      <c r="AG262" t="s">
        <v>97</v>
      </c>
      <c r="AH262" t="s">
        <v>1136</v>
      </c>
      <c r="AI262">
        <v>0</v>
      </c>
      <c r="AK262">
        <v>2042</v>
      </c>
      <c r="AL262" t="s">
        <v>178</v>
      </c>
      <c r="AM262">
        <v>0.19450000000000001</v>
      </c>
      <c r="AN262" t="s">
        <v>430</v>
      </c>
    </row>
    <row r="263" spans="5:40" x14ac:dyDescent="0.45">
      <c r="E263" t="s">
        <v>521</v>
      </c>
      <c r="G263" t="s">
        <v>811</v>
      </c>
      <c r="I263" t="s">
        <v>249</v>
      </c>
      <c r="J263" t="s">
        <v>1137</v>
      </c>
      <c r="K263">
        <v>0</v>
      </c>
      <c r="L263" t="s">
        <v>251</v>
      </c>
      <c r="N263" t="s">
        <v>419</v>
      </c>
      <c r="O263" t="s">
        <v>1137</v>
      </c>
      <c r="P263">
        <v>1.3969342050099999E-4</v>
      </c>
      <c r="Q263" t="s">
        <v>251</v>
      </c>
      <c r="S263" t="s">
        <v>420</v>
      </c>
      <c r="T263" t="s">
        <v>1137</v>
      </c>
      <c r="U263">
        <v>1.5837459471259999E-4</v>
      </c>
      <c r="V263" t="s">
        <v>251</v>
      </c>
      <c r="X263">
        <v>1.1415525114155251E-4</v>
      </c>
      <c r="Y263">
        <v>1.093901499142282E-4</v>
      </c>
      <c r="Z263" t="s">
        <v>1137</v>
      </c>
      <c r="AA263" t="s">
        <v>25</v>
      </c>
      <c r="AC263" t="s">
        <v>22</v>
      </c>
      <c r="AD263" t="s">
        <v>1137</v>
      </c>
      <c r="AE263">
        <v>4.9447022040194752E-5</v>
      </c>
      <c r="AG263" t="s">
        <v>97</v>
      </c>
      <c r="AH263" t="s">
        <v>1137</v>
      </c>
      <c r="AI263">
        <v>0</v>
      </c>
      <c r="AK263">
        <v>2043</v>
      </c>
      <c r="AL263" t="s">
        <v>151</v>
      </c>
      <c r="AM263">
        <v>0.2208</v>
      </c>
      <c r="AN263" t="s">
        <v>430</v>
      </c>
    </row>
    <row r="264" spans="5:40" x14ac:dyDescent="0.45">
      <c r="E264" t="s">
        <v>522</v>
      </c>
      <c r="G264" t="s">
        <v>811</v>
      </c>
      <c r="I264" t="s">
        <v>249</v>
      </c>
      <c r="J264" t="s">
        <v>1138</v>
      </c>
      <c r="K264">
        <v>0</v>
      </c>
      <c r="L264" t="s">
        <v>251</v>
      </c>
      <c r="N264" t="s">
        <v>419</v>
      </c>
      <c r="O264" t="s">
        <v>1138</v>
      </c>
      <c r="P264">
        <v>1.405179818957E-4</v>
      </c>
      <c r="Q264" t="s">
        <v>251</v>
      </c>
      <c r="S264" t="s">
        <v>420</v>
      </c>
      <c r="T264" t="s">
        <v>1138</v>
      </c>
      <c r="U264">
        <v>1.510630085535E-4</v>
      </c>
      <c r="V264" t="s">
        <v>251</v>
      </c>
      <c r="X264">
        <v>1.1415525114155251E-4</v>
      </c>
      <c r="Y264">
        <v>7.9556472664893237E-5</v>
      </c>
      <c r="Z264" t="s">
        <v>1138</v>
      </c>
      <c r="AA264" t="s">
        <v>25</v>
      </c>
      <c r="AC264" t="s">
        <v>22</v>
      </c>
      <c r="AD264" t="s">
        <v>1138</v>
      </c>
      <c r="AE264">
        <v>4.966650689400959E-5</v>
      </c>
      <c r="AG264" t="s">
        <v>97</v>
      </c>
      <c r="AH264" t="s">
        <v>1138</v>
      </c>
      <c r="AI264">
        <v>0</v>
      </c>
      <c r="AK264">
        <v>2043</v>
      </c>
      <c r="AL264" t="s">
        <v>156</v>
      </c>
      <c r="AM264">
        <v>0.2298</v>
      </c>
      <c r="AN264" t="s">
        <v>430</v>
      </c>
    </row>
    <row r="265" spans="5:40" x14ac:dyDescent="0.45">
      <c r="E265" t="s">
        <v>523</v>
      </c>
      <c r="G265" t="s">
        <v>811</v>
      </c>
      <c r="I265" t="s">
        <v>249</v>
      </c>
      <c r="J265" t="s">
        <v>1139</v>
      </c>
      <c r="K265">
        <v>0</v>
      </c>
      <c r="L265" t="s">
        <v>251</v>
      </c>
      <c r="N265" t="s">
        <v>419</v>
      </c>
      <c r="O265" t="s">
        <v>1139</v>
      </c>
      <c r="P265">
        <v>1.5050148606889999E-4</v>
      </c>
      <c r="Q265" t="s">
        <v>251</v>
      </c>
      <c r="S265" t="s">
        <v>420</v>
      </c>
      <c r="T265" t="s">
        <v>1139</v>
      </c>
      <c r="U265">
        <v>1.52779227933E-4</v>
      </c>
      <c r="V265" t="s">
        <v>251</v>
      </c>
      <c r="X265">
        <v>1.1415525114155251E-4</v>
      </c>
      <c r="Y265">
        <v>5.6352501470966035E-5</v>
      </c>
      <c r="Z265" t="s">
        <v>1139</v>
      </c>
      <c r="AA265" t="s">
        <v>25</v>
      </c>
      <c r="AC265" t="s">
        <v>22</v>
      </c>
      <c r="AD265" t="s">
        <v>1139</v>
      </c>
      <c r="AE265">
        <v>6.4553596318749117E-5</v>
      </c>
      <c r="AG265" t="s">
        <v>97</v>
      </c>
      <c r="AH265" t="s">
        <v>1139</v>
      </c>
      <c r="AI265">
        <v>0</v>
      </c>
      <c r="AK265">
        <v>2043</v>
      </c>
      <c r="AL265" t="s">
        <v>159</v>
      </c>
      <c r="AM265">
        <v>0.2472</v>
      </c>
      <c r="AN265" t="s">
        <v>430</v>
      </c>
    </row>
    <row r="266" spans="5:40" x14ac:dyDescent="0.45">
      <c r="E266" t="s">
        <v>524</v>
      </c>
      <c r="G266" t="s">
        <v>811</v>
      </c>
      <c r="I266" t="s">
        <v>249</v>
      </c>
      <c r="J266" t="s">
        <v>1140</v>
      </c>
      <c r="K266">
        <v>0</v>
      </c>
      <c r="L266" t="s">
        <v>251</v>
      </c>
      <c r="N266" t="s">
        <v>419</v>
      </c>
      <c r="O266" t="s">
        <v>1140</v>
      </c>
      <c r="P266">
        <v>1.5846845464660001E-4</v>
      </c>
      <c r="Q266" t="s">
        <v>251</v>
      </c>
      <c r="S266" t="s">
        <v>420</v>
      </c>
      <c r="T266" t="s">
        <v>1140</v>
      </c>
      <c r="U266">
        <v>1.5848288367739999E-4</v>
      </c>
      <c r="V266" t="s">
        <v>251</v>
      </c>
      <c r="X266">
        <v>1.1415525114155251E-4</v>
      </c>
      <c r="Y266">
        <v>2.9833677249334962E-5</v>
      </c>
      <c r="Z266" t="s">
        <v>1140</v>
      </c>
      <c r="AA266" t="s">
        <v>25</v>
      </c>
      <c r="AC266" t="s">
        <v>22</v>
      </c>
      <c r="AD266" t="s">
        <v>1140</v>
      </c>
      <c r="AE266">
        <v>8.4692724326651563E-5</v>
      </c>
      <c r="AG266" t="s">
        <v>97</v>
      </c>
      <c r="AH266" t="s">
        <v>1140</v>
      </c>
      <c r="AI266">
        <v>0</v>
      </c>
      <c r="AK266">
        <v>2043</v>
      </c>
      <c r="AL266" t="s">
        <v>163</v>
      </c>
      <c r="AM266">
        <v>0.25059999999999999</v>
      </c>
      <c r="AN266" t="s">
        <v>430</v>
      </c>
    </row>
    <row r="267" spans="5:40" x14ac:dyDescent="0.45">
      <c r="E267" t="s">
        <v>525</v>
      </c>
      <c r="G267" t="s">
        <v>811</v>
      </c>
      <c r="I267" t="s">
        <v>249</v>
      </c>
      <c r="J267" t="s">
        <v>339</v>
      </c>
      <c r="K267">
        <v>4.0615762204556326E-4</v>
      </c>
      <c r="L267" t="s">
        <v>251</v>
      </c>
      <c r="N267" t="s">
        <v>419</v>
      </c>
      <c r="O267" t="s">
        <v>339</v>
      </c>
      <c r="P267">
        <v>1.6595489045962447E-2</v>
      </c>
      <c r="Q267" t="s">
        <v>251</v>
      </c>
      <c r="S267" t="s">
        <v>420</v>
      </c>
      <c r="T267" t="s">
        <v>339</v>
      </c>
      <c r="U267">
        <v>1.6651131787342576E-2</v>
      </c>
      <c r="V267" t="s">
        <v>251</v>
      </c>
      <c r="X267">
        <v>2.0776255707762557E-2</v>
      </c>
      <c r="Y267">
        <v>8.2049242141726559E-3</v>
      </c>
      <c r="Z267" t="s">
        <v>339</v>
      </c>
      <c r="AA267" t="s">
        <v>25</v>
      </c>
      <c r="AC267" t="s">
        <v>22</v>
      </c>
      <c r="AD267" t="s">
        <v>339</v>
      </c>
      <c r="AE267">
        <v>2.1464033200230818E-2</v>
      </c>
      <c r="AG267" t="s">
        <v>97</v>
      </c>
      <c r="AH267" t="s">
        <v>339</v>
      </c>
      <c r="AI267">
        <v>0.11942451233281792</v>
      </c>
      <c r="AK267">
        <v>2043</v>
      </c>
      <c r="AL267" t="s">
        <v>167</v>
      </c>
      <c r="AM267">
        <v>0.31540000000000001</v>
      </c>
      <c r="AN267" t="s">
        <v>430</v>
      </c>
    </row>
    <row r="268" spans="5:40" x14ac:dyDescent="0.45">
      <c r="E268" t="s">
        <v>526</v>
      </c>
      <c r="G268" t="s">
        <v>811</v>
      </c>
      <c r="I268" t="s">
        <v>249</v>
      </c>
      <c r="J268" t="s">
        <v>340</v>
      </c>
      <c r="K268">
        <v>2.2745597626940978E-3</v>
      </c>
      <c r="L268" t="s">
        <v>251</v>
      </c>
      <c r="N268" t="s">
        <v>419</v>
      </c>
      <c r="O268" t="s">
        <v>340</v>
      </c>
      <c r="P268">
        <v>2.0332514546046398E-3</v>
      </c>
      <c r="Q268" t="s">
        <v>251</v>
      </c>
      <c r="S268" t="s">
        <v>420</v>
      </c>
      <c r="T268" t="s">
        <v>340</v>
      </c>
      <c r="U268">
        <v>2.1642770572751981E-3</v>
      </c>
      <c r="V268" t="s">
        <v>251</v>
      </c>
      <c r="X268">
        <v>2.9680365296803654E-3</v>
      </c>
      <c r="Y268">
        <v>4.9557052764173069E-3</v>
      </c>
      <c r="Z268" t="s">
        <v>340</v>
      </c>
      <c r="AA268" t="s">
        <v>25</v>
      </c>
      <c r="AC268" t="s">
        <v>22</v>
      </c>
      <c r="AD268" t="s">
        <v>340</v>
      </c>
      <c r="AE268">
        <v>3.5574370783278035E-3</v>
      </c>
      <c r="AG268" t="s">
        <v>97</v>
      </c>
      <c r="AH268" t="s">
        <v>340</v>
      </c>
      <c r="AI268">
        <v>5.760535666647848E-2</v>
      </c>
      <c r="AK268">
        <v>2043</v>
      </c>
      <c r="AL268" t="s">
        <v>169</v>
      </c>
      <c r="AM268">
        <v>0.36009999999999998</v>
      </c>
      <c r="AN268" t="s">
        <v>430</v>
      </c>
    </row>
    <row r="269" spans="5:40" x14ac:dyDescent="0.45">
      <c r="E269" t="s">
        <v>527</v>
      </c>
      <c r="G269" t="s">
        <v>811</v>
      </c>
      <c r="I269" t="s">
        <v>249</v>
      </c>
      <c r="J269" t="s">
        <v>341</v>
      </c>
      <c r="K269">
        <v>4.3368634155032601E-3</v>
      </c>
      <c r="L269" t="s">
        <v>251</v>
      </c>
      <c r="N269" t="s">
        <v>419</v>
      </c>
      <c r="O269" t="s">
        <v>341</v>
      </c>
      <c r="P269">
        <v>2.1431373963571704E-3</v>
      </c>
      <c r="Q269" t="s">
        <v>251</v>
      </c>
      <c r="S269" t="s">
        <v>420</v>
      </c>
      <c r="T269" t="s">
        <v>341</v>
      </c>
      <c r="U269">
        <v>2.1215112596795634E-3</v>
      </c>
      <c r="V269" t="s">
        <v>251</v>
      </c>
      <c r="X269">
        <v>2.9680365296803654E-3</v>
      </c>
      <c r="Y269">
        <v>3.7921918636932448E-3</v>
      </c>
      <c r="Z269" t="s">
        <v>341</v>
      </c>
      <c r="AA269" t="s">
        <v>25</v>
      </c>
      <c r="AC269" t="s">
        <v>22</v>
      </c>
      <c r="AD269" t="s">
        <v>341</v>
      </c>
      <c r="AE269">
        <v>3.6149811047982701E-3</v>
      </c>
      <c r="AG269" t="s">
        <v>97</v>
      </c>
      <c r="AH269" t="s">
        <v>341</v>
      </c>
      <c r="AI269">
        <v>5.8499516582277034E-2</v>
      </c>
      <c r="AK269">
        <v>2043</v>
      </c>
      <c r="AL269" t="s">
        <v>171</v>
      </c>
      <c r="AM269">
        <v>0.46500000000000002</v>
      </c>
      <c r="AN269" t="s">
        <v>430</v>
      </c>
    </row>
    <row r="270" spans="5:40" x14ac:dyDescent="0.45">
      <c r="E270" t="s">
        <v>528</v>
      </c>
      <c r="G270" t="s">
        <v>811</v>
      </c>
      <c r="I270" t="s">
        <v>249</v>
      </c>
      <c r="J270" t="s">
        <v>342</v>
      </c>
      <c r="K270">
        <v>5.7856878691166002E-3</v>
      </c>
      <c r="L270" t="s">
        <v>251</v>
      </c>
      <c r="N270" t="s">
        <v>419</v>
      </c>
      <c r="O270" t="s">
        <v>342</v>
      </c>
      <c r="P270">
        <v>2.1250310468079055E-3</v>
      </c>
      <c r="Q270" t="s">
        <v>251</v>
      </c>
      <c r="S270" t="s">
        <v>420</v>
      </c>
      <c r="T270" t="s">
        <v>342</v>
      </c>
      <c r="U270">
        <v>2.094063753486369E-3</v>
      </c>
      <c r="V270" t="s">
        <v>251</v>
      </c>
      <c r="X270">
        <v>2.9680365296803654E-3</v>
      </c>
      <c r="Y270">
        <v>3.7577173922051237E-3</v>
      </c>
      <c r="Z270" t="s">
        <v>342</v>
      </c>
      <c r="AA270" t="s">
        <v>25</v>
      </c>
      <c r="AC270" t="s">
        <v>22</v>
      </c>
      <c r="AD270" t="s">
        <v>342</v>
      </c>
      <c r="AE270">
        <v>3.6219945928935206E-3</v>
      </c>
      <c r="AG270" t="s">
        <v>97</v>
      </c>
      <c r="AH270" t="s">
        <v>342</v>
      </c>
      <c r="AI270">
        <v>5.5505005429905996E-2</v>
      </c>
      <c r="AK270">
        <v>2043</v>
      </c>
      <c r="AL270" t="s">
        <v>158</v>
      </c>
      <c r="AM270">
        <v>0.58960000000000001</v>
      </c>
      <c r="AN270" t="s">
        <v>430</v>
      </c>
    </row>
    <row r="271" spans="5:40" x14ac:dyDescent="0.45">
      <c r="E271" t="s">
        <v>529</v>
      </c>
      <c r="G271" t="s">
        <v>811</v>
      </c>
      <c r="I271" t="s">
        <v>249</v>
      </c>
      <c r="J271" t="s">
        <v>343</v>
      </c>
      <c r="K271">
        <v>4.4908709076784098E-2</v>
      </c>
      <c r="L271" t="s">
        <v>251</v>
      </c>
      <c r="N271" t="s">
        <v>419</v>
      </c>
      <c r="O271" t="s">
        <v>343</v>
      </c>
      <c r="P271">
        <v>1.5508315356123183E-2</v>
      </c>
      <c r="Q271" t="s">
        <v>251</v>
      </c>
      <c r="S271" t="s">
        <v>420</v>
      </c>
      <c r="T271" t="s">
        <v>343</v>
      </c>
      <c r="U271">
        <v>1.6968705750734808E-2</v>
      </c>
      <c r="V271" t="s">
        <v>251</v>
      </c>
      <c r="X271">
        <v>2.0776255707762557E-2</v>
      </c>
      <c r="Y271">
        <v>2.90619794644855E-2</v>
      </c>
      <c r="Z271" t="s">
        <v>343</v>
      </c>
      <c r="AA271" t="s">
        <v>25</v>
      </c>
      <c r="AC271" t="s">
        <v>22</v>
      </c>
      <c r="AD271" t="s">
        <v>343</v>
      </c>
      <c r="AE271">
        <v>2.6043211439412021E-2</v>
      </c>
      <c r="AG271" t="s">
        <v>97</v>
      </c>
      <c r="AH271" t="s">
        <v>343</v>
      </c>
      <c r="AI271">
        <v>0.13836505398072418</v>
      </c>
      <c r="AK271">
        <v>2043</v>
      </c>
      <c r="AL271" t="s">
        <v>162</v>
      </c>
      <c r="AM271">
        <v>0.51419999999999999</v>
      </c>
      <c r="AN271" t="s">
        <v>430</v>
      </c>
    </row>
    <row r="272" spans="5:40" x14ac:dyDescent="0.45">
      <c r="E272" t="s">
        <v>530</v>
      </c>
      <c r="G272" t="s">
        <v>811</v>
      </c>
      <c r="I272" t="s">
        <v>249</v>
      </c>
      <c r="J272" t="s">
        <v>344</v>
      </c>
      <c r="K272">
        <v>3.2880707006141775E-3</v>
      </c>
      <c r="L272" t="s">
        <v>251</v>
      </c>
      <c r="N272" t="s">
        <v>419</v>
      </c>
      <c r="O272" t="s">
        <v>344</v>
      </c>
      <c r="P272">
        <v>2.4521194721504372E-3</v>
      </c>
      <c r="Q272" t="s">
        <v>251</v>
      </c>
      <c r="S272" t="s">
        <v>420</v>
      </c>
      <c r="T272" t="s">
        <v>344</v>
      </c>
      <c r="U272">
        <v>2.7979105546887214E-3</v>
      </c>
      <c r="V272" t="s">
        <v>251</v>
      </c>
      <c r="X272">
        <v>2.9680365296803654E-3</v>
      </c>
      <c r="Y272">
        <v>5.7744739742601678E-3</v>
      </c>
      <c r="Z272" t="s">
        <v>344</v>
      </c>
      <c r="AA272" t="s">
        <v>25</v>
      </c>
      <c r="AC272" t="s">
        <v>22</v>
      </c>
      <c r="AD272" t="s">
        <v>344</v>
      </c>
      <c r="AE272">
        <v>1.7882398623142695E-3</v>
      </c>
      <c r="AG272" t="s">
        <v>97</v>
      </c>
      <c r="AH272" t="s">
        <v>344</v>
      </c>
      <c r="AI272">
        <v>5.7573454185559036E-2</v>
      </c>
      <c r="AK272">
        <v>2043</v>
      </c>
      <c r="AL272" t="s">
        <v>175</v>
      </c>
      <c r="AM272">
        <v>0.39229999999999998</v>
      </c>
      <c r="AN272" t="s">
        <v>430</v>
      </c>
    </row>
    <row r="273" spans="5:40" x14ac:dyDescent="0.45">
      <c r="E273" t="s">
        <v>531</v>
      </c>
      <c r="G273" t="s">
        <v>811</v>
      </c>
      <c r="I273" t="s">
        <v>249</v>
      </c>
      <c r="J273" t="s">
        <v>345</v>
      </c>
      <c r="K273">
        <v>1.2799010464265047E-3</v>
      </c>
      <c r="L273" t="s">
        <v>251</v>
      </c>
      <c r="N273" t="s">
        <v>419</v>
      </c>
      <c r="O273" t="s">
        <v>345</v>
      </c>
      <c r="P273">
        <v>2.6556870635829665E-3</v>
      </c>
      <c r="Q273" t="s">
        <v>251</v>
      </c>
      <c r="S273" t="s">
        <v>420</v>
      </c>
      <c r="T273" t="s">
        <v>345</v>
      </c>
      <c r="U273">
        <v>2.7702238355541728E-3</v>
      </c>
      <c r="V273" t="s">
        <v>251</v>
      </c>
      <c r="X273">
        <v>2.9680365296803654E-3</v>
      </c>
      <c r="Y273">
        <v>4.4816812934556517E-3</v>
      </c>
      <c r="Z273" t="s">
        <v>345</v>
      </c>
      <c r="AA273" t="s">
        <v>25</v>
      </c>
      <c r="AC273" t="s">
        <v>22</v>
      </c>
      <c r="AD273" t="s">
        <v>345</v>
      </c>
      <c r="AE273">
        <v>1.5123797110221345E-3</v>
      </c>
      <c r="AG273" t="s">
        <v>97</v>
      </c>
      <c r="AH273" t="s">
        <v>345</v>
      </c>
      <c r="AI273">
        <v>4.4733299955643346E-2</v>
      </c>
      <c r="AK273">
        <v>2043</v>
      </c>
      <c r="AL273" t="s">
        <v>166</v>
      </c>
      <c r="AM273">
        <v>0.26550000000000001</v>
      </c>
      <c r="AN273" t="s">
        <v>430</v>
      </c>
    </row>
    <row r="274" spans="5:40" x14ac:dyDescent="0.45">
      <c r="E274" t="s">
        <v>532</v>
      </c>
      <c r="G274" t="s">
        <v>811</v>
      </c>
      <c r="I274" t="s">
        <v>249</v>
      </c>
      <c r="J274" t="s">
        <v>346</v>
      </c>
      <c r="K274">
        <v>0</v>
      </c>
      <c r="L274" t="s">
        <v>251</v>
      </c>
      <c r="N274" t="s">
        <v>419</v>
      </c>
      <c r="O274" t="s">
        <v>346</v>
      </c>
      <c r="P274">
        <v>1.3944515673922114E-2</v>
      </c>
      <c r="Q274" t="s">
        <v>251</v>
      </c>
      <c r="S274" t="s">
        <v>420</v>
      </c>
      <c r="T274" t="s">
        <v>346</v>
      </c>
      <c r="U274">
        <v>1.2696718922567603E-2</v>
      </c>
      <c r="V274" t="s">
        <v>251</v>
      </c>
      <c r="X274">
        <v>1.4840182648401826E-2</v>
      </c>
      <c r="Y274">
        <v>1.1204203233639128E-2</v>
      </c>
      <c r="Z274" t="s">
        <v>346</v>
      </c>
      <c r="AA274" t="s">
        <v>25</v>
      </c>
      <c r="AC274" t="s">
        <v>22</v>
      </c>
      <c r="AD274" t="s">
        <v>346</v>
      </c>
      <c r="AE274">
        <v>7.1669038077859515E-3</v>
      </c>
      <c r="AG274" t="s">
        <v>97</v>
      </c>
      <c r="AH274" t="s">
        <v>346</v>
      </c>
      <c r="AI274">
        <v>0.13042811315816616</v>
      </c>
      <c r="AK274">
        <v>2043</v>
      </c>
      <c r="AL274" t="s">
        <v>178</v>
      </c>
      <c r="AM274">
        <v>0.22359999999999999</v>
      </c>
      <c r="AN274" t="s">
        <v>430</v>
      </c>
    </row>
    <row r="275" spans="5:40" x14ac:dyDescent="0.45">
      <c r="E275" t="s">
        <v>925</v>
      </c>
      <c r="G275" t="s">
        <v>813</v>
      </c>
      <c r="I275" t="s">
        <v>249</v>
      </c>
      <c r="J275" t="s">
        <v>1141</v>
      </c>
      <c r="K275">
        <v>0</v>
      </c>
      <c r="L275" t="s">
        <v>251</v>
      </c>
      <c r="N275" t="s">
        <v>419</v>
      </c>
      <c r="O275" t="s">
        <v>1141</v>
      </c>
      <c r="P275">
        <v>1.4738084178620001E-4</v>
      </c>
      <c r="Q275" t="s">
        <v>251</v>
      </c>
      <c r="S275" t="s">
        <v>420</v>
      </c>
      <c r="T275" t="s">
        <v>1141</v>
      </c>
      <c r="U275">
        <v>1.194244949177E-4</v>
      </c>
      <c r="V275" t="s">
        <v>251</v>
      </c>
      <c r="X275">
        <v>1.1415525114155251E-4</v>
      </c>
      <c r="Y275">
        <v>2.1546544680075254E-5</v>
      </c>
      <c r="Z275" t="s">
        <v>1141</v>
      </c>
      <c r="AA275" t="s">
        <v>25</v>
      </c>
      <c r="AC275" t="s">
        <v>22</v>
      </c>
      <c r="AD275" t="s">
        <v>1141</v>
      </c>
      <c r="AE275">
        <v>7.582909649903181E-5</v>
      </c>
      <c r="AG275" t="s">
        <v>97</v>
      </c>
      <c r="AH275" t="s">
        <v>1141</v>
      </c>
      <c r="AI275">
        <v>0</v>
      </c>
      <c r="AK275">
        <v>2044</v>
      </c>
      <c r="AL275" t="s">
        <v>151</v>
      </c>
      <c r="AM275">
        <v>0.21429999999999999</v>
      </c>
      <c r="AN275" t="s">
        <v>430</v>
      </c>
    </row>
    <row r="276" spans="5:40" x14ac:dyDescent="0.45">
      <c r="E276" t="s">
        <v>926</v>
      </c>
      <c r="G276" t="s">
        <v>813</v>
      </c>
      <c r="I276" t="s">
        <v>249</v>
      </c>
      <c r="J276" t="s">
        <v>1142</v>
      </c>
      <c r="K276">
        <v>0</v>
      </c>
      <c r="L276" t="s">
        <v>251</v>
      </c>
      <c r="N276" t="s">
        <v>419</v>
      </c>
      <c r="O276" t="s">
        <v>1142</v>
      </c>
      <c r="P276">
        <v>1.564095469237E-4</v>
      </c>
      <c r="Q276" t="s">
        <v>251</v>
      </c>
      <c r="S276" t="s">
        <v>420</v>
      </c>
      <c r="T276" t="s">
        <v>1142</v>
      </c>
      <c r="U276">
        <v>1.297605120251E-4</v>
      </c>
      <c r="V276" t="s">
        <v>251</v>
      </c>
      <c r="X276">
        <v>1.1415525114155251E-4</v>
      </c>
      <c r="Y276">
        <v>1.4916838624667481E-5</v>
      </c>
      <c r="Z276" t="s">
        <v>1142</v>
      </c>
      <c r="AA276" t="s">
        <v>25</v>
      </c>
      <c r="AC276" t="s">
        <v>22</v>
      </c>
      <c r="AD276" t="s">
        <v>1142</v>
      </c>
      <c r="AE276">
        <v>9.5322025444941327E-5</v>
      </c>
      <c r="AG276" t="s">
        <v>97</v>
      </c>
      <c r="AH276" t="s">
        <v>1142</v>
      </c>
      <c r="AI276">
        <v>0</v>
      </c>
      <c r="AK276">
        <v>2044</v>
      </c>
      <c r="AL276" t="s">
        <v>156</v>
      </c>
      <c r="AM276">
        <v>0.1986</v>
      </c>
      <c r="AN276" t="s">
        <v>430</v>
      </c>
    </row>
    <row r="277" spans="5:40" x14ac:dyDescent="0.45">
      <c r="E277" t="s">
        <v>927</v>
      </c>
      <c r="G277" t="s">
        <v>813</v>
      </c>
      <c r="I277" t="s">
        <v>249</v>
      </c>
      <c r="J277" t="s">
        <v>1143</v>
      </c>
      <c r="K277">
        <v>0</v>
      </c>
      <c r="L277" t="s">
        <v>251</v>
      </c>
      <c r="N277" t="s">
        <v>419</v>
      </c>
      <c r="O277" t="s">
        <v>1143</v>
      </c>
      <c r="P277">
        <v>1.637287879131E-4</v>
      </c>
      <c r="Q277" t="s">
        <v>251</v>
      </c>
      <c r="S277" t="s">
        <v>420</v>
      </c>
      <c r="T277" t="s">
        <v>1143</v>
      </c>
      <c r="U277">
        <v>1.5064438861339999E-4</v>
      </c>
      <c r="V277" t="s">
        <v>251</v>
      </c>
      <c r="X277">
        <v>1.1415525114155251E-4</v>
      </c>
      <c r="Y277">
        <v>1.6574265138519424E-5</v>
      </c>
      <c r="Z277" t="s">
        <v>1143</v>
      </c>
      <c r="AA277" t="s">
        <v>25</v>
      </c>
      <c r="AC277" t="s">
        <v>22</v>
      </c>
      <c r="AD277" t="s">
        <v>1143</v>
      </c>
      <c r="AE277">
        <v>1.1561936080940059E-4</v>
      </c>
      <c r="AG277" t="s">
        <v>97</v>
      </c>
      <c r="AH277" t="s">
        <v>1143</v>
      </c>
      <c r="AI277">
        <v>0</v>
      </c>
      <c r="AK277">
        <v>2044</v>
      </c>
      <c r="AL277" t="s">
        <v>159</v>
      </c>
      <c r="AM277">
        <v>0.21909999999999999</v>
      </c>
      <c r="AN277" t="s">
        <v>430</v>
      </c>
    </row>
    <row r="278" spans="5:40" x14ac:dyDescent="0.45">
      <c r="E278" t="s">
        <v>928</v>
      </c>
      <c r="G278" t="s">
        <v>813</v>
      </c>
      <c r="I278" t="s">
        <v>249</v>
      </c>
      <c r="J278" t="s">
        <v>1144</v>
      </c>
      <c r="K278">
        <v>0</v>
      </c>
      <c r="L278" t="s">
        <v>251</v>
      </c>
      <c r="N278" t="s">
        <v>419</v>
      </c>
      <c r="O278" t="s">
        <v>1144</v>
      </c>
      <c r="P278">
        <v>1.471165285746E-4</v>
      </c>
      <c r="Q278" t="s">
        <v>251</v>
      </c>
      <c r="S278" t="s">
        <v>420</v>
      </c>
      <c r="T278" t="s">
        <v>1144</v>
      </c>
      <c r="U278">
        <v>1.4433065450460001E-4</v>
      </c>
      <c r="V278" t="s">
        <v>251</v>
      </c>
      <c r="X278">
        <v>1.1415525114155251E-4</v>
      </c>
      <c r="Y278">
        <v>1.4585353321897093E-5</v>
      </c>
      <c r="Z278" t="s">
        <v>1144</v>
      </c>
      <c r="AA278" t="s">
        <v>25</v>
      </c>
      <c r="AC278" t="s">
        <v>22</v>
      </c>
      <c r="AD278" t="s">
        <v>1144</v>
      </c>
      <c r="AE278">
        <v>1.2855114100345476E-4</v>
      </c>
      <c r="AG278" t="s">
        <v>97</v>
      </c>
      <c r="AH278" t="s">
        <v>1144</v>
      </c>
      <c r="AI278">
        <v>0</v>
      </c>
      <c r="AK278">
        <v>2044</v>
      </c>
      <c r="AL278" t="s">
        <v>163</v>
      </c>
      <c r="AM278">
        <v>0.28100000000000003</v>
      </c>
      <c r="AN278" t="s">
        <v>430</v>
      </c>
    </row>
    <row r="279" spans="5:40" x14ac:dyDescent="0.45">
      <c r="E279" t="s">
        <v>929</v>
      </c>
      <c r="G279" t="s">
        <v>813</v>
      </c>
      <c r="I279" t="s">
        <v>249</v>
      </c>
      <c r="J279" t="s">
        <v>1145</v>
      </c>
      <c r="K279">
        <v>0</v>
      </c>
      <c r="L279" t="s">
        <v>251</v>
      </c>
      <c r="N279" t="s">
        <v>419</v>
      </c>
      <c r="O279" t="s">
        <v>1145</v>
      </c>
      <c r="P279">
        <v>1.520526650959E-4</v>
      </c>
      <c r="Q279" t="s">
        <v>251</v>
      </c>
      <c r="S279" t="s">
        <v>420</v>
      </c>
      <c r="T279" t="s">
        <v>1145</v>
      </c>
      <c r="U279">
        <v>1.418331329701E-4</v>
      </c>
      <c r="V279" t="s">
        <v>251</v>
      </c>
      <c r="X279">
        <v>1.1415525114155251E-4</v>
      </c>
      <c r="Y279">
        <v>2.1215059377304864E-5</v>
      </c>
      <c r="Z279" t="s">
        <v>1145</v>
      </c>
      <c r="AA279" t="s">
        <v>25</v>
      </c>
      <c r="AC279" t="s">
        <v>22</v>
      </c>
      <c r="AD279" t="s">
        <v>1145</v>
      </c>
      <c r="AE279">
        <v>1.291962259291339E-4</v>
      </c>
      <c r="AG279" t="s">
        <v>97</v>
      </c>
      <c r="AH279" t="s">
        <v>1145</v>
      </c>
      <c r="AI279">
        <v>0</v>
      </c>
      <c r="AK279">
        <v>2044</v>
      </c>
      <c r="AL279" t="s">
        <v>167</v>
      </c>
      <c r="AM279">
        <v>0.3448</v>
      </c>
      <c r="AN279" t="s">
        <v>430</v>
      </c>
    </row>
    <row r="280" spans="5:40" x14ac:dyDescent="0.45">
      <c r="E280" t="s">
        <v>930</v>
      </c>
      <c r="G280" t="s">
        <v>813</v>
      </c>
      <c r="I280" t="s">
        <v>249</v>
      </c>
      <c r="J280" t="s">
        <v>1146</v>
      </c>
      <c r="K280">
        <v>0</v>
      </c>
      <c r="L280" t="s">
        <v>251</v>
      </c>
      <c r="N280" t="s">
        <v>419</v>
      </c>
      <c r="O280" t="s">
        <v>1146</v>
      </c>
      <c r="P280">
        <v>1.4785121347690001E-4</v>
      </c>
      <c r="Q280" t="s">
        <v>251</v>
      </c>
      <c r="S280" t="s">
        <v>420</v>
      </c>
      <c r="T280" t="s">
        <v>1146</v>
      </c>
      <c r="U280">
        <v>1.4599145146459999E-4</v>
      </c>
      <c r="V280" t="s">
        <v>251</v>
      </c>
      <c r="X280">
        <v>1.1415525114155251E-4</v>
      </c>
      <c r="Y280">
        <v>5.7678442682047593E-5</v>
      </c>
      <c r="Z280" t="s">
        <v>1146</v>
      </c>
      <c r="AA280" t="s">
        <v>25</v>
      </c>
      <c r="AC280" t="s">
        <v>22</v>
      </c>
      <c r="AD280" t="s">
        <v>1146</v>
      </c>
      <c r="AE280">
        <v>1.2891434944174734E-4</v>
      </c>
      <c r="AG280" t="s">
        <v>97</v>
      </c>
      <c r="AH280" t="s">
        <v>1146</v>
      </c>
      <c r="AI280">
        <v>0</v>
      </c>
      <c r="AK280">
        <v>2044</v>
      </c>
      <c r="AL280" t="s">
        <v>169</v>
      </c>
      <c r="AM280">
        <v>0.43690000000000001</v>
      </c>
      <c r="AN280" t="s">
        <v>430</v>
      </c>
    </row>
    <row r="281" spans="5:40" x14ac:dyDescent="0.45">
      <c r="E281" t="s">
        <v>931</v>
      </c>
      <c r="G281" t="s">
        <v>813</v>
      </c>
      <c r="I281" t="s">
        <v>249</v>
      </c>
      <c r="J281" t="s">
        <v>1147</v>
      </c>
      <c r="K281">
        <v>2.0573676031596501E-5</v>
      </c>
      <c r="L281" t="s">
        <v>251</v>
      </c>
      <c r="N281" t="s">
        <v>419</v>
      </c>
      <c r="O281" t="s">
        <v>1147</v>
      </c>
      <c r="P281">
        <v>1.3698461492839999E-4</v>
      </c>
      <c r="Q281" t="s">
        <v>251</v>
      </c>
      <c r="S281" t="s">
        <v>420</v>
      </c>
      <c r="T281" t="s">
        <v>1147</v>
      </c>
      <c r="U281">
        <v>1.4685295177870001E-4</v>
      </c>
      <c r="V281" t="s">
        <v>251</v>
      </c>
      <c r="X281">
        <v>1.1415525114155251E-4</v>
      </c>
      <c r="Y281">
        <v>1.6905750441289813E-4</v>
      </c>
      <c r="Z281" t="s">
        <v>1147</v>
      </c>
      <c r="AA281" t="s">
        <v>25</v>
      </c>
      <c r="AC281" t="s">
        <v>22</v>
      </c>
      <c r="AD281" t="s">
        <v>1147</v>
      </c>
      <c r="AE281">
        <v>1.2891434944174734E-4</v>
      </c>
      <c r="AG281" t="s">
        <v>97</v>
      </c>
      <c r="AH281" t="s">
        <v>1147</v>
      </c>
      <c r="AI281">
        <v>0</v>
      </c>
      <c r="AK281">
        <v>2044</v>
      </c>
      <c r="AL281" t="s">
        <v>171</v>
      </c>
      <c r="AM281">
        <v>0.43090000000000001</v>
      </c>
      <c r="AN281" t="s">
        <v>430</v>
      </c>
    </row>
    <row r="282" spans="5:40" x14ac:dyDescent="0.45">
      <c r="E282" t="s">
        <v>932</v>
      </c>
      <c r="G282" t="s">
        <v>813</v>
      </c>
      <c r="I282" t="s">
        <v>249</v>
      </c>
      <c r="J282" t="s">
        <v>1148</v>
      </c>
      <c r="K282">
        <v>1.189384617988E-4</v>
      </c>
      <c r="L282" t="s">
        <v>251</v>
      </c>
      <c r="N282" t="s">
        <v>419</v>
      </c>
      <c r="O282" t="s">
        <v>1148</v>
      </c>
      <c r="P282">
        <v>1.3867904437940001E-4</v>
      </c>
      <c r="Q282" t="s">
        <v>251</v>
      </c>
      <c r="S282" t="s">
        <v>420</v>
      </c>
      <c r="T282" t="s">
        <v>1148</v>
      </c>
      <c r="U282">
        <v>1.4421635882380001E-4</v>
      </c>
      <c r="V282" t="s">
        <v>251</v>
      </c>
      <c r="X282">
        <v>1.1415525114155251E-4</v>
      </c>
      <c r="Y282">
        <v>1.9060404909297337E-4</v>
      </c>
      <c r="Z282" t="s">
        <v>1148</v>
      </c>
      <c r="AA282" t="s">
        <v>25</v>
      </c>
      <c r="AC282" t="s">
        <v>22</v>
      </c>
      <c r="AD282" t="s">
        <v>1148</v>
      </c>
      <c r="AE282">
        <v>1.2899456725633954E-4</v>
      </c>
      <c r="AG282" t="s">
        <v>97</v>
      </c>
      <c r="AH282" t="s">
        <v>1148</v>
      </c>
      <c r="AI282">
        <v>0</v>
      </c>
      <c r="AK282">
        <v>2044</v>
      </c>
      <c r="AL282" t="s">
        <v>158</v>
      </c>
      <c r="AM282">
        <v>0.52339999999999998</v>
      </c>
      <c r="AN282" t="s">
        <v>430</v>
      </c>
    </row>
    <row r="283" spans="5:40" x14ac:dyDescent="0.45">
      <c r="E283" t="s">
        <v>933</v>
      </c>
      <c r="G283" t="s">
        <v>813</v>
      </c>
      <c r="I283" t="s">
        <v>249</v>
      </c>
      <c r="J283" t="s">
        <v>1149</v>
      </c>
      <c r="K283">
        <v>2.2055624032120001E-4</v>
      </c>
      <c r="L283" t="s">
        <v>251</v>
      </c>
      <c r="N283" t="s">
        <v>419</v>
      </c>
      <c r="O283" t="s">
        <v>1149</v>
      </c>
      <c r="P283">
        <v>1.5591276139329999E-4</v>
      </c>
      <c r="Q283" t="s">
        <v>251</v>
      </c>
      <c r="S283" t="s">
        <v>420</v>
      </c>
      <c r="T283" t="s">
        <v>1149</v>
      </c>
      <c r="U283">
        <v>1.4432070039599999E-4</v>
      </c>
      <c r="V283" t="s">
        <v>251</v>
      </c>
      <c r="X283">
        <v>1.1415525114155251E-4</v>
      </c>
      <c r="Y283">
        <v>1.4585353321897094E-4</v>
      </c>
      <c r="Z283" t="s">
        <v>1149</v>
      </c>
      <c r="AA283" t="s">
        <v>25</v>
      </c>
      <c r="AC283" t="s">
        <v>22</v>
      </c>
      <c r="AD283" t="s">
        <v>1149</v>
      </c>
      <c r="AE283">
        <v>1.3823075729758267E-4</v>
      </c>
      <c r="AG283" t="s">
        <v>97</v>
      </c>
      <c r="AH283" t="s">
        <v>1149</v>
      </c>
      <c r="AI283">
        <v>0</v>
      </c>
      <c r="AK283">
        <v>2044</v>
      </c>
      <c r="AL283" t="s">
        <v>162</v>
      </c>
      <c r="AM283">
        <v>0.50490000000000002</v>
      </c>
      <c r="AN283" t="s">
        <v>430</v>
      </c>
    </row>
    <row r="284" spans="5:40" x14ac:dyDescent="0.45">
      <c r="E284" t="s">
        <v>934</v>
      </c>
      <c r="G284" t="s">
        <v>813</v>
      </c>
      <c r="I284" t="s">
        <v>249</v>
      </c>
      <c r="J284" t="s">
        <v>1150</v>
      </c>
      <c r="K284">
        <v>2.827808690086E-4</v>
      </c>
      <c r="L284" t="s">
        <v>251</v>
      </c>
      <c r="N284" t="s">
        <v>419</v>
      </c>
      <c r="O284" t="s">
        <v>1150</v>
      </c>
      <c r="P284">
        <v>1.5287714767609999E-4</v>
      </c>
      <c r="Q284" t="s">
        <v>251</v>
      </c>
      <c r="S284" t="s">
        <v>420</v>
      </c>
      <c r="T284" t="s">
        <v>1150</v>
      </c>
      <c r="U284">
        <v>1.435381168322E-4</v>
      </c>
      <c r="V284" t="s">
        <v>251</v>
      </c>
      <c r="X284">
        <v>1.1415525114155251E-4</v>
      </c>
      <c r="Y284">
        <v>1.4452759200788939E-4</v>
      </c>
      <c r="Z284" t="s">
        <v>1150</v>
      </c>
      <c r="AA284" t="s">
        <v>25</v>
      </c>
      <c r="AC284" t="s">
        <v>22</v>
      </c>
      <c r="AD284" t="s">
        <v>1150</v>
      </c>
      <c r="AE284">
        <v>1.3822852902495511E-4</v>
      </c>
      <c r="AG284" t="s">
        <v>97</v>
      </c>
      <c r="AH284" t="s">
        <v>1150</v>
      </c>
      <c r="AI284">
        <v>0</v>
      </c>
      <c r="AK284">
        <v>2044</v>
      </c>
      <c r="AL284" t="s">
        <v>175</v>
      </c>
      <c r="AM284">
        <v>0.37859999999999999</v>
      </c>
      <c r="AN284" t="s">
        <v>430</v>
      </c>
    </row>
    <row r="285" spans="5:40" x14ac:dyDescent="0.45">
      <c r="E285" t="s">
        <v>935</v>
      </c>
      <c r="G285" t="s">
        <v>813</v>
      </c>
      <c r="I285" t="s">
        <v>249</v>
      </c>
      <c r="J285" t="s">
        <v>1151</v>
      </c>
      <c r="K285">
        <v>3.1195224113920002E-4</v>
      </c>
      <c r="L285" t="s">
        <v>251</v>
      </c>
      <c r="N285" t="s">
        <v>419</v>
      </c>
      <c r="O285" t="s">
        <v>1151</v>
      </c>
      <c r="P285">
        <v>1.5287550432409999E-4</v>
      </c>
      <c r="Q285" t="s">
        <v>251</v>
      </c>
      <c r="S285" t="s">
        <v>420</v>
      </c>
      <c r="T285" t="s">
        <v>1151</v>
      </c>
      <c r="U285">
        <v>1.411437753593E-4</v>
      </c>
      <c r="V285" t="s">
        <v>251</v>
      </c>
      <c r="X285">
        <v>1.1415525114155251E-4</v>
      </c>
      <c r="Y285">
        <v>1.408812536774151E-4</v>
      </c>
      <c r="Z285" t="s">
        <v>1151</v>
      </c>
      <c r="AA285" t="s">
        <v>25</v>
      </c>
      <c r="AC285" t="s">
        <v>22</v>
      </c>
      <c r="AD285" t="s">
        <v>1151</v>
      </c>
      <c r="AE285">
        <v>1.2883635989978265E-4</v>
      </c>
      <c r="AG285" t="s">
        <v>97</v>
      </c>
      <c r="AH285" t="s">
        <v>1151</v>
      </c>
      <c r="AI285">
        <v>0</v>
      </c>
      <c r="AK285">
        <v>2044</v>
      </c>
      <c r="AL285" t="s">
        <v>166</v>
      </c>
      <c r="AM285">
        <v>0.2319</v>
      </c>
      <c r="AN285" t="s">
        <v>430</v>
      </c>
    </row>
    <row r="286" spans="5:40" x14ac:dyDescent="0.45">
      <c r="E286" t="s">
        <v>936</v>
      </c>
      <c r="G286" t="s">
        <v>813</v>
      </c>
      <c r="I286" t="s">
        <v>249</v>
      </c>
      <c r="J286" t="s">
        <v>1152</v>
      </c>
      <c r="K286">
        <v>3.2406716665540002E-4</v>
      </c>
      <c r="L286" t="s">
        <v>251</v>
      </c>
      <c r="N286" t="s">
        <v>419</v>
      </c>
      <c r="O286" t="s">
        <v>1152</v>
      </c>
      <c r="P286">
        <v>1.5331651818150001E-4</v>
      </c>
      <c r="Q286" t="s">
        <v>251</v>
      </c>
      <c r="S286" t="s">
        <v>420</v>
      </c>
      <c r="T286" t="s">
        <v>1152</v>
      </c>
      <c r="U286">
        <v>1.441340597609E-4</v>
      </c>
      <c r="V286" t="s">
        <v>251</v>
      </c>
      <c r="X286">
        <v>1.1415525114155251E-4</v>
      </c>
      <c r="Y286">
        <v>1.4054976837464471E-4</v>
      </c>
      <c r="Z286" t="s">
        <v>1152</v>
      </c>
      <c r="AA286" t="s">
        <v>25</v>
      </c>
      <c r="AC286" t="s">
        <v>22</v>
      </c>
      <c r="AD286" t="s">
        <v>1152</v>
      </c>
      <c r="AE286">
        <v>1.2951152650593384E-4</v>
      </c>
      <c r="AG286" t="s">
        <v>97</v>
      </c>
      <c r="AH286" t="s">
        <v>1152</v>
      </c>
      <c r="AI286">
        <v>0</v>
      </c>
      <c r="AK286">
        <v>2044</v>
      </c>
      <c r="AL286" t="s">
        <v>178</v>
      </c>
      <c r="AM286">
        <v>0.22439999999999999</v>
      </c>
      <c r="AN286" t="s">
        <v>430</v>
      </c>
    </row>
    <row r="287" spans="5:40" x14ac:dyDescent="0.45">
      <c r="E287" t="s">
        <v>937</v>
      </c>
      <c r="G287" t="s">
        <v>813</v>
      </c>
      <c r="I287" t="s">
        <v>249</v>
      </c>
      <c r="J287" t="s">
        <v>1153</v>
      </c>
      <c r="K287">
        <v>3.1783142968190001E-4</v>
      </c>
      <c r="L287" t="s">
        <v>251</v>
      </c>
      <c r="N287" t="s">
        <v>419</v>
      </c>
      <c r="O287" t="s">
        <v>1153</v>
      </c>
      <c r="P287">
        <v>1.528527048745E-4</v>
      </c>
      <c r="Q287" t="s">
        <v>251</v>
      </c>
      <c r="S287" t="s">
        <v>420</v>
      </c>
      <c r="T287" t="s">
        <v>1153</v>
      </c>
      <c r="U287">
        <v>1.480188208017E-4</v>
      </c>
      <c r="V287" t="s">
        <v>251</v>
      </c>
      <c r="X287">
        <v>1.1415525114155251E-4</v>
      </c>
      <c r="Y287">
        <v>1.4253868019126702E-4</v>
      </c>
      <c r="Z287" t="s">
        <v>1153</v>
      </c>
      <c r="AA287" t="s">
        <v>25</v>
      </c>
      <c r="AC287" t="s">
        <v>22</v>
      </c>
      <c r="AD287" t="s">
        <v>1153</v>
      </c>
      <c r="AE287">
        <v>1.6777876647536424E-4</v>
      </c>
      <c r="AG287" t="s">
        <v>97</v>
      </c>
      <c r="AH287" t="s">
        <v>1153</v>
      </c>
      <c r="AI287">
        <v>0</v>
      </c>
      <c r="AK287">
        <v>2045</v>
      </c>
      <c r="AL287" t="s">
        <v>151</v>
      </c>
      <c r="AM287">
        <v>0.25879999999999997</v>
      </c>
      <c r="AN287" t="s">
        <v>430</v>
      </c>
    </row>
    <row r="288" spans="5:40" x14ac:dyDescent="0.45">
      <c r="E288" t="s">
        <v>938</v>
      </c>
      <c r="G288" t="s">
        <v>813</v>
      </c>
      <c r="I288" t="s">
        <v>249</v>
      </c>
      <c r="J288" t="s">
        <v>1154</v>
      </c>
      <c r="K288">
        <v>3.1026109113330001E-4</v>
      </c>
      <c r="L288" t="s">
        <v>251</v>
      </c>
      <c r="N288" t="s">
        <v>419</v>
      </c>
      <c r="O288" t="s">
        <v>1154</v>
      </c>
      <c r="P288">
        <v>1.5939414323529999E-4</v>
      </c>
      <c r="Q288" t="s">
        <v>251</v>
      </c>
      <c r="S288" t="s">
        <v>420</v>
      </c>
      <c r="T288" t="s">
        <v>1154</v>
      </c>
      <c r="U288">
        <v>1.5381012087660001E-4</v>
      </c>
      <c r="V288" t="s">
        <v>251</v>
      </c>
      <c r="X288">
        <v>1.1415525114155251E-4</v>
      </c>
      <c r="Y288">
        <v>1.4883690094390442E-4</v>
      </c>
      <c r="Z288" t="s">
        <v>1154</v>
      </c>
      <c r="AA288" t="s">
        <v>25</v>
      </c>
      <c r="AC288" t="s">
        <v>22</v>
      </c>
      <c r="AD288" t="s">
        <v>1154</v>
      </c>
      <c r="AE288">
        <v>1.681809696846391E-4</v>
      </c>
      <c r="AG288" t="s">
        <v>97</v>
      </c>
      <c r="AH288" t="s">
        <v>1154</v>
      </c>
      <c r="AI288">
        <v>0</v>
      </c>
      <c r="AK288">
        <v>2045</v>
      </c>
      <c r="AL288" t="s">
        <v>156</v>
      </c>
      <c r="AM288">
        <v>0.28189999999999998</v>
      </c>
      <c r="AN288" t="s">
        <v>430</v>
      </c>
    </row>
    <row r="289" spans="5:40" x14ac:dyDescent="0.45">
      <c r="E289" t="s">
        <v>939</v>
      </c>
      <c r="G289" t="s">
        <v>813</v>
      </c>
      <c r="I289" t="s">
        <v>249</v>
      </c>
      <c r="J289" t="s">
        <v>1155</v>
      </c>
      <c r="K289">
        <v>3.0489941854780001E-4</v>
      </c>
      <c r="L289" t="s">
        <v>251</v>
      </c>
      <c r="N289" t="s">
        <v>419</v>
      </c>
      <c r="O289" t="s">
        <v>1155</v>
      </c>
      <c r="P289">
        <v>1.5450426124770001E-4</v>
      </c>
      <c r="Q289" t="s">
        <v>251</v>
      </c>
      <c r="S289" t="s">
        <v>420</v>
      </c>
      <c r="T289" t="s">
        <v>1155</v>
      </c>
      <c r="U289">
        <v>1.6008243321270001E-4</v>
      </c>
      <c r="V289" t="s">
        <v>251</v>
      </c>
      <c r="X289">
        <v>1.1415525114155251E-4</v>
      </c>
      <c r="Y289">
        <v>1.5049432745775637E-4</v>
      </c>
      <c r="Z289" t="s">
        <v>1155</v>
      </c>
      <c r="AA289" t="s">
        <v>25</v>
      </c>
      <c r="AC289" t="s">
        <v>22</v>
      </c>
      <c r="AD289" t="s">
        <v>1155</v>
      </c>
      <c r="AE289">
        <v>1.604611191664517E-4</v>
      </c>
      <c r="AG289" t="s">
        <v>97</v>
      </c>
      <c r="AH289" t="s">
        <v>1155</v>
      </c>
      <c r="AI289">
        <v>0</v>
      </c>
      <c r="AK289">
        <v>2045</v>
      </c>
      <c r="AL289" t="s">
        <v>159</v>
      </c>
      <c r="AM289">
        <v>0.24890000000000001</v>
      </c>
      <c r="AN289" t="s">
        <v>430</v>
      </c>
    </row>
    <row r="290" spans="5:40" x14ac:dyDescent="0.45">
      <c r="E290" t="s">
        <v>940</v>
      </c>
      <c r="G290" t="s">
        <v>813</v>
      </c>
      <c r="I290" t="s">
        <v>249</v>
      </c>
      <c r="J290" t="s">
        <v>1156</v>
      </c>
      <c r="K290">
        <v>2.7835611640140002E-4</v>
      </c>
      <c r="L290" t="s">
        <v>251</v>
      </c>
      <c r="N290" t="s">
        <v>419</v>
      </c>
      <c r="O290" t="s">
        <v>1156</v>
      </c>
      <c r="P290">
        <v>1.437568908254E-4</v>
      </c>
      <c r="Q290" t="s">
        <v>251</v>
      </c>
      <c r="S290" t="s">
        <v>420</v>
      </c>
      <c r="T290" t="s">
        <v>1156</v>
      </c>
      <c r="U290">
        <v>1.534939567083E-4</v>
      </c>
      <c r="V290" t="s">
        <v>251</v>
      </c>
      <c r="X290">
        <v>1.1415525114155251E-4</v>
      </c>
      <c r="Y290">
        <v>1.7237235744060203E-4</v>
      </c>
      <c r="Z290" t="s">
        <v>1156</v>
      </c>
      <c r="AA290" t="s">
        <v>25</v>
      </c>
      <c r="AC290" t="s">
        <v>22</v>
      </c>
      <c r="AD290" t="s">
        <v>1156</v>
      </c>
      <c r="AE290">
        <v>1.3022011720149846E-4</v>
      </c>
      <c r="AG290" t="s">
        <v>97</v>
      </c>
      <c r="AH290" t="s">
        <v>1156</v>
      </c>
      <c r="AI290">
        <v>0</v>
      </c>
      <c r="AK290">
        <v>2045</v>
      </c>
      <c r="AL290" t="s">
        <v>163</v>
      </c>
      <c r="AM290">
        <v>0.31330000000000002</v>
      </c>
      <c r="AN290" t="s">
        <v>430</v>
      </c>
    </row>
    <row r="291" spans="5:40" x14ac:dyDescent="0.45">
      <c r="E291" t="s">
        <v>941</v>
      </c>
      <c r="G291" t="s">
        <v>813</v>
      </c>
      <c r="I291" t="s">
        <v>249</v>
      </c>
      <c r="J291" t="s">
        <v>1157</v>
      </c>
      <c r="K291">
        <v>2.297503983619E-4</v>
      </c>
      <c r="L291" t="s">
        <v>251</v>
      </c>
      <c r="N291" t="s">
        <v>419</v>
      </c>
      <c r="O291" t="s">
        <v>1157</v>
      </c>
      <c r="P291">
        <v>1.3961233272040001E-4</v>
      </c>
      <c r="Q291" t="s">
        <v>251</v>
      </c>
      <c r="S291" t="s">
        <v>420</v>
      </c>
      <c r="T291" t="s">
        <v>1157</v>
      </c>
      <c r="U291">
        <v>1.620909241303E-4</v>
      </c>
      <c r="V291" t="s">
        <v>251</v>
      </c>
      <c r="X291">
        <v>1.1415525114155251E-4</v>
      </c>
      <c r="Y291">
        <v>2.2209515285616027E-4</v>
      </c>
      <c r="Z291" t="s">
        <v>1157</v>
      </c>
      <c r="AA291" t="s">
        <v>25</v>
      </c>
      <c r="AC291" t="s">
        <v>22</v>
      </c>
      <c r="AD291" t="s">
        <v>1157</v>
      </c>
      <c r="AE291">
        <v>1.0574254238773351E-4</v>
      </c>
      <c r="AG291" t="s">
        <v>97</v>
      </c>
      <c r="AH291" t="s">
        <v>1157</v>
      </c>
      <c r="AI291">
        <v>0</v>
      </c>
      <c r="AK291">
        <v>2045</v>
      </c>
      <c r="AL291" t="s">
        <v>167</v>
      </c>
      <c r="AM291">
        <v>0.36870000000000003</v>
      </c>
      <c r="AN291" t="s">
        <v>430</v>
      </c>
    </row>
    <row r="292" spans="5:40" x14ac:dyDescent="0.45">
      <c r="E292" t="s">
        <v>942</v>
      </c>
      <c r="G292" t="s">
        <v>813</v>
      </c>
      <c r="I292" t="s">
        <v>249</v>
      </c>
      <c r="J292" t="s">
        <v>1158</v>
      </c>
      <c r="K292">
        <v>1.5911886281569999E-4</v>
      </c>
      <c r="L292" t="s">
        <v>251</v>
      </c>
      <c r="N292" t="s">
        <v>419</v>
      </c>
      <c r="O292" t="s">
        <v>1158</v>
      </c>
      <c r="P292">
        <v>1.382248986595E-4</v>
      </c>
      <c r="Q292" t="s">
        <v>251</v>
      </c>
      <c r="S292" t="s">
        <v>420</v>
      </c>
      <c r="T292" t="s">
        <v>1158</v>
      </c>
      <c r="U292">
        <v>1.7447458399529999E-4</v>
      </c>
      <c r="V292" t="s">
        <v>251</v>
      </c>
      <c r="X292">
        <v>1.1415525114155251E-4</v>
      </c>
      <c r="Y292">
        <v>2.2209515285616027E-4</v>
      </c>
      <c r="Z292" t="s">
        <v>1158</v>
      </c>
      <c r="AA292" t="s">
        <v>25</v>
      </c>
      <c r="AC292" t="s">
        <v>22</v>
      </c>
      <c r="AD292" t="s">
        <v>1158</v>
      </c>
      <c r="AE292">
        <v>6.8807809449584977E-5</v>
      </c>
      <c r="AG292" t="s">
        <v>97</v>
      </c>
      <c r="AH292" t="s">
        <v>1158</v>
      </c>
      <c r="AI292">
        <v>0</v>
      </c>
      <c r="AK292">
        <v>2045</v>
      </c>
      <c r="AL292" t="s">
        <v>169</v>
      </c>
      <c r="AM292">
        <v>0.45660000000000001</v>
      </c>
      <c r="AN292" t="s">
        <v>430</v>
      </c>
    </row>
    <row r="293" spans="5:40" x14ac:dyDescent="0.45">
      <c r="E293" t="s">
        <v>943</v>
      </c>
      <c r="G293" t="s">
        <v>813</v>
      </c>
      <c r="I293" t="s">
        <v>249</v>
      </c>
      <c r="J293" t="s">
        <v>1159</v>
      </c>
      <c r="K293">
        <v>6.3220941542839918E-5</v>
      </c>
      <c r="L293" t="s">
        <v>251</v>
      </c>
      <c r="N293" t="s">
        <v>419</v>
      </c>
      <c r="O293" t="s">
        <v>1159</v>
      </c>
      <c r="P293">
        <v>1.430060331129E-4</v>
      </c>
      <c r="Q293" t="s">
        <v>251</v>
      </c>
      <c r="S293" t="s">
        <v>420</v>
      </c>
      <c r="T293" t="s">
        <v>1159</v>
      </c>
      <c r="U293">
        <v>1.7932846222109999E-4</v>
      </c>
      <c r="V293" t="s">
        <v>251</v>
      </c>
      <c r="X293">
        <v>1.1415525114155251E-4</v>
      </c>
      <c r="Y293">
        <v>1.7237235744060203E-4</v>
      </c>
      <c r="Z293" t="s">
        <v>1159</v>
      </c>
      <c r="AA293" t="s">
        <v>25</v>
      </c>
      <c r="AC293" t="s">
        <v>22</v>
      </c>
      <c r="AD293" t="s">
        <v>1159</v>
      </c>
      <c r="AE293">
        <v>5.7538320635691829E-5</v>
      </c>
      <c r="AG293" t="s">
        <v>97</v>
      </c>
      <c r="AH293" t="s">
        <v>1159</v>
      </c>
      <c r="AI293">
        <v>0</v>
      </c>
      <c r="AK293">
        <v>2045</v>
      </c>
      <c r="AL293" t="s">
        <v>171</v>
      </c>
      <c r="AM293">
        <v>0.54279999999999995</v>
      </c>
      <c r="AN293" t="s">
        <v>430</v>
      </c>
    </row>
    <row r="294" spans="5:40" x14ac:dyDescent="0.45">
      <c r="E294" t="s">
        <v>944</v>
      </c>
      <c r="G294" t="s">
        <v>813</v>
      </c>
      <c r="I294" t="s">
        <v>249</v>
      </c>
      <c r="J294" t="s">
        <v>1160</v>
      </c>
      <c r="K294">
        <v>0</v>
      </c>
      <c r="L294" t="s">
        <v>251</v>
      </c>
      <c r="N294" t="s">
        <v>419</v>
      </c>
      <c r="O294" t="s">
        <v>1160</v>
      </c>
      <c r="P294">
        <v>1.5292986408980001E-4</v>
      </c>
      <c r="Q294" t="s">
        <v>251</v>
      </c>
      <c r="S294" t="s">
        <v>420</v>
      </c>
      <c r="T294" t="s">
        <v>1160</v>
      </c>
      <c r="U294">
        <v>1.7322451662509999E-4</v>
      </c>
      <c r="V294" t="s">
        <v>251</v>
      </c>
      <c r="X294">
        <v>1.1415525114155251E-4</v>
      </c>
      <c r="Y294">
        <v>1.5579809230208258E-4</v>
      </c>
      <c r="Z294" t="s">
        <v>1160</v>
      </c>
      <c r="AA294" t="s">
        <v>25</v>
      </c>
      <c r="AC294" t="s">
        <v>22</v>
      </c>
      <c r="AD294" t="s">
        <v>1160</v>
      </c>
      <c r="AE294">
        <v>5.2031144836673149E-5</v>
      </c>
      <c r="AG294" t="s">
        <v>97</v>
      </c>
      <c r="AH294" t="s">
        <v>1160</v>
      </c>
      <c r="AI294">
        <v>0</v>
      </c>
      <c r="AK294">
        <v>2045</v>
      </c>
      <c r="AL294" t="s">
        <v>158</v>
      </c>
      <c r="AM294">
        <v>0.61919999999999997</v>
      </c>
      <c r="AN294" t="s">
        <v>430</v>
      </c>
    </row>
    <row r="295" spans="5:40" x14ac:dyDescent="0.45">
      <c r="E295" t="s">
        <v>945</v>
      </c>
      <c r="G295" t="s">
        <v>813</v>
      </c>
      <c r="I295" t="s">
        <v>249</v>
      </c>
      <c r="J295" t="s">
        <v>1161</v>
      </c>
      <c r="K295">
        <v>0</v>
      </c>
      <c r="L295" t="s">
        <v>251</v>
      </c>
      <c r="N295" t="s">
        <v>419</v>
      </c>
      <c r="O295" t="s">
        <v>1161</v>
      </c>
      <c r="P295">
        <v>1.6063956918839999E-4</v>
      </c>
      <c r="Q295" t="s">
        <v>251</v>
      </c>
      <c r="S295" t="s">
        <v>420</v>
      </c>
      <c r="T295" t="s">
        <v>1161</v>
      </c>
      <c r="U295">
        <v>1.6128488859090001E-4</v>
      </c>
      <c r="V295" t="s">
        <v>251</v>
      </c>
      <c r="X295">
        <v>1.1415525114155251E-4</v>
      </c>
      <c r="Y295">
        <v>1.093901499142282E-4</v>
      </c>
      <c r="Z295" t="s">
        <v>1161</v>
      </c>
      <c r="AA295" t="s">
        <v>25</v>
      </c>
      <c r="AC295" t="s">
        <v>22</v>
      </c>
      <c r="AD295" t="s">
        <v>1161</v>
      </c>
      <c r="AE295">
        <v>4.7497724175898911E-5</v>
      </c>
      <c r="AG295" t="s">
        <v>97</v>
      </c>
      <c r="AH295" t="s">
        <v>1161</v>
      </c>
      <c r="AI295">
        <v>0</v>
      </c>
      <c r="AK295">
        <v>2045</v>
      </c>
      <c r="AL295" t="s">
        <v>162</v>
      </c>
      <c r="AM295">
        <v>0.60170000000000001</v>
      </c>
      <c r="AN295" t="s">
        <v>430</v>
      </c>
    </row>
    <row r="296" spans="5:40" x14ac:dyDescent="0.45">
      <c r="E296" t="s">
        <v>946</v>
      </c>
      <c r="G296" t="s">
        <v>813</v>
      </c>
      <c r="I296" t="s">
        <v>249</v>
      </c>
      <c r="J296" t="s">
        <v>1162</v>
      </c>
      <c r="K296">
        <v>0</v>
      </c>
      <c r="L296" t="s">
        <v>251</v>
      </c>
      <c r="N296" t="s">
        <v>419</v>
      </c>
      <c r="O296" t="s">
        <v>1162</v>
      </c>
      <c r="P296">
        <v>1.686127878721E-4</v>
      </c>
      <c r="Q296" t="s">
        <v>251</v>
      </c>
      <c r="S296" t="s">
        <v>420</v>
      </c>
      <c r="T296" t="s">
        <v>1162</v>
      </c>
      <c r="U296">
        <v>1.5029806677250001E-4</v>
      </c>
      <c r="V296" t="s">
        <v>251</v>
      </c>
      <c r="X296">
        <v>1.1415525114155251E-4</v>
      </c>
      <c r="Y296">
        <v>7.9556472664893237E-5</v>
      </c>
      <c r="Z296" t="s">
        <v>1162</v>
      </c>
      <c r="AA296" t="s">
        <v>25</v>
      </c>
      <c r="AC296" t="s">
        <v>22</v>
      </c>
      <c r="AD296" t="s">
        <v>1162</v>
      </c>
      <c r="AE296">
        <v>4.7348429909852287E-5</v>
      </c>
      <c r="AG296" t="s">
        <v>97</v>
      </c>
      <c r="AH296" t="s">
        <v>1162</v>
      </c>
      <c r="AI296">
        <v>0</v>
      </c>
      <c r="AK296">
        <v>2045</v>
      </c>
      <c r="AL296" t="s">
        <v>175</v>
      </c>
      <c r="AM296">
        <v>0.46889999999999998</v>
      </c>
      <c r="AN296" t="s">
        <v>430</v>
      </c>
    </row>
    <row r="297" spans="5:40" x14ac:dyDescent="0.45">
      <c r="E297" t="s">
        <v>947</v>
      </c>
      <c r="G297" t="s">
        <v>813</v>
      </c>
      <c r="I297" t="s">
        <v>249</v>
      </c>
      <c r="J297" t="s">
        <v>1163</v>
      </c>
      <c r="K297">
        <v>0</v>
      </c>
      <c r="L297" t="s">
        <v>251</v>
      </c>
      <c r="N297" t="s">
        <v>419</v>
      </c>
      <c r="O297" t="s">
        <v>1163</v>
      </c>
      <c r="P297">
        <v>1.843839602637E-4</v>
      </c>
      <c r="Q297" t="s">
        <v>251</v>
      </c>
      <c r="S297" t="s">
        <v>420</v>
      </c>
      <c r="T297" t="s">
        <v>1163</v>
      </c>
      <c r="U297">
        <v>1.4997094349259999E-4</v>
      </c>
      <c r="V297" t="s">
        <v>251</v>
      </c>
      <c r="X297">
        <v>1.1415525114155251E-4</v>
      </c>
      <c r="Y297">
        <v>5.6352501470966035E-5</v>
      </c>
      <c r="Z297" t="s">
        <v>1163</v>
      </c>
      <c r="AA297" t="s">
        <v>25</v>
      </c>
      <c r="AC297" t="s">
        <v>22</v>
      </c>
      <c r="AD297" t="s">
        <v>1163</v>
      </c>
      <c r="AE297">
        <v>5.4682789263471524E-5</v>
      </c>
      <c r="AG297" t="s">
        <v>97</v>
      </c>
      <c r="AH297" t="s">
        <v>1163</v>
      </c>
      <c r="AI297">
        <v>0</v>
      </c>
      <c r="AK297">
        <v>2045</v>
      </c>
      <c r="AL297" t="s">
        <v>166</v>
      </c>
      <c r="AM297">
        <v>0.29749999999999999</v>
      </c>
      <c r="AN297" t="s">
        <v>430</v>
      </c>
    </row>
    <row r="298" spans="5:40" x14ac:dyDescent="0.45">
      <c r="E298" t="s">
        <v>948</v>
      </c>
      <c r="G298" t="s">
        <v>813</v>
      </c>
      <c r="I298" t="s">
        <v>249</v>
      </c>
      <c r="J298" t="s">
        <v>1164</v>
      </c>
      <c r="K298">
        <v>0</v>
      </c>
      <c r="L298" t="s">
        <v>251</v>
      </c>
      <c r="N298" t="s">
        <v>419</v>
      </c>
      <c r="O298" t="s">
        <v>1164</v>
      </c>
      <c r="P298">
        <v>1.9700654614290001E-4</v>
      </c>
      <c r="Q298" t="s">
        <v>251</v>
      </c>
      <c r="S298" t="s">
        <v>420</v>
      </c>
      <c r="T298" t="s">
        <v>1164</v>
      </c>
      <c r="U298">
        <v>1.5233657166389999E-4</v>
      </c>
      <c r="V298" t="s">
        <v>251</v>
      </c>
      <c r="X298">
        <v>1.1415525114155251E-4</v>
      </c>
      <c r="Y298">
        <v>2.9833677249334962E-5</v>
      </c>
      <c r="Z298" t="s">
        <v>1164</v>
      </c>
      <c r="AA298" t="s">
        <v>25</v>
      </c>
      <c r="AC298" t="s">
        <v>22</v>
      </c>
      <c r="AD298" t="s">
        <v>1164</v>
      </c>
      <c r="AE298">
        <v>7.2562448827026408E-5</v>
      </c>
      <c r="AG298" t="s">
        <v>97</v>
      </c>
      <c r="AH298" t="s">
        <v>1164</v>
      </c>
      <c r="AI298">
        <v>0</v>
      </c>
      <c r="AK298">
        <v>2045</v>
      </c>
      <c r="AL298" t="s">
        <v>178</v>
      </c>
      <c r="AM298">
        <v>0.25069999999999998</v>
      </c>
      <c r="AN298" t="s">
        <v>430</v>
      </c>
    </row>
    <row r="299" spans="5:40" x14ac:dyDescent="0.45">
      <c r="E299" t="s">
        <v>216</v>
      </c>
      <c r="G299" t="s">
        <v>815</v>
      </c>
      <c r="I299" t="s">
        <v>249</v>
      </c>
      <c r="J299" t="s">
        <v>1165</v>
      </c>
      <c r="K299">
        <v>0</v>
      </c>
      <c r="L299" t="s">
        <v>251</v>
      </c>
      <c r="N299" t="s">
        <v>419</v>
      </c>
      <c r="O299" t="s">
        <v>1165</v>
      </c>
      <c r="P299">
        <v>2.0766178773389999E-4</v>
      </c>
      <c r="Q299" t="s">
        <v>251</v>
      </c>
      <c r="S299" t="s">
        <v>420</v>
      </c>
      <c r="T299" t="s">
        <v>1165</v>
      </c>
      <c r="U299">
        <v>1.5970407224059999E-4</v>
      </c>
      <c r="V299" t="s">
        <v>251</v>
      </c>
      <c r="X299">
        <v>1.1415525114155251E-4</v>
      </c>
      <c r="Y299">
        <v>2.1546544680075254E-5</v>
      </c>
      <c r="Z299" t="s">
        <v>1165</v>
      </c>
      <c r="AA299" t="s">
        <v>25</v>
      </c>
      <c r="AC299" t="s">
        <v>22</v>
      </c>
      <c r="AD299" t="s">
        <v>1165</v>
      </c>
      <c r="AE299">
        <v>7.6304832705016221E-5</v>
      </c>
      <c r="AG299" t="s">
        <v>97</v>
      </c>
      <c r="AH299" t="s">
        <v>1165</v>
      </c>
      <c r="AI299">
        <v>0</v>
      </c>
      <c r="AK299">
        <v>2046</v>
      </c>
      <c r="AL299" t="s">
        <v>151</v>
      </c>
      <c r="AM299">
        <v>0.29070000000000001</v>
      </c>
      <c r="AN299" t="s">
        <v>430</v>
      </c>
    </row>
    <row r="300" spans="5:40" x14ac:dyDescent="0.45">
      <c r="E300" t="s">
        <v>217</v>
      </c>
      <c r="G300" t="s">
        <v>815</v>
      </c>
      <c r="I300" t="s">
        <v>249</v>
      </c>
      <c r="J300" t="s">
        <v>1166</v>
      </c>
      <c r="K300">
        <v>0</v>
      </c>
      <c r="L300" t="s">
        <v>251</v>
      </c>
      <c r="N300" t="s">
        <v>419</v>
      </c>
      <c r="O300" t="s">
        <v>1166</v>
      </c>
      <c r="P300">
        <v>2.1347837247980001E-4</v>
      </c>
      <c r="Q300" t="s">
        <v>251</v>
      </c>
      <c r="S300" t="s">
        <v>420</v>
      </c>
      <c r="T300" t="s">
        <v>1166</v>
      </c>
      <c r="U300">
        <v>1.711391942759E-4</v>
      </c>
      <c r="V300" t="s">
        <v>251</v>
      </c>
      <c r="X300">
        <v>1.1415525114155251E-4</v>
      </c>
      <c r="Y300">
        <v>1.4916838624667481E-5</v>
      </c>
      <c r="Z300" t="s">
        <v>1166</v>
      </c>
      <c r="AA300" t="s">
        <v>25</v>
      </c>
      <c r="AC300" t="s">
        <v>22</v>
      </c>
      <c r="AD300" t="s">
        <v>1166</v>
      </c>
      <c r="AE300">
        <v>9.3688701608938605E-5</v>
      </c>
      <c r="AG300" t="s">
        <v>97</v>
      </c>
      <c r="AH300" t="s">
        <v>1166</v>
      </c>
      <c r="AI300">
        <v>0</v>
      </c>
      <c r="AK300">
        <v>2046</v>
      </c>
      <c r="AL300" t="s">
        <v>156</v>
      </c>
      <c r="AM300">
        <v>0.31330000000000002</v>
      </c>
      <c r="AN300" t="s">
        <v>430</v>
      </c>
    </row>
    <row r="301" spans="5:40" x14ac:dyDescent="0.45">
      <c r="E301" t="s">
        <v>218</v>
      </c>
      <c r="G301" t="s">
        <v>815</v>
      </c>
      <c r="I301" t="s">
        <v>249</v>
      </c>
      <c r="J301" t="s">
        <v>1167</v>
      </c>
      <c r="K301">
        <v>0</v>
      </c>
      <c r="L301" t="s">
        <v>251</v>
      </c>
      <c r="N301" t="s">
        <v>419</v>
      </c>
      <c r="O301" t="s">
        <v>1167</v>
      </c>
      <c r="P301">
        <v>2.14187079297E-4</v>
      </c>
      <c r="Q301" t="s">
        <v>251</v>
      </c>
      <c r="S301" t="s">
        <v>420</v>
      </c>
      <c r="T301" t="s">
        <v>1167</v>
      </c>
      <c r="U301">
        <v>1.7921568731760001E-4</v>
      </c>
      <c r="V301" t="s">
        <v>251</v>
      </c>
      <c r="X301">
        <v>1.1415525114155251E-4</v>
      </c>
      <c r="Y301">
        <v>1.6574265138519424E-5</v>
      </c>
      <c r="Z301" t="s">
        <v>1167</v>
      </c>
      <c r="AA301" t="s">
        <v>25</v>
      </c>
      <c r="AC301" t="s">
        <v>22</v>
      </c>
      <c r="AD301" t="s">
        <v>1167</v>
      </c>
      <c r="AE301">
        <v>1.1616751587578077E-4</v>
      </c>
      <c r="AG301" t="s">
        <v>97</v>
      </c>
      <c r="AH301" t="s">
        <v>1167</v>
      </c>
      <c r="AI301">
        <v>0</v>
      </c>
      <c r="AK301">
        <v>2046</v>
      </c>
      <c r="AL301" t="s">
        <v>159</v>
      </c>
      <c r="AM301">
        <v>0.33829999999999999</v>
      </c>
      <c r="AN301" t="s">
        <v>430</v>
      </c>
    </row>
    <row r="302" spans="5:40" x14ac:dyDescent="0.45">
      <c r="E302" t="s">
        <v>219</v>
      </c>
      <c r="G302" t="s">
        <v>815</v>
      </c>
      <c r="I302" t="s">
        <v>249</v>
      </c>
      <c r="J302" t="s">
        <v>1168</v>
      </c>
      <c r="K302">
        <v>0</v>
      </c>
      <c r="L302" t="s">
        <v>251</v>
      </c>
      <c r="N302" t="s">
        <v>419</v>
      </c>
      <c r="O302" t="s">
        <v>1168</v>
      </c>
      <c r="P302">
        <v>1.8401655240089999E-4</v>
      </c>
      <c r="Q302" t="s">
        <v>251</v>
      </c>
      <c r="S302" t="s">
        <v>420</v>
      </c>
      <c r="T302" t="s">
        <v>1168</v>
      </c>
      <c r="U302">
        <v>1.671429840906E-4</v>
      </c>
      <c r="V302" t="s">
        <v>251</v>
      </c>
      <c r="X302">
        <v>1.1415525114155251E-4</v>
      </c>
      <c r="Y302">
        <v>1.4585353321897093E-5</v>
      </c>
      <c r="Z302" t="s">
        <v>1168</v>
      </c>
      <c r="AA302" t="s">
        <v>25</v>
      </c>
      <c r="AC302" t="s">
        <v>22</v>
      </c>
      <c r="AD302" t="s">
        <v>1168</v>
      </c>
      <c r="AE302">
        <v>1.2855114100345476E-4</v>
      </c>
      <c r="AG302" t="s">
        <v>97</v>
      </c>
      <c r="AH302" t="s">
        <v>1168</v>
      </c>
      <c r="AI302">
        <v>0</v>
      </c>
      <c r="AK302">
        <v>2046</v>
      </c>
      <c r="AL302" t="s">
        <v>163</v>
      </c>
      <c r="AM302">
        <v>0.34289999999999998</v>
      </c>
      <c r="AN302" t="s">
        <v>430</v>
      </c>
    </row>
    <row r="303" spans="5:40" x14ac:dyDescent="0.45">
      <c r="E303" t="s">
        <v>220</v>
      </c>
      <c r="G303" t="s">
        <v>815</v>
      </c>
      <c r="I303" t="s">
        <v>249</v>
      </c>
      <c r="J303" t="s">
        <v>1169</v>
      </c>
      <c r="K303">
        <v>0</v>
      </c>
      <c r="L303" t="s">
        <v>251</v>
      </c>
      <c r="N303" t="s">
        <v>419</v>
      </c>
      <c r="O303" t="s">
        <v>1169</v>
      </c>
      <c r="P303">
        <v>1.842748975716E-4</v>
      </c>
      <c r="Q303" t="s">
        <v>251</v>
      </c>
      <c r="S303" t="s">
        <v>420</v>
      </c>
      <c r="T303" t="s">
        <v>1169</v>
      </c>
      <c r="U303">
        <v>1.8199441360269999E-4</v>
      </c>
      <c r="V303" t="s">
        <v>251</v>
      </c>
      <c r="X303">
        <v>1.1415525114155251E-4</v>
      </c>
      <c r="Y303">
        <v>2.1215059377304864E-5</v>
      </c>
      <c r="Z303" t="s">
        <v>1169</v>
      </c>
      <c r="AA303" t="s">
        <v>25</v>
      </c>
      <c r="AC303" t="s">
        <v>22</v>
      </c>
      <c r="AD303" t="s">
        <v>1169</v>
      </c>
      <c r="AE303">
        <v>1.291962259291339E-4</v>
      </c>
      <c r="AG303" t="s">
        <v>97</v>
      </c>
      <c r="AH303" t="s">
        <v>1169</v>
      </c>
      <c r="AI303">
        <v>0</v>
      </c>
      <c r="AK303">
        <v>2046</v>
      </c>
      <c r="AL303" t="s">
        <v>167</v>
      </c>
      <c r="AM303">
        <v>0.45979999999999999</v>
      </c>
      <c r="AN303" t="s">
        <v>430</v>
      </c>
    </row>
    <row r="304" spans="5:40" x14ac:dyDescent="0.45">
      <c r="E304" t="s">
        <v>221</v>
      </c>
      <c r="G304" t="s">
        <v>815</v>
      </c>
      <c r="I304" t="s">
        <v>249</v>
      </c>
      <c r="J304" t="s">
        <v>1170</v>
      </c>
      <c r="K304">
        <v>0</v>
      </c>
      <c r="L304" t="s">
        <v>251</v>
      </c>
      <c r="N304" t="s">
        <v>419</v>
      </c>
      <c r="O304" t="s">
        <v>1170</v>
      </c>
      <c r="P304">
        <v>1.774848406302E-4</v>
      </c>
      <c r="Q304" t="s">
        <v>251</v>
      </c>
      <c r="S304" t="s">
        <v>420</v>
      </c>
      <c r="T304" t="s">
        <v>1170</v>
      </c>
      <c r="U304">
        <v>1.893422553422E-4</v>
      </c>
      <c r="V304" t="s">
        <v>251</v>
      </c>
      <c r="X304">
        <v>1.1415525114155251E-4</v>
      </c>
      <c r="Y304">
        <v>5.7678442682047593E-5</v>
      </c>
      <c r="Z304" t="s">
        <v>1170</v>
      </c>
      <c r="AA304" t="s">
        <v>25</v>
      </c>
      <c r="AC304" t="s">
        <v>22</v>
      </c>
      <c r="AD304" t="s">
        <v>1170</v>
      </c>
      <c r="AE304">
        <v>1.2891434944174734E-4</v>
      </c>
      <c r="AG304" t="s">
        <v>97</v>
      </c>
      <c r="AH304" t="s">
        <v>1170</v>
      </c>
      <c r="AI304">
        <v>0</v>
      </c>
      <c r="AK304">
        <v>2046</v>
      </c>
      <c r="AL304" t="s">
        <v>169</v>
      </c>
      <c r="AM304">
        <v>0.58220000000000005</v>
      </c>
      <c r="AN304" t="s">
        <v>430</v>
      </c>
    </row>
    <row r="305" spans="5:40" x14ac:dyDescent="0.45">
      <c r="E305" t="s">
        <v>222</v>
      </c>
      <c r="G305" t="s">
        <v>815</v>
      </c>
      <c r="I305" t="s">
        <v>249</v>
      </c>
      <c r="J305" t="s">
        <v>1171</v>
      </c>
      <c r="K305">
        <v>1.8794390421985543E-5</v>
      </c>
      <c r="L305" t="s">
        <v>251</v>
      </c>
      <c r="N305" t="s">
        <v>419</v>
      </c>
      <c r="O305" t="s">
        <v>1171</v>
      </c>
      <c r="P305">
        <v>1.750182259011E-4</v>
      </c>
      <c r="Q305" t="s">
        <v>251</v>
      </c>
      <c r="S305" t="s">
        <v>420</v>
      </c>
      <c r="T305" t="s">
        <v>1171</v>
      </c>
      <c r="U305">
        <v>1.9123956533889999E-4</v>
      </c>
      <c r="V305" t="s">
        <v>251</v>
      </c>
      <c r="X305">
        <v>1.1415525114155251E-4</v>
      </c>
      <c r="Y305">
        <v>1.6905750441289813E-4</v>
      </c>
      <c r="Z305" t="s">
        <v>1171</v>
      </c>
      <c r="AA305" t="s">
        <v>25</v>
      </c>
      <c r="AC305" t="s">
        <v>22</v>
      </c>
      <c r="AD305" t="s">
        <v>1171</v>
      </c>
      <c r="AE305">
        <v>1.3260436891298946E-4</v>
      </c>
      <c r="AG305" t="s">
        <v>97</v>
      </c>
      <c r="AH305" t="s">
        <v>1171</v>
      </c>
      <c r="AI305">
        <v>0</v>
      </c>
      <c r="AK305">
        <v>2046</v>
      </c>
      <c r="AL305" t="s">
        <v>171</v>
      </c>
      <c r="AM305">
        <v>0.58489999999999998</v>
      </c>
      <c r="AN305" t="s">
        <v>430</v>
      </c>
    </row>
    <row r="306" spans="5:40" x14ac:dyDescent="0.45">
      <c r="E306" t="s">
        <v>223</v>
      </c>
      <c r="G306" t="s">
        <v>815</v>
      </c>
      <c r="I306" t="s">
        <v>249</v>
      </c>
      <c r="J306" t="s">
        <v>1172</v>
      </c>
      <c r="K306">
        <v>1.183863417333E-4</v>
      </c>
      <c r="L306" t="s">
        <v>251</v>
      </c>
      <c r="N306" t="s">
        <v>419</v>
      </c>
      <c r="O306" t="s">
        <v>1172</v>
      </c>
      <c r="P306">
        <v>1.725423546264E-4</v>
      </c>
      <c r="Q306" t="s">
        <v>251</v>
      </c>
      <c r="S306" t="s">
        <v>420</v>
      </c>
      <c r="T306" t="s">
        <v>1172</v>
      </c>
      <c r="U306">
        <v>1.853321435779E-4</v>
      </c>
      <c r="V306" t="s">
        <v>251</v>
      </c>
      <c r="X306">
        <v>1.1415525114155251E-4</v>
      </c>
      <c r="Y306">
        <v>1.9060404909297337E-4</v>
      </c>
      <c r="Z306" t="s">
        <v>1172</v>
      </c>
      <c r="AA306" t="s">
        <v>25</v>
      </c>
      <c r="AC306" t="s">
        <v>22</v>
      </c>
      <c r="AD306" t="s">
        <v>1172</v>
      </c>
      <c r="AE306">
        <v>1.2938340082984905E-4</v>
      </c>
      <c r="AG306" t="s">
        <v>97</v>
      </c>
      <c r="AH306" t="s">
        <v>1172</v>
      </c>
      <c r="AI306">
        <v>0</v>
      </c>
      <c r="AK306">
        <v>2046</v>
      </c>
      <c r="AL306" t="s">
        <v>158</v>
      </c>
      <c r="AM306">
        <v>0.77249999999999996</v>
      </c>
      <c r="AN306" t="s">
        <v>430</v>
      </c>
    </row>
    <row r="307" spans="5:40" x14ac:dyDescent="0.45">
      <c r="E307" t="s">
        <v>224</v>
      </c>
      <c r="G307" t="s">
        <v>815</v>
      </c>
      <c r="I307" t="s">
        <v>249</v>
      </c>
      <c r="J307" t="s">
        <v>1173</v>
      </c>
      <c r="K307">
        <v>2.2200264471580001E-4</v>
      </c>
      <c r="L307" t="s">
        <v>251</v>
      </c>
      <c r="N307" t="s">
        <v>419</v>
      </c>
      <c r="O307" t="s">
        <v>1173</v>
      </c>
      <c r="P307">
        <v>1.771889372087E-4</v>
      </c>
      <c r="Q307" t="s">
        <v>251</v>
      </c>
      <c r="S307" t="s">
        <v>420</v>
      </c>
      <c r="T307" t="s">
        <v>1173</v>
      </c>
      <c r="U307">
        <v>1.7759294244639999E-4</v>
      </c>
      <c r="V307" t="s">
        <v>251</v>
      </c>
      <c r="X307">
        <v>1.1415525114155251E-4</v>
      </c>
      <c r="Y307">
        <v>1.4585353321897094E-4</v>
      </c>
      <c r="Z307" t="s">
        <v>1173</v>
      </c>
      <c r="AA307" t="s">
        <v>25</v>
      </c>
      <c r="AC307" t="s">
        <v>22</v>
      </c>
      <c r="AD307" t="s">
        <v>1173</v>
      </c>
      <c r="AE307">
        <v>1.2883635989978265E-4</v>
      </c>
      <c r="AG307" t="s">
        <v>97</v>
      </c>
      <c r="AH307" t="s">
        <v>1173</v>
      </c>
      <c r="AI307">
        <v>0</v>
      </c>
      <c r="AK307">
        <v>2046</v>
      </c>
      <c r="AL307" t="s">
        <v>162</v>
      </c>
      <c r="AM307">
        <v>0.67989999999999995</v>
      </c>
      <c r="AN307" t="s">
        <v>430</v>
      </c>
    </row>
    <row r="308" spans="5:40" x14ac:dyDescent="0.45">
      <c r="E308" t="s">
        <v>225</v>
      </c>
      <c r="G308" t="s">
        <v>815</v>
      </c>
      <c r="I308" t="s">
        <v>249</v>
      </c>
      <c r="J308" t="s">
        <v>1174</v>
      </c>
      <c r="K308">
        <v>2.8461061394519999E-4</v>
      </c>
      <c r="L308" t="s">
        <v>251</v>
      </c>
      <c r="N308" t="s">
        <v>419</v>
      </c>
      <c r="O308" t="s">
        <v>1174</v>
      </c>
      <c r="P308">
        <v>1.8256115212570001E-4</v>
      </c>
      <c r="Q308" t="s">
        <v>251</v>
      </c>
      <c r="S308" t="s">
        <v>420</v>
      </c>
      <c r="T308" t="s">
        <v>1174</v>
      </c>
      <c r="U308">
        <v>1.7020757370490001E-4</v>
      </c>
      <c r="V308" t="s">
        <v>251</v>
      </c>
      <c r="X308">
        <v>1.1415525114155251E-4</v>
      </c>
      <c r="Y308">
        <v>1.4452759200788939E-4</v>
      </c>
      <c r="Z308" t="s">
        <v>1174</v>
      </c>
      <c r="AA308" t="s">
        <v>25</v>
      </c>
      <c r="AC308" t="s">
        <v>22</v>
      </c>
      <c r="AD308" t="s">
        <v>1174</v>
      </c>
      <c r="AE308">
        <v>1.2984688153638187E-4</v>
      </c>
      <c r="AG308" t="s">
        <v>97</v>
      </c>
      <c r="AH308" t="s">
        <v>1174</v>
      </c>
      <c r="AI308">
        <v>0</v>
      </c>
      <c r="AK308">
        <v>2046</v>
      </c>
      <c r="AL308" t="s">
        <v>175</v>
      </c>
      <c r="AM308">
        <v>0.45319999999999999</v>
      </c>
      <c r="AN308" t="s">
        <v>430</v>
      </c>
    </row>
    <row r="309" spans="5:40" x14ac:dyDescent="0.45">
      <c r="E309" t="s">
        <v>226</v>
      </c>
      <c r="G309" t="s">
        <v>815</v>
      </c>
      <c r="I309" t="s">
        <v>249</v>
      </c>
      <c r="J309" t="s">
        <v>1175</v>
      </c>
      <c r="K309">
        <v>3.1527131174559998E-4</v>
      </c>
      <c r="L309" t="s">
        <v>251</v>
      </c>
      <c r="N309" t="s">
        <v>419</v>
      </c>
      <c r="O309" t="s">
        <v>1175</v>
      </c>
      <c r="P309">
        <v>1.9693935425190001E-4</v>
      </c>
      <c r="Q309" t="s">
        <v>251</v>
      </c>
      <c r="S309" t="s">
        <v>420</v>
      </c>
      <c r="T309" t="s">
        <v>1175</v>
      </c>
      <c r="U309">
        <v>1.6620215658310001E-4</v>
      </c>
      <c r="V309" t="s">
        <v>251</v>
      </c>
      <c r="X309">
        <v>1.1415525114155251E-4</v>
      </c>
      <c r="Y309">
        <v>1.408812536774151E-4</v>
      </c>
      <c r="Z309" t="s">
        <v>1175</v>
      </c>
      <c r="AA309" t="s">
        <v>25</v>
      </c>
      <c r="AC309" t="s">
        <v>22</v>
      </c>
      <c r="AD309" t="s">
        <v>1175</v>
      </c>
      <c r="AE309">
        <v>1.2987362080791261E-4</v>
      </c>
      <c r="AG309" t="s">
        <v>97</v>
      </c>
      <c r="AH309" t="s">
        <v>1175</v>
      </c>
      <c r="AI309">
        <v>0</v>
      </c>
      <c r="AK309">
        <v>2046</v>
      </c>
      <c r="AL309" t="s">
        <v>166</v>
      </c>
      <c r="AM309">
        <v>0.36359999999999998</v>
      </c>
      <c r="AN309" t="s">
        <v>430</v>
      </c>
    </row>
    <row r="310" spans="5:40" x14ac:dyDescent="0.45">
      <c r="E310" t="s">
        <v>227</v>
      </c>
      <c r="G310" t="s">
        <v>815</v>
      </c>
      <c r="I310" t="s">
        <v>249</v>
      </c>
      <c r="J310" t="s">
        <v>1176</v>
      </c>
      <c r="K310">
        <v>3.2639458754219998E-4</v>
      </c>
      <c r="L310" t="s">
        <v>251</v>
      </c>
      <c r="N310" t="s">
        <v>419</v>
      </c>
      <c r="O310" t="s">
        <v>1176</v>
      </c>
      <c r="P310">
        <v>1.956956100719E-4</v>
      </c>
      <c r="Q310" t="s">
        <v>251</v>
      </c>
      <c r="S310" t="s">
        <v>420</v>
      </c>
      <c r="T310" t="s">
        <v>1176</v>
      </c>
      <c r="U310">
        <v>1.6540467120669999E-4</v>
      </c>
      <c r="V310" t="s">
        <v>251</v>
      </c>
      <c r="X310">
        <v>1.1415525114155251E-4</v>
      </c>
      <c r="Y310">
        <v>1.4054976837464471E-4</v>
      </c>
      <c r="Z310" t="s">
        <v>1176</v>
      </c>
      <c r="AA310" t="s">
        <v>25</v>
      </c>
      <c r="AC310" t="s">
        <v>22</v>
      </c>
      <c r="AD310" t="s">
        <v>1176</v>
      </c>
      <c r="AE310">
        <v>1.3054878741406377E-4</v>
      </c>
      <c r="AG310" t="s">
        <v>97</v>
      </c>
      <c r="AH310" t="s">
        <v>1176</v>
      </c>
      <c r="AI310">
        <v>0</v>
      </c>
      <c r="AK310">
        <v>2046</v>
      </c>
      <c r="AL310" t="s">
        <v>178</v>
      </c>
      <c r="AM310">
        <v>0.27500000000000002</v>
      </c>
      <c r="AN310" t="s">
        <v>430</v>
      </c>
    </row>
    <row r="311" spans="5:40" x14ac:dyDescent="0.45">
      <c r="E311" t="s">
        <v>228</v>
      </c>
      <c r="G311" t="s">
        <v>815</v>
      </c>
      <c r="I311" t="s">
        <v>249</v>
      </c>
      <c r="J311" t="s">
        <v>1177</v>
      </c>
      <c r="K311">
        <v>3.2322029180900002E-4</v>
      </c>
      <c r="L311" t="s">
        <v>251</v>
      </c>
      <c r="N311" t="s">
        <v>419</v>
      </c>
      <c r="O311" t="s">
        <v>1177</v>
      </c>
      <c r="P311">
        <v>2.05800816537E-4</v>
      </c>
      <c r="Q311" t="s">
        <v>251</v>
      </c>
      <c r="S311" t="s">
        <v>420</v>
      </c>
      <c r="T311" t="s">
        <v>1177</v>
      </c>
      <c r="U311">
        <v>1.6797050695960001E-4</v>
      </c>
      <c r="V311" t="s">
        <v>251</v>
      </c>
      <c r="X311">
        <v>1.1415525114155251E-4</v>
      </c>
      <c r="Y311">
        <v>1.4253868019126702E-4</v>
      </c>
      <c r="Z311" t="s">
        <v>1177</v>
      </c>
      <c r="AA311" t="s">
        <v>25</v>
      </c>
      <c r="AC311" t="s">
        <v>22</v>
      </c>
      <c r="AD311" t="s">
        <v>1177</v>
      </c>
      <c r="AE311">
        <v>1.6625239972548449E-4</v>
      </c>
      <c r="AG311" t="s">
        <v>97</v>
      </c>
      <c r="AH311" t="s">
        <v>1177</v>
      </c>
      <c r="AI311">
        <v>0</v>
      </c>
      <c r="AK311">
        <v>2047</v>
      </c>
      <c r="AL311" t="s">
        <v>151</v>
      </c>
      <c r="AM311">
        <v>0.25740000000000002</v>
      </c>
      <c r="AN311" t="s">
        <v>430</v>
      </c>
    </row>
    <row r="312" spans="5:40" x14ac:dyDescent="0.45">
      <c r="E312" t="s">
        <v>229</v>
      </c>
      <c r="G312" t="s">
        <v>815</v>
      </c>
      <c r="I312" t="s">
        <v>249</v>
      </c>
      <c r="J312" t="s">
        <v>1178</v>
      </c>
      <c r="K312">
        <v>3.2158472172189999E-4</v>
      </c>
      <c r="L312" t="s">
        <v>251</v>
      </c>
      <c r="N312" t="s">
        <v>419</v>
      </c>
      <c r="O312" t="s">
        <v>1178</v>
      </c>
      <c r="P312">
        <v>2.1101451022960001E-4</v>
      </c>
      <c r="Q312" t="s">
        <v>251</v>
      </c>
      <c r="S312" t="s">
        <v>420</v>
      </c>
      <c r="T312" t="s">
        <v>1178</v>
      </c>
      <c r="U312">
        <v>1.7283814611719999E-4</v>
      </c>
      <c r="V312" t="s">
        <v>251</v>
      </c>
      <c r="X312">
        <v>1.1415525114155251E-4</v>
      </c>
      <c r="Y312">
        <v>1.4883690094390442E-4</v>
      </c>
      <c r="Z312" t="s">
        <v>1178</v>
      </c>
      <c r="AA312" t="s">
        <v>25</v>
      </c>
      <c r="AC312" t="s">
        <v>22</v>
      </c>
      <c r="AD312" t="s">
        <v>1178</v>
      </c>
      <c r="AE312">
        <v>1.6706683337085827E-4</v>
      </c>
      <c r="AG312" t="s">
        <v>97</v>
      </c>
      <c r="AH312" t="s">
        <v>1178</v>
      </c>
      <c r="AI312">
        <v>0</v>
      </c>
      <c r="AK312">
        <v>2047</v>
      </c>
      <c r="AL312" t="s">
        <v>156</v>
      </c>
      <c r="AM312">
        <v>0.27950000000000003</v>
      </c>
      <c r="AN312" t="s">
        <v>430</v>
      </c>
    </row>
    <row r="313" spans="5:40" x14ac:dyDescent="0.45">
      <c r="E313" t="s">
        <v>230</v>
      </c>
      <c r="G313" t="s">
        <v>815</v>
      </c>
      <c r="I313" t="s">
        <v>249</v>
      </c>
      <c r="J313" t="s">
        <v>1179</v>
      </c>
      <c r="K313">
        <v>3.156218752383E-4</v>
      </c>
      <c r="L313" t="s">
        <v>251</v>
      </c>
      <c r="N313" t="s">
        <v>419</v>
      </c>
      <c r="O313" t="s">
        <v>1179</v>
      </c>
      <c r="P313">
        <v>2.1948800771510001E-4</v>
      </c>
      <c r="Q313" t="s">
        <v>251</v>
      </c>
      <c r="S313" t="s">
        <v>420</v>
      </c>
      <c r="T313" t="s">
        <v>1179</v>
      </c>
      <c r="U313">
        <v>1.791203957583E-4</v>
      </c>
      <c r="V313" t="s">
        <v>251</v>
      </c>
      <c r="X313">
        <v>1.1415525114155251E-4</v>
      </c>
      <c r="Y313">
        <v>1.5049432745775637E-4</v>
      </c>
      <c r="Z313" t="s">
        <v>1179</v>
      </c>
      <c r="AA313" t="s">
        <v>25</v>
      </c>
      <c r="AC313" t="s">
        <v>22</v>
      </c>
      <c r="AD313" t="s">
        <v>1179</v>
      </c>
      <c r="AE313">
        <v>1.5633324412389369E-4</v>
      </c>
      <c r="AG313" t="s">
        <v>97</v>
      </c>
      <c r="AH313" t="s">
        <v>1179</v>
      </c>
      <c r="AI313">
        <v>0</v>
      </c>
      <c r="AK313">
        <v>2047</v>
      </c>
      <c r="AL313" t="s">
        <v>159</v>
      </c>
      <c r="AM313">
        <v>0.2944</v>
      </c>
      <c r="AN313" t="s">
        <v>430</v>
      </c>
    </row>
    <row r="314" spans="5:40" x14ac:dyDescent="0.45">
      <c r="E314" t="s">
        <v>231</v>
      </c>
      <c r="G314" t="s">
        <v>815</v>
      </c>
      <c r="I314" t="s">
        <v>249</v>
      </c>
      <c r="J314" t="s">
        <v>1180</v>
      </c>
      <c r="K314">
        <v>2.9485825278740001E-4</v>
      </c>
      <c r="L314" t="s">
        <v>251</v>
      </c>
      <c r="N314" t="s">
        <v>419</v>
      </c>
      <c r="O314" t="s">
        <v>1180</v>
      </c>
      <c r="P314">
        <v>1.841693668616E-4</v>
      </c>
      <c r="Q314" t="s">
        <v>251</v>
      </c>
      <c r="S314" t="s">
        <v>420</v>
      </c>
      <c r="T314" t="s">
        <v>1180</v>
      </c>
      <c r="U314">
        <v>1.8136718929710001E-4</v>
      </c>
      <c r="V314" t="s">
        <v>251</v>
      </c>
      <c r="X314">
        <v>1.1415525114155251E-4</v>
      </c>
      <c r="Y314">
        <v>1.7237235744060203E-4</v>
      </c>
      <c r="Z314" t="s">
        <v>1180</v>
      </c>
      <c r="AA314" t="s">
        <v>25</v>
      </c>
      <c r="AC314" t="s">
        <v>22</v>
      </c>
      <c r="AD314" t="s">
        <v>1180</v>
      </c>
      <c r="AE314">
        <v>1.2633623801165848E-4</v>
      </c>
      <c r="AG314" t="s">
        <v>97</v>
      </c>
      <c r="AH314" t="s">
        <v>1180</v>
      </c>
      <c r="AI314">
        <v>0</v>
      </c>
      <c r="AK314">
        <v>2047</v>
      </c>
      <c r="AL314" t="s">
        <v>163</v>
      </c>
      <c r="AM314">
        <v>0.33589999999999998</v>
      </c>
      <c r="AN314" t="s">
        <v>430</v>
      </c>
    </row>
    <row r="315" spans="5:40" x14ac:dyDescent="0.45">
      <c r="E315" t="s">
        <v>232</v>
      </c>
      <c r="G315" t="s">
        <v>815</v>
      </c>
      <c r="I315" t="s">
        <v>249</v>
      </c>
      <c r="J315" t="s">
        <v>1181</v>
      </c>
      <c r="K315">
        <v>2.4740565046389999E-4</v>
      </c>
      <c r="L315" t="s">
        <v>251</v>
      </c>
      <c r="N315" t="s">
        <v>419</v>
      </c>
      <c r="O315" t="s">
        <v>1181</v>
      </c>
      <c r="P315">
        <v>2.158703245973E-4</v>
      </c>
      <c r="Q315" t="s">
        <v>251</v>
      </c>
      <c r="S315" t="s">
        <v>420</v>
      </c>
      <c r="T315" t="s">
        <v>1181</v>
      </c>
      <c r="U315">
        <v>1.878500342068E-4</v>
      </c>
      <c r="V315" t="s">
        <v>251</v>
      </c>
      <c r="X315">
        <v>1.1415525114155251E-4</v>
      </c>
      <c r="Y315">
        <v>2.2209515285616027E-4</v>
      </c>
      <c r="Z315" t="s">
        <v>1181</v>
      </c>
      <c r="AA315" t="s">
        <v>25</v>
      </c>
      <c r="AC315" t="s">
        <v>22</v>
      </c>
      <c r="AD315" t="s">
        <v>1181</v>
      </c>
      <c r="AE315">
        <v>1.0185866319789348E-4</v>
      </c>
      <c r="AG315" t="s">
        <v>97</v>
      </c>
      <c r="AH315" t="s">
        <v>1181</v>
      </c>
      <c r="AI315">
        <v>0</v>
      </c>
      <c r="AK315">
        <v>2047</v>
      </c>
      <c r="AL315" t="s">
        <v>167</v>
      </c>
      <c r="AM315">
        <v>0.36180000000000001</v>
      </c>
      <c r="AN315" t="s">
        <v>430</v>
      </c>
    </row>
    <row r="316" spans="5:40" x14ac:dyDescent="0.45">
      <c r="E316" t="s">
        <v>233</v>
      </c>
      <c r="G316" t="s">
        <v>815</v>
      </c>
      <c r="I316" t="s">
        <v>249</v>
      </c>
      <c r="J316" t="s">
        <v>1182</v>
      </c>
      <c r="K316">
        <v>1.7430925399790001E-4</v>
      </c>
      <c r="L316" t="s">
        <v>251</v>
      </c>
      <c r="N316" t="s">
        <v>419</v>
      </c>
      <c r="O316" t="s">
        <v>1182</v>
      </c>
      <c r="P316">
        <v>2.4750241241250001E-4</v>
      </c>
      <c r="Q316" t="s">
        <v>251</v>
      </c>
      <c r="S316" t="s">
        <v>420</v>
      </c>
      <c r="T316" t="s">
        <v>1182</v>
      </c>
      <c r="U316">
        <v>1.9634541735209999E-4</v>
      </c>
      <c r="V316" t="s">
        <v>251</v>
      </c>
      <c r="X316">
        <v>1.1415525114155251E-4</v>
      </c>
      <c r="Y316">
        <v>2.2209515285616027E-4</v>
      </c>
      <c r="Z316" t="s">
        <v>1182</v>
      </c>
      <c r="AA316" t="s">
        <v>25</v>
      </c>
      <c r="AC316" t="s">
        <v>22</v>
      </c>
      <c r="AD316" t="s">
        <v>1182</v>
      </c>
      <c r="AE316">
        <v>7.3087207030817172E-5</v>
      </c>
      <c r="AG316" t="s">
        <v>97</v>
      </c>
      <c r="AH316" t="s">
        <v>1182</v>
      </c>
      <c r="AI316">
        <v>0</v>
      </c>
      <c r="AK316">
        <v>2047</v>
      </c>
      <c r="AL316" t="s">
        <v>169</v>
      </c>
      <c r="AM316">
        <v>0.50639999999999996</v>
      </c>
      <c r="AN316" t="s">
        <v>430</v>
      </c>
    </row>
    <row r="317" spans="5:40" x14ac:dyDescent="0.45">
      <c r="E317" t="s">
        <v>234</v>
      </c>
      <c r="G317" t="s">
        <v>815</v>
      </c>
      <c r="I317" t="s">
        <v>249</v>
      </c>
      <c r="J317" t="s">
        <v>1183</v>
      </c>
      <c r="K317">
        <v>6.6977024383169209E-5</v>
      </c>
      <c r="L317" t="s">
        <v>251</v>
      </c>
      <c r="N317" t="s">
        <v>419</v>
      </c>
      <c r="O317" t="s">
        <v>1183</v>
      </c>
      <c r="P317">
        <v>2.5909155303880001E-4</v>
      </c>
      <c r="Q317" t="s">
        <v>251</v>
      </c>
      <c r="S317" t="s">
        <v>420</v>
      </c>
      <c r="T317" t="s">
        <v>1183</v>
      </c>
      <c r="U317">
        <v>1.97077642811E-4</v>
      </c>
      <c r="V317" t="s">
        <v>251</v>
      </c>
      <c r="X317">
        <v>1.1415525114155251E-4</v>
      </c>
      <c r="Y317">
        <v>1.7237235744060203E-4</v>
      </c>
      <c r="Z317" t="s">
        <v>1183</v>
      </c>
      <c r="AA317" t="s">
        <v>25</v>
      </c>
      <c r="AC317" t="s">
        <v>22</v>
      </c>
      <c r="AD317" t="s">
        <v>1183</v>
      </c>
      <c r="AE317">
        <v>5.5359070005936496E-5</v>
      </c>
      <c r="AG317" t="s">
        <v>97</v>
      </c>
      <c r="AH317" t="s">
        <v>1183</v>
      </c>
      <c r="AI317">
        <v>0</v>
      </c>
      <c r="AK317">
        <v>2047</v>
      </c>
      <c r="AL317" t="s">
        <v>171</v>
      </c>
      <c r="AM317">
        <v>0.51149999999999995</v>
      </c>
      <c r="AN317" t="s">
        <v>430</v>
      </c>
    </row>
    <row r="318" spans="5:40" x14ac:dyDescent="0.45">
      <c r="E318" t="s">
        <v>235</v>
      </c>
      <c r="G318" t="s">
        <v>815</v>
      </c>
      <c r="I318" t="s">
        <v>249</v>
      </c>
      <c r="J318" t="s">
        <v>1184</v>
      </c>
      <c r="K318">
        <v>0</v>
      </c>
      <c r="L318" t="s">
        <v>251</v>
      </c>
      <c r="N318" t="s">
        <v>419</v>
      </c>
      <c r="O318" t="s">
        <v>1184</v>
      </c>
      <c r="P318">
        <v>2.6911438450469998E-4</v>
      </c>
      <c r="Q318" t="s">
        <v>251</v>
      </c>
      <c r="S318" t="s">
        <v>420</v>
      </c>
      <c r="T318" t="s">
        <v>1184</v>
      </c>
      <c r="U318">
        <v>1.9343479284309999E-4</v>
      </c>
      <c r="V318" t="s">
        <v>251</v>
      </c>
      <c r="X318">
        <v>1.1415525114155251E-4</v>
      </c>
      <c r="Y318">
        <v>1.5579809230208258E-4</v>
      </c>
      <c r="Z318" t="s">
        <v>1184</v>
      </c>
      <c r="AA318" t="s">
        <v>25</v>
      </c>
      <c r="AC318" t="s">
        <v>22</v>
      </c>
      <c r="AD318" t="s">
        <v>1184</v>
      </c>
      <c r="AE318">
        <v>5.0842361389868984E-5</v>
      </c>
      <c r="AG318" t="s">
        <v>97</v>
      </c>
      <c r="AH318" t="s">
        <v>1184</v>
      </c>
      <c r="AI318">
        <v>0</v>
      </c>
      <c r="AK318">
        <v>2047</v>
      </c>
      <c r="AL318" t="s">
        <v>158</v>
      </c>
      <c r="AM318">
        <v>0.62080000000000002</v>
      </c>
      <c r="AN318" t="s">
        <v>430</v>
      </c>
    </row>
    <row r="319" spans="5:40" x14ac:dyDescent="0.45">
      <c r="E319" t="s">
        <v>236</v>
      </c>
      <c r="G319" t="s">
        <v>815</v>
      </c>
      <c r="I319" t="s">
        <v>249</v>
      </c>
      <c r="J319" t="s">
        <v>1185</v>
      </c>
      <c r="K319">
        <v>0</v>
      </c>
      <c r="L319" t="s">
        <v>251</v>
      </c>
      <c r="N319" t="s">
        <v>419</v>
      </c>
      <c r="O319" t="s">
        <v>1185</v>
      </c>
      <c r="P319">
        <v>2.768001867081E-4</v>
      </c>
      <c r="Q319" t="s">
        <v>251</v>
      </c>
      <c r="S319" t="s">
        <v>420</v>
      </c>
      <c r="T319" t="s">
        <v>1185</v>
      </c>
      <c r="U319">
        <v>1.8975049941419999E-4</v>
      </c>
      <c r="V319" t="s">
        <v>251</v>
      </c>
      <c r="X319">
        <v>1.1415525114155251E-4</v>
      </c>
      <c r="Y319">
        <v>1.093901499142282E-4</v>
      </c>
      <c r="Z319" t="s">
        <v>1185</v>
      </c>
      <c r="AA319" t="s">
        <v>25</v>
      </c>
      <c r="AC319" t="s">
        <v>22</v>
      </c>
      <c r="AD319" t="s">
        <v>1185</v>
      </c>
      <c r="AE319">
        <v>4.9173385191825293E-5</v>
      </c>
      <c r="AG319" t="s">
        <v>97</v>
      </c>
      <c r="AH319" t="s">
        <v>1185</v>
      </c>
      <c r="AI319">
        <v>0</v>
      </c>
      <c r="AK319">
        <v>2047</v>
      </c>
      <c r="AL319" t="s">
        <v>162</v>
      </c>
      <c r="AM319">
        <v>0.61750000000000005</v>
      </c>
      <c r="AN319" t="s">
        <v>430</v>
      </c>
    </row>
    <row r="320" spans="5:40" x14ac:dyDescent="0.45">
      <c r="E320" t="s">
        <v>237</v>
      </c>
      <c r="G320" t="s">
        <v>815</v>
      </c>
      <c r="I320" t="s">
        <v>249</v>
      </c>
      <c r="J320" t="s">
        <v>1186</v>
      </c>
      <c r="K320">
        <v>0</v>
      </c>
      <c r="L320" t="s">
        <v>251</v>
      </c>
      <c r="N320" t="s">
        <v>419</v>
      </c>
      <c r="O320" t="s">
        <v>1186</v>
      </c>
      <c r="P320">
        <v>2.8206184108399998E-4</v>
      </c>
      <c r="Q320" t="s">
        <v>251</v>
      </c>
      <c r="S320" t="s">
        <v>420</v>
      </c>
      <c r="T320" t="s">
        <v>1186</v>
      </c>
      <c r="U320">
        <v>1.9041637668470001E-4</v>
      </c>
      <c r="V320" t="s">
        <v>251</v>
      </c>
      <c r="X320">
        <v>1.1415525114155251E-4</v>
      </c>
      <c r="Y320">
        <v>7.9556472664893237E-5</v>
      </c>
      <c r="Z320" t="s">
        <v>1186</v>
      </c>
      <c r="AA320" t="s">
        <v>25</v>
      </c>
      <c r="AC320" t="s">
        <v>22</v>
      </c>
      <c r="AD320" t="s">
        <v>1186</v>
      </c>
      <c r="AE320">
        <v>5.0280836687723458E-5</v>
      </c>
      <c r="AG320" t="s">
        <v>97</v>
      </c>
      <c r="AH320" t="s">
        <v>1186</v>
      </c>
      <c r="AI320">
        <v>0</v>
      </c>
      <c r="AK320">
        <v>2047</v>
      </c>
      <c r="AL320" t="s">
        <v>175</v>
      </c>
      <c r="AM320">
        <v>0.44309999999999999</v>
      </c>
      <c r="AN320" t="s">
        <v>430</v>
      </c>
    </row>
    <row r="321" spans="5:40" x14ac:dyDescent="0.45">
      <c r="E321" t="s">
        <v>238</v>
      </c>
      <c r="G321" t="s">
        <v>815</v>
      </c>
      <c r="I321" t="s">
        <v>249</v>
      </c>
      <c r="J321" t="s">
        <v>1187</v>
      </c>
      <c r="K321">
        <v>0</v>
      </c>
      <c r="L321" t="s">
        <v>251</v>
      </c>
      <c r="N321" t="s">
        <v>419</v>
      </c>
      <c r="O321" t="s">
        <v>1187</v>
      </c>
      <c r="P321">
        <v>2.907673734256E-4</v>
      </c>
      <c r="Q321" t="s">
        <v>251</v>
      </c>
      <c r="S321" t="s">
        <v>420</v>
      </c>
      <c r="T321" t="s">
        <v>1187</v>
      </c>
      <c r="U321">
        <v>1.9810828326999999E-4</v>
      </c>
      <c r="V321" t="s">
        <v>251</v>
      </c>
      <c r="X321">
        <v>1.1415525114155251E-4</v>
      </c>
      <c r="Y321">
        <v>5.6352501470966035E-5</v>
      </c>
      <c r="Z321" t="s">
        <v>1187</v>
      </c>
      <c r="AA321" t="s">
        <v>25</v>
      </c>
      <c r="AC321" t="s">
        <v>22</v>
      </c>
      <c r="AD321" t="s">
        <v>1187</v>
      </c>
      <c r="AE321">
        <v>6.4639825499730857E-5</v>
      </c>
      <c r="AG321" t="s">
        <v>97</v>
      </c>
      <c r="AH321" t="s">
        <v>1187</v>
      </c>
      <c r="AI321">
        <v>0</v>
      </c>
      <c r="AK321">
        <v>2047</v>
      </c>
      <c r="AL321" t="s">
        <v>166</v>
      </c>
      <c r="AM321">
        <v>0.31790000000000002</v>
      </c>
      <c r="AN321" t="s">
        <v>430</v>
      </c>
    </row>
    <row r="322" spans="5:40" x14ac:dyDescent="0.45">
      <c r="E322" t="s">
        <v>239</v>
      </c>
      <c r="G322" t="s">
        <v>815</v>
      </c>
      <c r="I322" t="s">
        <v>249</v>
      </c>
      <c r="J322" t="s">
        <v>1188</v>
      </c>
      <c r="K322">
        <v>0</v>
      </c>
      <c r="L322" t="s">
        <v>251</v>
      </c>
      <c r="N322" t="s">
        <v>419</v>
      </c>
      <c r="O322" t="s">
        <v>1188</v>
      </c>
      <c r="P322">
        <v>3.0086870076910001E-4</v>
      </c>
      <c r="Q322" t="s">
        <v>251</v>
      </c>
      <c r="S322" t="s">
        <v>420</v>
      </c>
      <c r="T322" t="s">
        <v>1188</v>
      </c>
      <c r="U322">
        <v>2.041726988663E-4</v>
      </c>
      <c r="V322" t="s">
        <v>251</v>
      </c>
      <c r="X322">
        <v>1.1415525114155251E-4</v>
      </c>
      <c r="Y322">
        <v>2.9833677249334962E-5</v>
      </c>
      <c r="Z322" t="s">
        <v>1188</v>
      </c>
      <c r="AA322" t="s">
        <v>25</v>
      </c>
      <c r="AC322" t="s">
        <v>22</v>
      </c>
      <c r="AD322" t="s">
        <v>1188</v>
      </c>
      <c r="AE322">
        <v>8.0477273200125441E-5</v>
      </c>
      <c r="AG322" t="s">
        <v>97</v>
      </c>
      <c r="AH322" t="s">
        <v>1188</v>
      </c>
      <c r="AI322">
        <v>0</v>
      </c>
      <c r="AK322">
        <v>2047</v>
      </c>
      <c r="AL322" t="s">
        <v>178</v>
      </c>
      <c r="AM322">
        <v>0.24079999999999999</v>
      </c>
      <c r="AN322" t="s">
        <v>430</v>
      </c>
    </row>
    <row r="323" spans="5:40" x14ac:dyDescent="0.45">
      <c r="E323" t="s">
        <v>533</v>
      </c>
      <c r="G323" t="s">
        <v>817</v>
      </c>
      <c r="I323" t="s">
        <v>249</v>
      </c>
      <c r="J323" t="s">
        <v>1189</v>
      </c>
      <c r="K323">
        <v>0</v>
      </c>
      <c r="L323" t="s">
        <v>251</v>
      </c>
      <c r="N323" t="s">
        <v>419</v>
      </c>
      <c r="O323" t="s">
        <v>1189</v>
      </c>
      <c r="P323">
        <v>3.0448017418200003E-4</v>
      </c>
      <c r="Q323" t="s">
        <v>251</v>
      </c>
      <c r="S323" t="s">
        <v>420</v>
      </c>
      <c r="T323" t="s">
        <v>1189</v>
      </c>
      <c r="U323">
        <v>2.034218940266E-4</v>
      </c>
      <c r="V323" t="s">
        <v>251</v>
      </c>
      <c r="X323">
        <v>1.1415525114155251E-4</v>
      </c>
      <c r="Y323">
        <v>2.1546544680075254E-5</v>
      </c>
      <c r="Z323" t="s">
        <v>1189</v>
      </c>
      <c r="AA323" t="s">
        <v>25</v>
      </c>
      <c r="AC323" t="s">
        <v>22</v>
      </c>
      <c r="AD323" t="s">
        <v>1189</v>
      </c>
      <c r="AE323">
        <v>8.5124335764905307E-5</v>
      </c>
      <c r="AG323" t="s">
        <v>97</v>
      </c>
      <c r="AH323" t="s">
        <v>1189</v>
      </c>
      <c r="AI323">
        <v>0</v>
      </c>
      <c r="AK323">
        <v>2048</v>
      </c>
      <c r="AL323" t="s">
        <v>151</v>
      </c>
      <c r="AM323">
        <v>0.2341</v>
      </c>
      <c r="AN323" t="s">
        <v>430</v>
      </c>
    </row>
    <row r="324" spans="5:40" x14ac:dyDescent="0.45">
      <c r="E324" t="s">
        <v>534</v>
      </c>
      <c r="G324" t="s">
        <v>817</v>
      </c>
      <c r="I324" t="s">
        <v>249</v>
      </c>
      <c r="J324" t="s">
        <v>1190</v>
      </c>
      <c r="K324">
        <v>0</v>
      </c>
      <c r="L324" t="s">
        <v>251</v>
      </c>
      <c r="N324" t="s">
        <v>419</v>
      </c>
      <c r="O324" t="s">
        <v>1190</v>
      </c>
      <c r="P324">
        <v>2.9725454780980001E-4</v>
      </c>
      <c r="Q324" t="s">
        <v>251</v>
      </c>
      <c r="S324" t="s">
        <v>420</v>
      </c>
      <c r="T324" t="s">
        <v>1190</v>
      </c>
      <c r="U324">
        <v>1.9646118992950001E-4</v>
      </c>
      <c r="V324" t="s">
        <v>251</v>
      </c>
      <c r="X324">
        <v>1.1415525114155251E-4</v>
      </c>
      <c r="Y324">
        <v>1.4916838624667481E-5</v>
      </c>
      <c r="Z324" t="s">
        <v>1190</v>
      </c>
      <c r="AA324" t="s">
        <v>25</v>
      </c>
      <c r="AC324" t="s">
        <v>22</v>
      </c>
      <c r="AD324" t="s">
        <v>1190</v>
      </c>
      <c r="AE324">
        <v>9.8911772647943173E-5</v>
      </c>
      <c r="AG324" t="s">
        <v>97</v>
      </c>
      <c r="AH324" t="s">
        <v>1190</v>
      </c>
      <c r="AI324">
        <v>0</v>
      </c>
      <c r="AK324">
        <v>2048</v>
      </c>
      <c r="AL324" t="s">
        <v>156</v>
      </c>
      <c r="AM324">
        <v>0.2361</v>
      </c>
      <c r="AN324" t="s">
        <v>430</v>
      </c>
    </row>
    <row r="325" spans="5:40" x14ac:dyDescent="0.45">
      <c r="E325" t="s">
        <v>535</v>
      </c>
      <c r="G325" t="s">
        <v>817</v>
      </c>
      <c r="I325" t="s">
        <v>249</v>
      </c>
      <c r="J325" t="s">
        <v>1191</v>
      </c>
      <c r="K325">
        <v>0</v>
      </c>
      <c r="L325" t="s">
        <v>251</v>
      </c>
      <c r="N325" t="s">
        <v>419</v>
      </c>
      <c r="O325" t="s">
        <v>1191</v>
      </c>
      <c r="P325">
        <v>2.8014084277650002E-4</v>
      </c>
      <c r="Q325" t="s">
        <v>251</v>
      </c>
      <c r="S325" t="s">
        <v>420</v>
      </c>
      <c r="T325" t="s">
        <v>1191</v>
      </c>
      <c r="U325">
        <v>1.883313555996E-4</v>
      </c>
      <c r="V325" t="s">
        <v>251</v>
      </c>
      <c r="X325">
        <v>1.1415525114155251E-4</v>
      </c>
      <c r="Y325">
        <v>1.6574265138519424E-5</v>
      </c>
      <c r="Z325" t="s">
        <v>1191</v>
      </c>
      <c r="AA325" t="s">
        <v>25</v>
      </c>
      <c r="AC325" t="s">
        <v>22</v>
      </c>
      <c r="AD325" t="s">
        <v>1191</v>
      </c>
      <c r="AE325">
        <v>1.2726765596997924E-4</v>
      </c>
      <c r="AG325" t="s">
        <v>97</v>
      </c>
      <c r="AH325" t="s">
        <v>1191</v>
      </c>
      <c r="AI325">
        <v>0</v>
      </c>
      <c r="AK325">
        <v>2048</v>
      </c>
      <c r="AL325" t="s">
        <v>159</v>
      </c>
      <c r="AM325">
        <v>0.2873</v>
      </c>
      <c r="AN325" t="s">
        <v>430</v>
      </c>
    </row>
    <row r="326" spans="5:40" x14ac:dyDescent="0.45">
      <c r="E326" t="s">
        <v>536</v>
      </c>
      <c r="G326" t="s">
        <v>817</v>
      </c>
      <c r="I326" t="s">
        <v>249</v>
      </c>
      <c r="J326" t="s">
        <v>1192</v>
      </c>
      <c r="K326">
        <v>0</v>
      </c>
      <c r="L326" t="s">
        <v>251</v>
      </c>
      <c r="N326" t="s">
        <v>419</v>
      </c>
      <c r="O326" t="s">
        <v>1192</v>
      </c>
      <c r="P326">
        <v>2.2878523234230001E-4</v>
      </c>
      <c r="Q326" t="s">
        <v>251</v>
      </c>
      <c r="S326" t="s">
        <v>420</v>
      </c>
      <c r="T326" t="s">
        <v>1192</v>
      </c>
      <c r="U326">
        <v>1.664839532431E-4</v>
      </c>
      <c r="V326" t="s">
        <v>251</v>
      </c>
      <c r="X326">
        <v>1.1415525114155251E-4</v>
      </c>
      <c r="Y326">
        <v>1.4585353321897093E-5</v>
      </c>
      <c r="Z326" t="s">
        <v>1192</v>
      </c>
      <c r="AA326" t="s">
        <v>25</v>
      </c>
      <c r="AC326" t="s">
        <v>22</v>
      </c>
      <c r="AD326" t="s">
        <v>1192</v>
      </c>
      <c r="AE326">
        <v>1.3946856274219316E-4</v>
      </c>
      <c r="AG326" t="s">
        <v>97</v>
      </c>
      <c r="AH326" t="s">
        <v>1192</v>
      </c>
      <c r="AI326">
        <v>0</v>
      </c>
      <c r="AK326">
        <v>2048</v>
      </c>
      <c r="AL326" t="s">
        <v>163</v>
      </c>
      <c r="AM326">
        <v>0.3155</v>
      </c>
      <c r="AN326" t="s">
        <v>430</v>
      </c>
    </row>
    <row r="327" spans="5:40" x14ac:dyDescent="0.45">
      <c r="E327" t="s">
        <v>537</v>
      </c>
      <c r="G327" t="s">
        <v>817</v>
      </c>
      <c r="I327" t="s">
        <v>249</v>
      </c>
      <c r="J327" t="s">
        <v>1193</v>
      </c>
      <c r="K327">
        <v>0</v>
      </c>
      <c r="L327" t="s">
        <v>251</v>
      </c>
      <c r="N327" t="s">
        <v>419</v>
      </c>
      <c r="O327" t="s">
        <v>1193</v>
      </c>
      <c r="P327">
        <v>2.1594029085499999E-4</v>
      </c>
      <c r="Q327" t="s">
        <v>251</v>
      </c>
      <c r="S327" t="s">
        <v>420</v>
      </c>
      <c r="T327" t="s">
        <v>1193</v>
      </c>
      <c r="U327">
        <v>1.6294513786660001E-4</v>
      </c>
      <c r="V327" t="s">
        <v>251</v>
      </c>
      <c r="X327">
        <v>1.1415525114155251E-4</v>
      </c>
      <c r="Y327">
        <v>2.1215059377304864E-5</v>
      </c>
      <c r="Z327" t="s">
        <v>1193</v>
      </c>
      <c r="AA327" t="s">
        <v>25</v>
      </c>
      <c r="AC327" t="s">
        <v>22</v>
      </c>
      <c r="AD327" t="s">
        <v>1193</v>
      </c>
      <c r="AE327">
        <v>1.368091193611983E-4</v>
      </c>
      <c r="AG327" t="s">
        <v>97</v>
      </c>
      <c r="AH327" t="s">
        <v>1193</v>
      </c>
      <c r="AI327">
        <v>0</v>
      </c>
      <c r="AK327">
        <v>2048</v>
      </c>
      <c r="AL327" t="s">
        <v>167</v>
      </c>
      <c r="AM327">
        <v>0.41060000000000002</v>
      </c>
      <c r="AN327" t="s">
        <v>430</v>
      </c>
    </row>
    <row r="328" spans="5:40" x14ac:dyDescent="0.45">
      <c r="E328" t="s">
        <v>538</v>
      </c>
      <c r="G328" t="s">
        <v>817</v>
      </c>
      <c r="I328" t="s">
        <v>249</v>
      </c>
      <c r="J328" t="s">
        <v>1194</v>
      </c>
      <c r="K328">
        <v>0</v>
      </c>
      <c r="L328" t="s">
        <v>251</v>
      </c>
      <c r="N328" t="s">
        <v>419</v>
      </c>
      <c r="O328" t="s">
        <v>1194</v>
      </c>
      <c r="P328">
        <v>2.1279267916699999E-4</v>
      </c>
      <c r="Q328" t="s">
        <v>251</v>
      </c>
      <c r="S328" t="s">
        <v>420</v>
      </c>
      <c r="T328" t="s">
        <v>1194</v>
      </c>
      <c r="U328">
        <v>1.681263697274E-4</v>
      </c>
      <c r="V328" t="s">
        <v>251</v>
      </c>
      <c r="X328">
        <v>1.1415525114155251E-4</v>
      </c>
      <c r="Y328">
        <v>5.7678442682047593E-5</v>
      </c>
      <c r="Z328" t="s">
        <v>1194</v>
      </c>
      <c r="AA328" t="s">
        <v>25</v>
      </c>
      <c r="AC328" t="s">
        <v>22</v>
      </c>
      <c r="AD328" t="s">
        <v>1194</v>
      </c>
      <c r="AE328">
        <v>1.3823409970652403E-4</v>
      </c>
      <c r="AG328" t="s">
        <v>97</v>
      </c>
      <c r="AH328" t="s">
        <v>1194</v>
      </c>
      <c r="AI328">
        <v>0</v>
      </c>
      <c r="AK328">
        <v>2048</v>
      </c>
      <c r="AL328" t="s">
        <v>169</v>
      </c>
      <c r="AM328">
        <v>0.46820000000000001</v>
      </c>
      <c r="AN328" t="s">
        <v>430</v>
      </c>
    </row>
    <row r="329" spans="5:40" x14ac:dyDescent="0.45">
      <c r="E329" t="s">
        <v>539</v>
      </c>
      <c r="G329" t="s">
        <v>817</v>
      </c>
      <c r="I329" t="s">
        <v>249</v>
      </c>
      <c r="J329" t="s">
        <v>1195</v>
      </c>
      <c r="K329">
        <v>1.9950996497769257E-5</v>
      </c>
      <c r="L329" t="s">
        <v>251</v>
      </c>
      <c r="N329" t="s">
        <v>419</v>
      </c>
      <c r="O329" t="s">
        <v>1195</v>
      </c>
      <c r="P329">
        <v>2.0411398424090001E-4</v>
      </c>
      <c r="Q329" t="s">
        <v>251</v>
      </c>
      <c r="S329" t="s">
        <v>420</v>
      </c>
      <c r="T329" t="s">
        <v>1195</v>
      </c>
      <c r="U329">
        <v>1.716533689164E-4</v>
      </c>
      <c r="V329" t="s">
        <v>251</v>
      </c>
      <c r="X329">
        <v>1.1415525114155251E-4</v>
      </c>
      <c r="Y329">
        <v>1.6905750441289813E-4</v>
      </c>
      <c r="Z329" t="s">
        <v>1195</v>
      </c>
      <c r="AA329" t="s">
        <v>25</v>
      </c>
      <c r="AC329" t="s">
        <v>22</v>
      </c>
      <c r="AD329" t="s">
        <v>1195</v>
      </c>
      <c r="AE329">
        <v>1.3831654579374379E-4</v>
      </c>
      <c r="AG329" t="s">
        <v>97</v>
      </c>
      <c r="AH329" t="s">
        <v>1195</v>
      </c>
      <c r="AI329">
        <v>0</v>
      </c>
      <c r="AK329">
        <v>2048</v>
      </c>
      <c r="AL329" t="s">
        <v>171</v>
      </c>
      <c r="AM329">
        <v>0.53469999999999995</v>
      </c>
      <c r="AN329" t="s">
        <v>430</v>
      </c>
    </row>
    <row r="330" spans="5:40" x14ac:dyDescent="0.45">
      <c r="E330" t="s">
        <v>540</v>
      </c>
      <c r="G330" t="s">
        <v>817</v>
      </c>
      <c r="I330" t="s">
        <v>249</v>
      </c>
      <c r="J330" t="s">
        <v>1196</v>
      </c>
      <c r="K330">
        <v>9.5626630561243433E-5</v>
      </c>
      <c r="L330" t="s">
        <v>251</v>
      </c>
      <c r="N330" t="s">
        <v>419</v>
      </c>
      <c r="O330" t="s">
        <v>1196</v>
      </c>
      <c r="P330">
        <v>2.1248900303439999E-4</v>
      </c>
      <c r="Q330" t="s">
        <v>251</v>
      </c>
      <c r="S330" t="s">
        <v>420</v>
      </c>
      <c r="T330" t="s">
        <v>1196</v>
      </c>
      <c r="U330">
        <v>1.68280137885E-4</v>
      </c>
      <c r="V330" t="s">
        <v>251</v>
      </c>
      <c r="X330">
        <v>1.1415525114155251E-4</v>
      </c>
      <c r="Y330">
        <v>1.9060404909297337E-4</v>
      </c>
      <c r="Z330" t="s">
        <v>1196</v>
      </c>
      <c r="AA330" t="s">
        <v>25</v>
      </c>
      <c r="AC330" t="s">
        <v>22</v>
      </c>
      <c r="AD330" t="s">
        <v>1196</v>
      </c>
      <c r="AE330">
        <v>1.3657403659899056E-4</v>
      </c>
      <c r="AG330" t="s">
        <v>97</v>
      </c>
      <c r="AH330" t="s">
        <v>1196</v>
      </c>
      <c r="AI330">
        <v>0</v>
      </c>
      <c r="AK330">
        <v>2048</v>
      </c>
      <c r="AL330" t="s">
        <v>158</v>
      </c>
      <c r="AM330">
        <v>0.68959999999999999</v>
      </c>
      <c r="AN330" t="s">
        <v>430</v>
      </c>
    </row>
    <row r="331" spans="5:40" x14ac:dyDescent="0.45">
      <c r="E331" t="s">
        <v>541</v>
      </c>
      <c r="G331" t="s">
        <v>817</v>
      </c>
      <c r="I331" t="s">
        <v>249</v>
      </c>
      <c r="J331" t="s">
        <v>1197</v>
      </c>
      <c r="K331">
        <v>1.778259179761E-4</v>
      </c>
      <c r="L331" t="s">
        <v>251</v>
      </c>
      <c r="N331" t="s">
        <v>419</v>
      </c>
      <c r="O331" t="s">
        <v>1197</v>
      </c>
      <c r="P331">
        <v>2.361427805255E-4</v>
      </c>
      <c r="Q331" t="s">
        <v>251</v>
      </c>
      <c r="S331" t="s">
        <v>420</v>
      </c>
      <c r="T331" t="s">
        <v>1197</v>
      </c>
      <c r="U331">
        <v>1.5915838329789999E-4</v>
      </c>
      <c r="V331" t="s">
        <v>251</v>
      </c>
      <c r="X331">
        <v>1.1415525114155251E-4</v>
      </c>
      <c r="Y331">
        <v>1.4585353321897094E-4</v>
      </c>
      <c r="Z331" t="s">
        <v>1197</v>
      </c>
      <c r="AA331" t="s">
        <v>25</v>
      </c>
      <c r="AC331" t="s">
        <v>22</v>
      </c>
      <c r="AD331" t="s">
        <v>1197</v>
      </c>
      <c r="AE331">
        <v>1.378786902224279E-4</v>
      </c>
      <c r="AG331" t="s">
        <v>97</v>
      </c>
      <c r="AH331" t="s">
        <v>1197</v>
      </c>
      <c r="AI331">
        <v>0</v>
      </c>
      <c r="AK331">
        <v>2048</v>
      </c>
      <c r="AL331" t="s">
        <v>162</v>
      </c>
      <c r="AM331">
        <v>0.58379999999999999</v>
      </c>
      <c r="AN331" t="s">
        <v>430</v>
      </c>
    </row>
    <row r="332" spans="5:40" x14ac:dyDescent="0.45">
      <c r="E332" t="s">
        <v>542</v>
      </c>
      <c r="G332" t="s">
        <v>817</v>
      </c>
      <c r="I332" t="s">
        <v>249</v>
      </c>
      <c r="J332" t="s">
        <v>1198</v>
      </c>
      <c r="K332">
        <v>2.2556559978650001E-4</v>
      </c>
      <c r="L332" t="s">
        <v>251</v>
      </c>
      <c r="N332" t="s">
        <v>419</v>
      </c>
      <c r="O332" t="s">
        <v>1198</v>
      </c>
      <c r="P332">
        <v>2.3718005519890001E-4</v>
      </c>
      <c r="Q332" t="s">
        <v>251</v>
      </c>
      <c r="S332" t="s">
        <v>420</v>
      </c>
      <c r="T332" t="s">
        <v>1198</v>
      </c>
      <c r="U332">
        <v>1.503424897695E-4</v>
      </c>
      <c r="V332" t="s">
        <v>251</v>
      </c>
      <c r="X332">
        <v>1.1415525114155251E-4</v>
      </c>
      <c r="Y332">
        <v>1.4452759200788939E-4</v>
      </c>
      <c r="Z332" t="s">
        <v>1198</v>
      </c>
      <c r="AA332" t="s">
        <v>25</v>
      </c>
      <c r="AC332" t="s">
        <v>22</v>
      </c>
      <c r="AD332" t="s">
        <v>1198</v>
      </c>
      <c r="AE332">
        <v>1.3667876541248596E-4</v>
      </c>
      <c r="AG332" t="s">
        <v>97</v>
      </c>
      <c r="AH332" t="s">
        <v>1198</v>
      </c>
      <c r="AI332">
        <v>0</v>
      </c>
      <c r="AK332">
        <v>2048</v>
      </c>
      <c r="AL332" t="s">
        <v>175</v>
      </c>
      <c r="AM332">
        <v>0.4778</v>
      </c>
      <c r="AN332" t="s">
        <v>430</v>
      </c>
    </row>
    <row r="333" spans="5:40" x14ac:dyDescent="0.45">
      <c r="E333" t="s">
        <v>543</v>
      </c>
      <c r="G333" t="s">
        <v>817</v>
      </c>
      <c r="I333" t="s">
        <v>249</v>
      </c>
      <c r="J333" t="s">
        <v>1199</v>
      </c>
      <c r="K333">
        <v>2.4967423461939999E-4</v>
      </c>
      <c r="L333" t="s">
        <v>251</v>
      </c>
      <c r="N333" t="s">
        <v>419</v>
      </c>
      <c r="O333" t="s">
        <v>1199</v>
      </c>
      <c r="P333">
        <v>2.36402326187E-4</v>
      </c>
      <c r="Q333" t="s">
        <v>251</v>
      </c>
      <c r="S333" t="s">
        <v>420</v>
      </c>
      <c r="T333" t="s">
        <v>1199</v>
      </c>
      <c r="U333">
        <v>1.4278728398690001E-4</v>
      </c>
      <c r="V333" t="s">
        <v>251</v>
      </c>
      <c r="X333">
        <v>1.1415525114155251E-4</v>
      </c>
      <c r="Y333">
        <v>1.408812536774151E-4</v>
      </c>
      <c r="Z333" t="s">
        <v>1199</v>
      </c>
      <c r="AA333" t="s">
        <v>25</v>
      </c>
      <c r="AC333" t="s">
        <v>22</v>
      </c>
      <c r="AD333" t="s">
        <v>1199</v>
      </c>
      <c r="AE333">
        <v>1.3423992102161973E-4</v>
      </c>
      <c r="AG333" t="s">
        <v>97</v>
      </c>
      <c r="AH333" t="s">
        <v>1199</v>
      </c>
      <c r="AI333">
        <v>0</v>
      </c>
      <c r="AK333">
        <v>2048</v>
      </c>
      <c r="AL333" t="s">
        <v>166</v>
      </c>
      <c r="AM333">
        <v>0.28249999999999997</v>
      </c>
      <c r="AN333" t="s">
        <v>430</v>
      </c>
    </row>
    <row r="334" spans="5:40" x14ac:dyDescent="0.45">
      <c r="E334" t="s">
        <v>544</v>
      </c>
      <c r="G334" t="s">
        <v>817</v>
      </c>
      <c r="I334" t="s">
        <v>249</v>
      </c>
      <c r="J334" t="s">
        <v>1200</v>
      </c>
      <c r="K334">
        <v>2.5534996256659998E-4</v>
      </c>
      <c r="L334" t="s">
        <v>251</v>
      </c>
      <c r="N334" t="s">
        <v>419</v>
      </c>
      <c r="O334" t="s">
        <v>1200</v>
      </c>
      <c r="P334">
        <v>2.4005857599E-4</v>
      </c>
      <c r="Q334" t="s">
        <v>251</v>
      </c>
      <c r="S334" t="s">
        <v>420</v>
      </c>
      <c r="T334" t="s">
        <v>1200</v>
      </c>
      <c r="U334">
        <v>1.3685744494769999E-4</v>
      </c>
      <c r="V334" t="s">
        <v>251</v>
      </c>
      <c r="X334">
        <v>1.1415525114155251E-4</v>
      </c>
      <c r="Y334">
        <v>1.4054976837464471E-4</v>
      </c>
      <c r="Z334" t="s">
        <v>1200</v>
      </c>
      <c r="AA334" t="s">
        <v>25</v>
      </c>
      <c r="AC334" t="s">
        <v>22</v>
      </c>
      <c r="AD334" t="s">
        <v>1200</v>
      </c>
      <c r="AE334">
        <v>1.3558691182498077E-4</v>
      </c>
      <c r="AG334" t="s">
        <v>97</v>
      </c>
      <c r="AH334" t="s">
        <v>1200</v>
      </c>
      <c r="AI334">
        <v>0</v>
      </c>
      <c r="AK334">
        <v>2048</v>
      </c>
      <c r="AL334" t="s">
        <v>178</v>
      </c>
      <c r="AM334">
        <v>0.25080000000000002</v>
      </c>
      <c r="AN334" t="s">
        <v>430</v>
      </c>
    </row>
    <row r="335" spans="5:40" x14ac:dyDescent="0.45">
      <c r="E335" t="s">
        <v>545</v>
      </c>
      <c r="G335" t="s">
        <v>817</v>
      </c>
      <c r="I335" t="s">
        <v>249</v>
      </c>
      <c r="J335" t="s">
        <v>1201</v>
      </c>
      <c r="K335">
        <v>2.4647421666699999E-4</v>
      </c>
      <c r="L335" t="s">
        <v>251</v>
      </c>
      <c r="N335" t="s">
        <v>419</v>
      </c>
      <c r="O335" t="s">
        <v>1201</v>
      </c>
      <c r="P335">
        <v>2.3981355003220001E-4</v>
      </c>
      <c r="Q335" t="s">
        <v>251</v>
      </c>
      <c r="S335" t="s">
        <v>420</v>
      </c>
      <c r="T335" t="s">
        <v>1201</v>
      </c>
      <c r="U335">
        <v>1.4114387043400001E-4</v>
      </c>
      <c r="V335" t="s">
        <v>251</v>
      </c>
      <c r="X335">
        <v>1.1415525114155251E-4</v>
      </c>
      <c r="Y335">
        <v>1.4253868019126702E-4</v>
      </c>
      <c r="Z335" t="s">
        <v>1201</v>
      </c>
      <c r="AA335" t="s">
        <v>25</v>
      </c>
      <c r="AC335" t="s">
        <v>22</v>
      </c>
      <c r="AD335" t="s">
        <v>1201</v>
      </c>
      <c r="AE335">
        <v>1.7660272608050848E-4</v>
      </c>
      <c r="AG335" t="s">
        <v>97</v>
      </c>
      <c r="AH335" t="s">
        <v>1201</v>
      </c>
      <c r="AI335">
        <v>0</v>
      </c>
      <c r="AK335">
        <v>2049</v>
      </c>
      <c r="AL335" t="s">
        <v>151</v>
      </c>
      <c r="AM335">
        <v>0.23300000000000001</v>
      </c>
      <c r="AN335" t="s">
        <v>430</v>
      </c>
    </row>
    <row r="336" spans="5:40" x14ac:dyDescent="0.45">
      <c r="E336" t="s">
        <v>546</v>
      </c>
      <c r="G336" t="s">
        <v>817</v>
      </c>
      <c r="I336" t="s">
        <v>249</v>
      </c>
      <c r="J336" t="s">
        <v>1202</v>
      </c>
      <c r="K336">
        <v>2.3817434424810001E-4</v>
      </c>
      <c r="L336" t="s">
        <v>251</v>
      </c>
      <c r="N336" t="s">
        <v>419</v>
      </c>
      <c r="O336" t="s">
        <v>1202</v>
      </c>
      <c r="P336">
        <v>2.486752263917E-4</v>
      </c>
      <c r="Q336" t="s">
        <v>251</v>
      </c>
      <c r="S336" t="s">
        <v>420</v>
      </c>
      <c r="T336" t="s">
        <v>1202</v>
      </c>
      <c r="U336">
        <v>1.575961240306E-4</v>
      </c>
      <c r="V336" t="s">
        <v>251</v>
      </c>
      <c r="X336">
        <v>1.1415525114155251E-4</v>
      </c>
      <c r="Y336">
        <v>1.4883690094390442E-4</v>
      </c>
      <c r="Z336" t="s">
        <v>1202</v>
      </c>
      <c r="AA336" t="s">
        <v>25</v>
      </c>
      <c r="AC336" t="s">
        <v>22</v>
      </c>
      <c r="AD336" t="s">
        <v>1202</v>
      </c>
      <c r="AE336">
        <v>1.7884771075277683E-4</v>
      </c>
      <c r="AG336" t="s">
        <v>97</v>
      </c>
      <c r="AH336" t="s">
        <v>1202</v>
      </c>
      <c r="AI336">
        <v>0</v>
      </c>
      <c r="AK336">
        <v>2049</v>
      </c>
      <c r="AL336" t="s">
        <v>156</v>
      </c>
      <c r="AM336">
        <v>0.25209999999999999</v>
      </c>
      <c r="AN336" t="s">
        <v>430</v>
      </c>
    </row>
    <row r="337" spans="5:40" x14ac:dyDescent="0.45">
      <c r="E337" t="s">
        <v>547</v>
      </c>
      <c r="G337" t="s">
        <v>817</v>
      </c>
      <c r="I337" t="s">
        <v>249</v>
      </c>
      <c r="J337" t="s">
        <v>1203</v>
      </c>
      <c r="K337">
        <v>2.239089359479E-4</v>
      </c>
      <c r="L337" t="s">
        <v>251</v>
      </c>
      <c r="N337" t="s">
        <v>419</v>
      </c>
      <c r="O337" t="s">
        <v>1203</v>
      </c>
      <c r="P337">
        <v>2.4210196771079999E-4</v>
      </c>
      <c r="Q337" t="s">
        <v>251</v>
      </c>
      <c r="S337" t="s">
        <v>420</v>
      </c>
      <c r="T337" t="s">
        <v>1203</v>
      </c>
      <c r="U337">
        <v>1.612703508766E-4</v>
      </c>
      <c r="V337" t="s">
        <v>251</v>
      </c>
      <c r="X337">
        <v>1.1415525114155251E-4</v>
      </c>
      <c r="Y337">
        <v>1.5049432745775637E-4</v>
      </c>
      <c r="Z337" t="s">
        <v>1203</v>
      </c>
      <c r="AA337" t="s">
        <v>25</v>
      </c>
      <c r="AC337" t="s">
        <v>22</v>
      </c>
      <c r="AD337" t="s">
        <v>1203</v>
      </c>
      <c r="AE337">
        <v>1.6998252810402272E-4</v>
      </c>
      <c r="AG337" t="s">
        <v>97</v>
      </c>
      <c r="AH337" t="s">
        <v>1203</v>
      </c>
      <c r="AI337">
        <v>0</v>
      </c>
      <c r="AK337">
        <v>2049</v>
      </c>
      <c r="AL337" t="s">
        <v>159</v>
      </c>
      <c r="AM337">
        <v>0.27529999999999999</v>
      </c>
      <c r="AN337" t="s">
        <v>430</v>
      </c>
    </row>
    <row r="338" spans="5:40" x14ac:dyDescent="0.45">
      <c r="E338" t="s">
        <v>548</v>
      </c>
      <c r="G338" t="s">
        <v>817</v>
      </c>
      <c r="I338" t="s">
        <v>249</v>
      </c>
      <c r="J338" t="s">
        <v>1204</v>
      </c>
      <c r="K338">
        <v>1.984075830012E-4</v>
      </c>
      <c r="L338" t="s">
        <v>251</v>
      </c>
      <c r="N338" t="s">
        <v>419</v>
      </c>
      <c r="O338" t="s">
        <v>1204</v>
      </c>
      <c r="P338">
        <v>2.2302214972660001E-4</v>
      </c>
      <c r="Q338" t="s">
        <v>251</v>
      </c>
      <c r="S338" t="s">
        <v>420</v>
      </c>
      <c r="T338" t="s">
        <v>1204</v>
      </c>
      <c r="U338">
        <v>1.6114489316479999E-4</v>
      </c>
      <c r="V338" t="s">
        <v>251</v>
      </c>
      <c r="X338">
        <v>1.1415525114155251E-4</v>
      </c>
      <c r="Y338">
        <v>1.7237235744060203E-4</v>
      </c>
      <c r="Z338" t="s">
        <v>1204</v>
      </c>
      <c r="AA338" t="s">
        <v>25</v>
      </c>
      <c r="AC338" t="s">
        <v>22</v>
      </c>
      <c r="AD338" t="s">
        <v>1204</v>
      </c>
      <c r="AE338">
        <v>1.3430119851887766E-4</v>
      </c>
      <c r="AG338" t="s">
        <v>97</v>
      </c>
      <c r="AH338" t="s">
        <v>1204</v>
      </c>
      <c r="AI338">
        <v>0</v>
      </c>
      <c r="AK338">
        <v>2049</v>
      </c>
      <c r="AL338" t="s">
        <v>163</v>
      </c>
      <c r="AM338">
        <v>0.30709999999999998</v>
      </c>
      <c r="AN338" t="s">
        <v>430</v>
      </c>
    </row>
    <row r="339" spans="5:40" x14ac:dyDescent="0.45">
      <c r="E339" t="s">
        <v>549</v>
      </c>
      <c r="G339" t="s">
        <v>817</v>
      </c>
      <c r="I339" t="s">
        <v>249</v>
      </c>
      <c r="J339" t="s">
        <v>1205</v>
      </c>
      <c r="K339">
        <v>1.541430318089E-4</v>
      </c>
      <c r="L339" t="s">
        <v>251</v>
      </c>
      <c r="N339" t="s">
        <v>419</v>
      </c>
      <c r="O339" t="s">
        <v>1205</v>
      </c>
      <c r="P339">
        <v>2.248306533483E-4</v>
      </c>
      <c r="Q339" t="s">
        <v>251</v>
      </c>
      <c r="S339" t="s">
        <v>420</v>
      </c>
      <c r="T339" t="s">
        <v>1205</v>
      </c>
      <c r="U339">
        <v>1.6292579327149999E-4</v>
      </c>
      <c r="V339" t="s">
        <v>251</v>
      </c>
      <c r="X339">
        <v>1.1415525114155251E-4</v>
      </c>
      <c r="Y339">
        <v>2.2209515285616027E-4</v>
      </c>
      <c r="Z339" t="s">
        <v>1205</v>
      </c>
      <c r="AA339" t="s">
        <v>25</v>
      </c>
      <c r="AC339" t="s">
        <v>22</v>
      </c>
      <c r="AD339" t="s">
        <v>1205</v>
      </c>
      <c r="AE339">
        <v>8.8715197104220973E-5</v>
      </c>
      <c r="AG339" t="s">
        <v>97</v>
      </c>
      <c r="AH339" t="s">
        <v>1205</v>
      </c>
      <c r="AI339">
        <v>0</v>
      </c>
      <c r="AK339">
        <v>2049</v>
      </c>
      <c r="AL339" t="s">
        <v>167</v>
      </c>
      <c r="AM339">
        <v>0.41820000000000002</v>
      </c>
      <c r="AN339" t="s">
        <v>430</v>
      </c>
    </row>
    <row r="340" spans="5:40" x14ac:dyDescent="0.45">
      <c r="E340" t="s">
        <v>550</v>
      </c>
      <c r="G340" t="s">
        <v>817</v>
      </c>
      <c r="I340" t="s">
        <v>249</v>
      </c>
      <c r="J340" t="s">
        <v>1206</v>
      </c>
      <c r="K340">
        <v>9.4635246970091761E-5</v>
      </c>
      <c r="L340" t="s">
        <v>251</v>
      </c>
      <c r="N340" t="s">
        <v>419</v>
      </c>
      <c r="O340" t="s">
        <v>1206</v>
      </c>
      <c r="P340">
        <v>2.3536014892130001E-4</v>
      </c>
      <c r="Q340" t="s">
        <v>251</v>
      </c>
      <c r="S340" t="s">
        <v>420</v>
      </c>
      <c r="T340" t="s">
        <v>1206</v>
      </c>
      <c r="U340">
        <v>1.664676977194E-4</v>
      </c>
      <c r="V340" t="s">
        <v>251</v>
      </c>
      <c r="X340">
        <v>1.1415525114155251E-4</v>
      </c>
      <c r="Y340">
        <v>2.2209515285616027E-4</v>
      </c>
      <c r="Z340" t="s">
        <v>1206</v>
      </c>
      <c r="AA340" t="s">
        <v>25</v>
      </c>
      <c r="AC340" t="s">
        <v>22</v>
      </c>
      <c r="AD340" t="s">
        <v>1206</v>
      </c>
      <c r="AE340">
        <v>5.4917872025679289E-5</v>
      </c>
      <c r="AG340" t="s">
        <v>97</v>
      </c>
      <c r="AH340" t="s">
        <v>1206</v>
      </c>
      <c r="AI340">
        <v>0</v>
      </c>
      <c r="AK340">
        <v>2049</v>
      </c>
      <c r="AL340" t="s">
        <v>169</v>
      </c>
      <c r="AM340">
        <v>0.46750000000000003</v>
      </c>
      <c r="AN340" t="s">
        <v>430</v>
      </c>
    </row>
    <row r="341" spans="5:40" x14ac:dyDescent="0.45">
      <c r="E341" t="s">
        <v>551</v>
      </c>
      <c r="G341" t="s">
        <v>817</v>
      </c>
      <c r="I341" t="s">
        <v>249</v>
      </c>
      <c r="J341" t="s">
        <v>1207</v>
      </c>
      <c r="K341">
        <v>2.822090409670705E-5</v>
      </c>
      <c r="L341" t="s">
        <v>251</v>
      </c>
      <c r="N341" t="s">
        <v>419</v>
      </c>
      <c r="O341" t="s">
        <v>1207</v>
      </c>
      <c r="P341">
        <v>2.5209350272319998E-4</v>
      </c>
      <c r="Q341" t="s">
        <v>251</v>
      </c>
      <c r="S341" t="s">
        <v>420</v>
      </c>
      <c r="T341" t="s">
        <v>1207</v>
      </c>
      <c r="U341">
        <v>1.664034153305E-4</v>
      </c>
      <c r="V341" t="s">
        <v>251</v>
      </c>
      <c r="X341">
        <v>1.1415525114155251E-4</v>
      </c>
      <c r="Y341">
        <v>1.7237235744060203E-4</v>
      </c>
      <c r="Z341" t="s">
        <v>1207</v>
      </c>
      <c r="AA341" t="s">
        <v>25</v>
      </c>
      <c r="AC341" t="s">
        <v>22</v>
      </c>
      <c r="AD341" t="s">
        <v>1207</v>
      </c>
      <c r="AE341">
        <v>5.4840996620028397E-5</v>
      </c>
      <c r="AG341" t="s">
        <v>97</v>
      </c>
      <c r="AH341" t="s">
        <v>1207</v>
      </c>
      <c r="AI341">
        <v>0</v>
      </c>
      <c r="AK341">
        <v>2049</v>
      </c>
      <c r="AL341" t="s">
        <v>171</v>
      </c>
      <c r="AM341">
        <v>0.52849999999999997</v>
      </c>
      <c r="AN341" t="s">
        <v>430</v>
      </c>
    </row>
    <row r="342" spans="5:40" x14ac:dyDescent="0.45">
      <c r="E342" t="s">
        <v>552</v>
      </c>
      <c r="G342" t="s">
        <v>817</v>
      </c>
      <c r="I342" t="s">
        <v>249</v>
      </c>
      <c r="J342" t="s">
        <v>1208</v>
      </c>
      <c r="K342">
        <v>0</v>
      </c>
      <c r="L342" t="s">
        <v>251</v>
      </c>
      <c r="N342" t="s">
        <v>419</v>
      </c>
      <c r="O342" t="s">
        <v>1208</v>
      </c>
      <c r="P342">
        <v>2.5840671559639999E-4</v>
      </c>
      <c r="Q342" t="s">
        <v>251</v>
      </c>
      <c r="S342" t="s">
        <v>420</v>
      </c>
      <c r="T342" t="s">
        <v>1208</v>
      </c>
      <c r="U342">
        <v>1.7051926654800001E-4</v>
      </c>
      <c r="V342" t="s">
        <v>251</v>
      </c>
      <c r="X342">
        <v>1.1415525114155251E-4</v>
      </c>
      <c r="Y342">
        <v>1.5579809230208258E-4</v>
      </c>
      <c r="Z342" t="s">
        <v>1208</v>
      </c>
      <c r="AA342" t="s">
        <v>25</v>
      </c>
      <c r="AC342" t="s">
        <v>22</v>
      </c>
      <c r="AD342" t="s">
        <v>1208</v>
      </c>
      <c r="AE342">
        <v>5.0324288003960878E-5</v>
      </c>
      <c r="AG342" t="s">
        <v>97</v>
      </c>
      <c r="AH342" t="s">
        <v>1208</v>
      </c>
      <c r="AI342">
        <v>0</v>
      </c>
      <c r="AK342">
        <v>2049</v>
      </c>
      <c r="AL342" t="s">
        <v>158</v>
      </c>
      <c r="AM342">
        <v>0.65500000000000003</v>
      </c>
      <c r="AN342" t="s">
        <v>430</v>
      </c>
    </row>
    <row r="343" spans="5:40" x14ac:dyDescent="0.45">
      <c r="E343" t="s">
        <v>553</v>
      </c>
      <c r="G343" t="s">
        <v>817</v>
      </c>
      <c r="I343" t="s">
        <v>249</v>
      </c>
      <c r="J343" t="s">
        <v>1209</v>
      </c>
      <c r="K343">
        <v>0</v>
      </c>
      <c r="L343" t="s">
        <v>251</v>
      </c>
      <c r="N343" t="s">
        <v>419</v>
      </c>
      <c r="O343" t="s">
        <v>1209</v>
      </c>
      <c r="P343">
        <v>2.5414486127610001E-4</v>
      </c>
      <c r="Q343" t="s">
        <v>251</v>
      </c>
      <c r="S343" t="s">
        <v>420</v>
      </c>
      <c r="T343" t="s">
        <v>1209</v>
      </c>
      <c r="U343">
        <v>1.706210527805E-4</v>
      </c>
      <c r="V343" t="s">
        <v>251</v>
      </c>
      <c r="X343">
        <v>1.1415525114155251E-4</v>
      </c>
      <c r="Y343">
        <v>1.093901499142282E-4</v>
      </c>
      <c r="Z343" t="s">
        <v>1209</v>
      </c>
      <c r="AA343" t="s">
        <v>25</v>
      </c>
      <c r="AC343" t="s">
        <v>22</v>
      </c>
      <c r="AD343" t="s">
        <v>1209</v>
      </c>
      <c r="AE343">
        <v>4.9173385191825293E-5</v>
      </c>
      <c r="AG343" t="s">
        <v>97</v>
      </c>
      <c r="AH343" t="s">
        <v>1209</v>
      </c>
      <c r="AI343">
        <v>0</v>
      </c>
      <c r="AK343">
        <v>2049</v>
      </c>
      <c r="AL343" t="s">
        <v>162</v>
      </c>
      <c r="AM343">
        <v>0.64280000000000004</v>
      </c>
      <c r="AN343" t="s">
        <v>430</v>
      </c>
    </row>
    <row r="344" spans="5:40" x14ac:dyDescent="0.45">
      <c r="E344" t="s">
        <v>554</v>
      </c>
      <c r="G344" t="s">
        <v>817</v>
      </c>
      <c r="I344" t="s">
        <v>249</v>
      </c>
      <c r="J344" t="s">
        <v>1210</v>
      </c>
      <c r="K344">
        <v>0</v>
      </c>
      <c r="L344" t="s">
        <v>251</v>
      </c>
      <c r="N344" t="s">
        <v>419</v>
      </c>
      <c r="O344" t="s">
        <v>1210</v>
      </c>
      <c r="P344">
        <v>2.5030531389610001E-4</v>
      </c>
      <c r="Q344" t="s">
        <v>251</v>
      </c>
      <c r="S344" t="s">
        <v>420</v>
      </c>
      <c r="T344" t="s">
        <v>1210</v>
      </c>
      <c r="U344">
        <v>1.6867670240689999E-4</v>
      </c>
      <c r="V344" t="s">
        <v>251</v>
      </c>
      <c r="X344">
        <v>1.1415525114155251E-4</v>
      </c>
      <c r="Y344">
        <v>7.9556472664893237E-5</v>
      </c>
      <c r="Z344" t="s">
        <v>1210</v>
      </c>
      <c r="AA344" t="s">
        <v>25</v>
      </c>
      <c r="AC344" t="s">
        <v>22</v>
      </c>
      <c r="AD344" t="s">
        <v>1210</v>
      </c>
      <c r="AE344">
        <v>5.2177096693778417E-5</v>
      </c>
      <c r="AG344" t="s">
        <v>97</v>
      </c>
      <c r="AH344" t="s">
        <v>1210</v>
      </c>
      <c r="AI344">
        <v>0</v>
      </c>
      <c r="AK344">
        <v>2049</v>
      </c>
      <c r="AL344" t="s">
        <v>175</v>
      </c>
      <c r="AM344">
        <v>0.45379999999999998</v>
      </c>
      <c r="AN344" t="s">
        <v>430</v>
      </c>
    </row>
    <row r="345" spans="5:40" x14ac:dyDescent="0.45">
      <c r="E345" t="s">
        <v>555</v>
      </c>
      <c r="G345" t="s">
        <v>817</v>
      </c>
      <c r="I345" t="s">
        <v>249</v>
      </c>
      <c r="J345" t="s">
        <v>1211</v>
      </c>
      <c r="K345">
        <v>0</v>
      </c>
      <c r="L345" t="s">
        <v>251</v>
      </c>
      <c r="N345" t="s">
        <v>419</v>
      </c>
      <c r="O345" t="s">
        <v>1211</v>
      </c>
      <c r="P345">
        <v>2.433275568798E-4</v>
      </c>
      <c r="Q345" t="s">
        <v>251</v>
      </c>
      <c r="S345" t="s">
        <v>420</v>
      </c>
      <c r="T345" t="s">
        <v>1211</v>
      </c>
      <c r="U345">
        <v>1.677568389307E-4</v>
      </c>
      <c r="V345" t="s">
        <v>251</v>
      </c>
      <c r="X345">
        <v>1.1415525114155251E-4</v>
      </c>
      <c r="Y345">
        <v>5.6352501470966035E-5</v>
      </c>
      <c r="Z345" t="s">
        <v>1211</v>
      </c>
      <c r="AA345" t="s">
        <v>25</v>
      </c>
      <c r="AC345" t="s">
        <v>22</v>
      </c>
      <c r="AD345" t="s">
        <v>1211</v>
      </c>
      <c r="AE345">
        <v>6.4639825499730857E-5</v>
      </c>
      <c r="AG345" t="s">
        <v>97</v>
      </c>
      <c r="AH345" t="s">
        <v>1211</v>
      </c>
      <c r="AI345">
        <v>0</v>
      </c>
      <c r="AK345">
        <v>2049</v>
      </c>
      <c r="AL345" t="s">
        <v>166</v>
      </c>
      <c r="AM345">
        <v>0.29730000000000001</v>
      </c>
      <c r="AN345" t="s">
        <v>430</v>
      </c>
    </row>
    <row r="346" spans="5:40" x14ac:dyDescent="0.45">
      <c r="E346" t="s">
        <v>556</v>
      </c>
      <c r="G346" t="s">
        <v>817</v>
      </c>
      <c r="I346" t="s">
        <v>249</v>
      </c>
      <c r="J346" t="s">
        <v>1212</v>
      </c>
      <c r="K346">
        <v>0</v>
      </c>
      <c r="L346" t="s">
        <v>251</v>
      </c>
      <c r="N346" t="s">
        <v>419</v>
      </c>
      <c r="O346" t="s">
        <v>1212</v>
      </c>
      <c r="P346">
        <v>2.416898982741E-4</v>
      </c>
      <c r="Q346" t="s">
        <v>251</v>
      </c>
      <c r="S346" t="s">
        <v>420</v>
      </c>
      <c r="T346" t="s">
        <v>1212</v>
      </c>
      <c r="U346">
        <v>1.7174100174189999E-4</v>
      </c>
      <c r="V346" t="s">
        <v>251</v>
      </c>
      <c r="X346">
        <v>1.1415525114155251E-4</v>
      </c>
      <c r="Y346">
        <v>2.9833677249334962E-5</v>
      </c>
      <c r="Z346" t="s">
        <v>1212</v>
      </c>
      <c r="AA346" t="s">
        <v>25</v>
      </c>
      <c r="AC346" t="s">
        <v>22</v>
      </c>
      <c r="AD346" t="s">
        <v>1212</v>
      </c>
      <c r="AE346">
        <v>8.0477273200125441E-5</v>
      </c>
      <c r="AG346" t="s">
        <v>97</v>
      </c>
      <c r="AH346" t="s">
        <v>1212</v>
      </c>
      <c r="AI346">
        <v>0</v>
      </c>
      <c r="AK346">
        <v>2049</v>
      </c>
      <c r="AL346" t="s">
        <v>178</v>
      </c>
      <c r="AM346">
        <v>0.22620000000000001</v>
      </c>
      <c r="AN346" t="s">
        <v>430</v>
      </c>
    </row>
    <row r="347" spans="5:40" x14ac:dyDescent="0.45">
      <c r="E347" t="s">
        <v>557</v>
      </c>
      <c r="G347" t="s">
        <v>819</v>
      </c>
      <c r="I347" t="s">
        <v>249</v>
      </c>
      <c r="J347" t="s">
        <v>1213</v>
      </c>
      <c r="K347">
        <v>0</v>
      </c>
      <c r="L347" t="s">
        <v>251</v>
      </c>
      <c r="N347" t="s">
        <v>419</v>
      </c>
      <c r="O347" t="s">
        <v>1213</v>
      </c>
      <c r="P347">
        <v>2.3417666173890001E-4</v>
      </c>
      <c r="Q347" t="s">
        <v>251</v>
      </c>
      <c r="S347" t="s">
        <v>420</v>
      </c>
      <c r="T347" t="s">
        <v>1213</v>
      </c>
      <c r="U347">
        <v>1.7822080922089999E-4</v>
      </c>
      <c r="V347" t="s">
        <v>251</v>
      </c>
      <c r="X347">
        <v>1.1415525114155251E-4</v>
      </c>
      <c r="Y347">
        <v>2.1546544680075254E-5</v>
      </c>
      <c r="Z347" t="s">
        <v>1213</v>
      </c>
      <c r="AA347" t="s">
        <v>25</v>
      </c>
      <c r="AC347" t="s">
        <v>22</v>
      </c>
      <c r="AD347" t="s">
        <v>1213</v>
      </c>
      <c r="AE347">
        <v>8.5124335764905307E-5</v>
      </c>
      <c r="AG347" t="s">
        <v>97</v>
      </c>
      <c r="AH347" t="s">
        <v>1213</v>
      </c>
      <c r="AI347">
        <v>0</v>
      </c>
      <c r="AK347">
        <v>2050</v>
      </c>
      <c r="AL347" t="s">
        <v>151</v>
      </c>
      <c r="AM347">
        <v>0.26329999999999998</v>
      </c>
      <c r="AN347" t="s">
        <v>430</v>
      </c>
    </row>
    <row r="348" spans="5:40" x14ac:dyDescent="0.45">
      <c r="E348" t="s">
        <v>558</v>
      </c>
      <c r="G348" t="s">
        <v>819</v>
      </c>
      <c r="I348" t="s">
        <v>249</v>
      </c>
      <c r="J348" t="s">
        <v>1214</v>
      </c>
      <c r="K348">
        <v>0</v>
      </c>
      <c r="L348" t="s">
        <v>251</v>
      </c>
      <c r="N348" t="s">
        <v>419</v>
      </c>
      <c r="O348" t="s">
        <v>1214</v>
      </c>
      <c r="P348">
        <v>2.2756007290360001E-4</v>
      </c>
      <c r="Q348" t="s">
        <v>251</v>
      </c>
      <c r="S348" t="s">
        <v>420</v>
      </c>
      <c r="T348" t="s">
        <v>1214</v>
      </c>
      <c r="U348">
        <v>1.8312089287719999E-4</v>
      </c>
      <c r="V348" t="s">
        <v>251</v>
      </c>
      <c r="X348">
        <v>1.1415525114155251E-4</v>
      </c>
      <c r="Y348">
        <v>1.4916838624667481E-5</v>
      </c>
      <c r="Z348" t="s">
        <v>1214</v>
      </c>
      <c r="AA348" t="s">
        <v>25</v>
      </c>
      <c r="AC348" t="s">
        <v>22</v>
      </c>
      <c r="AD348" t="s">
        <v>1214</v>
      </c>
      <c r="AE348">
        <v>9.7501276074696633E-5</v>
      </c>
      <c r="AG348" t="s">
        <v>97</v>
      </c>
      <c r="AH348" t="s">
        <v>1214</v>
      </c>
      <c r="AI348">
        <v>0</v>
      </c>
      <c r="AK348">
        <v>2050</v>
      </c>
      <c r="AL348" t="s">
        <v>156</v>
      </c>
      <c r="AM348">
        <v>0.2621</v>
      </c>
      <c r="AN348" t="s">
        <v>430</v>
      </c>
    </row>
    <row r="349" spans="5:40" x14ac:dyDescent="0.45">
      <c r="E349" t="s">
        <v>559</v>
      </c>
      <c r="G349" t="s">
        <v>819</v>
      </c>
      <c r="I349" t="s">
        <v>249</v>
      </c>
      <c r="J349" t="s">
        <v>1215</v>
      </c>
      <c r="K349">
        <v>0</v>
      </c>
      <c r="L349" t="s">
        <v>251</v>
      </c>
      <c r="N349" t="s">
        <v>419</v>
      </c>
      <c r="O349" t="s">
        <v>1215</v>
      </c>
      <c r="P349">
        <v>2.3210937300460001E-4</v>
      </c>
      <c r="Q349" t="s">
        <v>251</v>
      </c>
      <c r="S349" t="s">
        <v>420</v>
      </c>
      <c r="T349" t="s">
        <v>1215</v>
      </c>
      <c r="U349">
        <v>1.8392144237890001E-4</v>
      </c>
      <c r="V349" t="s">
        <v>251</v>
      </c>
      <c r="X349">
        <v>1.1415525114155251E-4</v>
      </c>
      <c r="Y349">
        <v>1.6574265138519424E-5</v>
      </c>
      <c r="Z349" t="s">
        <v>1215</v>
      </c>
      <c r="AA349" t="s">
        <v>25</v>
      </c>
      <c r="AC349" t="s">
        <v>22</v>
      </c>
      <c r="AD349" t="s">
        <v>1215</v>
      </c>
      <c r="AE349">
        <v>1.2726765596997924E-4</v>
      </c>
      <c r="AG349" t="s">
        <v>97</v>
      </c>
      <c r="AH349" t="s">
        <v>1215</v>
      </c>
      <c r="AI349">
        <v>0</v>
      </c>
      <c r="AK349">
        <v>2050</v>
      </c>
      <c r="AL349" t="s">
        <v>159</v>
      </c>
      <c r="AM349">
        <v>0.25269999999999998</v>
      </c>
      <c r="AN349" t="s">
        <v>430</v>
      </c>
    </row>
    <row r="350" spans="5:40" x14ac:dyDescent="0.45">
      <c r="E350" t="s">
        <v>560</v>
      </c>
      <c r="G350" t="s">
        <v>819</v>
      </c>
      <c r="I350" t="s">
        <v>249</v>
      </c>
      <c r="J350" t="s">
        <v>1216</v>
      </c>
      <c r="K350">
        <v>0</v>
      </c>
      <c r="L350" t="s">
        <v>251</v>
      </c>
      <c r="N350" t="s">
        <v>419</v>
      </c>
      <c r="O350" t="s">
        <v>1216</v>
      </c>
      <c r="P350">
        <v>1.965195331461E-4</v>
      </c>
      <c r="Q350" t="s">
        <v>251</v>
      </c>
      <c r="S350" t="s">
        <v>420</v>
      </c>
      <c r="T350" t="s">
        <v>1216</v>
      </c>
      <c r="U350">
        <v>1.6784844624980001E-4</v>
      </c>
      <c r="V350" t="s">
        <v>251</v>
      </c>
      <c r="X350">
        <v>1.1415525114155251E-4</v>
      </c>
      <c r="Y350">
        <v>1.4585353321897093E-5</v>
      </c>
      <c r="Z350" t="s">
        <v>1216</v>
      </c>
      <c r="AA350" t="s">
        <v>25</v>
      </c>
      <c r="AC350" t="s">
        <v>22</v>
      </c>
      <c r="AD350" t="s">
        <v>1216</v>
      </c>
      <c r="AE350">
        <v>1.3903293544350486E-4</v>
      </c>
      <c r="AG350" t="s">
        <v>97</v>
      </c>
      <c r="AH350" t="s">
        <v>1216</v>
      </c>
      <c r="AI350">
        <v>0</v>
      </c>
      <c r="AK350">
        <v>2050</v>
      </c>
      <c r="AL350" t="s">
        <v>163</v>
      </c>
      <c r="AM350">
        <v>0.31819999999999998</v>
      </c>
      <c r="AN350" t="s">
        <v>430</v>
      </c>
    </row>
    <row r="351" spans="5:40" x14ac:dyDescent="0.45">
      <c r="E351" t="s">
        <v>561</v>
      </c>
      <c r="G351" t="s">
        <v>819</v>
      </c>
      <c r="I351" t="s">
        <v>249</v>
      </c>
      <c r="J351" t="s">
        <v>1217</v>
      </c>
      <c r="K351">
        <v>0</v>
      </c>
      <c r="L351" t="s">
        <v>251</v>
      </c>
      <c r="N351" t="s">
        <v>419</v>
      </c>
      <c r="O351" t="s">
        <v>1217</v>
      </c>
      <c r="P351">
        <v>1.93882704901E-4</v>
      </c>
      <c r="Q351" t="s">
        <v>251</v>
      </c>
      <c r="S351" t="s">
        <v>420</v>
      </c>
      <c r="T351" t="s">
        <v>1217</v>
      </c>
      <c r="U351">
        <v>1.678184680372E-4</v>
      </c>
      <c r="V351" t="s">
        <v>251</v>
      </c>
      <c r="X351">
        <v>1.1415525114155251E-4</v>
      </c>
      <c r="Y351">
        <v>2.1215059377304864E-5</v>
      </c>
      <c r="Z351" t="s">
        <v>1217</v>
      </c>
      <c r="AA351" t="s">
        <v>25</v>
      </c>
      <c r="AC351" t="s">
        <v>22</v>
      </c>
      <c r="AD351" t="s">
        <v>1217</v>
      </c>
      <c r="AE351">
        <v>1.3659743346157999E-4</v>
      </c>
      <c r="AG351" t="s">
        <v>97</v>
      </c>
      <c r="AH351" t="s">
        <v>1217</v>
      </c>
      <c r="AI351">
        <v>0</v>
      </c>
      <c r="AK351">
        <v>2050</v>
      </c>
      <c r="AL351" t="s">
        <v>167</v>
      </c>
      <c r="AM351">
        <v>0.41739999999999999</v>
      </c>
      <c r="AN351" t="s">
        <v>430</v>
      </c>
    </row>
    <row r="352" spans="5:40" x14ac:dyDescent="0.45">
      <c r="E352" t="s">
        <v>562</v>
      </c>
      <c r="G352" t="s">
        <v>819</v>
      </c>
      <c r="I352" t="s">
        <v>249</v>
      </c>
      <c r="J352" t="s">
        <v>1218</v>
      </c>
      <c r="K352">
        <v>0</v>
      </c>
      <c r="L352" t="s">
        <v>251</v>
      </c>
      <c r="N352" t="s">
        <v>419</v>
      </c>
      <c r="O352" t="s">
        <v>1218</v>
      </c>
      <c r="P352">
        <v>1.9591617777850001E-4</v>
      </c>
      <c r="Q352" t="s">
        <v>251</v>
      </c>
      <c r="S352" t="s">
        <v>420</v>
      </c>
      <c r="T352" t="s">
        <v>1218</v>
      </c>
      <c r="U352">
        <v>1.664646546175E-4</v>
      </c>
      <c r="V352" t="s">
        <v>251</v>
      </c>
      <c r="X352">
        <v>1.1415525114155251E-4</v>
      </c>
      <c r="Y352">
        <v>5.7678442682047593E-5</v>
      </c>
      <c r="Z352" t="s">
        <v>1218</v>
      </c>
      <c r="AA352" t="s">
        <v>25</v>
      </c>
      <c r="AC352" t="s">
        <v>22</v>
      </c>
      <c r="AD352" t="s">
        <v>1218</v>
      </c>
      <c r="AE352">
        <v>1.3831654579374381E-4</v>
      </c>
      <c r="AG352" t="s">
        <v>97</v>
      </c>
      <c r="AH352" t="s">
        <v>1218</v>
      </c>
      <c r="AI352">
        <v>0</v>
      </c>
      <c r="AK352">
        <v>2050</v>
      </c>
      <c r="AL352" t="s">
        <v>169</v>
      </c>
      <c r="AM352">
        <v>0.47360000000000002</v>
      </c>
      <c r="AN352" t="s">
        <v>430</v>
      </c>
    </row>
    <row r="353" spans="5:40" x14ac:dyDescent="0.45">
      <c r="E353" t="s">
        <v>563</v>
      </c>
      <c r="G353" t="s">
        <v>819</v>
      </c>
      <c r="I353" t="s">
        <v>249</v>
      </c>
      <c r="J353" t="s">
        <v>1219</v>
      </c>
      <c r="K353">
        <v>1.488756587949208E-5</v>
      </c>
      <c r="L353" t="s">
        <v>251</v>
      </c>
      <c r="N353" t="s">
        <v>419</v>
      </c>
      <c r="O353" t="s">
        <v>1219</v>
      </c>
      <c r="P353">
        <v>1.9124895709049999E-4</v>
      </c>
      <c r="Q353" t="s">
        <v>251</v>
      </c>
      <c r="S353" t="s">
        <v>420</v>
      </c>
      <c r="T353" t="s">
        <v>1219</v>
      </c>
      <c r="U353">
        <v>1.5864647520449999E-4</v>
      </c>
      <c r="V353" t="s">
        <v>251</v>
      </c>
      <c r="X353">
        <v>1.1415525114155251E-4</v>
      </c>
      <c r="Y353">
        <v>1.6905750441289813E-4</v>
      </c>
      <c r="Z353" t="s">
        <v>1219</v>
      </c>
      <c r="AA353" t="s">
        <v>25</v>
      </c>
      <c r="AC353" t="s">
        <v>22</v>
      </c>
      <c r="AD353" t="s">
        <v>1219</v>
      </c>
      <c r="AE353">
        <v>1.3823409970652401E-4</v>
      </c>
      <c r="AG353" t="s">
        <v>97</v>
      </c>
      <c r="AH353" t="s">
        <v>1219</v>
      </c>
      <c r="AI353">
        <v>0</v>
      </c>
      <c r="AK353">
        <v>2050</v>
      </c>
      <c r="AL353" t="s">
        <v>171</v>
      </c>
      <c r="AM353">
        <v>0.4929</v>
      </c>
      <c r="AN353" t="s">
        <v>430</v>
      </c>
    </row>
    <row r="354" spans="5:40" x14ac:dyDescent="0.45">
      <c r="E354" t="s">
        <v>564</v>
      </c>
      <c r="G354" t="s">
        <v>819</v>
      </c>
      <c r="I354" t="s">
        <v>249</v>
      </c>
      <c r="J354" t="s">
        <v>1220</v>
      </c>
      <c r="K354">
        <v>6.6246735787083716E-5</v>
      </c>
      <c r="L354" t="s">
        <v>251</v>
      </c>
      <c r="N354" t="s">
        <v>419</v>
      </c>
      <c r="O354" t="s">
        <v>1220</v>
      </c>
      <c r="P354">
        <v>2.088194074155E-4</v>
      </c>
      <c r="Q354" t="s">
        <v>251</v>
      </c>
      <c r="S354" t="s">
        <v>420</v>
      </c>
      <c r="T354" t="s">
        <v>1220</v>
      </c>
      <c r="U354">
        <v>1.501502352824E-4</v>
      </c>
      <c r="V354" t="s">
        <v>251</v>
      </c>
      <c r="X354">
        <v>1.1415525114155251E-4</v>
      </c>
      <c r="Y354">
        <v>1.9060404909297337E-4</v>
      </c>
      <c r="Z354" t="s">
        <v>1220</v>
      </c>
      <c r="AA354" t="s">
        <v>25</v>
      </c>
      <c r="AC354" t="s">
        <v>22</v>
      </c>
      <c r="AD354" t="s">
        <v>1220</v>
      </c>
      <c r="AE354">
        <v>1.380023593532576E-4</v>
      </c>
      <c r="AG354" t="s">
        <v>97</v>
      </c>
      <c r="AH354" t="s">
        <v>1220</v>
      </c>
      <c r="AI354">
        <v>0</v>
      </c>
      <c r="AK354">
        <v>2050</v>
      </c>
      <c r="AL354" t="s">
        <v>158</v>
      </c>
      <c r="AM354">
        <v>0.67459999999999998</v>
      </c>
      <c r="AN354" t="s">
        <v>430</v>
      </c>
    </row>
    <row r="355" spans="5:40" x14ac:dyDescent="0.45">
      <c r="E355" t="s">
        <v>565</v>
      </c>
      <c r="G355" t="s">
        <v>819</v>
      </c>
      <c r="I355" t="s">
        <v>249</v>
      </c>
      <c r="J355" t="s">
        <v>1221</v>
      </c>
      <c r="K355">
        <v>1.300120390421E-4</v>
      </c>
      <c r="L355" t="s">
        <v>251</v>
      </c>
      <c r="N355" t="s">
        <v>419</v>
      </c>
      <c r="O355" t="s">
        <v>1221</v>
      </c>
      <c r="P355">
        <v>2.4858730888039997E-4</v>
      </c>
      <c r="Q355" t="s">
        <v>251</v>
      </c>
      <c r="S355" t="s">
        <v>420</v>
      </c>
      <c r="T355" t="s">
        <v>1221</v>
      </c>
      <c r="U355">
        <v>1.442996101135E-4</v>
      </c>
      <c r="V355" t="s">
        <v>251</v>
      </c>
      <c r="X355">
        <v>1.1415525114155251E-4</v>
      </c>
      <c r="Y355">
        <v>1.4585353321897094E-4</v>
      </c>
      <c r="Z355" t="s">
        <v>1221</v>
      </c>
      <c r="AA355" t="s">
        <v>25</v>
      </c>
      <c r="AC355" t="s">
        <v>22</v>
      </c>
      <c r="AD355" t="s">
        <v>1221</v>
      </c>
      <c r="AE355">
        <v>1.3779512999889437E-4</v>
      </c>
      <c r="AG355" t="s">
        <v>97</v>
      </c>
      <c r="AH355" t="s">
        <v>1221</v>
      </c>
      <c r="AI355">
        <v>0</v>
      </c>
      <c r="AK355">
        <v>2050</v>
      </c>
      <c r="AL355" t="s">
        <v>162</v>
      </c>
      <c r="AM355">
        <v>0.63300000000000001</v>
      </c>
      <c r="AN355" t="s">
        <v>430</v>
      </c>
    </row>
    <row r="356" spans="5:40" x14ac:dyDescent="0.45">
      <c r="E356" t="s">
        <v>566</v>
      </c>
      <c r="G356" t="s">
        <v>819</v>
      </c>
      <c r="I356" t="s">
        <v>249</v>
      </c>
      <c r="J356" t="s">
        <v>1222</v>
      </c>
      <c r="K356">
        <v>1.8478173120219999E-4</v>
      </c>
      <c r="L356" t="s">
        <v>251</v>
      </c>
      <c r="N356" t="s">
        <v>419</v>
      </c>
      <c r="O356" t="s">
        <v>1222</v>
      </c>
      <c r="P356">
        <v>2.4989940824370001E-4</v>
      </c>
      <c r="Q356" t="s">
        <v>251</v>
      </c>
      <c r="S356" t="s">
        <v>420</v>
      </c>
      <c r="T356" t="s">
        <v>1222</v>
      </c>
      <c r="U356">
        <v>1.4504310933979999E-4</v>
      </c>
      <c r="V356" t="s">
        <v>251</v>
      </c>
      <c r="X356">
        <v>1.1415525114155251E-4</v>
      </c>
      <c r="Y356">
        <v>1.4452759200788939E-4</v>
      </c>
      <c r="Z356" t="s">
        <v>1222</v>
      </c>
      <c r="AA356" t="s">
        <v>25</v>
      </c>
      <c r="AC356" t="s">
        <v>22</v>
      </c>
      <c r="AD356" t="s">
        <v>1222</v>
      </c>
      <c r="AE356">
        <v>1.3779401586258057E-4</v>
      </c>
      <c r="AG356" t="s">
        <v>97</v>
      </c>
      <c r="AH356" t="s">
        <v>1222</v>
      </c>
      <c r="AI356">
        <v>0</v>
      </c>
      <c r="AK356">
        <v>2050</v>
      </c>
      <c r="AL356" t="s">
        <v>175</v>
      </c>
      <c r="AM356">
        <v>0.48020000000000002</v>
      </c>
      <c r="AN356" t="s">
        <v>430</v>
      </c>
    </row>
    <row r="357" spans="5:40" x14ac:dyDescent="0.45">
      <c r="E357" t="s">
        <v>567</v>
      </c>
      <c r="G357" t="s">
        <v>819</v>
      </c>
      <c r="I357" t="s">
        <v>249</v>
      </c>
      <c r="J357" t="s">
        <v>1223</v>
      </c>
      <c r="K357">
        <v>2.0800386898039999E-4</v>
      </c>
      <c r="L357" t="s">
        <v>251</v>
      </c>
      <c r="N357" t="s">
        <v>419</v>
      </c>
      <c r="O357" t="s">
        <v>1223</v>
      </c>
      <c r="P357">
        <v>2.3979475592710001E-4</v>
      </c>
      <c r="Q357" t="s">
        <v>251</v>
      </c>
      <c r="S357" t="s">
        <v>420</v>
      </c>
      <c r="T357" t="s">
        <v>1223</v>
      </c>
      <c r="U357">
        <v>1.4798905589500001E-4</v>
      </c>
      <c r="V357" t="s">
        <v>251</v>
      </c>
      <c r="X357">
        <v>1.1415525114155251E-4</v>
      </c>
      <c r="Y357">
        <v>1.408812536774151E-4</v>
      </c>
      <c r="Z357" t="s">
        <v>1223</v>
      </c>
      <c r="AA357" t="s">
        <v>25</v>
      </c>
      <c r="AC357" t="s">
        <v>22</v>
      </c>
      <c r="AD357" t="s">
        <v>1223</v>
      </c>
      <c r="AE357">
        <v>1.3539639451532422E-4</v>
      </c>
      <c r="AG357" t="s">
        <v>97</v>
      </c>
      <c r="AH357" t="s">
        <v>1223</v>
      </c>
      <c r="AI357">
        <v>0</v>
      </c>
      <c r="AK357">
        <v>2050</v>
      </c>
      <c r="AL357" t="s">
        <v>166</v>
      </c>
      <c r="AM357">
        <v>0.26769999999999999</v>
      </c>
      <c r="AN357" t="s">
        <v>430</v>
      </c>
    </row>
    <row r="358" spans="5:40" x14ac:dyDescent="0.45">
      <c r="E358" t="s">
        <v>568</v>
      </c>
      <c r="G358" t="s">
        <v>819</v>
      </c>
      <c r="I358" t="s">
        <v>249</v>
      </c>
      <c r="J358" t="s">
        <v>1224</v>
      </c>
      <c r="K358">
        <v>2.1484039344129999E-4</v>
      </c>
      <c r="L358" t="s">
        <v>251</v>
      </c>
      <c r="N358" t="s">
        <v>419</v>
      </c>
      <c r="O358" t="s">
        <v>1224</v>
      </c>
      <c r="P358">
        <v>2.4784281022720002E-4</v>
      </c>
      <c r="Q358" t="s">
        <v>251</v>
      </c>
      <c r="S358" t="s">
        <v>420</v>
      </c>
      <c r="T358" t="s">
        <v>1224</v>
      </c>
      <c r="U358">
        <v>1.538740068082E-4</v>
      </c>
      <c r="V358" t="s">
        <v>251</v>
      </c>
      <c r="X358">
        <v>1.1415525114155251E-4</v>
      </c>
      <c r="Y358">
        <v>1.4054976837464471E-4</v>
      </c>
      <c r="Z358" t="s">
        <v>1224</v>
      </c>
      <c r="AA358" t="s">
        <v>25</v>
      </c>
      <c r="AC358" t="s">
        <v>22</v>
      </c>
      <c r="AD358" t="s">
        <v>1224</v>
      </c>
      <c r="AE358">
        <v>1.3674338531868529E-4</v>
      </c>
      <c r="AG358" t="s">
        <v>97</v>
      </c>
      <c r="AH358" t="s">
        <v>1224</v>
      </c>
      <c r="AI358">
        <v>0</v>
      </c>
      <c r="AK358">
        <v>2050</v>
      </c>
      <c r="AL358" t="s">
        <v>178</v>
      </c>
      <c r="AM358">
        <v>0.23810000000000001</v>
      </c>
      <c r="AN358" t="s">
        <v>430</v>
      </c>
    </row>
    <row r="359" spans="5:40" x14ac:dyDescent="0.45">
      <c r="E359" t="s">
        <v>569</v>
      </c>
      <c r="G359" t="s">
        <v>819</v>
      </c>
      <c r="I359" t="s">
        <v>249</v>
      </c>
      <c r="J359" t="s">
        <v>1225</v>
      </c>
      <c r="K359">
        <v>2.1067352300899999E-4</v>
      </c>
      <c r="L359" t="s">
        <v>251</v>
      </c>
      <c r="N359" t="s">
        <v>419</v>
      </c>
      <c r="O359" t="s">
        <v>1225</v>
      </c>
      <c r="P359">
        <v>2.538910562555E-4</v>
      </c>
      <c r="Q359" t="s">
        <v>251</v>
      </c>
      <c r="S359" t="s">
        <v>420</v>
      </c>
      <c r="T359" t="s">
        <v>1225</v>
      </c>
      <c r="U359">
        <v>1.610700463882E-4</v>
      </c>
      <c r="V359" t="s">
        <v>251</v>
      </c>
      <c r="X359">
        <v>1.1415525114155251E-4</v>
      </c>
      <c r="Y359">
        <v>1.4253868019126702E-4</v>
      </c>
      <c r="Z359" t="s">
        <v>1225</v>
      </c>
      <c r="AA359" t="s">
        <v>25</v>
      </c>
      <c r="AC359" t="s">
        <v>22</v>
      </c>
      <c r="AD359" t="s">
        <v>1225</v>
      </c>
      <c r="AE359">
        <v>1.7732802882077978E-4</v>
      </c>
      <c r="AG359" t="s">
        <v>97</v>
      </c>
      <c r="AH359" t="s">
        <v>1225</v>
      </c>
      <c r="AI359">
        <v>0</v>
      </c>
    </row>
    <row r="360" spans="5:40" x14ac:dyDescent="0.45">
      <c r="E360" t="s">
        <v>570</v>
      </c>
      <c r="G360" t="s">
        <v>819</v>
      </c>
      <c r="I360" t="s">
        <v>249</v>
      </c>
      <c r="J360" t="s">
        <v>1226</v>
      </c>
      <c r="K360">
        <v>2.1489516423509999E-4</v>
      </c>
      <c r="L360" t="s">
        <v>251</v>
      </c>
      <c r="N360" t="s">
        <v>419</v>
      </c>
      <c r="O360" t="s">
        <v>1226</v>
      </c>
      <c r="P360">
        <v>2.5655287885930001E-4</v>
      </c>
      <c r="Q360" t="s">
        <v>251</v>
      </c>
      <c r="S360" t="s">
        <v>420</v>
      </c>
      <c r="T360" t="s">
        <v>1226</v>
      </c>
      <c r="U360">
        <v>1.7088685068949999E-4</v>
      </c>
      <c r="V360" t="s">
        <v>251</v>
      </c>
      <c r="X360">
        <v>1.1415525114155251E-4</v>
      </c>
      <c r="Y360">
        <v>1.4883690094390442E-4</v>
      </c>
      <c r="Z360" t="s">
        <v>1226</v>
      </c>
      <c r="AA360" t="s">
        <v>25</v>
      </c>
      <c r="AC360" t="s">
        <v>22</v>
      </c>
      <c r="AD360" t="s">
        <v>1226</v>
      </c>
      <c r="AE360">
        <v>1.7957412762936191E-4</v>
      </c>
      <c r="AG360" t="s">
        <v>97</v>
      </c>
      <c r="AH360" t="s">
        <v>1226</v>
      </c>
      <c r="AI360">
        <v>0</v>
      </c>
    </row>
    <row r="361" spans="5:40" x14ac:dyDescent="0.45">
      <c r="E361" t="s">
        <v>571</v>
      </c>
      <c r="G361" t="s">
        <v>819</v>
      </c>
      <c r="I361" t="s">
        <v>249</v>
      </c>
      <c r="J361" t="s">
        <v>1227</v>
      </c>
      <c r="K361">
        <v>1.9350782253440001E-4</v>
      </c>
      <c r="L361" t="s">
        <v>251</v>
      </c>
      <c r="N361" t="s">
        <v>419</v>
      </c>
      <c r="O361" t="s">
        <v>1227</v>
      </c>
      <c r="P361">
        <v>2.5092199053839998E-4</v>
      </c>
      <c r="Q361" t="s">
        <v>251</v>
      </c>
      <c r="S361" t="s">
        <v>420</v>
      </c>
      <c r="T361" t="s">
        <v>1227</v>
      </c>
      <c r="U361">
        <v>1.7806116242020001E-4</v>
      </c>
      <c r="V361" t="s">
        <v>251</v>
      </c>
      <c r="X361">
        <v>1.1415525114155251E-4</v>
      </c>
      <c r="Y361">
        <v>1.5049432745775637E-4</v>
      </c>
      <c r="Z361" t="s">
        <v>1227</v>
      </c>
      <c r="AA361" t="s">
        <v>25</v>
      </c>
      <c r="AC361" t="s">
        <v>22</v>
      </c>
      <c r="AD361" t="s">
        <v>1227</v>
      </c>
      <c r="AE361">
        <v>1.6986888620001709E-4</v>
      </c>
      <c r="AG361" t="s">
        <v>97</v>
      </c>
      <c r="AH361" t="s">
        <v>1227</v>
      </c>
      <c r="AI361">
        <v>0</v>
      </c>
    </row>
    <row r="362" spans="5:40" x14ac:dyDescent="0.45">
      <c r="E362" t="s">
        <v>572</v>
      </c>
      <c r="G362" t="s">
        <v>819</v>
      </c>
      <c r="I362" t="s">
        <v>249</v>
      </c>
      <c r="J362" t="s">
        <v>1228</v>
      </c>
      <c r="K362">
        <v>1.747606987149E-4</v>
      </c>
      <c r="L362" t="s">
        <v>251</v>
      </c>
      <c r="N362" t="s">
        <v>419</v>
      </c>
      <c r="O362" t="s">
        <v>1228</v>
      </c>
      <c r="P362">
        <v>2.3456255236959999E-4</v>
      </c>
      <c r="Q362" t="s">
        <v>251</v>
      </c>
      <c r="S362" t="s">
        <v>420</v>
      </c>
      <c r="T362" t="s">
        <v>1228</v>
      </c>
      <c r="U362">
        <v>1.7652163033109999E-4</v>
      </c>
      <c r="V362" t="s">
        <v>251</v>
      </c>
      <c r="X362">
        <v>1.1415525114155251E-4</v>
      </c>
      <c r="Y362">
        <v>1.7237235744060203E-4</v>
      </c>
      <c r="Z362" t="s">
        <v>1228</v>
      </c>
      <c r="AA362" t="s">
        <v>25</v>
      </c>
      <c r="AC362" t="s">
        <v>22</v>
      </c>
      <c r="AD362" t="s">
        <v>1228</v>
      </c>
      <c r="AE362">
        <v>1.3430119851887766E-4</v>
      </c>
      <c r="AG362" t="s">
        <v>97</v>
      </c>
      <c r="AH362" t="s">
        <v>1228</v>
      </c>
      <c r="AI362">
        <v>0</v>
      </c>
    </row>
    <row r="363" spans="5:40" x14ac:dyDescent="0.45">
      <c r="E363" t="s">
        <v>573</v>
      </c>
      <c r="G363" t="s">
        <v>819</v>
      </c>
      <c r="I363" t="s">
        <v>249</v>
      </c>
      <c r="J363" t="s">
        <v>1229</v>
      </c>
      <c r="K363">
        <v>1.424978065152E-4</v>
      </c>
      <c r="L363" t="s">
        <v>251</v>
      </c>
      <c r="N363" t="s">
        <v>419</v>
      </c>
      <c r="O363" t="s">
        <v>1229</v>
      </c>
      <c r="P363">
        <v>2.226413367041E-4</v>
      </c>
      <c r="Q363" t="s">
        <v>251</v>
      </c>
      <c r="S363" t="s">
        <v>420</v>
      </c>
      <c r="T363" t="s">
        <v>1229</v>
      </c>
      <c r="U363">
        <v>1.814023227756E-4</v>
      </c>
      <c r="V363" t="s">
        <v>251</v>
      </c>
      <c r="X363">
        <v>1.1415525114155251E-4</v>
      </c>
      <c r="Y363">
        <v>2.2209515285616027E-4</v>
      </c>
      <c r="Z363" t="s">
        <v>1229</v>
      </c>
      <c r="AA363" t="s">
        <v>25</v>
      </c>
      <c r="AC363" t="s">
        <v>22</v>
      </c>
      <c r="AD363" t="s">
        <v>1229</v>
      </c>
      <c r="AE363">
        <v>8.8715197104220973E-5</v>
      </c>
      <c r="AG363" t="s">
        <v>97</v>
      </c>
      <c r="AH363" t="s">
        <v>1229</v>
      </c>
      <c r="AI363">
        <v>0</v>
      </c>
    </row>
    <row r="364" spans="5:40" x14ac:dyDescent="0.45">
      <c r="E364" t="s">
        <v>574</v>
      </c>
      <c r="G364" t="s">
        <v>819</v>
      </c>
      <c r="I364" t="s">
        <v>249</v>
      </c>
      <c r="J364" t="s">
        <v>1230</v>
      </c>
      <c r="K364">
        <v>8.5454588668604231E-5</v>
      </c>
      <c r="L364" t="s">
        <v>251</v>
      </c>
      <c r="N364" t="s">
        <v>419</v>
      </c>
      <c r="O364" t="s">
        <v>1230</v>
      </c>
      <c r="P364">
        <v>2.1215180331669999E-4</v>
      </c>
      <c r="Q364" t="s">
        <v>251</v>
      </c>
      <c r="S364" t="s">
        <v>420</v>
      </c>
      <c r="T364" t="s">
        <v>1230</v>
      </c>
      <c r="U364">
        <v>1.827108819408E-4</v>
      </c>
      <c r="V364" t="s">
        <v>251</v>
      </c>
      <c r="X364">
        <v>1.1415525114155251E-4</v>
      </c>
      <c r="Y364">
        <v>2.2209515285616027E-4</v>
      </c>
      <c r="Z364" t="s">
        <v>1230</v>
      </c>
      <c r="AA364" t="s">
        <v>25</v>
      </c>
      <c r="AC364" t="s">
        <v>22</v>
      </c>
      <c r="AD364" t="s">
        <v>1230</v>
      </c>
      <c r="AE364">
        <v>6.2267829287691474E-5</v>
      </c>
      <c r="AG364" t="s">
        <v>97</v>
      </c>
      <c r="AH364" t="s">
        <v>1230</v>
      </c>
      <c r="AI364">
        <v>0</v>
      </c>
    </row>
    <row r="365" spans="5:40" x14ac:dyDescent="0.45">
      <c r="E365" t="s">
        <v>575</v>
      </c>
      <c r="G365" t="s">
        <v>819</v>
      </c>
      <c r="I365" t="s">
        <v>249</v>
      </c>
      <c r="J365" t="s">
        <v>1231</v>
      </c>
      <c r="K365">
        <v>2.2124099001327969E-5</v>
      </c>
      <c r="L365" t="s">
        <v>251</v>
      </c>
      <c r="N365" t="s">
        <v>419</v>
      </c>
      <c r="O365" t="s">
        <v>1231</v>
      </c>
      <c r="P365">
        <v>2.18151745601E-4</v>
      </c>
      <c r="Q365" t="s">
        <v>251</v>
      </c>
      <c r="S365" t="s">
        <v>420</v>
      </c>
      <c r="T365" t="s">
        <v>1231</v>
      </c>
      <c r="U365">
        <v>1.8533002796620001E-4</v>
      </c>
      <c r="V365" t="s">
        <v>251</v>
      </c>
      <c r="X365">
        <v>1.1415525114155251E-4</v>
      </c>
      <c r="Y365">
        <v>1.7237235744060203E-4</v>
      </c>
      <c r="Z365" t="s">
        <v>1231</v>
      </c>
      <c r="AA365" t="s">
        <v>25</v>
      </c>
      <c r="AC365" t="s">
        <v>22</v>
      </c>
      <c r="AD365" t="s">
        <v>1231</v>
      </c>
      <c r="AE365">
        <v>5.8533244363898098E-5</v>
      </c>
      <c r="AG365" t="s">
        <v>97</v>
      </c>
      <c r="AH365" t="s">
        <v>1231</v>
      </c>
      <c r="AI365">
        <v>0</v>
      </c>
    </row>
    <row r="366" spans="5:40" x14ac:dyDescent="0.45">
      <c r="E366" t="s">
        <v>576</v>
      </c>
      <c r="G366" t="s">
        <v>819</v>
      </c>
      <c r="I366" t="s">
        <v>249</v>
      </c>
      <c r="J366" t="s">
        <v>1232</v>
      </c>
      <c r="K366">
        <v>0</v>
      </c>
      <c r="L366" t="s">
        <v>251</v>
      </c>
      <c r="N366" t="s">
        <v>419</v>
      </c>
      <c r="O366" t="s">
        <v>1232</v>
      </c>
      <c r="P366">
        <v>2.2316635885640001E-4</v>
      </c>
      <c r="Q366" t="s">
        <v>251</v>
      </c>
      <c r="S366" t="s">
        <v>420</v>
      </c>
      <c r="T366" t="s">
        <v>1232</v>
      </c>
      <c r="U366">
        <v>1.872346722946E-4</v>
      </c>
      <c r="V366" t="s">
        <v>251</v>
      </c>
      <c r="X366">
        <v>1.1415525114155251E-4</v>
      </c>
      <c r="Y366">
        <v>1.5579809230208258E-4</v>
      </c>
      <c r="Z366" t="s">
        <v>1232</v>
      </c>
      <c r="AA366" t="s">
        <v>25</v>
      </c>
      <c r="AC366" t="s">
        <v>22</v>
      </c>
      <c r="AD366" t="s">
        <v>1232</v>
      </c>
      <c r="AE366">
        <v>5.2031144836673129E-5</v>
      </c>
      <c r="AG366" t="s">
        <v>97</v>
      </c>
      <c r="AH366" t="s">
        <v>1232</v>
      </c>
      <c r="AI366">
        <v>0</v>
      </c>
    </row>
    <row r="367" spans="5:40" x14ac:dyDescent="0.45">
      <c r="E367" t="s">
        <v>577</v>
      </c>
      <c r="G367" t="s">
        <v>819</v>
      </c>
      <c r="I367" t="s">
        <v>249</v>
      </c>
      <c r="J367" t="s">
        <v>1233</v>
      </c>
      <c r="K367">
        <v>0</v>
      </c>
      <c r="L367" t="s">
        <v>251</v>
      </c>
      <c r="N367" t="s">
        <v>419</v>
      </c>
      <c r="O367" t="s">
        <v>1233</v>
      </c>
      <c r="P367">
        <v>2.2024897450960001E-4</v>
      </c>
      <c r="Q367" t="s">
        <v>251</v>
      </c>
      <c r="S367" t="s">
        <v>420</v>
      </c>
      <c r="T367" t="s">
        <v>1233</v>
      </c>
      <c r="U367">
        <v>1.9316476988339999E-4</v>
      </c>
      <c r="V367" t="s">
        <v>251</v>
      </c>
      <c r="X367">
        <v>1.1415525114155251E-4</v>
      </c>
      <c r="Y367">
        <v>1.093901499142282E-4</v>
      </c>
      <c r="Z367" t="s">
        <v>1233</v>
      </c>
      <c r="AA367" t="s">
        <v>25</v>
      </c>
      <c r="AC367" t="s">
        <v>22</v>
      </c>
      <c r="AD367" t="s">
        <v>1233</v>
      </c>
      <c r="AE367">
        <v>4.8410201816885434E-5</v>
      </c>
      <c r="AG367" t="s">
        <v>97</v>
      </c>
      <c r="AH367" t="s">
        <v>1233</v>
      </c>
      <c r="AI367">
        <v>0</v>
      </c>
    </row>
    <row r="368" spans="5:40" x14ac:dyDescent="0.45">
      <c r="E368" t="s">
        <v>578</v>
      </c>
      <c r="G368" t="s">
        <v>819</v>
      </c>
      <c r="I368" t="s">
        <v>249</v>
      </c>
      <c r="J368" t="s">
        <v>1234</v>
      </c>
      <c r="K368">
        <v>0</v>
      </c>
      <c r="L368" t="s">
        <v>251</v>
      </c>
      <c r="N368" t="s">
        <v>419</v>
      </c>
      <c r="O368" t="s">
        <v>1234</v>
      </c>
      <c r="P368">
        <v>2.0923848919530001E-4</v>
      </c>
      <c r="Q368" t="s">
        <v>251</v>
      </c>
      <c r="S368" t="s">
        <v>420</v>
      </c>
      <c r="T368" t="s">
        <v>1234</v>
      </c>
      <c r="U368">
        <v>1.9968214108040001E-4</v>
      </c>
      <c r="V368" t="s">
        <v>251</v>
      </c>
      <c r="X368">
        <v>1.1415525114155251E-4</v>
      </c>
      <c r="Y368">
        <v>7.9556472664893237E-5</v>
      </c>
      <c r="Z368" t="s">
        <v>1234</v>
      </c>
      <c r="AA368" t="s">
        <v>25</v>
      </c>
      <c r="AC368" t="s">
        <v>22</v>
      </c>
      <c r="AD368" t="s">
        <v>1234</v>
      </c>
      <c r="AE368">
        <v>4.9456375815525634E-5</v>
      </c>
      <c r="AG368" t="s">
        <v>97</v>
      </c>
      <c r="AH368" t="s">
        <v>1234</v>
      </c>
      <c r="AI368">
        <v>0</v>
      </c>
    </row>
    <row r="369" spans="5:35" x14ac:dyDescent="0.45">
      <c r="E369" t="s">
        <v>579</v>
      </c>
      <c r="G369" t="s">
        <v>819</v>
      </c>
      <c r="I369" t="s">
        <v>249</v>
      </c>
      <c r="J369" t="s">
        <v>1235</v>
      </c>
      <c r="K369">
        <v>0</v>
      </c>
      <c r="L369" t="s">
        <v>251</v>
      </c>
      <c r="N369" t="s">
        <v>419</v>
      </c>
      <c r="O369" t="s">
        <v>1235</v>
      </c>
      <c r="P369">
        <v>1.967975918703E-4</v>
      </c>
      <c r="Q369" t="s">
        <v>251</v>
      </c>
      <c r="S369" t="s">
        <v>420</v>
      </c>
      <c r="T369" t="s">
        <v>1235</v>
      </c>
      <c r="U369">
        <v>2.0343027181309999E-4</v>
      </c>
      <c r="V369" t="s">
        <v>251</v>
      </c>
      <c r="X369">
        <v>1.1415525114155251E-4</v>
      </c>
      <c r="Y369">
        <v>5.6352501470966035E-5</v>
      </c>
      <c r="Z369" t="s">
        <v>1235</v>
      </c>
      <c r="AA369" t="s">
        <v>25</v>
      </c>
      <c r="AC369" t="s">
        <v>22</v>
      </c>
      <c r="AD369" t="s">
        <v>1235</v>
      </c>
      <c r="AE369">
        <v>5.7860306030374468E-5</v>
      </c>
      <c r="AG369" t="s">
        <v>97</v>
      </c>
      <c r="AH369" t="s">
        <v>1235</v>
      </c>
      <c r="AI369">
        <v>0</v>
      </c>
    </row>
    <row r="370" spans="5:35" x14ac:dyDescent="0.45">
      <c r="E370" t="s">
        <v>580</v>
      </c>
      <c r="G370" t="s">
        <v>819</v>
      </c>
      <c r="I370" t="s">
        <v>249</v>
      </c>
      <c r="J370" t="s">
        <v>1236</v>
      </c>
      <c r="K370">
        <v>0</v>
      </c>
      <c r="L370" t="s">
        <v>251</v>
      </c>
      <c r="N370" t="s">
        <v>419</v>
      </c>
      <c r="O370" t="s">
        <v>1236</v>
      </c>
      <c r="P370">
        <v>1.9685121708699999E-4</v>
      </c>
      <c r="Q370" t="s">
        <v>251</v>
      </c>
      <c r="S370" t="s">
        <v>420</v>
      </c>
      <c r="T370" t="s">
        <v>1236</v>
      </c>
      <c r="U370">
        <v>2.0210158460579999E-4</v>
      </c>
      <c r="V370" t="s">
        <v>251</v>
      </c>
      <c r="X370">
        <v>1.1415525114155251E-4</v>
      </c>
      <c r="Y370">
        <v>2.9833677249334962E-5</v>
      </c>
      <c r="Z370" t="s">
        <v>1236</v>
      </c>
      <c r="AA370" t="s">
        <v>25</v>
      </c>
      <c r="AC370" t="s">
        <v>22</v>
      </c>
      <c r="AD370" t="s">
        <v>1236</v>
      </c>
      <c r="AE370">
        <v>7.3440388242285707E-5</v>
      </c>
      <c r="AG370" t="s">
        <v>97</v>
      </c>
      <c r="AH370" t="s">
        <v>1236</v>
      </c>
      <c r="AI370">
        <v>0</v>
      </c>
    </row>
    <row r="371" spans="5:35" x14ac:dyDescent="0.45">
      <c r="E371" t="s">
        <v>240</v>
      </c>
      <c r="G371" t="s">
        <v>152</v>
      </c>
      <c r="I371" t="s">
        <v>249</v>
      </c>
      <c r="J371" t="s">
        <v>371</v>
      </c>
      <c r="K371">
        <v>6.3403489372097896E-4</v>
      </c>
      <c r="L371" t="s">
        <v>251</v>
      </c>
      <c r="N371" t="s">
        <v>419</v>
      </c>
      <c r="O371" t="s">
        <v>371</v>
      </c>
      <c r="P371">
        <v>1.2435653056473135E-2</v>
      </c>
      <c r="Q371" t="s">
        <v>251</v>
      </c>
      <c r="S371" t="s">
        <v>420</v>
      </c>
      <c r="T371" t="s">
        <v>371</v>
      </c>
      <c r="U371">
        <v>1.5488070688631525E-2</v>
      </c>
      <c r="V371" t="s">
        <v>251</v>
      </c>
      <c r="X371">
        <v>2.4771689497716895E-2</v>
      </c>
      <c r="Y371">
        <v>9.7827942553597048E-3</v>
      </c>
      <c r="Z371" t="s">
        <v>371</v>
      </c>
      <c r="AA371" t="s">
        <v>25</v>
      </c>
      <c r="AC371" t="s">
        <v>22</v>
      </c>
      <c r="AD371" t="s">
        <v>371</v>
      </c>
      <c r="AE371">
        <v>2.3934028632773042E-2</v>
      </c>
      <c r="AG371" t="s">
        <v>97</v>
      </c>
      <c r="AH371" t="s">
        <v>371</v>
      </c>
      <c r="AI371">
        <v>0.13679072694273109</v>
      </c>
    </row>
    <row r="372" spans="5:35" x14ac:dyDescent="0.45">
      <c r="E372" t="s">
        <v>241</v>
      </c>
      <c r="G372" t="s">
        <v>152</v>
      </c>
      <c r="I372" t="s">
        <v>249</v>
      </c>
      <c r="J372" t="s">
        <v>372</v>
      </c>
      <c r="K372">
        <v>3.8263330103221272E-3</v>
      </c>
      <c r="L372" t="s">
        <v>251</v>
      </c>
      <c r="N372" t="s">
        <v>419</v>
      </c>
      <c r="O372" t="s">
        <v>372</v>
      </c>
      <c r="P372">
        <v>1.3649581269337327E-3</v>
      </c>
      <c r="Q372" t="s">
        <v>251</v>
      </c>
      <c r="S372" t="s">
        <v>420</v>
      </c>
      <c r="T372" t="s">
        <v>372</v>
      </c>
      <c r="U372">
        <v>1.995264486450884E-3</v>
      </c>
      <c r="V372" t="s">
        <v>251</v>
      </c>
      <c r="X372">
        <v>3.5388127853881279E-3</v>
      </c>
      <c r="Y372">
        <v>5.9087255218821738E-3</v>
      </c>
      <c r="Z372" t="s">
        <v>372</v>
      </c>
      <c r="AA372" t="s">
        <v>25</v>
      </c>
      <c r="AC372" t="s">
        <v>22</v>
      </c>
      <c r="AD372" t="s">
        <v>372</v>
      </c>
      <c r="AE372">
        <v>3.9657988848695565E-3</v>
      </c>
      <c r="AG372" t="s">
        <v>97</v>
      </c>
      <c r="AH372" t="s">
        <v>372</v>
      </c>
      <c r="AI372">
        <v>5.6729088378576265E-2</v>
      </c>
    </row>
    <row r="373" spans="5:35" x14ac:dyDescent="0.45">
      <c r="E373" t="s">
        <v>242</v>
      </c>
      <c r="G373" t="s">
        <v>152</v>
      </c>
      <c r="I373" t="s">
        <v>249</v>
      </c>
      <c r="J373" t="s">
        <v>373</v>
      </c>
      <c r="K373">
        <v>6.7150870858792002E-3</v>
      </c>
      <c r="L373" t="s">
        <v>251</v>
      </c>
      <c r="N373" t="s">
        <v>419</v>
      </c>
      <c r="O373" t="s">
        <v>373</v>
      </c>
      <c r="P373">
        <v>1.3225329764351757E-3</v>
      </c>
      <c r="Q373" t="s">
        <v>251</v>
      </c>
      <c r="S373" t="s">
        <v>420</v>
      </c>
      <c r="T373" t="s">
        <v>373</v>
      </c>
      <c r="U373">
        <v>1.9162130597774412E-3</v>
      </c>
      <c r="V373" t="s">
        <v>251</v>
      </c>
      <c r="X373">
        <v>3.5388127853881279E-3</v>
      </c>
      <c r="Y373">
        <v>4.521459529788099E-3</v>
      </c>
      <c r="Z373" t="s">
        <v>373</v>
      </c>
      <c r="AA373" t="s">
        <v>25</v>
      </c>
      <c r="AC373" t="s">
        <v>22</v>
      </c>
      <c r="AD373" t="s">
        <v>373</v>
      </c>
      <c r="AE373">
        <v>4.0884697495620825E-3</v>
      </c>
      <c r="AG373" t="s">
        <v>97</v>
      </c>
      <c r="AH373" t="s">
        <v>373</v>
      </c>
      <c r="AI373">
        <v>5.4226425435626613E-2</v>
      </c>
    </row>
    <row r="374" spans="5:35" x14ac:dyDescent="0.45">
      <c r="E374" t="s">
        <v>243</v>
      </c>
      <c r="G374" t="s">
        <v>152</v>
      </c>
      <c r="I374" t="s">
        <v>249</v>
      </c>
      <c r="J374" t="s">
        <v>374</v>
      </c>
      <c r="K374">
        <v>8.6003159860488006E-3</v>
      </c>
      <c r="L374" t="s">
        <v>251</v>
      </c>
      <c r="N374" t="s">
        <v>419</v>
      </c>
      <c r="O374" t="s">
        <v>374</v>
      </c>
      <c r="P374">
        <v>1.2776880862943592E-3</v>
      </c>
      <c r="Q374" t="s">
        <v>251</v>
      </c>
      <c r="S374" t="s">
        <v>420</v>
      </c>
      <c r="T374" t="s">
        <v>374</v>
      </c>
      <c r="U374">
        <v>1.8593174914847584E-3</v>
      </c>
      <c r="V374" t="s">
        <v>251</v>
      </c>
      <c r="X374">
        <v>3.5388127853881279E-3</v>
      </c>
      <c r="Y374">
        <v>4.4803553522445696E-3</v>
      </c>
      <c r="Z374" t="s">
        <v>374</v>
      </c>
      <c r="AA374" t="s">
        <v>25</v>
      </c>
      <c r="AC374" t="s">
        <v>22</v>
      </c>
      <c r="AD374" t="s">
        <v>374</v>
      </c>
      <c r="AE374">
        <v>4.1133094186778258E-3</v>
      </c>
      <c r="AG374" t="s">
        <v>97</v>
      </c>
      <c r="AH374" t="s">
        <v>374</v>
      </c>
      <c r="AI374">
        <v>5.6011285725877658E-2</v>
      </c>
    </row>
    <row r="375" spans="5:35" x14ac:dyDescent="0.45">
      <c r="E375" t="s">
        <v>244</v>
      </c>
      <c r="G375" t="s">
        <v>152</v>
      </c>
      <c r="I375" t="s">
        <v>249</v>
      </c>
      <c r="J375" t="s">
        <v>375</v>
      </c>
      <c r="K375">
        <v>6.1191362657387602E-2</v>
      </c>
      <c r="L375" t="s">
        <v>251</v>
      </c>
      <c r="N375" t="s">
        <v>419</v>
      </c>
      <c r="O375" t="s">
        <v>375</v>
      </c>
      <c r="P375">
        <v>9.5770533182397716E-3</v>
      </c>
      <c r="Q375" t="s">
        <v>251</v>
      </c>
      <c r="S375" t="s">
        <v>420</v>
      </c>
      <c r="T375" t="s">
        <v>375</v>
      </c>
      <c r="U375">
        <v>1.3953211337061788E-2</v>
      </c>
      <c r="V375" t="s">
        <v>251</v>
      </c>
      <c r="X375">
        <v>2.4771689497716895E-2</v>
      </c>
      <c r="Y375">
        <v>3.4650821669194247E-2</v>
      </c>
      <c r="Z375" t="s">
        <v>375</v>
      </c>
      <c r="AA375" t="s">
        <v>25</v>
      </c>
      <c r="AC375" t="s">
        <v>22</v>
      </c>
      <c r="AD375" t="s">
        <v>375</v>
      </c>
      <c r="AE375">
        <v>3.0280118994388212E-2</v>
      </c>
      <c r="AG375" t="s">
        <v>97</v>
      </c>
      <c r="AH375" t="s">
        <v>375</v>
      </c>
      <c r="AI375">
        <v>0.17824252174205646</v>
      </c>
    </row>
    <row r="376" spans="5:35" x14ac:dyDescent="0.45">
      <c r="E376" t="s">
        <v>245</v>
      </c>
      <c r="G376" t="s">
        <v>152</v>
      </c>
      <c r="I376" t="s">
        <v>249</v>
      </c>
      <c r="J376" t="s">
        <v>376</v>
      </c>
      <c r="K376">
        <v>4.3842810569849856E-3</v>
      </c>
      <c r="L376" t="s">
        <v>251</v>
      </c>
      <c r="N376" t="s">
        <v>419</v>
      </c>
      <c r="O376" t="s">
        <v>376</v>
      </c>
      <c r="P376">
        <v>1.6358779065967408E-3</v>
      </c>
      <c r="Q376" t="s">
        <v>251</v>
      </c>
      <c r="S376" t="s">
        <v>420</v>
      </c>
      <c r="T376" t="s">
        <v>376</v>
      </c>
      <c r="U376">
        <v>2.2921375853948737E-3</v>
      </c>
      <c r="V376" t="s">
        <v>251</v>
      </c>
      <c r="X376">
        <v>3.5388127853881279E-3</v>
      </c>
      <c r="Y376">
        <v>6.8849497385409693E-3</v>
      </c>
      <c r="Z376" t="s">
        <v>376</v>
      </c>
      <c r="AA376" t="s">
        <v>25</v>
      </c>
      <c r="AC376" t="s">
        <v>22</v>
      </c>
      <c r="AD376" t="s">
        <v>376</v>
      </c>
      <c r="AE376">
        <v>1.7822153789899473E-3</v>
      </c>
      <c r="AG376" t="s">
        <v>97</v>
      </c>
      <c r="AH376" t="s">
        <v>376</v>
      </c>
      <c r="AI376">
        <v>7.3099190615680376E-2</v>
      </c>
    </row>
    <row r="377" spans="5:35" x14ac:dyDescent="0.45">
      <c r="E377" t="s">
        <v>246</v>
      </c>
      <c r="G377" t="s">
        <v>152</v>
      </c>
      <c r="I377" t="s">
        <v>249</v>
      </c>
      <c r="J377" t="s">
        <v>377</v>
      </c>
      <c r="K377">
        <v>1.0263553428467634E-3</v>
      </c>
      <c r="L377" t="s">
        <v>251</v>
      </c>
      <c r="N377" t="s">
        <v>419</v>
      </c>
      <c r="O377" t="s">
        <v>377</v>
      </c>
      <c r="P377">
        <v>1.8979731676521288E-3</v>
      </c>
      <c r="Q377" t="s">
        <v>251</v>
      </c>
      <c r="S377" t="s">
        <v>420</v>
      </c>
      <c r="T377" t="s">
        <v>377</v>
      </c>
      <c r="U377">
        <v>2.3093357354052341E-3</v>
      </c>
      <c r="V377" t="s">
        <v>251</v>
      </c>
      <c r="X377">
        <v>3.5388127853881279E-3</v>
      </c>
      <c r="Y377">
        <v>5.3435430806586613E-3</v>
      </c>
      <c r="Z377" t="s">
        <v>377</v>
      </c>
      <c r="AA377" t="s">
        <v>25</v>
      </c>
      <c r="AC377" t="s">
        <v>22</v>
      </c>
      <c r="AD377" t="s">
        <v>377</v>
      </c>
      <c r="AE377">
        <v>1.1503686209911866E-3</v>
      </c>
      <c r="AG377" t="s">
        <v>97</v>
      </c>
      <c r="AH377" t="s">
        <v>377</v>
      </c>
      <c r="AI377">
        <v>3.5983219578911374E-2</v>
      </c>
    </row>
    <row r="378" spans="5:35" x14ac:dyDescent="0.45">
      <c r="E378" t="s">
        <v>247</v>
      </c>
      <c r="G378" t="s">
        <v>152</v>
      </c>
      <c r="I378" t="s">
        <v>249</v>
      </c>
      <c r="J378" t="s">
        <v>378</v>
      </c>
      <c r="K378">
        <v>0</v>
      </c>
      <c r="L378" t="s">
        <v>251</v>
      </c>
      <c r="N378" t="s">
        <v>419</v>
      </c>
      <c r="O378" t="s">
        <v>378</v>
      </c>
      <c r="P378">
        <v>1.0784711380233942E-2</v>
      </c>
      <c r="Q378" t="s">
        <v>251</v>
      </c>
      <c r="S378" t="s">
        <v>420</v>
      </c>
      <c r="T378" t="s">
        <v>378</v>
      </c>
      <c r="U378">
        <v>1.1047602570597012E-2</v>
      </c>
      <c r="V378" t="s">
        <v>251</v>
      </c>
      <c r="X378">
        <v>1.7694063926940638E-2</v>
      </c>
      <c r="Y378">
        <v>1.3358857701646654E-2</v>
      </c>
      <c r="Z378" t="s">
        <v>378</v>
      </c>
      <c r="AA378" t="s">
        <v>25</v>
      </c>
      <c r="AC378" t="s">
        <v>22</v>
      </c>
      <c r="AD378" t="s">
        <v>378</v>
      </c>
      <c r="AE378">
        <v>6.4498617610390784E-3</v>
      </c>
      <c r="AG378" t="s">
        <v>97</v>
      </c>
      <c r="AH378" t="s">
        <v>378</v>
      </c>
      <c r="AI378">
        <v>0.17538812015677752</v>
      </c>
    </row>
    <row r="379" spans="5:35" x14ac:dyDescent="0.45">
      <c r="I379" t="s">
        <v>249</v>
      </c>
      <c r="J379" t="s">
        <v>379</v>
      </c>
      <c r="K379">
        <v>1.9482941716715063E-5</v>
      </c>
      <c r="L379" t="s">
        <v>251</v>
      </c>
      <c r="N379" t="s">
        <v>419</v>
      </c>
      <c r="O379" t="s">
        <v>379</v>
      </c>
      <c r="P379">
        <v>1.257992318500274E-2</v>
      </c>
      <c r="Q379" t="s">
        <v>251</v>
      </c>
      <c r="S379" t="s">
        <v>420</v>
      </c>
      <c r="T379" t="s">
        <v>379</v>
      </c>
      <c r="U379">
        <v>1.2930286134160683E-2</v>
      </c>
      <c r="V379" t="s">
        <v>251</v>
      </c>
      <c r="X379">
        <v>2.1575342465753426E-2</v>
      </c>
      <c r="Y379">
        <v>8.5204982224100657E-3</v>
      </c>
      <c r="Z379" t="s">
        <v>379</v>
      </c>
      <c r="AA379" t="s">
        <v>25</v>
      </c>
      <c r="AC379" t="s">
        <v>22</v>
      </c>
      <c r="AD379" t="s">
        <v>379</v>
      </c>
      <c r="AE379">
        <v>1.7919987802606261E-2</v>
      </c>
      <c r="AG379" t="s">
        <v>97</v>
      </c>
      <c r="AH379" t="s">
        <v>379</v>
      </c>
      <c r="AI379">
        <v>0.12028029114922134</v>
      </c>
    </row>
    <row r="380" spans="5:35" x14ac:dyDescent="0.45">
      <c r="I380" t="s">
        <v>249</v>
      </c>
      <c r="J380" t="s">
        <v>380</v>
      </c>
      <c r="K380">
        <v>2.4388050805400105E-3</v>
      </c>
      <c r="L380" t="s">
        <v>251</v>
      </c>
      <c r="N380" t="s">
        <v>419</v>
      </c>
      <c r="O380" t="s">
        <v>380</v>
      </c>
      <c r="P380">
        <v>1.5185300183489774E-3</v>
      </c>
      <c r="Q380" t="s">
        <v>251</v>
      </c>
      <c r="S380" t="s">
        <v>420</v>
      </c>
      <c r="T380" t="s">
        <v>380</v>
      </c>
      <c r="U380">
        <v>2.084485018544874E-3</v>
      </c>
      <c r="V380" t="s">
        <v>251</v>
      </c>
      <c r="X380">
        <v>3.0821917808219177E-3</v>
      </c>
      <c r="Y380">
        <v>5.146309325510281E-3</v>
      </c>
      <c r="Z380" t="s">
        <v>380</v>
      </c>
      <c r="AA380" t="s">
        <v>25</v>
      </c>
      <c r="AC380" t="s">
        <v>22</v>
      </c>
      <c r="AD380" t="s">
        <v>380</v>
      </c>
      <c r="AE380">
        <v>3.1187479644277545E-3</v>
      </c>
      <c r="AG380" t="s">
        <v>97</v>
      </c>
      <c r="AH380" t="s">
        <v>380</v>
      </c>
      <c r="AI380">
        <v>2.4153766867966553E-2</v>
      </c>
    </row>
    <row r="381" spans="5:35" x14ac:dyDescent="0.45">
      <c r="I381" t="s">
        <v>249</v>
      </c>
      <c r="J381" t="s">
        <v>381</v>
      </c>
      <c r="K381">
        <v>6.2302626257783001E-3</v>
      </c>
      <c r="L381" t="s">
        <v>251</v>
      </c>
      <c r="N381" t="s">
        <v>419</v>
      </c>
      <c r="O381" t="s">
        <v>381</v>
      </c>
      <c r="P381">
        <v>1.1751603094243596E-3</v>
      </c>
      <c r="Q381" t="s">
        <v>251</v>
      </c>
      <c r="S381" t="s">
        <v>420</v>
      </c>
      <c r="T381" t="s">
        <v>381</v>
      </c>
      <c r="U381">
        <v>2.1082724514727728E-3</v>
      </c>
      <c r="V381" t="s">
        <v>251</v>
      </c>
      <c r="X381">
        <v>3.0821917808219177E-3</v>
      </c>
      <c r="Y381">
        <v>3.9380453969122152E-3</v>
      </c>
      <c r="Z381" t="s">
        <v>381</v>
      </c>
      <c r="AA381" t="s">
        <v>25</v>
      </c>
      <c r="AC381" t="s">
        <v>22</v>
      </c>
      <c r="AD381" t="s">
        <v>381</v>
      </c>
      <c r="AE381">
        <v>3.1517442254966879E-3</v>
      </c>
      <c r="AG381" t="s">
        <v>97</v>
      </c>
      <c r="AH381" t="s">
        <v>381</v>
      </c>
      <c r="AI381">
        <v>3.465439011570326E-2</v>
      </c>
    </row>
    <row r="382" spans="5:35" x14ac:dyDescent="0.45">
      <c r="I382" t="s">
        <v>249</v>
      </c>
      <c r="J382" t="s">
        <v>382</v>
      </c>
      <c r="K382">
        <v>8.0361261498493996E-3</v>
      </c>
      <c r="L382" t="s">
        <v>251</v>
      </c>
      <c r="N382" t="s">
        <v>419</v>
      </c>
      <c r="O382" t="s">
        <v>382</v>
      </c>
      <c r="P382">
        <v>1.1920917281290373E-3</v>
      </c>
      <c r="Q382" t="s">
        <v>251</v>
      </c>
      <c r="S382" t="s">
        <v>420</v>
      </c>
      <c r="T382" t="s">
        <v>382</v>
      </c>
      <c r="U382">
        <v>2.0871040878634789E-3</v>
      </c>
      <c r="V382" t="s">
        <v>251</v>
      </c>
      <c r="X382">
        <v>3.0821917808219177E-3</v>
      </c>
      <c r="Y382">
        <v>3.9022449842130132E-3</v>
      </c>
      <c r="Z382" t="s">
        <v>382</v>
      </c>
      <c r="AA382" t="s">
        <v>25</v>
      </c>
      <c r="AC382" t="s">
        <v>22</v>
      </c>
      <c r="AD382" t="s">
        <v>382</v>
      </c>
      <c r="AE382">
        <v>3.1576747730949436E-3</v>
      </c>
      <c r="AG382" t="s">
        <v>97</v>
      </c>
      <c r="AH382" t="s">
        <v>382</v>
      </c>
      <c r="AI382">
        <v>3.9998906511269805E-2</v>
      </c>
    </row>
    <row r="383" spans="5:35" x14ac:dyDescent="0.45">
      <c r="I383" t="s">
        <v>249</v>
      </c>
      <c r="J383" t="s">
        <v>383</v>
      </c>
      <c r="K383">
        <v>5.6334746597909297E-2</v>
      </c>
      <c r="L383" t="s">
        <v>251</v>
      </c>
      <c r="N383" t="s">
        <v>419</v>
      </c>
      <c r="O383" t="s">
        <v>383</v>
      </c>
      <c r="P383">
        <v>6.8616144316667382E-3</v>
      </c>
      <c r="Q383" t="s">
        <v>251</v>
      </c>
      <c r="S383" t="s">
        <v>420</v>
      </c>
      <c r="T383" t="s">
        <v>383</v>
      </c>
      <c r="U383">
        <v>1.0628665359294015E-2</v>
      </c>
      <c r="V383" t="s">
        <v>251</v>
      </c>
      <c r="X383">
        <v>2.1575342465753426E-2</v>
      </c>
      <c r="Y383">
        <v>3.0179747905427243E-2</v>
      </c>
      <c r="Z383" t="s">
        <v>383</v>
      </c>
      <c r="AA383" t="s">
        <v>25</v>
      </c>
      <c r="AC383" t="s">
        <v>22</v>
      </c>
      <c r="AD383" t="s">
        <v>383</v>
      </c>
      <c r="AE383">
        <v>2.2598844475372495E-2</v>
      </c>
      <c r="AG383" t="s">
        <v>97</v>
      </c>
      <c r="AH383" t="s">
        <v>383</v>
      </c>
      <c r="AI383">
        <v>0.17852981474066354</v>
      </c>
    </row>
    <row r="384" spans="5:35" x14ac:dyDescent="0.45">
      <c r="I384" t="s">
        <v>249</v>
      </c>
      <c r="J384" t="s">
        <v>384</v>
      </c>
      <c r="K384">
        <v>3.4330580036791222E-3</v>
      </c>
      <c r="L384" t="s">
        <v>251</v>
      </c>
      <c r="N384" t="s">
        <v>419</v>
      </c>
      <c r="O384" t="s">
        <v>384</v>
      </c>
      <c r="P384">
        <v>1.063943564307882E-3</v>
      </c>
      <c r="Q384" t="s">
        <v>251</v>
      </c>
      <c r="S384" t="s">
        <v>420</v>
      </c>
      <c r="T384" t="s">
        <v>384</v>
      </c>
      <c r="U384">
        <v>1.2555867552981829E-3</v>
      </c>
      <c r="V384" t="s">
        <v>251</v>
      </c>
      <c r="X384">
        <v>3.0821917808219177E-3</v>
      </c>
      <c r="Y384">
        <v>5.9965691271163281E-3</v>
      </c>
      <c r="Z384" t="s">
        <v>384</v>
      </c>
      <c r="AA384" t="s">
        <v>25</v>
      </c>
      <c r="AC384" t="s">
        <v>22</v>
      </c>
      <c r="AD384" t="s">
        <v>384</v>
      </c>
      <c r="AE384">
        <v>1.5380715257964483E-3</v>
      </c>
      <c r="AG384" t="s">
        <v>97</v>
      </c>
      <c r="AH384" t="s">
        <v>384</v>
      </c>
      <c r="AI384">
        <v>3.2589704362540939E-2</v>
      </c>
    </row>
    <row r="385" spans="9:35" x14ac:dyDescent="0.45">
      <c r="I385" t="s">
        <v>249</v>
      </c>
      <c r="J385" t="s">
        <v>385</v>
      </c>
      <c r="K385">
        <v>5.4434138824243538E-6</v>
      </c>
      <c r="L385" t="s">
        <v>251</v>
      </c>
      <c r="N385" t="s">
        <v>419</v>
      </c>
      <c r="O385" t="s">
        <v>385</v>
      </c>
      <c r="P385">
        <v>1.5088792701476151E-3</v>
      </c>
      <c r="Q385" t="s">
        <v>251</v>
      </c>
      <c r="S385" t="s">
        <v>420</v>
      </c>
      <c r="T385" t="s">
        <v>385</v>
      </c>
      <c r="U385">
        <v>1.3087208857753298E-3</v>
      </c>
      <c r="V385" t="s">
        <v>251</v>
      </c>
      <c r="X385">
        <v>3.0821917808219177E-3</v>
      </c>
      <c r="Y385">
        <v>4.6540536508962536E-3</v>
      </c>
      <c r="Z385" t="s">
        <v>385</v>
      </c>
      <c r="AA385" t="s">
        <v>25</v>
      </c>
      <c r="AC385" t="s">
        <v>22</v>
      </c>
      <c r="AD385" t="s">
        <v>385</v>
      </c>
      <c r="AE385">
        <v>8.8433087509558065E-4</v>
      </c>
      <c r="AG385" t="s">
        <v>97</v>
      </c>
      <c r="AH385" t="s">
        <v>385</v>
      </c>
      <c r="AI385">
        <v>2.5129628290378569E-2</v>
      </c>
    </row>
    <row r="386" spans="9:35" x14ac:dyDescent="0.45">
      <c r="I386" t="s">
        <v>249</v>
      </c>
      <c r="J386" t="s">
        <v>386</v>
      </c>
      <c r="K386">
        <v>0</v>
      </c>
      <c r="L386" t="s">
        <v>251</v>
      </c>
      <c r="N386" t="s">
        <v>419</v>
      </c>
      <c r="O386" t="s">
        <v>386</v>
      </c>
      <c r="P386">
        <v>1.0818441746631395E-2</v>
      </c>
      <c r="Q386" t="s">
        <v>251</v>
      </c>
      <c r="S386" t="s">
        <v>420</v>
      </c>
      <c r="T386" t="s">
        <v>386</v>
      </c>
      <c r="U386">
        <v>7.5707782800127138E-3</v>
      </c>
      <c r="V386" t="s">
        <v>251</v>
      </c>
      <c r="X386">
        <v>1.5410958904109588E-2</v>
      </c>
      <c r="Y386">
        <v>1.1635134127240635E-2</v>
      </c>
      <c r="Z386" t="s">
        <v>386</v>
      </c>
      <c r="AA386" t="s">
        <v>25</v>
      </c>
      <c r="AC386" t="s">
        <v>22</v>
      </c>
      <c r="AD386" t="s">
        <v>386</v>
      </c>
      <c r="AE386">
        <v>4.3190312796155495E-3</v>
      </c>
      <c r="AG386" t="s">
        <v>97</v>
      </c>
      <c r="AH386" t="s">
        <v>386</v>
      </c>
      <c r="AI386">
        <v>0.15813200086576251</v>
      </c>
    </row>
    <row r="387" spans="9:35" x14ac:dyDescent="0.45">
      <c r="I387" t="s">
        <v>249</v>
      </c>
      <c r="J387" t="s">
        <v>1237</v>
      </c>
      <c r="K387">
        <v>0</v>
      </c>
      <c r="L387" t="s">
        <v>251</v>
      </c>
      <c r="N387" t="s">
        <v>419</v>
      </c>
      <c r="O387" t="s">
        <v>1237</v>
      </c>
      <c r="P387">
        <v>3.935762903476973E-5</v>
      </c>
      <c r="Q387" t="s">
        <v>251</v>
      </c>
      <c r="S387" t="s">
        <v>420</v>
      </c>
      <c r="T387" t="s">
        <v>1237</v>
      </c>
      <c r="U387">
        <v>1.365998078695816E-5</v>
      </c>
      <c r="V387" t="s">
        <v>251</v>
      </c>
      <c r="X387">
        <v>1.1415525114155251E-4</v>
      </c>
      <c r="Y387">
        <v>2.1546544680075254E-5</v>
      </c>
      <c r="Z387" t="s">
        <v>1237</v>
      </c>
      <c r="AA387" t="s">
        <v>25</v>
      </c>
      <c r="AC387" t="s">
        <v>22</v>
      </c>
      <c r="AD387" t="s">
        <v>1237</v>
      </c>
      <c r="AE387">
        <v>4.9039852651837843E-5</v>
      </c>
      <c r="AG387" t="s">
        <v>97</v>
      </c>
      <c r="AH387" t="s">
        <v>1237</v>
      </c>
      <c r="AI387">
        <v>0</v>
      </c>
    </row>
    <row r="388" spans="9:35" x14ac:dyDescent="0.45">
      <c r="I388" t="s">
        <v>249</v>
      </c>
      <c r="J388" t="s">
        <v>1238</v>
      </c>
      <c r="K388">
        <v>0</v>
      </c>
      <c r="L388" t="s">
        <v>251</v>
      </c>
      <c r="N388" t="s">
        <v>419</v>
      </c>
      <c r="O388" t="s">
        <v>1238</v>
      </c>
      <c r="P388">
        <v>3.4795485332622528E-5</v>
      </c>
      <c r="Q388" t="s">
        <v>251</v>
      </c>
      <c r="S388" t="s">
        <v>420</v>
      </c>
      <c r="T388" t="s">
        <v>1238</v>
      </c>
      <c r="U388">
        <v>1.4060861537275903E-5</v>
      </c>
      <c r="V388" t="s">
        <v>251</v>
      </c>
      <c r="X388">
        <v>1.1415525114155251E-4</v>
      </c>
      <c r="Y388">
        <v>1.4916838624667481E-5</v>
      </c>
      <c r="Z388" t="s">
        <v>1238</v>
      </c>
      <c r="AA388" t="s">
        <v>25</v>
      </c>
      <c r="AC388" t="s">
        <v>22</v>
      </c>
      <c r="AD388" t="s">
        <v>1238</v>
      </c>
      <c r="AE388">
        <v>7.0525971463101294E-5</v>
      </c>
      <c r="AG388" t="s">
        <v>97</v>
      </c>
      <c r="AH388" t="s">
        <v>1238</v>
      </c>
      <c r="AI388">
        <v>0</v>
      </c>
    </row>
    <row r="389" spans="9:35" x14ac:dyDescent="0.45">
      <c r="I389" t="s">
        <v>249</v>
      </c>
      <c r="J389" t="s">
        <v>1239</v>
      </c>
      <c r="K389">
        <v>0</v>
      </c>
      <c r="L389" t="s">
        <v>251</v>
      </c>
      <c r="N389" t="s">
        <v>419</v>
      </c>
      <c r="O389" t="s">
        <v>1239</v>
      </c>
      <c r="P389">
        <v>3.0638219833611066E-5</v>
      </c>
      <c r="Q389" t="s">
        <v>251</v>
      </c>
      <c r="S389" t="s">
        <v>420</v>
      </c>
      <c r="T389" t="s">
        <v>1239</v>
      </c>
      <c r="U389">
        <v>1.5134805183669916E-5</v>
      </c>
      <c r="V389" t="s">
        <v>251</v>
      </c>
      <c r="X389">
        <v>1.1415525114155251E-4</v>
      </c>
      <c r="Y389">
        <v>1.6574265138519424E-5</v>
      </c>
      <c r="Z389" t="s">
        <v>1239</v>
      </c>
      <c r="AA389" t="s">
        <v>25</v>
      </c>
      <c r="AC389" t="s">
        <v>22</v>
      </c>
      <c r="AD389" t="s">
        <v>1239</v>
      </c>
      <c r="AE389">
        <v>8.7319348120719814E-5</v>
      </c>
      <c r="AG389" t="s">
        <v>97</v>
      </c>
      <c r="AH389" t="s">
        <v>1239</v>
      </c>
      <c r="AI389">
        <v>0</v>
      </c>
    </row>
    <row r="390" spans="9:35" x14ac:dyDescent="0.45">
      <c r="I390" t="s">
        <v>249</v>
      </c>
      <c r="J390" t="s">
        <v>1240</v>
      </c>
      <c r="K390">
        <v>0</v>
      </c>
      <c r="L390" t="s">
        <v>251</v>
      </c>
      <c r="N390" t="s">
        <v>419</v>
      </c>
      <c r="O390" t="s">
        <v>1240</v>
      </c>
      <c r="P390">
        <v>2.8569576421604493E-5</v>
      </c>
      <c r="Q390" t="s">
        <v>251</v>
      </c>
      <c r="S390" t="s">
        <v>420</v>
      </c>
      <c r="T390" t="s">
        <v>1240</v>
      </c>
      <c r="U390">
        <v>1.7152334580932246E-5</v>
      </c>
      <c r="V390" t="s">
        <v>251</v>
      </c>
      <c r="X390">
        <v>1.1415525114155251E-4</v>
      </c>
      <c r="Y390">
        <v>1.4585353321897093E-5</v>
      </c>
      <c r="Z390" t="s">
        <v>1240</v>
      </c>
      <c r="AA390" t="s">
        <v>25</v>
      </c>
      <c r="AC390" t="s">
        <v>22</v>
      </c>
      <c r="AD390" t="s">
        <v>1240</v>
      </c>
      <c r="AE390">
        <v>9.9688489476314662E-5</v>
      </c>
      <c r="AG390" t="s">
        <v>97</v>
      </c>
      <c r="AH390" t="s">
        <v>1240</v>
      </c>
      <c r="AI390">
        <v>0</v>
      </c>
    </row>
    <row r="391" spans="9:35" x14ac:dyDescent="0.45">
      <c r="I391" t="s">
        <v>249</v>
      </c>
      <c r="J391" t="s">
        <v>1241</v>
      </c>
      <c r="K391">
        <v>0</v>
      </c>
      <c r="L391" t="s">
        <v>251</v>
      </c>
      <c r="N391" t="s">
        <v>419</v>
      </c>
      <c r="O391" t="s">
        <v>1241</v>
      </c>
      <c r="P391">
        <v>2.9043118825124551E-5</v>
      </c>
      <c r="Q391" t="s">
        <v>251</v>
      </c>
      <c r="S391" t="s">
        <v>420</v>
      </c>
      <c r="T391" t="s">
        <v>1241</v>
      </c>
      <c r="U391">
        <v>2.0355393622961117E-5</v>
      </c>
      <c r="V391" t="s">
        <v>251</v>
      </c>
      <c r="X391">
        <v>1.1415525114155251E-4</v>
      </c>
      <c r="Y391">
        <v>2.1215059377304864E-5</v>
      </c>
      <c r="Z391" t="s">
        <v>1241</v>
      </c>
      <c r="AA391" t="s">
        <v>25</v>
      </c>
      <c r="AC391" t="s">
        <v>22</v>
      </c>
      <c r="AD391" t="s">
        <v>1241</v>
      </c>
      <c r="AE391">
        <v>1.0008066545876553E-4</v>
      </c>
      <c r="AG391" t="s">
        <v>97</v>
      </c>
      <c r="AH391" t="s">
        <v>1241</v>
      </c>
      <c r="AI391">
        <v>0</v>
      </c>
    </row>
    <row r="392" spans="9:35" x14ac:dyDescent="0.45">
      <c r="I392" t="s">
        <v>249</v>
      </c>
      <c r="J392" t="s">
        <v>1242</v>
      </c>
      <c r="K392">
        <v>0</v>
      </c>
      <c r="L392" t="s">
        <v>251</v>
      </c>
      <c r="N392" t="s">
        <v>419</v>
      </c>
      <c r="O392" t="s">
        <v>1242</v>
      </c>
      <c r="P392">
        <v>3.0129463404132262E-5</v>
      </c>
      <c r="Q392" t="s">
        <v>251</v>
      </c>
      <c r="S392" t="s">
        <v>420</v>
      </c>
      <c r="T392" t="s">
        <v>1242</v>
      </c>
      <c r="U392">
        <v>2.2263876765215043E-5</v>
      </c>
      <c r="V392" t="s">
        <v>251</v>
      </c>
      <c r="X392">
        <v>1.1415525114155251E-4</v>
      </c>
      <c r="Y392">
        <v>5.7678442682047593E-5</v>
      </c>
      <c r="Z392" t="s">
        <v>1242</v>
      </c>
      <c r="AA392" t="s">
        <v>25</v>
      </c>
      <c r="AC392" t="s">
        <v>22</v>
      </c>
      <c r="AD392" t="s">
        <v>1242</v>
      </c>
      <c r="AE392">
        <v>1.0456617825804717E-4</v>
      </c>
      <c r="AG392" t="s">
        <v>97</v>
      </c>
      <c r="AH392" t="s">
        <v>1242</v>
      </c>
      <c r="AI392">
        <v>0</v>
      </c>
    </row>
    <row r="393" spans="9:35" x14ac:dyDescent="0.45">
      <c r="I393" t="s">
        <v>249</v>
      </c>
      <c r="J393" t="s">
        <v>1243</v>
      </c>
      <c r="K393">
        <v>0</v>
      </c>
      <c r="L393" t="s">
        <v>251</v>
      </c>
      <c r="N393" t="s">
        <v>419</v>
      </c>
      <c r="O393" t="s">
        <v>1243</v>
      </c>
      <c r="P393">
        <v>2.9584290321949837E-5</v>
      </c>
      <c r="Q393" t="s">
        <v>251</v>
      </c>
      <c r="S393" t="s">
        <v>420</v>
      </c>
      <c r="T393" t="s">
        <v>1243</v>
      </c>
      <c r="U393">
        <v>2.3116202394649577E-5</v>
      </c>
      <c r="V393" t="s">
        <v>251</v>
      </c>
      <c r="X393">
        <v>1.1415525114155251E-4</v>
      </c>
      <c r="Y393">
        <v>1.6905750441289813E-4</v>
      </c>
      <c r="Z393" t="s">
        <v>1243</v>
      </c>
      <c r="AA393" t="s">
        <v>25</v>
      </c>
      <c r="AC393" t="s">
        <v>22</v>
      </c>
      <c r="AD393" t="s">
        <v>1243</v>
      </c>
      <c r="AE393">
        <v>1.0420185568344081E-4</v>
      </c>
      <c r="AG393" t="s">
        <v>97</v>
      </c>
      <c r="AH393" t="s">
        <v>1243</v>
      </c>
      <c r="AI393">
        <v>0</v>
      </c>
    </row>
    <row r="394" spans="9:35" x14ac:dyDescent="0.45">
      <c r="I394" t="s">
        <v>249</v>
      </c>
      <c r="J394" t="s">
        <v>1244</v>
      </c>
      <c r="K394">
        <v>5.8571876527496925E-5</v>
      </c>
      <c r="L394" t="s">
        <v>251</v>
      </c>
      <c r="N394" t="s">
        <v>419</v>
      </c>
      <c r="O394" t="s">
        <v>1244</v>
      </c>
      <c r="P394">
        <v>2.9097815989346489E-5</v>
      </c>
      <c r="Q394" t="s">
        <v>251</v>
      </c>
      <c r="S394" t="s">
        <v>420</v>
      </c>
      <c r="T394" t="s">
        <v>1244</v>
      </c>
      <c r="U394">
        <v>2.2697033092559451E-5</v>
      </c>
      <c r="V394" t="s">
        <v>251</v>
      </c>
      <c r="X394">
        <v>1.1415525114155251E-4</v>
      </c>
      <c r="Y394">
        <v>1.9060404909297337E-4</v>
      </c>
      <c r="Z394" t="s">
        <v>1244</v>
      </c>
      <c r="AA394" t="s">
        <v>25</v>
      </c>
      <c r="AC394" t="s">
        <v>22</v>
      </c>
      <c r="AD394" t="s">
        <v>1244</v>
      </c>
      <c r="AE394">
        <v>1.0453386830494753E-4</v>
      </c>
      <c r="AG394" t="s">
        <v>97</v>
      </c>
      <c r="AH394" t="s">
        <v>1244</v>
      </c>
      <c r="AI394">
        <v>0</v>
      </c>
    </row>
    <row r="395" spans="9:35" x14ac:dyDescent="0.45">
      <c r="I395" t="s">
        <v>249</v>
      </c>
      <c r="J395" t="s">
        <v>1245</v>
      </c>
      <c r="K395">
        <v>2.242598489872E-4</v>
      </c>
      <c r="L395" t="s">
        <v>251</v>
      </c>
      <c r="N395" t="s">
        <v>419</v>
      </c>
      <c r="O395" t="s">
        <v>1245</v>
      </c>
      <c r="P395">
        <v>2.2618057248072079E-5</v>
      </c>
      <c r="Q395" t="s">
        <v>251</v>
      </c>
      <c r="S395" t="s">
        <v>420</v>
      </c>
      <c r="T395" t="s">
        <v>1245</v>
      </c>
      <c r="U395">
        <v>2.1420998478876377E-5</v>
      </c>
      <c r="V395" t="s">
        <v>251</v>
      </c>
      <c r="X395">
        <v>1.1415525114155251E-4</v>
      </c>
      <c r="Y395">
        <v>1.4585353321897094E-4</v>
      </c>
      <c r="Z395" t="s">
        <v>1245</v>
      </c>
      <c r="AA395" t="s">
        <v>25</v>
      </c>
      <c r="AC395" t="s">
        <v>22</v>
      </c>
      <c r="AD395" t="s">
        <v>1245</v>
      </c>
      <c r="AE395">
        <v>1.0494832701367399E-4</v>
      </c>
      <c r="AG395" t="s">
        <v>97</v>
      </c>
      <c r="AH395" t="s">
        <v>1245</v>
      </c>
      <c r="AI395">
        <v>0</v>
      </c>
    </row>
    <row r="396" spans="9:35" x14ac:dyDescent="0.45">
      <c r="I396" t="s">
        <v>249</v>
      </c>
      <c r="J396" t="s">
        <v>1246</v>
      </c>
      <c r="K396">
        <v>2.965579769977E-4</v>
      </c>
      <c r="L396" t="s">
        <v>251</v>
      </c>
      <c r="N396" t="s">
        <v>419</v>
      </c>
      <c r="O396" t="s">
        <v>1246</v>
      </c>
      <c r="P396">
        <v>1.3719333784046096E-5</v>
      </c>
      <c r="Q396" t="s">
        <v>251</v>
      </c>
      <c r="S396" t="s">
        <v>420</v>
      </c>
      <c r="T396" t="s">
        <v>1246</v>
      </c>
      <c r="U396">
        <v>1.9253525073950489E-5</v>
      </c>
      <c r="V396" t="s">
        <v>251</v>
      </c>
      <c r="X396">
        <v>1.1415525114155251E-4</v>
      </c>
      <c r="Y396">
        <v>1.4452759200788939E-4</v>
      </c>
      <c r="Z396" t="s">
        <v>1246</v>
      </c>
      <c r="AA396" t="s">
        <v>25</v>
      </c>
      <c r="AC396" t="s">
        <v>22</v>
      </c>
      <c r="AD396" t="s">
        <v>1246</v>
      </c>
      <c r="AE396">
        <v>1.0494832701367399E-4</v>
      </c>
      <c r="AG396" t="s">
        <v>97</v>
      </c>
      <c r="AH396" t="s">
        <v>1246</v>
      </c>
      <c r="AI396">
        <v>0</v>
      </c>
    </row>
    <row r="397" spans="9:35" x14ac:dyDescent="0.45">
      <c r="I397" t="s">
        <v>249</v>
      </c>
      <c r="J397" t="s">
        <v>1247</v>
      </c>
      <c r="K397">
        <v>3.1796359623579998E-4</v>
      </c>
      <c r="L397" t="s">
        <v>251</v>
      </c>
      <c r="N397" t="s">
        <v>419</v>
      </c>
      <c r="O397" t="s">
        <v>1247</v>
      </c>
      <c r="P397">
        <v>1.1333003921730668E-5</v>
      </c>
      <c r="Q397" t="s">
        <v>251</v>
      </c>
      <c r="S397" t="s">
        <v>420</v>
      </c>
      <c r="T397" t="s">
        <v>1247</v>
      </c>
      <c r="U397">
        <v>1.7127120218570796E-5</v>
      </c>
      <c r="V397" t="s">
        <v>251</v>
      </c>
      <c r="X397">
        <v>1.1415525114155251E-4</v>
      </c>
      <c r="Y397">
        <v>1.408812536774151E-4</v>
      </c>
      <c r="Z397" t="s">
        <v>1247</v>
      </c>
      <c r="AA397" t="s">
        <v>25</v>
      </c>
      <c r="AC397" t="s">
        <v>22</v>
      </c>
      <c r="AD397" t="s">
        <v>1247</v>
      </c>
      <c r="AE397">
        <v>1.0248162921496325E-4</v>
      </c>
      <c r="AG397" t="s">
        <v>97</v>
      </c>
      <c r="AH397" t="s">
        <v>1247</v>
      </c>
      <c r="AI397">
        <v>0</v>
      </c>
    </row>
    <row r="398" spans="9:35" x14ac:dyDescent="0.45">
      <c r="I398" t="s">
        <v>249</v>
      </c>
      <c r="J398" t="s">
        <v>1248</v>
      </c>
      <c r="K398">
        <v>3.120233787756E-4</v>
      </c>
      <c r="L398" t="s">
        <v>251</v>
      </c>
      <c r="N398" t="s">
        <v>419</v>
      </c>
      <c r="O398" t="s">
        <v>1248</v>
      </c>
      <c r="P398">
        <v>8.9718462920494778E-6</v>
      </c>
      <c r="Q398" t="s">
        <v>251</v>
      </c>
      <c r="S398" t="s">
        <v>420</v>
      </c>
      <c r="T398" t="s">
        <v>1248</v>
      </c>
      <c r="U398">
        <v>1.419252924842121E-5</v>
      </c>
      <c r="V398" t="s">
        <v>251</v>
      </c>
      <c r="X398">
        <v>1.1415525114155251E-4</v>
      </c>
      <c r="Y398">
        <v>1.4054976837464471E-4</v>
      </c>
      <c r="Z398" t="s">
        <v>1248</v>
      </c>
      <c r="AA398" t="s">
        <v>25</v>
      </c>
      <c r="AC398" t="s">
        <v>22</v>
      </c>
      <c r="AD398" t="s">
        <v>1248</v>
      </c>
      <c r="AE398">
        <v>1.085347318077345E-4</v>
      </c>
      <c r="AG398" t="s">
        <v>97</v>
      </c>
      <c r="AH398" t="s">
        <v>1248</v>
      </c>
      <c r="AI398">
        <v>0</v>
      </c>
    </row>
    <row r="399" spans="9:35" x14ac:dyDescent="0.45">
      <c r="I399" t="s">
        <v>249</v>
      </c>
      <c r="J399" t="s">
        <v>1249</v>
      </c>
      <c r="K399">
        <v>2.9127840010460002E-4</v>
      </c>
      <c r="L399" t="s">
        <v>251</v>
      </c>
      <c r="N399" t="s">
        <v>419</v>
      </c>
      <c r="O399" t="s">
        <v>1249</v>
      </c>
      <c r="P399">
        <v>7.0367390645237935E-6</v>
      </c>
      <c r="Q399" t="s">
        <v>251</v>
      </c>
      <c r="S399" t="s">
        <v>420</v>
      </c>
      <c r="T399" t="s">
        <v>1249</v>
      </c>
      <c r="U399">
        <v>1.204726479792184E-5</v>
      </c>
      <c r="V399" t="s">
        <v>251</v>
      </c>
      <c r="X399">
        <v>1.1415525114155251E-4</v>
      </c>
      <c r="Y399">
        <v>1.4253868019126702E-4</v>
      </c>
      <c r="Z399" t="s">
        <v>1249</v>
      </c>
      <c r="AA399" t="s">
        <v>25</v>
      </c>
      <c r="AC399" t="s">
        <v>22</v>
      </c>
      <c r="AD399" t="s">
        <v>1249</v>
      </c>
      <c r="AE399">
        <v>1.4378154823050504E-4</v>
      </c>
      <c r="AG399" t="s">
        <v>97</v>
      </c>
      <c r="AH399" t="s">
        <v>1249</v>
      </c>
      <c r="AI399">
        <v>0</v>
      </c>
    </row>
    <row r="400" spans="9:35" x14ac:dyDescent="0.45">
      <c r="I400" t="s">
        <v>249</v>
      </c>
      <c r="J400" t="s">
        <v>1250</v>
      </c>
      <c r="K400">
        <v>2.9931732888000001E-4</v>
      </c>
      <c r="L400" t="s">
        <v>251</v>
      </c>
      <c r="N400" t="s">
        <v>419</v>
      </c>
      <c r="O400" t="s">
        <v>1250</v>
      </c>
      <c r="P400">
        <v>6.445870418563772E-6</v>
      </c>
      <c r="Q400" t="s">
        <v>251</v>
      </c>
      <c r="S400" t="s">
        <v>420</v>
      </c>
      <c r="T400" t="s">
        <v>1250</v>
      </c>
      <c r="U400">
        <v>1.1096672331185441E-5</v>
      </c>
      <c r="V400" t="s">
        <v>251</v>
      </c>
      <c r="X400">
        <v>1.1415525114155251E-4</v>
      </c>
      <c r="Y400">
        <v>1.4883690094390442E-4</v>
      </c>
      <c r="Z400" t="s">
        <v>1250</v>
      </c>
      <c r="AA400" t="s">
        <v>25</v>
      </c>
      <c r="AC400" t="s">
        <v>22</v>
      </c>
      <c r="AD400" t="s">
        <v>1250</v>
      </c>
      <c r="AE400">
        <v>1.4604992976536286E-4</v>
      </c>
      <c r="AG400" t="s">
        <v>97</v>
      </c>
      <c r="AH400" t="s">
        <v>1250</v>
      </c>
      <c r="AI400">
        <v>0</v>
      </c>
    </row>
    <row r="401" spans="9:35" x14ac:dyDescent="0.45">
      <c r="I401" t="s">
        <v>249</v>
      </c>
      <c r="J401" t="s">
        <v>1251</v>
      </c>
      <c r="K401">
        <v>3.1185250025789999E-4</v>
      </c>
      <c r="L401" t="s">
        <v>251</v>
      </c>
      <c r="N401" t="s">
        <v>419</v>
      </c>
      <c r="O401" t="s">
        <v>1251</v>
      </c>
      <c r="P401">
        <v>5.1430354117523359E-6</v>
      </c>
      <c r="Q401" t="s">
        <v>251</v>
      </c>
      <c r="S401" t="s">
        <v>420</v>
      </c>
      <c r="T401" t="s">
        <v>1251</v>
      </c>
      <c r="U401">
        <v>1.1081353049011808E-5</v>
      </c>
      <c r="V401" t="s">
        <v>251</v>
      </c>
      <c r="X401">
        <v>1.1415525114155251E-4</v>
      </c>
      <c r="Y401">
        <v>1.5049432745775637E-4</v>
      </c>
      <c r="Z401" t="s">
        <v>1251</v>
      </c>
      <c r="AA401" t="s">
        <v>25</v>
      </c>
      <c r="AC401" t="s">
        <v>22</v>
      </c>
      <c r="AD401" t="s">
        <v>1251</v>
      </c>
      <c r="AE401">
        <v>1.30645881091029E-4</v>
      </c>
      <c r="AG401" t="s">
        <v>97</v>
      </c>
      <c r="AH401" t="s">
        <v>1251</v>
      </c>
      <c r="AI401">
        <v>0</v>
      </c>
    </row>
    <row r="402" spans="9:35" x14ac:dyDescent="0.45">
      <c r="I402" t="s">
        <v>249</v>
      </c>
      <c r="J402" t="s">
        <v>1252</v>
      </c>
      <c r="K402">
        <v>2.9847047536599999E-4</v>
      </c>
      <c r="L402" t="s">
        <v>251</v>
      </c>
      <c r="N402" t="s">
        <v>419</v>
      </c>
      <c r="O402" t="s">
        <v>1252</v>
      </c>
      <c r="P402">
        <v>8.1189851373687934E-6</v>
      </c>
      <c r="Q402" t="s">
        <v>251</v>
      </c>
      <c r="S402" t="s">
        <v>420</v>
      </c>
      <c r="T402" t="s">
        <v>1252</v>
      </c>
      <c r="U402">
        <v>1.07434358977538E-5</v>
      </c>
      <c r="V402" t="s">
        <v>251</v>
      </c>
      <c r="X402">
        <v>1.1415525114155251E-4</v>
      </c>
      <c r="Y402">
        <v>1.7237235744060203E-4</v>
      </c>
      <c r="Z402" t="s">
        <v>1252</v>
      </c>
      <c r="AA402" t="s">
        <v>25</v>
      </c>
      <c r="AC402" t="s">
        <v>22</v>
      </c>
      <c r="AD402" t="s">
        <v>1252</v>
      </c>
      <c r="AE402">
        <v>1.160830053335997E-4</v>
      </c>
      <c r="AG402" t="s">
        <v>97</v>
      </c>
      <c r="AH402" t="s">
        <v>1252</v>
      </c>
      <c r="AI402">
        <v>0</v>
      </c>
    </row>
    <row r="403" spans="9:35" x14ac:dyDescent="0.45">
      <c r="I403" t="s">
        <v>249</v>
      </c>
      <c r="J403" t="s">
        <v>1253</v>
      </c>
      <c r="K403">
        <v>2.4457837952009999E-4</v>
      </c>
      <c r="L403" t="s">
        <v>251</v>
      </c>
      <c r="N403" t="s">
        <v>419</v>
      </c>
      <c r="O403" t="s">
        <v>1253</v>
      </c>
      <c r="P403">
        <v>1.1965597109047418E-5</v>
      </c>
      <c r="Q403" t="s">
        <v>251</v>
      </c>
      <c r="S403" t="s">
        <v>420</v>
      </c>
      <c r="T403" t="s">
        <v>1253</v>
      </c>
      <c r="U403">
        <v>1.126429966119509E-5</v>
      </c>
      <c r="V403" t="s">
        <v>251</v>
      </c>
      <c r="X403">
        <v>1.1415525114155251E-4</v>
      </c>
      <c r="Y403">
        <v>2.2209515285616027E-4</v>
      </c>
      <c r="Z403" t="s">
        <v>1253</v>
      </c>
      <c r="AA403" t="s">
        <v>25</v>
      </c>
      <c r="AC403" t="s">
        <v>22</v>
      </c>
      <c r="AD403" t="s">
        <v>1253</v>
      </c>
      <c r="AE403">
        <v>8.8876910687385414E-5</v>
      </c>
      <c r="AG403" t="s">
        <v>97</v>
      </c>
      <c r="AH403" t="s">
        <v>1253</v>
      </c>
      <c r="AI403">
        <v>0</v>
      </c>
    </row>
    <row r="404" spans="9:35" x14ac:dyDescent="0.45">
      <c r="I404" t="s">
        <v>249</v>
      </c>
      <c r="J404" t="s">
        <v>1254</v>
      </c>
      <c r="K404">
        <v>1.205151068409E-4</v>
      </c>
      <c r="L404" t="s">
        <v>251</v>
      </c>
      <c r="N404" t="s">
        <v>419</v>
      </c>
      <c r="O404" t="s">
        <v>1254</v>
      </c>
      <c r="P404">
        <v>1.962918937676462E-5</v>
      </c>
      <c r="Q404" t="s">
        <v>251</v>
      </c>
      <c r="S404" t="s">
        <v>420</v>
      </c>
      <c r="T404" t="s">
        <v>1254</v>
      </c>
      <c r="U404">
        <v>1.2419493199122414E-5</v>
      </c>
      <c r="V404" t="s">
        <v>251</v>
      </c>
      <c r="X404">
        <v>1.1415525114155251E-4</v>
      </c>
      <c r="Y404">
        <v>2.2209515285616027E-4</v>
      </c>
      <c r="Z404" t="s">
        <v>1254</v>
      </c>
      <c r="AA404" t="s">
        <v>25</v>
      </c>
      <c r="AC404" t="s">
        <v>22</v>
      </c>
      <c r="AD404" t="s">
        <v>1254</v>
      </c>
      <c r="AE404">
        <v>6.1840164760865871E-5</v>
      </c>
      <c r="AG404" t="s">
        <v>97</v>
      </c>
      <c r="AH404" t="s">
        <v>1254</v>
      </c>
      <c r="AI404">
        <v>0</v>
      </c>
    </row>
    <row r="405" spans="9:35" x14ac:dyDescent="0.45">
      <c r="I405" t="s">
        <v>249</v>
      </c>
      <c r="J405" t="s">
        <v>1255</v>
      </c>
      <c r="K405">
        <v>0</v>
      </c>
      <c r="L405" t="s">
        <v>251</v>
      </c>
      <c r="N405" t="s">
        <v>419</v>
      </c>
      <c r="O405" t="s">
        <v>1255</v>
      </c>
      <c r="P405">
        <v>3.3727519452355754E-5</v>
      </c>
      <c r="Q405" t="s">
        <v>251</v>
      </c>
      <c r="S405" t="s">
        <v>420</v>
      </c>
      <c r="T405" t="s">
        <v>1255</v>
      </c>
      <c r="U405">
        <v>1.4805462352881671E-5</v>
      </c>
      <c r="V405" t="s">
        <v>251</v>
      </c>
      <c r="X405">
        <v>1.1415525114155251E-4</v>
      </c>
      <c r="Y405">
        <v>1.7237235744060203E-4</v>
      </c>
      <c r="Z405" t="s">
        <v>1255</v>
      </c>
      <c r="AA405" t="s">
        <v>25</v>
      </c>
      <c r="AC405" t="s">
        <v>22</v>
      </c>
      <c r="AD405" t="s">
        <v>1255</v>
      </c>
      <c r="AE405">
        <v>3.161141829536422E-5</v>
      </c>
      <c r="AG405" t="s">
        <v>97</v>
      </c>
      <c r="AH405" t="s">
        <v>1255</v>
      </c>
      <c r="AI405">
        <v>0</v>
      </c>
    </row>
    <row r="406" spans="9:35" x14ac:dyDescent="0.45">
      <c r="I406" t="s">
        <v>249</v>
      </c>
      <c r="J406" t="s">
        <v>1256</v>
      </c>
      <c r="K406">
        <v>0</v>
      </c>
      <c r="L406" t="s">
        <v>251</v>
      </c>
      <c r="N406" t="s">
        <v>419</v>
      </c>
      <c r="O406" t="s">
        <v>1256</v>
      </c>
      <c r="P406">
        <v>4.3018706797495403E-5</v>
      </c>
      <c r="Q406" t="s">
        <v>251</v>
      </c>
      <c r="S406" t="s">
        <v>420</v>
      </c>
      <c r="T406" t="s">
        <v>1256</v>
      </c>
      <c r="U406">
        <v>1.6639064352424798E-5</v>
      </c>
      <c r="V406" t="s">
        <v>251</v>
      </c>
      <c r="X406">
        <v>1.1415525114155251E-4</v>
      </c>
      <c r="Y406">
        <v>1.5579809230208258E-4</v>
      </c>
      <c r="Z406" t="s">
        <v>1256</v>
      </c>
      <c r="AA406" t="s">
        <v>25</v>
      </c>
      <c r="AC406" t="s">
        <v>22</v>
      </c>
      <c r="AD406" t="s">
        <v>1256</v>
      </c>
      <c r="AE406">
        <v>2.6505331569306639E-5</v>
      </c>
      <c r="AG406" t="s">
        <v>97</v>
      </c>
      <c r="AH406" t="s">
        <v>1256</v>
      </c>
      <c r="AI406">
        <v>0</v>
      </c>
    </row>
    <row r="407" spans="9:35" x14ac:dyDescent="0.45">
      <c r="I407" t="s">
        <v>249</v>
      </c>
      <c r="J407" t="s">
        <v>1257</v>
      </c>
      <c r="K407">
        <v>0</v>
      </c>
      <c r="L407" t="s">
        <v>251</v>
      </c>
      <c r="N407" t="s">
        <v>419</v>
      </c>
      <c r="O407" t="s">
        <v>1257</v>
      </c>
      <c r="P407">
        <v>4.9610002295559021E-5</v>
      </c>
      <c r="Q407" t="s">
        <v>251</v>
      </c>
      <c r="S407" t="s">
        <v>420</v>
      </c>
      <c r="T407" t="s">
        <v>1257</v>
      </c>
      <c r="U407">
        <v>1.7736615493564994E-5</v>
      </c>
      <c r="V407" t="s">
        <v>251</v>
      </c>
      <c r="X407">
        <v>1.1415525114155251E-4</v>
      </c>
      <c r="Y407">
        <v>1.093901499142282E-4</v>
      </c>
      <c r="Z407" t="s">
        <v>1257</v>
      </c>
      <c r="AA407" t="s">
        <v>25</v>
      </c>
      <c r="AC407" t="s">
        <v>22</v>
      </c>
      <c r="AD407" t="s">
        <v>1257</v>
      </c>
      <c r="AE407">
        <v>2.6342667667494635E-5</v>
      </c>
      <c r="AG407" t="s">
        <v>97</v>
      </c>
      <c r="AH407" t="s">
        <v>1257</v>
      </c>
      <c r="AI407">
        <v>0</v>
      </c>
    </row>
    <row r="408" spans="9:35" x14ac:dyDescent="0.45">
      <c r="I408" t="s">
        <v>249</v>
      </c>
      <c r="J408" t="s">
        <v>1258</v>
      </c>
      <c r="K408">
        <v>0</v>
      </c>
      <c r="L408" t="s">
        <v>251</v>
      </c>
      <c r="N408" t="s">
        <v>419</v>
      </c>
      <c r="O408" t="s">
        <v>1258</v>
      </c>
      <c r="P408">
        <v>5.2018718690256927E-5</v>
      </c>
      <c r="Q408" t="s">
        <v>251</v>
      </c>
      <c r="S408" t="s">
        <v>420</v>
      </c>
      <c r="T408" t="s">
        <v>1258</v>
      </c>
      <c r="U408">
        <v>1.8469363000874042E-5</v>
      </c>
      <c r="V408" t="s">
        <v>251</v>
      </c>
      <c r="X408">
        <v>1.1415525114155251E-4</v>
      </c>
      <c r="Y408">
        <v>7.9556472664893237E-5</v>
      </c>
      <c r="Z408" t="s">
        <v>1258</v>
      </c>
      <c r="AA408" t="s">
        <v>25</v>
      </c>
      <c r="AC408" t="s">
        <v>22</v>
      </c>
      <c r="AD408" t="s">
        <v>1258</v>
      </c>
      <c r="AE408">
        <v>2.680392010139988E-5</v>
      </c>
      <c r="AG408" t="s">
        <v>97</v>
      </c>
      <c r="AH408" t="s">
        <v>1258</v>
      </c>
      <c r="AI408">
        <v>0</v>
      </c>
    </row>
    <row r="409" spans="9:35" x14ac:dyDescent="0.45">
      <c r="I409" t="s">
        <v>249</v>
      </c>
      <c r="J409" t="s">
        <v>1259</v>
      </c>
      <c r="K409">
        <v>0</v>
      </c>
      <c r="L409" t="s">
        <v>251</v>
      </c>
      <c r="N409" t="s">
        <v>419</v>
      </c>
      <c r="O409" t="s">
        <v>1259</v>
      </c>
      <c r="P409">
        <v>4.8921046431114719E-5</v>
      </c>
      <c r="Q409" t="s">
        <v>251</v>
      </c>
      <c r="S409" t="s">
        <v>420</v>
      </c>
      <c r="T409" t="s">
        <v>1259</v>
      </c>
      <c r="U409">
        <v>1.877274494947517E-5</v>
      </c>
      <c r="V409" t="s">
        <v>251</v>
      </c>
      <c r="X409">
        <v>1.1415525114155251E-4</v>
      </c>
      <c r="Y409">
        <v>5.6352501470966035E-5</v>
      </c>
      <c r="Z409" t="s">
        <v>1259</v>
      </c>
      <c r="AA409" t="s">
        <v>25</v>
      </c>
      <c r="AC409" t="s">
        <v>22</v>
      </c>
      <c r="AD409" t="s">
        <v>1259</v>
      </c>
      <c r="AE409">
        <v>3.1195845450323948E-5</v>
      </c>
      <c r="AG409" t="s">
        <v>97</v>
      </c>
      <c r="AH409" t="s">
        <v>1259</v>
      </c>
      <c r="AI409">
        <v>0</v>
      </c>
    </row>
    <row r="410" spans="9:35" x14ac:dyDescent="0.45">
      <c r="I410" t="s">
        <v>249</v>
      </c>
      <c r="J410" t="s">
        <v>1260</v>
      </c>
      <c r="K410">
        <v>0</v>
      </c>
      <c r="L410" t="s">
        <v>251</v>
      </c>
      <c r="N410" t="s">
        <v>419</v>
      </c>
      <c r="O410" t="s">
        <v>1260</v>
      </c>
      <c r="P410">
        <v>4.1840329442794611E-5</v>
      </c>
      <c r="Q410" t="s">
        <v>251</v>
      </c>
      <c r="S410" t="s">
        <v>420</v>
      </c>
      <c r="T410" t="s">
        <v>1260</v>
      </c>
      <c r="U410">
        <v>1.8766694120802763E-5</v>
      </c>
      <c r="V410" t="s">
        <v>251</v>
      </c>
      <c r="X410">
        <v>1.1415525114155251E-4</v>
      </c>
      <c r="Y410">
        <v>2.9833677249334962E-5</v>
      </c>
      <c r="Z410" t="s">
        <v>1260</v>
      </c>
      <c r="AA410" t="s">
        <v>25</v>
      </c>
      <c r="AC410" t="s">
        <v>22</v>
      </c>
      <c r="AD410" t="s">
        <v>1260</v>
      </c>
      <c r="AE410">
        <v>5.1369511683953552E-5</v>
      </c>
      <c r="AG410" t="s">
        <v>97</v>
      </c>
      <c r="AH410" t="s">
        <v>1260</v>
      </c>
      <c r="AI410">
        <v>0</v>
      </c>
    </row>
    <row r="411" spans="9:35" x14ac:dyDescent="0.45">
      <c r="I411" t="s">
        <v>249</v>
      </c>
      <c r="J411" t="s">
        <v>1261</v>
      </c>
      <c r="K411">
        <v>0</v>
      </c>
      <c r="L411" t="s">
        <v>251</v>
      </c>
      <c r="N411" t="s">
        <v>419</v>
      </c>
      <c r="O411" t="s">
        <v>1261</v>
      </c>
      <c r="P411">
        <v>3.5160312899149254E-5</v>
      </c>
      <c r="Q411" t="s">
        <v>251</v>
      </c>
      <c r="S411" t="s">
        <v>420</v>
      </c>
      <c r="T411" t="s">
        <v>1261</v>
      </c>
      <c r="U411">
        <v>1.8929498405115669E-5</v>
      </c>
      <c r="V411" t="s">
        <v>251</v>
      </c>
      <c r="X411">
        <v>1.1415525114155251E-4</v>
      </c>
      <c r="Y411">
        <v>2.1546544680075254E-5</v>
      </c>
      <c r="Z411" t="s">
        <v>1261</v>
      </c>
      <c r="AA411" t="s">
        <v>25</v>
      </c>
      <c r="AC411" t="s">
        <v>22</v>
      </c>
      <c r="AD411" t="s">
        <v>1261</v>
      </c>
      <c r="AE411">
        <v>5.4153738332091885E-5</v>
      </c>
      <c r="AG411" t="s">
        <v>97</v>
      </c>
      <c r="AH411" t="s">
        <v>1261</v>
      </c>
      <c r="AI411">
        <v>0</v>
      </c>
    </row>
    <row r="412" spans="9:35" x14ac:dyDescent="0.45">
      <c r="I412" t="s">
        <v>249</v>
      </c>
      <c r="J412" t="s">
        <v>1262</v>
      </c>
      <c r="K412">
        <v>0</v>
      </c>
      <c r="L412" t="s">
        <v>251</v>
      </c>
      <c r="N412" t="s">
        <v>419</v>
      </c>
      <c r="O412" t="s">
        <v>1262</v>
      </c>
      <c r="P412">
        <v>3.1008962699759718E-5</v>
      </c>
      <c r="Q412" t="s">
        <v>251</v>
      </c>
      <c r="S412" t="s">
        <v>420</v>
      </c>
      <c r="T412" t="s">
        <v>1262</v>
      </c>
      <c r="U412">
        <v>1.9714458016674041E-5</v>
      </c>
      <c r="V412" t="s">
        <v>251</v>
      </c>
      <c r="X412">
        <v>1.1415525114155251E-4</v>
      </c>
      <c r="Y412">
        <v>1.4916838624667481E-5</v>
      </c>
      <c r="Z412" t="s">
        <v>1262</v>
      </c>
      <c r="AA412" t="s">
        <v>25</v>
      </c>
      <c r="AC412" t="s">
        <v>22</v>
      </c>
      <c r="AD412" t="s">
        <v>1262</v>
      </c>
      <c r="AE412">
        <v>7.1516438646052421E-5</v>
      </c>
      <c r="AG412" t="s">
        <v>97</v>
      </c>
      <c r="AH412" t="s">
        <v>1262</v>
      </c>
      <c r="AI412">
        <v>0</v>
      </c>
    </row>
    <row r="413" spans="9:35" x14ac:dyDescent="0.45">
      <c r="I413" t="s">
        <v>249</v>
      </c>
      <c r="J413" t="s">
        <v>1263</v>
      </c>
      <c r="K413">
        <v>0</v>
      </c>
      <c r="L413" t="s">
        <v>251</v>
      </c>
      <c r="N413" t="s">
        <v>419</v>
      </c>
      <c r="O413" t="s">
        <v>1263</v>
      </c>
      <c r="P413">
        <v>2.680969511545744E-5</v>
      </c>
      <c r="Q413" t="s">
        <v>251</v>
      </c>
      <c r="S413" t="s">
        <v>420</v>
      </c>
      <c r="T413" t="s">
        <v>1263</v>
      </c>
      <c r="U413">
        <v>2.3050557201238001E-5</v>
      </c>
      <c r="V413" t="s">
        <v>251</v>
      </c>
      <c r="X413">
        <v>1.1415525114155251E-4</v>
      </c>
      <c r="Y413">
        <v>1.6574265138519424E-5</v>
      </c>
      <c r="Z413" t="s">
        <v>1263</v>
      </c>
      <c r="AA413" t="s">
        <v>25</v>
      </c>
      <c r="AC413" t="s">
        <v>22</v>
      </c>
      <c r="AD413" t="s">
        <v>1263</v>
      </c>
      <c r="AE413">
        <v>9.4409711621621083E-5</v>
      </c>
      <c r="AG413" t="s">
        <v>97</v>
      </c>
      <c r="AH413" t="s">
        <v>1263</v>
      </c>
      <c r="AI413">
        <v>0</v>
      </c>
    </row>
    <row r="414" spans="9:35" x14ac:dyDescent="0.45">
      <c r="I414" t="s">
        <v>249</v>
      </c>
      <c r="J414" t="s">
        <v>1264</v>
      </c>
      <c r="K414">
        <v>0</v>
      </c>
      <c r="L414" t="s">
        <v>251</v>
      </c>
      <c r="N414" t="s">
        <v>419</v>
      </c>
      <c r="O414" t="s">
        <v>1264</v>
      </c>
      <c r="P414">
        <v>2.1790081144309824E-5</v>
      </c>
      <c r="Q414" t="s">
        <v>251</v>
      </c>
      <c r="S414" t="s">
        <v>420</v>
      </c>
      <c r="T414" t="s">
        <v>1264</v>
      </c>
      <c r="U414">
        <v>2.562845271394715E-5</v>
      </c>
      <c r="V414" t="s">
        <v>251</v>
      </c>
      <c r="X414">
        <v>1.1415525114155251E-4</v>
      </c>
      <c r="Y414">
        <v>1.4585353321897093E-5</v>
      </c>
      <c r="Z414" t="s">
        <v>1264</v>
      </c>
      <c r="AA414" t="s">
        <v>25</v>
      </c>
      <c r="AC414" t="s">
        <v>22</v>
      </c>
      <c r="AD414" t="s">
        <v>1264</v>
      </c>
      <c r="AE414">
        <v>1.0512436055125139E-4</v>
      </c>
      <c r="AG414" t="s">
        <v>97</v>
      </c>
      <c r="AH414" t="s">
        <v>1264</v>
      </c>
      <c r="AI414">
        <v>0</v>
      </c>
    </row>
    <row r="415" spans="9:35" x14ac:dyDescent="0.45">
      <c r="I415" t="s">
        <v>249</v>
      </c>
      <c r="J415" t="s">
        <v>1265</v>
      </c>
      <c r="K415">
        <v>0</v>
      </c>
      <c r="L415" t="s">
        <v>251</v>
      </c>
      <c r="N415" t="s">
        <v>419</v>
      </c>
      <c r="O415" t="s">
        <v>1265</v>
      </c>
      <c r="P415">
        <v>2.0513799018566001E-5</v>
      </c>
      <c r="Q415" t="s">
        <v>251</v>
      </c>
      <c r="S415" t="s">
        <v>420</v>
      </c>
      <c r="T415" t="s">
        <v>1265</v>
      </c>
      <c r="U415">
        <v>2.8365804331302863E-5</v>
      </c>
      <c r="V415" t="s">
        <v>251</v>
      </c>
      <c r="X415">
        <v>1.1415525114155251E-4</v>
      </c>
      <c r="Y415">
        <v>2.1215059377304864E-5</v>
      </c>
      <c r="Z415" t="s">
        <v>1265</v>
      </c>
      <c r="AA415" t="s">
        <v>25</v>
      </c>
      <c r="AC415" t="s">
        <v>22</v>
      </c>
      <c r="AD415" t="s">
        <v>1265</v>
      </c>
      <c r="AE415">
        <v>1.0786179347421087E-4</v>
      </c>
      <c r="AG415" t="s">
        <v>97</v>
      </c>
      <c r="AH415" t="s">
        <v>1265</v>
      </c>
      <c r="AI415">
        <v>0</v>
      </c>
    </row>
    <row r="416" spans="9:35" x14ac:dyDescent="0.45">
      <c r="I416" t="s">
        <v>249</v>
      </c>
      <c r="J416" t="s">
        <v>1266</v>
      </c>
      <c r="K416">
        <v>0</v>
      </c>
      <c r="L416" t="s">
        <v>251</v>
      </c>
      <c r="N416" t="s">
        <v>419</v>
      </c>
      <c r="O416" t="s">
        <v>1266</v>
      </c>
      <c r="P416">
        <v>2.05708853061192E-5</v>
      </c>
      <c r="Q416" t="s">
        <v>251</v>
      </c>
      <c r="S416" t="s">
        <v>420</v>
      </c>
      <c r="T416" t="s">
        <v>1266</v>
      </c>
      <c r="U416">
        <v>2.979793391887108E-5</v>
      </c>
      <c r="V416" t="s">
        <v>251</v>
      </c>
      <c r="X416">
        <v>1.1415525114155251E-4</v>
      </c>
      <c r="Y416">
        <v>5.7678442682047593E-5</v>
      </c>
      <c r="Z416" t="s">
        <v>1266</v>
      </c>
      <c r="AA416" t="s">
        <v>25</v>
      </c>
      <c r="AC416" t="s">
        <v>22</v>
      </c>
      <c r="AD416" t="s">
        <v>1266</v>
      </c>
      <c r="AE416">
        <v>1.2003373270226654E-4</v>
      </c>
      <c r="AG416" t="s">
        <v>97</v>
      </c>
      <c r="AH416" t="s">
        <v>1266</v>
      </c>
      <c r="AI416">
        <v>0</v>
      </c>
    </row>
    <row r="417" spans="9:35" x14ac:dyDescent="0.45">
      <c r="I417" t="s">
        <v>249</v>
      </c>
      <c r="J417" t="s">
        <v>1267</v>
      </c>
      <c r="K417">
        <v>0</v>
      </c>
      <c r="L417" t="s">
        <v>251</v>
      </c>
      <c r="N417" t="s">
        <v>419</v>
      </c>
      <c r="O417" t="s">
        <v>1267</v>
      </c>
      <c r="P417">
        <v>2.2058526096563758E-5</v>
      </c>
      <c r="Q417" t="s">
        <v>251</v>
      </c>
      <c r="S417" t="s">
        <v>420</v>
      </c>
      <c r="T417" t="s">
        <v>1267</v>
      </c>
      <c r="U417">
        <v>3.0036772770069958E-5</v>
      </c>
      <c r="V417" t="s">
        <v>251</v>
      </c>
      <c r="X417">
        <v>1.1415525114155251E-4</v>
      </c>
      <c r="Y417">
        <v>1.6905750441289813E-4</v>
      </c>
      <c r="Z417" t="s">
        <v>1267</v>
      </c>
      <c r="AA417" t="s">
        <v>25</v>
      </c>
      <c r="AC417" t="s">
        <v>22</v>
      </c>
      <c r="AD417" t="s">
        <v>1267</v>
      </c>
      <c r="AE417">
        <v>1.1966941012766018E-4</v>
      </c>
      <c r="AG417" t="s">
        <v>97</v>
      </c>
      <c r="AH417" t="s">
        <v>1267</v>
      </c>
      <c r="AI417">
        <v>0</v>
      </c>
    </row>
    <row r="418" spans="9:35" x14ac:dyDescent="0.45">
      <c r="I418" t="s">
        <v>249</v>
      </c>
      <c r="J418" t="s">
        <v>1268</v>
      </c>
      <c r="K418">
        <v>5.731483845233788E-5</v>
      </c>
      <c r="L418" t="s">
        <v>251</v>
      </c>
      <c r="N418" t="s">
        <v>419</v>
      </c>
      <c r="O418" t="s">
        <v>1268</v>
      </c>
      <c r="P418">
        <v>2.32529567477773E-5</v>
      </c>
      <c r="Q418" t="s">
        <v>251</v>
      </c>
      <c r="S418" t="s">
        <v>420</v>
      </c>
      <c r="T418" t="s">
        <v>1268</v>
      </c>
      <c r="U418">
        <v>3.1245567009507505E-5</v>
      </c>
      <c r="V418" t="s">
        <v>251</v>
      </c>
      <c r="X418">
        <v>1.1415525114155251E-4</v>
      </c>
      <c r="Y418">
        <v>1.9060404909297337E-4</v>
      </c>
      <c r="Z418" t="s">
        <v>1268</v>
      </c>
      <c r="AA418" t="s">
        <v>25</v>
      </c>
      <c r="AC418" t="s">
        <v>22</v>
      </c>
      <c r="AD418" t="s">
        <v>1268</v>
      </c>
      <c r="AE418">
        <v>1.1935522368717399E-4</v>
      </c>
      <c r="AG418" t="s">
        <v>97</v>
      </c>
      <c r="AH418" t="s">
        <v>1268</v>
      </c>
      <c r="AI418">
        <v>0</v>
      </c>
    </row>
    <row r="419" spans="9:35" x14ac:dyDescent="0.45">
      <c r="I419" t="s">
        <v>249</v>
      </c>
      <c r="J419" t="s">
        <v>1269</v>
      </c>
      <c r="K419">
        <v>2.2372759364399999E-4</v>
      </c>
      <c r="L419" t="s">
        <v>251</v>
      </c>
      <c r="N419" t="s">
        <v>419</v>
      </c>
      <c r="O419" t="s">
        <v>1269</v>
      </c>
      <c r="P419">
        <v>1.5264895385402166E-5</v>
      </c>
      <c r="Q419" t="s">
        <v>251</v>
      </c>
      <c r="S419" t="s">
        <v>420</v>
      </c>
      <c r="T419" t="s">
        <v>1269</v>
      </c>
      <c r="U419">
        <v>3.1698999211812454E-5</v>
      </c>
      <c r="V419" t="s">
        <v>251</v>
      </c>
      <c r="X419">
        <v>1.1415525114155251E-4</v>
      </c>
      <c r="Y419">
        <v>1.4585353321897094E-4</v>
      </c>
      <c r="Z419" t="s">
        <v>1269</v>
      </c>
      <c r="AA419" t="s">
        <v>25</v>
      </c>
      <c r="AC419" t="s">
        <v>22</v>
      </c>
      <c r="AD419" t="s">
        <v>1269</v>
      </c>
      <c r="AE419">
        <v>1.2138072350562757E-4</v>
      </c>
      <c r="AG419" t="s">
        <v>97</v>
      </c>
      <c r="AH419" t="s">
        <v>1269</v>
      </c>
      <c r="AI419">
        <v>0</v>
      </c>
    </row>
    <row r="420" spans="9:35" x14ac:dyDescent="0.45">
      <c r="I420" t="s">
        <v>249</v>
      </c>
      <c r="J420" t="s">
        <v>1270</v>
      </c>
      <c r="K420">
        <v>2.949080099856E-4</v>
      </c>
      <c r="L420" t="s">
        <v>251</v>
      </c>
      <c r="N420" t="s">
        <v>419</v>
      </c>
      <c r="O420" t="s">
        <v>1270</v>
      </c>
      <c r="P420">
        <v>8.6830213311440736E-6</v>
      </c>
      <c r="Q420" t="s">
        <v>251</v>
      </c>
      <c r="S420" t="s">
        <v>420</v>
      </c>
      <c r="T420" t="s">
        <v>1270</v>
      </c>
      <c r="U420">
        <v>3.0399577064000539E-5</v>
      </c>
      <c r="V420" t="s">
        <v>251</v>
      </c>
      <c r="X420">
        <v>1.1415525114155251E-4</v>
      </c>
      <c r="Y420">
        <v>1.4452759200788939E-4</v>
      </c>
      <c r="Z420" t="s">
        <v>1270</v>
      </c>
      <c r="AA420" t="s">
        <v>25</v>
      </c>
      <c r="AC420" t="s">
        <v>22</v>
      </c>
      <c r="AD420" t="s">
        <v>1270</v>
      </c>
      <c r="AE420">
        <v>1.2080471503140288E-4</v>
      </c>
      <c r="AG420" t="s">
        <v>97</v>
      </c>
      <c r="AH420" t="s">
        <v>1270</v>
      </c>
      <c r="AI420">
        <v>0</v>
      </c>
    </row>
    <row r="421" spans="9:35" x14ac:dyDescent="0.45">
      <c r="I421" t="s">
        <v>249</v>
      </c>
      <c r="J421" t="s">
        <v>1271</v>
      </c>
      <c r="K421">
        <v>3.1595312118689998E-4</v>
      </c>
      <c r="L421" t="s">
        <v>251</v>
      </c>
      <c r="N421" t="s">
        <v>419</v>
      </c>
      <c r="O421" t="s">
        <v>1271</v>
      </c>
      <c r="P421">
        <v>6.9418333588473966E-6</v>
      </c>
      <c r="Q421" t="s">
        <v>251</v>
      </c>
      <c r="S421" t="s">
        <v>420</v>
      </c>
      <c r="T421" t="s">
        <v>1271</v>
      </c>
      <c r="U421">
        <v>2.7535064134469497E-5</v>
      </c>
      <c r="V421" t="s">
        <v>251</v>
      </c>
      <c r="X421">
        <v>1.1415525114155251E-4</v>
      </c>
      <c r="Y421">
        <v>1.408812536774151E-4</v>
      </c>
      <c r="Z421" t="s">
        <v>1271</v>
      </c>
      <c r="AA421" t="s">
        <v>25</v>
      </c>
      <c r="AC421" t="s">
        <v>22</v>
      </c>
      <c r="AD421" t="s">
        <v>1271</v>
      </c>
      <c r="AE421">
        <v>1.197396007154284E-4</v>
      </c>
      <c r="AG421" t="s">
        <v>97</v>
      </c>
      <c r="AH421" t="s">
        <v>1271</v>
      </c>
      <c r="AI421">
        <v>0</v>
      </c>
    </row>
    <row r="422" spans="9:35" x14ac:dyDescent="0.45">
      <c r="I422" t="s">
        <v>249</v>
      </c>
      <c r="J422" t="s">
        <v>1272</v>
      </c>
      <c r="K422">
        <v>3.1065649936299998E-4</v>
      </c>
      <c r="L422" t="s">
        <v>251</v>
      </c>
      <c r="N422" t="s">
        <v>419</v>
      </c>
      <c r="O422" t="s">
        <v>1272</v>
      </c>
      <c r="P422">
        <v>5.6410639732497957E-6</v>
      </c>
      <c r="Q422" t="s">
        <v>251</v>
      </c>
      <c r="S422" t="s">
        <v>420</v>
      </c>
      <c r="T422" t="s">
        <v>1272</v>
      </c>
      <c r="U422">
        <v>2.4062889594309649E-5</v>
      </c>
      <c r="V422" t="s">
        <v>251</v>
      </c>
      <c r="X422">
        <v>1.1415525114155251E-4</v>
      </c>
      <c r="Y422">
        <v>1.4054976837464471E-4</v>
      </c>
      <c r="Z422" t="s">
        <v>1272</v>
      </c>
      <c r="AA422" t="s">
        <v>25</v>
      </c>
      <c r="AC422" t="s">
        <v>22</v>
      </c>
      <c r="AD422" t="s">
        <v>1272</v>
      </c>
      <c r="AE422">
        <v>1.2005712956485591E-4</v>
      </c>
      <c r="AG422" t="s">
        <v>97</v>
      </c>
      <c r="AH422" t="s">
        <v>1272</v>
      </c>
      <c r="AI422">
        <v>0</v>
      </c>
    </row>
    <row r="423" spans="9:35" x14ac:dyDescent="0.45">
      <c r="I423" t="s">
        <v>249</v>
      </c>
      <c r="J423" t="s">
        <v>1273</v>
      </c>
      <c r="K423">
        <v>2.89995455129E-4</v>
      </c>
      <c r="L423" t="s">
        <v>251</v>
      </c>
      <c r="N423" t="s">
        <v>419</v>
      </c>
      <c r="O423" t="s">
        <v>1273</v>
      </c>
      <c r="P423">
        <v>5.1187717600580176E-6</v>
      </c>
      <c r="Q423" t="s">
        <v>251</v>
      </c>
      <c r="S423" t="s">
        <v>420</v>
      </c>
      <c r="T423" t="s">
        <v>1273</v>
      </c>
      <c r="U423">
        <v>2.083166692607448E-5</v>
      </c>
      <c r="V423" t="s">
        <v>251</v>
      </c>
      <c r="X423">
        <v>1.1415525114155251E-4</v>
      </c>
      <c r="Y423">
        <v>1.4253868019126702E-4</v>
      </c>
      <c r="Z423" t="s">
        <v>1273</v>
      </c>
      <c r="AA423" t="s">
        <v>25</v>
      </c>
      <c r="AC423" t="s">
        <v>22</v>
      </c>
      <c r="AD423" t="s">
        <v>1273</v>
      </c>
      <c r="AE423">
        <v>1.4464834628262656E-4</v>
      </c>
      <c r="AG423" t="s">
        <v>97</v>
      </c>
      <c r="AH423" t="s">
        <v>1273</v>
      </c>
      <c r="AI423">
        <v>0</v>
      </c>
    </row>
    <row r="424" spans="9:35" x14ac:dyDescent="0.45">
      <c r="I424" t="s">
        <v>249</v>
      </c>
      <c r="J424" t="s">
        <v>1274</v>
      </c>
      <c r="K424">
        <v>2.9765099332630001E-4</v>
      </c>
      <c r="L424" t="s">
        <v>251</v>
      </c>
      <c r="N424" t="s">
        <v>419</v>
      </c>
      <c r="O424" t="s">
        <v>1274</v>
      </c>
      <c r="P424">
        <v>5.7708554914943967E-6</v>
      </c>
      <c r="Q424" t="s">
        <v>251</v>
      </c>
      <c r="S424" t="s">
        <v>420</v>
      </c>
      <c r="T424" t="s">
        <v>1274</v>
      </c>
      <c r="U424">
        <v>1.992875842834057E-5</v>
      </c>
      <c r="V424" t="s">
        <v>251</v>
      </c>
      <c r="X424">
        <v>1.1415525114155251E-4</v>
      </c>
      <c r="Y424">
        <v>1.4883690094390442E-4</v>
      </c>
      <c r="Z424" t="s">
        <v>1274</v>
      </c>
      <c r="AA424" t="s">
        <v>25</v>
      </c>
      <c r="AC424" t="s">
        <v>22</v>
      </c>
      <c r="AD424" t="s">
        <v>1274</v>
      </c>
      <c r="AE424">
        <v>1.4562544382981234E-4</v>
      </c>
      <c r="AG424" t="s">
        <v>97</v>
      </c>
      <c r="AH424" t="s">
        <v>1274</v>
      </c>
      <c r="AI424">
        <v>0</v>
      </c>
    </row>
    <row r="425" spans="9:35" x14ac:dyDescent="0.45">
      <c r="I425" t="s">
        <v>249</v>
      </c>
      <c r="J425" t="s">
        <v>1275</v>
      </c>
      <c r="K425">
        <v>3.1029556923039999E-4</v>
      </c>
      <c r="L425" t="s">
        <v>251</v>
      </c>
      <c r="N425" t="s">
        <v>419</v>
      </c>
      <c r="O425" t="s">
        <v>1275</v>
      </c>
      <c r="P425">
        <v>7.0671342960962284E-6</v>
      </c>
      <c r="Q425" t="s">
        <v>251</v>
      </c>
      <c r="S425" t="s">
        <v>420</v>
      </c>
      <c r="T425" t="s">
        <v>1275</v>
      </c>
      <c r="U425">
        <v>2.0637049871749822E-5</v>
      </c>
      <c r="V425" t="s">
        <v>251</v>
      </c>
      <c r="X425">
        <v>1.1415525114155251E-4</v>
      </c>
      <c r="Y425">
        <v>1.5049432745775637E-4</v>
      </c>
      <c r="Z425" t="s">
        <v>1275</v>
      </c>
      <c r="AA425" t="s">
        <v>25</v>
      </c>
      <c r="AC425" t="s">
        <v>22</v>
      </c>
      <c r="AD425" t="s">
        <v>1275</v>
      </c>
      <c r="AE425">
        <v>1.2433541300977435E-4</v>
      </c>
      <c r="AG425" t="s">
        <v>97</v>
      </c>
      <c r="AH425" t="s">
        <v>1275</v>
      </c>
      <c r="AI425">
        <v>0</v>
      </c>
    </row>
    <row r="426" spans="9:35" x14ac:dyDescent="0.45">
      <c r="I426" t="s">
        <v>249</v>
      </c>
      <c r="J426" t="s">
        <v>1276</v>
      </c>
      <c r="K426">
        <v>2.9695239426369999E-4</v>
      </c>
      <c r="L426" t="s">
        <v>251</v>
      </c>
      <c r="N426" t="s">
        <v>419</v>
      </c>
      <c r="O426" t="s">
        <v>1276</v>
      </c>
      <c r="P426">
        <v>9.8047360054532384E-6</v>
      </c>
      <c r="Q426" t="s">
        <v>251</v>
      </c>
      <c r="S426" t="s">
        <v>420</v>
      </c>
      <c r="T426" t="s">
        <v>1276</v>
      </c>
      <c r="U426">
        <v>2.1711144624627601E-5</v>
      </c>
      <c r="V426" t="s">
        <v>251</v>
      </c>
      <c r="X426">
        <v>1.1415525114155251E-4</v>
      </c>
      <c r="Y426">
        <v>1.7237235744060203E-4</v>
      </c>
      <c r="Z426" t="s">
        <v>1276</v>
      </c>
      <c r="AA426" t="s">
        <v>25</v>
      </c>
      <c r="AC426" t="s">
        <v>22</v>
      </c>
      <c r="AD426" t="s">
        <v>1276</v>
      </c>
      <c r="AE426">
        <v>1.0494944114998778E-4</v>
      </c>
      <c r="AG426" t="s">
        <v>97</v>
      </c>
      <c r="AH426" t="s">
        <v>1276</v>
      </c>
      <c r="AI426">
        <v>0</v>
      </c>
    </row>
    <row r="427" spans="9:35" x14ac:dyDescent="0.45">
      <c r="I427" t="s">
        <v>249</v>
      </c>
      <c r="J427" t="s">
        <v>1277</v>
      </c>
      <c r="K427">
        <v>2.4193374693940001E-4</v>
      </c>
      <c r="L427" t="s">
        <v>251</v>
      </c>
      <c r="N427" t="s">
        <v>419</v>
      </c>
      <c r="O427" t="s">
        <v>1277</v>
      </c>
      <c r="P427">
        <v>1.5802156047473217E-5</v>
      </c>
      <c r="Q427" t="s">
        <v>251</v>
      </c>
      <c r="S427" t="s">
        <v>420</v>
      </c>
      <c r="T427" t="s">
        <v>1277</v>
      </c>
      <c r="U427">
        <v>2.6367343705861031E-5</v>
      </c>
      <c r="V427" t="s">
        <v>251</v>
      </c>
      <c r="X427">
        <v>1.1415525114155251E-4</v>
      </c>
      <c r="Y427">
        <v>2.2209515285616027E-4</v>
      </c>
      <c r="Z427" t="s">
        <v>1277</v>
      </c>
      <c r="AA427" t="s">
        <v>25</v>
      </c>
      <c r="AC427" t="s">
        <v>22</v>
      </c>
      <c r="AD427" t="s">
        <v>1277</v>
      </c>
      <c r="AE427">
        <v>8.7424076934215246E-5</v>
      </c>
      <c r="AG427" t="s">
        <v>97</v>
      </c>
      <c r="AH427" t="s">
        <v>1277</v>
      </c>
      <c r="AI427">
        <v>0</v>
      </c>
    </row>
    <row r="428" spans="9:35" x14ac:dyDescent="0.45">
      <c r="I428" t="s">
        <v>249</v>
      </c>
      <c r="J428" t="s">
        <v>1278</v>
      </c>
      <c r="K428">
        <v>1.164812292175E-4</v>
      </c>
      <c r="L428" t="s">
        <v>251</v>
      </c>
      <c r="N428" t="s">
        <v>419</v>
      </c>
      <c r="O428" t="s">
        <v>1278</v>
      </c>
      <c r="P428">
        <v>2.3281538422169865E-5</v>
      </c>
      <c r="Q428" t="s">
        <v>251</v>
      </c>
      <c r="S428" t="s">
        <v>420</v>
      </c>
      <c r="T428" t="s">
        <v>1278</v>
      </c>
      <c r="U428">
        <v>3.1119919460717577E-5</v>
      </c>
      <c r="V428" t="s">
        <v>251</v>
      </c>
      <c r="X428">
        <v>1.1415525114155251E-4</v>
      </c>
      <c r="Y428">
        <v>2.2209515285616027E-4</v>
      </c>
      <c r="Z428" t="s">
        <v>1278</v>
      </c>
      <c r="AA428" t="s">
        <v>25</v>
      </c>
      <c r="AC428" t="s">
        <v>22</v>
      </c>
      <c r="AD428" t="s">
        <v>1278</v>
      </c>
      <c r="AE428">
        <v>5.7681093901522001E-5</v>
      </c>
      <c r="AG428" t="s">
        <v>97</v>
      </c>
      <c r="AH428" t="s">
        <v>1278</v>
      </c>
      <c r="AI428">
        <v>0</v>
      </c>
    </row>
    <row r="429" spans="9:35" x14ac:dyDescent="0.45">
      <c r="I429" t="s">
        <v>249</v>
      </c>
      <c r="J429" t="s">
        <v>1279</v>
      </c>
      <c r="K429">
        <v>0</v>
      </c>
      <c r="L429" t="s">
        <v>251</v>
      </c>
      <c r="N429" t="s">
        <v>419</v>
      </c>
      <c r="O429" t="s">
        <v>1279</v>
      </c>
      <c r="P429">
        <v>3.465584316929108E-5</v>
      </c>
      <c r="Q429" t="s">
        <v>251</v>
      </c>
      <c r="S429" t="s">
        <v>420</v>
      </c>
      <c r="T429" t="s">
        <v>1279</v>
      </c>
      <c r="U429">
        <v>3.4786182945960642E-5</v>
      </c>
      <c r="V429" t="s">
        <v>251</v>
      </c>
      <c r="X429">
        <v>1.1415525114155251E-4</v>
      </c>
      <c r="Y429">
        <v>1.7237235744060203E-4</v>
      </c>
      <c r="Z429" t="s">
        <v>1279</v>
      </c>
      <c r="AA429" t="s">
        <v>25</v>
      </c>
      <c r="AC429" t="s">
        <v>22</v>
      </c>
      <c r="AD429" t="s">
        <v>1279</v>
      </c>
      <c r="AE429">
        <v>3.2076013138210811E-5</v>
      </c>
      <c r="AG429" t="s">
        <v>97</v>
      </c>
      <c r="AH429" t="s">
        <v>1279</v>
      </c>
      <c r="AI429">
        <v>0</v>
      </c>
    </row>
    <row r="430" spans="9:35" x14ac:dyDescent="0.45">
      <c r="I430" t="s">
        <v>249</v>
      </c>
      <c r="J430" t="s">
        <v>1280</v>
      </c>
      <c r="K430">
        <v>0</v>
      </c>
      <c r="L430" t="s">
        <v>251</v>
      </c>
      <c r="N430" t="s">
        <v>419</v>
      </c>
      <c r="O430" t="s">
        <v>1280</v>
      </c>
      <c r="P430">
        <v>4.1898030909739182E-5</v>
      </c>
      <c r="Q430" t="s">
        <v>251</v>
      </c>
      <c r="S430" t="s">
        <v>420</v>
      </c>
      <c r="T430" t="s">
        <v>1280</v>
      </c>
      <c r="U430">
        <v>3.6393290819646023E-5</v>
      </c>
      <c r="V430" t="s">
        <v>251</v>
      </c>
      <c r="X430">
        <v>1.1415525114155251E-4</v>
      </c>
      <c r="Y430">
        <v>1.5579809230208258E-4</v>
      </c>
      <c r="Z430" t="s">
        <v>1280</v>
      </c>
      <c r="AA430" t="s">
        <v>25</v>
      </c>
      <c r="AC430" t="s">
        <v>22</v>
      </c>
      <c r="AD430" t="s">
        <v>1280</v>
      </c>
      <c r="AE430">
        <v>2.6760468785162454E-5</v>
      </c>
      <c r="AG430" t="s">
        <v>97</v>
      </c>
      <c r="AH430" t="s">
        <v>1280</v>
      </c>
      <c r="AI430">
        <v>0</v>
      </c>
    </row>
    <row r="431" spans="9:35" x14ac:dyDescent="0.45">
      <c r="I431" t="s">
        <v>249</v>
      </c>
      <c r="J431" t="s">
        <v>1281</v>
      </c>
      <c r="K431">
        <v>0</v>
      </c>
      <c r="L431" t="s">
        <v>251</v>
      </c>
      <c r="N431" t="s">
        <v>419</v>
      </c>
      <c r="O431" t="s">
        <v>1281</v>
      </c>
      <c r="P431">
        <v>4.618592572903834E-5</v>
      </c>
      <c r="Q431" t="s">
        <v>251</v>
      </c>
      <c r="S431" t="s">
        <v>420</v>
      </c>
      <c r="T431" t="s">
        <v>1281</v>
      </c>
      <c r="U431">
        <v>3.7026066822795643E-5</v>
      </c>
      <c r="V431" t="s">
        <v>251</v>
      </c>
      <c r="X431">
        <v>1.1415525114155251E-4</v>
      </c>
      <c r="Y431">
        <v>1.093901499142282E-4</v>
      </c>
      <c r="Z431" t="s">
        <v>1281</v>
      </c>
      <c r="AA431" t="s">
        <v>25</v>
      </c>
      <c r="AC431" t="s">
        <v>22</v>
      </c>
      <c r="AD431" t="s">
        <v>1281</v>
      </c>
      <c r="AE431">
        <v>2.7187182993340501E-5</v>
      </c>
      <c r="AG431" t="s">
        <v>97</v>
      </c>
      <c r="AH431" t="s">
        <v>1281</v>
      </c>
      <c r="AI431">
        <v>0</v>
      </c>
    </row>
    <row r="432" spans="9:35" x14ac:dyDescent="0.45">
      <c r="I432" t="s">
        <v>249</v>
      </c>
      <c r="J432" t="s">
        <v>1282</v>
      </c>
      <c r="K432">
        <v>0</v>
      </c>
      <c r="L432" t="s">
        <v>251</v>
      </c>
      <c r="N432" t="s">
        <v>419</v>
      </c>
      <c r="O432" t="s">
        <v>1282</v>
      </c>
      <c r="P432">
        <v>4.5913838789789307E-5</v>
      </c>
      <c r="Q432" t="s">
        <v>251</v>
      </c>
      <c r="S432" t="s">
        <v>420</v>
      </c>
      <c r="T432" t="s">
        <v>1282</v>
      </c>
      <c r="U432">
        <v>3.7487605018807977E-5</v>
      </c>
      <c r="V432" t="s">
        <v>251</v>
      </c>
      <c r="X432">
        <v>1.1415525114155251E-4</v>
      </c>
      <c r="Y432">
        <v>7.9556472664893237E-5</v>
      </c>
      <c r="Z432" t="s">
        <v>1282</v>
      </c>
      <c r="AA432" t="s">
        <v>25</v>
      </c>
      <c r="AC432" t="s">
        <v>22</v>
      </c>
      <c r="AD432" t="s">
        <v>1282</v>
      </c>
      <c r="AE432">
        <v>2.7240661536402006E-5</v>
      </c>
      <c r="AG432" t="s">
        <v>97</v>
      </c>
      <c r="AH432" t="s">
        <v>1282</v>
      </c>
      <c r="AI432">
        <v>0</v>
      </c>
    </row>
    <row r="433" spans="9:35" x14ac:dyDescent="0.45">
      <c r="I433" t="s">
        <v>249</v>
      </c>
      <c r="J433" t="s">
        <v>1283</v>
      </c>
      <c r="K433">
        <v>0</v>
      </c>
      <c r="L433" t="s">
        <v>251</v>
      </c>
      <c r="N433" t="s">
        <v>419</v>
      </c>
      <c r="O433" t="s">
        <v>1283</v>
      </c>
      <c r="P433">
        <v>4.1980902899517821E-5</v>
      </c>
      <c r="Q433" t="s">
        <v>251</v>
      </c>
      <c r="S433" t="s">
        <v>420</v>
      </c>
      <c r="T433" t="s">
        <v>1283</v>
      </c>
      <c r="U433">
        <v>3.8430892805739803E-5</v>
      </c>
      <c r="V433" t="s">
        <v>251</v>
      </c>
      <c r="X433">
        <v>1.1415525114155251E-4</v>
      </c>
      <c r="Y433">
        <v>5.6352501470966035E-5</v>
      </c>
      <c r="Z433" t="s">
        <v>1283</v>
      </c>
      <c r="AA433" t="s">
        <v>25</v>
      </c>
      <c r="AC433" t="s">
        <v>22</v>
      </c>
      <c r="AD433" t="s">
        <v>1283</v>
      </c>
      <c r="AE433">
        <v>3.2336721035635526E-5</v>
      </c>
      <c r="AG433" t="s">
        <v>97</v>
      </c>
      <c r="AH433" t="s">
        <v>1283</v>
      </c>
      <c r="AI433">
        <v>0</v>
      </c>
    </row>
    <row r="434" spans="9:35" x14ac:dyDescent="0.45">
      <c r="I434" t="s">
        <v>249</v>
      </c>
      <c r="J434" t="s">
        <v>1284</v>
      </c>
      <c r="K434">
        <v>0</v>
      </c>
      <c r="L434" t="s">
        <v>251</v>
      </c>
      <c r="N434" t="s">
        <v>419</v>
      </c>
      <c r="O434" t="s">
        <v>1284</v>
      </c>
      <c r="P434">
        <v>3.7536969238373921E-5</v>
      </c>
      <c r="Q434" t="s">
        <v>251</v>
      </c>
      <c r="S434" t="s">
        <v>420</v>
      </c>
      <c r="T434" t="s">
        <v>1284</v>
      </c>
      <c r="U434">
        <v>3.978953146770638E-5</v>
      </c>
      <c r="V434" t="s">
        <v>251</v>
      </c>
      <c r="X434">
        <v>1.1415525114155251E-4</v>
      </c>
      <c r="Y434">
        <v>2.9833677249334962E-5</v>
      </c>
      <c r="Z434" t="s">
        <v>1284</v>
      </c>
      <c r="AA434" t="s">
        <v>25</v>
      </c>
      <c r="AC434" t="s">
        <v>22</v>
      </c>
      <c r="AD434" t="s">
        <v>1284</v>
      </c>
      <c r="AE434">
        <v>5.3878546662588015E-5</v>
      </c>
      <c r="AG434" t="s">
        <v>97</v>
      </c>
      <c r="AH434" t="s">
        <v>1284</v>
      </c>
      <c r="AI434">
        <v>0</v>
      </c>
    </row>
    <row r="435" spans="9:35" x14ac:dyDescent="0.45">
      <c r="I435" t="s">
        <v>249</v>
      </c>
      <c r="J435" t="s">
        <v>1285</v>
      </c>
      <c r="K435">
        <v>0</v>
      </c>
      <c r="L435" t="s">
        <v>251</v>
      </c>
      <c r="N435" t="s">
        <v>419</v>
      </c>
      <c r="O435" t="s">
        <v>1285</v>
      </c>
      <c r="P435">
        <v>3.2140337995142285E-5</v>
      </c>
      <c r="Q435" t="s">
        <v>251</v>
      </c>
      <c r="S435" t="s">
        <v>420</v>
      </c>
      <c r="T435" t="s">
        <v>1285</v>
      </c>
      <c r="U435">
        <v>4.1729307356786323E-5</v>
      </c>
      <c r="V435" t="s">
        <v>251</v>
      </c>
      <c r="X435">
        <v>1.1415525114155251E-4</v>
      </c>
      <c r="Y435">
        <v>2.1546544680075254E-5</v>
      </c>
      <c r="Z435" t="s">
        <v>1285</v>
      </c>
      <c r="AA435" t="s">
        <v>25</v>
      </c>
      <c r="AC435" t="s">
        <v>22</v>
      </c>
      <c r="AD435" t="s">
        <v>1285</v>
      </c>
      <c r="AE435">
        <v>5.8511125455288725E-5</v>
      </c>
      <c r="AG435" t="s">
        <v>97</v>
      </c>
      <c r="AH435" t="s">
        <v>1285</v>
      </c>
      <c r="AI435">
        <v>0</v>
      </c>
    </row>
    <row r="436" spans="9:35" x14ac:dyDescent="0.45">
      <c r="I436" t="s">
        <v>249</v>
      </c>
      <c r="J436" t="s">
        <v>1286</v>
      </c>
      <c r="K436">
        <v>0</v>
      </c>
      <c r="L436" t="s">
        <v>251</v>
      </c>
      <c r="N436" t="s">
        <v>419</v>
      </c>
      <c r="O436" t="s">
        <v>1286</v>
      </c>
      <c r="P436">
        <v>2.8634228953569822E-5</v>
      </c>
      <c r="Q436" t="s">
        <v>251</v>
      </c>
      <c r="S436" t="s">
        <v>420</v>
      </c>
      <c r="T436" t="s">
        <v>1286</v>
      </c>
      <c r="U436">
        <v>4.4217882440550679E-5</v>
      </c>
      <c r="V436" t="s">
        <v>251</v>
      </c>
      <c r="X436">
        <v>1.1415525114155251E-4</v>
      </c>
      <c r="Y436">
        <v>1.4916838624667481E-5</v>
      </c>
      <c r="Z436" t="s">
        <v>1286</v>
      </c>
      <c r="AA436" t="s">
        <v>25</v>
      </c>
      <c r="AC436" t="s">
        <v>22</v>
      </c>
      <c r="AD436" t="s">
        <v>1286</v>
      </c>
      <c r="AE436">
        <v>7.6128962985105096E-5</v>
      </c>
      <c r="AG436" t="s">
        <v>97</v>
      </c>
      <c r="AH436" t="s">
        <v>1286</v>
      </c>
      <c r="AI436">
        <v>0</v>
      </c>
    </row>
    <row r="437" spans="9:35" x14ac:dyDescent="0.45">
      <c r="I437" t="s">
        <v>249</v>
      </c>
      <c r="J437" t="s">
        <v>1287</v>
      </c>
      <c r="K437">
        <v>0</v>
      </c>
      <c r="L437" t="s">
        <v>251</v>
      </c>
      <c r="N437" t="s">
        <v>419</v>
      </c>
      <c r="O437" t="s">
        <v>1287</v>
      </c>
      <c r="P437">
        <v>2.5434829918507571E-5</v>
      </c>
      <c r="Q437" t="s">
        <v>251</v>
      </c>
      <c r="S437" t="s">
        <v>420</v>
      </c>
      <c r="T437" t="s">
        <v>1287</v>
      </c>
      <c r="U437">
        <v>5.0360324129807439E-5</v>
      </c>
      <c r="V437" t="s">
        <v>251</v>
      </c>
      <c r="X437">
        <v>1.1415525114155251E-4</v>
      </c>
      <c r="Y437">
        <v>1.6574265138519424E-5</v>
      </c>
      <c r="Z437" t="s">
        <v>1287</v>
      </c>
      <c r="AA437" t="s">
        <v>25</v>
      </c>
      <c r="AC437" t="s">
        <v>22</v>
      </c>
      <c r="AD437" t="s">
        <v>1287</v>
      </c>
      <c r="AE437">
        <v>9.419134090411999E-5</v>
      </c>
      <c r="AG437" t="s">
        <v>97</v>
      </c>
      <c r="AH437" t="s">
        <v>1287</v>
      </c>
      <c r="AI437">
        <v>0</v>
      </c>
    </row>
    <row r="438" spans="9:35" x14ac:dyDescent="0.45">
      <c r="I438" t="s">
        <v>249</v>
      </c>
      <c r="J438" t="s">
        <v>1288</v>
      </c>
      <c r="K438">
        <v>0</v>
      </c>
      <c r="L438" t="s">
        <v>251</v>
      </c>
      <c r="N438" t="s">
        <v>419</v>
      </c>
      <c r="O438" t="s">
        <v>1288</v>
      </c>
      <c r="P438">
        <v>2.1013333906998544E-5</v>
      </c>
      <c r="Q438" t="s">
        <v>251</v>
      </c>
      <c r="S438" t="s">
        <v>420</v>
      </c>
      <c r="T438" t="s">
        <v>1288</v>
      </c>
      <c r="U438">
        <v>5.2258905418840651E-5</v>
      </c>
      <c r="V438" t="s">
        <v>251</v>
      </c>
      <c r="X438">
        <v>1.1415525114155251E-4</v>
      </c>
      <c r="Y438">
        <v>1.4585353321897093E-5</v>
      </c>
      <c r="Z438" t="s">
        <v>1288</v>
      </c>
      <c r="AA438" t="s">
        <v>25</v>
      </c>
      <c r="AC438" t="s">
        <v>22</v>
      </c>
      <c r="AD438" t="s">
        <v>1288</v>
      </c>
      <c r="AE438">
        <v>1.0667412416372053E-4</v>
      </c>
      <c r="AG438" t="s">
        <v>97</v>
      </c>
      <c r="AH438" t="s">
        <v>1288</v>
      </c>
      <c r="AI438">
        <v>0</v>
      </c>
    </row>
    <row r="439" spans="9:35" x14ac:dyDescent="0.45">
      <c r="I439" t="s">
        <v>249</v>
      </c>
      <c r="J439" t="s">
        <v>1289</v>
      </c>
      <c r="K439">
        <v>0</v>
      </c>
      <c r="L439" t="s">
        <v>251</v>
      </c>
      <c r="N439" t="s">
        <v>419</v>
      </c>
      <c r="O439" t="s">
        <v>1289</v>
      </c>
      <c r="P439">
        <v>2.0943759911926444E-5</v>
      </c>
      <c r="Q439" t="s">
        <v>251</v>
      </c>
      <c r="S439" t="s">
        <v>420</v>
      </c>
      <c r="T439" t="s">
        <v>1289</v>
      </c>
      <c r="U439">
        <v>5.4832978336627619E-5</v>
      </c>
      <c r="V439" t="s">
        <v>251</v>
      </c>
      <c r="X439">
        <v>1.1415525114155251E-4</v>
      </c>
      <c r="Y439">
        <v>2.1215059377304864E-5</v>
      </c>
      <c r="Z439" t="s">
        <v>1289</v>
      </c>
      <c r="AA439" t="s">
        <v>25</v>
      </c>
      <c r="AC439" t="s">
        <v>22</v>
      </c>
      <c r="AD439" t="s">
        <v>1289</v>
      </c>
      <c r="AE439">
        <v>1.08262882547172E-4</v>
      </c>
      <c r="AG439" t="s">
        <v>97</v>
      </c>
      <c r="AH439" t="s">
        <v>1289</v>
      </c>
      <c r="AI439">
        <v>0</v>
      </c>
    </row>
    <row r="440" spans="9:35" x14ac:dyDescent="0.45">
      <c r="I440" t="s">
        <v>249</v>
      </c>
      <c r="J440" t="s">
        <v>1290</v>
      </c>
      <c r="K440">
        <v>0</v>
      </c>
      <c r="L440" t="s">
        <v>251</v>
      </c>
      <c r="N440" t="s">
        <v>419</v>
      </c>
      <c r="O440" t="s">
        <v>1290</v>
      </c>
      <c r="P440">
        <v>2.1900375099108407E-5</v>
      </c>
      <c r="Q440" t="s">
        <v>251</v>
      </c>
      <c r="S440" t="s">
        <v>420</v>
      </c>
      <c r="T440" t="s">
        <v>1290</v>
      </c>
      <c r="U440">
        <v>5.6891806448568401E-5</v>
      </c>
      <c r="V440" t="s">
        <v>251</v>
      </c>
      <c r="X440">
        <v>1.1415525114155251E-4</v>
      </c>
      <c r="Y440">
        <v>5.7678442682047593E-5</v>
      </c>
      <c r="Z440" t="s">
        <v>1290</v>
      </c>
      <c r="AA440" t="s">
        <v>25</v>
      </c>
      <c r="AC440" t="s">
        <v>22</v>
      </c>
      <c r="AD440" t="s">
        <v>1290</v>
      </c>
      <c r="AE440">
        <v>1.2003373270226652E-4</v>
      </c>
      <c r="AG440" t="s">
        <v>97</v>
      </c>
      <c r="AH440" t="s">
        <v>1290</v>
      </c>
      <c r="AI440">
        <v>0</v>
      </c>
    </row>
    <row r="441" spans="9:35" x14ac:dyDescent="0.45">
      <c r="I441" t="s">
        <v>249</v>
      </c>
      <c r="J441" t="s">
        <v>1291</v>
      </c>
      <c r="K441">
        <v>0</v>
      </c>
      <c r="L441" t="s">
        <v>251</v>
      </c>
      <c r="N441" t="s">
        <v>419</v>
      </c>
      <c r="O441" t="s">
        <v>1291</v>
      </c>
      <c r="P441">
        <v>2.36796843685042E-5</v>
      </c>
      <c r="Q441" t="s">
        <v>251</v>
      </c>
      <c r="S441" t="s">
        <v>420</v>
      </c>
      <c r="T441" t="s">
        <v>1291</v>
      </c>
      <c r="U441">
        <v>5.5132329801932481E-5</v>
      </c>
      <c r="V441" t="s">
        <v>251</v>
      </c>
      <c r="X441">
        <v>1.1415525114155251E-4</v>
      </c>
      <c r="Y441">
        <v>1.6905750441289813E-4</v>
      </c>
      <c r="Z441" t="s">
        <v>1291</v>
      </c>
      <c r="AA441" t="s">
        <v>25</v>
      </c>
      <c r="AC441" t="s">
        <v>22</v>
      </c>
      <c r="AD441" t="s">
        <v>1291</v>
      </c>
      <c r="AE441">
        <v>1.210219716125901E-4</v>
      </c>
      <c r="AG441" t="s">
        <v>97</v>
      </c>
      <c r="AH441" t="s">
        <v>1291</v>
      </c>
      <c r="AI441">
        <v>0</v>
      </c>
    </row>
    <row r="442" spans="9:35" x14ac:dyDescent="0.45">
      <c r="I442" t="s">
        <v>249</v>
      </c>
      <c r="J442" t="s">
        <v>1292</v>
      </c>
      <c r="K442">
        <v>4.8648117056484649E-5</v>
      </c>
      <c r="L442" t="s">
        <v>251</v>
      </c>
      <c r="N442" t="s">
        <v>419</v>
      </c>
      <c r="O442" t="s">
        <v>1292</v>
      </c>
      <c r="P442">
        <v>2.3642672517734821E-5</v>
      </c>
      <c r="Q442" t="s">
        <v>251</v>
      </c>
      <c r="S442" t="s">
        <v>420</v>
      </c>
      <c r="T442" t="s">
        <v>1292</v>
      </c>
      <c r="U442">
        <v>5.1525087157758481E-5</v>
      </c>
      <c r="V442" t="s">
        <v>251</v>
      </c>
      <c r="X442">
        <v>1.1415525114155251E-4</v>
      </c>
      <c r="Y442">
        <v>1.9060404909297337E-4</v>
      </c>
      <c r="Z442" t="s">
        <v>1292</v>
      </c>
      <c r="AA442" t="s">
        <v>25</v>
      </c>
      <c r="AC442" t="s">
        <v>22</v>
      </c>
      <c r="AD442" t="s">
        <v>1292</v>
      </c>
      <c r="AE442">
        <v>1.207077851721039E-4</v>
      </c>
      <c r="AG442" t="s">
        <v>97</v>
      </c>
      <c r="AH442" t="s">
        <v>1292</v>
      </c>
      <c r="AI442">
        <v>0</v>
      </c>
    </row>
    <row r="443" spans="9:35" x14ac:dyDescent="0.45">
      <c r="I443" t="s">
        <v>249</v>
      </c>
      <c r="J443" t="s">
        <v>1293</v>
      </c>
      <c r="K443">
        <v>2.1036654047220001E-4</v>
      </c>
      <c r="L443" t="s">
        <v>251</v>
      </c>
      <c r="N443" t="s">
        <v>419</v>
      </c>
      <c r="O443" t="s">
        <v>1293</v>
      </c>
      <c r="P443">
        <v>1.565127373121489E-5</v>
      </c>
      <c r="Q443" t="s">
        <v>251</v>
      </c>
      <c r="S443" t="s">
        <v>420</v>
      </c>
      <c r="T443" t="s">
        <v>1293</v>
      </c>
      <c r="U443">
        <v>4.6796861157955015E-5</v>
      </c>
      <c r="V443" t="s">
        <v>251</v>
      </c>
      <c r="X443">
        <v>1.1415525114155251E-4</v>
      </c>
      <c r="Y443">
        <v>1.4585353321897094E-4</v>
      </c>
      <c r="Z443" t="s">
        <v>1293</v>
      </c>
      <c r="AA443" t="s">
        <v>25</v>
      </c>
      <c r="AC443" t="s">
        <v>22</v>
      </c>
      <c r="AD443" t="s">
        <v>1293</v>
      </c>
      <c r="AE443">
        <v>1.2080471503140284E-4</v>
      </c>
      <c r="AG443" t="s">
        <v>97</v>
      </c>
      <c r="AH443" t="s">
        <v>1293</v>
      </c>
      <c r="AI443">
        <v>0</v>
      </c>
    </row>
    <row r="444" spans="9:35" x14ac:dyDescent="0.45">
      <c r="I444" t="s">
        <v>249</v>
      </c>
      <c r="J444" t="s">
        <v>1294</v>
      </c>
      <c r="K444">
        <v>2.8232604517460002E-4</v>
      </c>
      <c r="L444" t="s">
        <v>251</v>
      </c>
      <c r="N444" t="s">
        <v>419</v>
      </c>
      <c r="O444" t="s">
        <v>1294</v>
      </c>
      <c r="P444">
        <v>1.3330784301441812E-5</v>
      </c>
      <c r="Q444" t="s">
        <v>251</v>
      </c>
      <c r="S444" t="s">
        <v>420</v>
      </c>
      <c r="T444" t="s">
        <v>1294</v>
      </c>
      <c r="U444">
        <v>4.2420751545473617E-5</v>
      </c>
      <c r="V444" t="s">
        <v>251</v>
      </c>
      <c r="X444">
        <v>1.1415525114155251E-4</v>
      </c>
      <c r="Y444">
        <v>1.4452759200788939E-4</v>
      </c>
      <c r="Z444" t="s">
        <v>1294</v>
      </c>
      <c r="AA444" t="s">
        <v>25</v>
      </c>
      <c r="AC444" t="s">
        <v>22</v>
      </c>
      <c r="AD444" t="s">
        <v>1294</v>
      </c>
      <c r="AE444">
        <v>1.2179741048698158E-4</v>
      </c>
      <c r="AG444" t="s">
        <v>97</v>
      </c>
      <c r="AH444" t="s">
        <v>1294</v>
      </c>
      <c r="AI444">
        <v>0</v>
      </c>
    </row>
    <row r="445" spans="9:35" x14ac:dyDescent="0.45">
      <c r="I445" t="s">
        <v>249</v>
      </c>
      <c r="J445" t="s">
        <v>1295</v>
      </c>
      <c r="K445">
        <v>3.0765652159789997E-4</v>
      </c>
      <c r="L445" t="s">
        <v>251</v>
      </c>
      <c r="N445" t="s">
        <v>419</v>
      </c>
      <c r="O445" t="s">
        <v>1295</v>
      </c>
      <c r="P445">
        <v>1.7441347646463416E-5</v>
      </c>
      <c r="Q445" t="s">
        <v>251</v>
      </c>
      <c r="S445" t="s">
        <v>420</v>
      </c>
      <c r="T445" t="s">
        <v>1295</v>
      </c>
      <c r="U445">
        <v>3.8520976305162742E-5</v>
      </c>
      <c r="V445" t="s">
        <v>251</v>
      </c>
      <c r="X445">
        <v>1.1415525114155251E-4</v>
      </c>
      <c r="Y445">
        <v>1.408812536774151E-4</v>
      </c>
      <c r="Z445" t="s">
        <v>1295</v>
      </c>
      <c r="AA445" t="s">
        <v>25</v>
      </c>
      <c r="AC445" t="s">
        <v>22</v>
      </c>
      <c r="AD445" t="s">
        <v>1295</v>
      </c>
      <c r="AE445">
        <v>1.1935522368717395E-4</v>
      </c>
      <c r="AG445" t="s">
        <v>97</v>
      </c>
      <c r="AH445" t="s">
        <v>1295</v>
      </c>
      <c r="AI445">
        <v>0</v>
      </c>
    </row>
    <row r="446" spans="9:35" x14ac:dyDescent="0.45">
      <c r="I446" t="s">
        <v>249</v>
      </c>
      <c r="J446" t="s">
        <v>1296</v>
      </c>
      <c r="K446">
        <v>3.0504776010320002E-4</v>
      </c>
      <c r="L446" t="s">
        <v>251</v>
      </c>
      <c r="N446" t="s">
        <v>419</v>
      </c>
      <c r="O446" t="s">
        <v>1296</v>
      </c>
      <c r="P446">
        <v>1.6394293483378454E-5</v>
      </c>
      <c r="Q446" t="s">
        <v>251</v>
      </c>
      <c r="S446" t="s">
        <v>420</v>
      </c>
      <c r="T446" t="s">
        <v>1296</v>
      </c>
      <c r="U446">
        <v>3.4967761085548838E-5</v>
      </c>
      <c r="V446" t="s">
        <v>251</v>
      </c>
      <c r="X446">
        <v>1.1415525114155251E-4</v>
      </c>
      <c r="Y446">
        <v>1.4054976837464471E-4</v>
      </c>
      <c r="Z446" t="s">
        <v>1296</v>
      </c>
      <c r="AA446" t="s">
        <v>25</v>
      </c>
      <c r="AC446" t="s">
        <v>22</v>
      </c>
      <c r="AD446" t="s">
        <v>1296</v>
      </c>
      <c r="AE446">
        <v>1.2129604914578018E-4</v>
      </c>
      <c r="AG446" t="s">
        <v>97</v>
      </c>
      <c r="AH446" t="s">
        <v>1296</v>
      </c>
      <c r="AI446">
        <v>0</v>
      </c>
    </row>
    <row r="447" spans="9:35" x14ac:dyDescent="0.45">
      <c r="I447" t="s">
        <v>249</v>
      </c>
      <c r="J447" t="s">
        <v>1297</v>
      </c>
      <c r="K447">
        <v>2.8633588274329998E-4</v>
      </c>
      <c r="L447" t="s">
        <v>251</v>
      </c>
      <c r="N447" t="s">
        <v>419</v>
      </c>
      <c r="O447" t="s">
        <v>1297</v>
      </c>
      <c r="P447">
        <v>1.301956545370339E-5</v>
      </c>
      <c r="Q447" t="s">
        <v>251</v>
      </c>
      <c r="S447" t="s">
        <v>420</v>
      </c>
      <c r="T447" t="s">
        <v>1297</v>
      </c>
      <c r="U447">
        <v>3.1796076656767629E-5</v>
      </c>
      <c r="V447" t="s">
        <v>251</v>
      </c>
      <c r="X447">
        <v>1.1415525114155251E-4</v>
      </c>
      <c r="Y447">
        <v>1.4253868019126702E-4</v>
      </c>
      <c r="Z447" t="s">
        <v>1297</v>
      </c>
      <c r="AA447" t="s">
        <v>25</v>
      </c>
      <c r="AC447" t="s">
        <v>22</v>
      </c>
      <c r="AD447" t="s">
        <v>1297</v>
      </c>
      <c r="AE447">
        <v>1.4464834628262653E-4</v>
      </c>
      <c r="AG447" t="s">
        <v>97</v>
      </c>
      <c r="AH447" t="s">
        <v>1297</v>
      </c>
      <c r="AI447">
        <v>0</v>
      </c>
    </row>
    <row r="448" spans="9:35" x14ac:dyDescent="0.45">
      <c r="I448" t="s">
        <v>249</v>
      </c>
      <c r="J448" t="s">
        <v>1298</v>
      </c>
      <c r="K448">
        <v>2.9246572003970001E-4</v>
      </c>
      <c r="L448" t="s">
        <v>251</v>
      </c>
      <c r="N448" t="s">
        <v>419</v>
      </c>
      <c r="O448" t="s">
        <v>1298</v>
      </c>
      <c r="P448">
        <v>1.1341085223722756E-5</v>
      </c>
      <c r="Q448" t="s">
        <v>251</v>
      </c>
      <c r="S448" t="s">
        <v>420</v>
      </c>
      <c r="T448" t="s">
        <v>1298</v>
      </c>
      <c r="U448">
        <v>2.9521582504803291E-5</v>
      </c>
      <c r="V448" t="s">
        <v>251</v>
      </c>
      <c r="X448">
        <v>1.1415525114155251E-4</v>
      </c>
      <c r="Y448">
        <v>1.4883690094390442E-4</v>
      </c>
      <c r="Z448" t="s">
        <v>1298</v>
      </c>
      <c r="AA448" t="s">
        <v>25</v>
      </c>
      <c r="AC448" t="s">
        <v>22</v>
      </c>
      <c r="AD448" t="s">
        <v>1298</v>
      </c>
      <c r="AE448">
        <v>1.4546277992800031E-4</v>
      </c>
      <c r="AG448" t="s">
        <v>97</v>
      </c>
      <c r="AH448" t="s">
        <v>1298</v>
      </c>
      <c r="AI448">
        <v>0</v>
      </c>
    </row>
    <row r="449" spans="9:35" x14ac:dyDescent="0.45">
      <c r="I449" t="s">
        <v>249</v>
      </c>
      <c r="J449" t="s">
        <v>1299</v>
      </c>
      <c r="K449">
        <v>3.0191435456850002E-4</v>
      </c>
      <c r="L449" t="s">
        <v>251</v>
      </c>
      <c r="N449" t="s">
        <v>419</v>
      </c>
      <c r="O449" t="s">
        <v>1299</v>
      </c>
      <c r="P449">
        <v>1.087657480088798E-5</v>
      </c>
      <c r="Q449" t="s">
        <v>251</v>
      </c>
      <c r="S449" t="s">
        <v>420</v>
      </c>
      <c r="T449" t="s">
        <v>1299</v>
      </c>
      <c r="U449">
        <v>2.741937025483233E-5</v>
      </c>
      <c r="V449" t="s">
        <v>251</v>
      </c>
      <c r="X449">
        <v>1.1415525114155251E-4</v>
      </c>
      <c r="Y449">
        <v>1.5049432745775637E-4</v>
      </c>
      <c r="Z449" t="s">
        <v>1299</v>
      </c>
      <c r="AA449" t="s">
        <v>25</v>
      </c>
      <c r="AC449" t="s">
        <v>22</v>
      </c>
      <c r="AD449" t="s">
        <v>1299</v>
      </c>
      <c r="AE449">
        <v>1.2629517878571481E-4</v>
      </c>
      <c r="AG449" t="s">
        <v>97</v>
      </c>
      <c r="AH449" t="s">
        <v>1299</v>
      </c>
      <c r="AI449">
        <v>0</v>
      </c>
    </row>
    <row r="450" spans="9:35" x14ac:dyDescent="0.45">
      <c r="I450" t="s">
        <v>249</v>
      </c>
      <c r="J450" t="s">
        <v>1300</v>
      </c>
      <c r="K450">
        <v>2.8396540658330002E-4</v>
      </c>
      <c r="L450" t="s">
        <v>251</v>
      </c>
      <c r="N450" t="s">
        <v>419</v>
      </c>
      <c r="O450" t="s">
        <v>1300</v>
      </c>
      <c r="P450">
        <v>1.465297608262126E-5</v>
      </c>
      <c r="Q450" t="s">
        <v>251</v>
      </c>
      <c r="S450" t="s">
        <v>420</v>
      </c>
      <c r="T450" t="s">
        <v>1300</v>
      </c>
      <c r="U450">
        <v>2.4980600323653592E-5</v>
      </c>
      <c r="V450" t="s">
        <v>251</v>
      </c>
      <c r="X450">
        <v>1.1415525114155251E-4</v>
      </c>
      <c r="Y450">
        <v>1.7237235744060203E-4</v>
      </c>
      <c r="Z450" t="s">
        <v>1300</v>
      </c>
      <c r="AA450" t="s">
        <v>25</v>
      </c>
      <c r="AC450" t="s">
        <v>22</v>
      </c>
      <c r="AD450" t="s">
        <v>1300</v>
      </c>
      <c r="AE450">
        <v>1.0494944114998778E-4</v>
      </c>
      <c r="AG450" t="s">
        <v>97</v>
      </c>
      <c r="AH450" t="s">
        <v>1300</v>
      </c>
      <c r="AI450">
        <v>0</v>
      </c>
    </row>
    <row r="451" spans="9:35" x14ac:dyDescent="0.45">
      <c r="I451" t="s">
        <v>249</v>
      </c>
      <c r="J451" t="s">
        <v>1301</v>
      </c>
      <c r="K451">
        <v>2.220213183542E-4</v>
      </c>
      <c r="L451" t="s">
        <v>251</v>
      </c>
      <c r="N451" t="s">
        <v>419</v>
      </c>
      <c r="O451" t="s">
        <v>1301</v>
      </c>
      <c r="P451">
        <v>1.690468223062173E-5</v>
      </c>
      <c r="Q451" t="s">
        <v>251</v>
      </c>
      <c r="S451" t="s">
        <v>420</v>
      </c>
      <c r="T451" t="s">
        <v>1301</v>
      </c>
      <c r="U451">
        <v>2.5614008440638121E-5</v>
      </c>
      <c r="V451" t="s">
        <v>251</v>
      </c>
      <c r="X451">
        <v>1.1415525114155251E-4</v>
      </c>
      <c r="Y451">
        <v>2.2209515285616027E-4</v>
      </c>
      <c r="Z451" t="s">
        <v>1301</v>
      </c>
      <c r="AA451" t="s">
        <v>25</v>
      </c>
      <c r="AC451" t="s">
        <v>22</v>
      </c>
      <c r="AD451" t="s">
        <v>1301</v>
      </c>
      <c r="AE451">
        <v>8.7278125077109938E-5</v>
      </c>
      <c r="AG451" t="s">
        <v>97</v>
      </c>
      <c r="AH451" t="s">
        <v>1301</v>
      </c>
      <c r="AI451">
        <v>0</v>
      </c>
    </row>
    <row r="452" spans="9:35" x14ac:dyDescent="0.45">
      <c r="I452" t="s">
        <v>249</v>
      </c>
      <c r="J452" t="s">
        <v>1302</v>
      </c>
      <c r="K452">
        <v>1.003143982715E-4</v>
      </c>
      <c r="L452" t="s">
        <v>251</v>
      </c>
      <c r="N452" t="s">
        <v>419</v>
      </c>
      <c r="O452" t="s">
        <v>1302</v>
      </c>
      <c r="P452">
        <v>2.1872543127560308E-5</v>
      </c>
      <c r="Q452" t="s">
        <v>251</v>
      </c>
      <c r="S452" t="s">
        <v>420</v>
      </c>
      <c r="T452" t="s">
        <v>1302</v>
      </c>
      <c r="U452">
        <v>2.9311292391029768E-5</v>
      </c>
      <c r="V452" t="s">
        <v>251</v>
      </c>
      <c r="X452">
        <v>1.1415525114155251E-4</v>
      </c>
      <c r="Y452">
        <v>2.2209515285616027E-4</v>
      </c>
      <c r="Z452" t="s">
        <v>1302</v>
      </c>
      <c r="AA452" t="s">
        <v>25</v>
      </c>
      <c r="AC452" t="s">
        <v>22</v>
      </c>
      <c r="AD452" t="s">
        <v>1302</v>
      </c>
      <c r="AE452">
        <v>5.6539104179896631E-5</v>
      </c>
      <c r="AG452" t="s">
        <v>97</v>
      </c>
      <c r="AH452" t="s">
        <v>1302</v>
      </c>
      <c r="AI452">
        <v>0</v>
      </c>
    </row>
    <row r="453" spans="9:35" x14ac:dyDescent="0.45">
      <c r="I453" t="s">
        <v>249</v>
      </c>
      <c r="J453" t="s">
        <v>1303</v>
      </c>
      <c r="K453">
        <v>0</v>
      </c>
      <c r="L453" t="s">
        <v>251</v>
      </c>
      <c r="N453" t="s">
        <v>419</v>
      </c>
      <c r="O453" t="s">
        <v>1303</v>
      </c>
      <c r="P453">
        <v>2.9010848604266581E-5</v>
      </c>
      <c r="Q453" t="s">
        <v>251</v>
      </c>
      <c r="S453" t="s">
        <v>420</v>
      </c>
      <c r="T453" t="s">
        <v>1303</v>
      </c>
      <c r="U453">
        <v>3.216041046394915E-5</v>
      </c>
      <c r="V453" t="s">
        <v>251</v>
      </c>
      <c r="X453">
        <v>1.1415525114155251E-4</v>
      </c>
      <c r="Y453">
        <v>1.7237235744060203E-4</v>
      </c>
      <c r="Z453" t="s">
        <v>1303</v>
      </c>
      <c r="AA453" t="s">
        <v>25</v>
      </c>
      <c r="AC453" t="s">
        <v>22</v>
      </c>
      <c r="AD453" t="s">
        <v>1303</v>
      </c>
      <c r="AE453">
        <v>3.161141829536422E-5</v>
      </c>
      <c r="AG453" t="s">
        <v>97</v>
      </c>
      <c r="AH453" t="s">
        <v>1303</v>
      </c>
      <c r="AI453">
        <v>0</v>
      </c>
    </row>
    <row r="454" spans="9:35" x14ac:dyDescent="0.45">
      <c r="I454" t="s">
        <v>249</v>
      </c>
      <c r="J454" t="s">
        <v>1304</v>
      </c>
      <c r="K454">
        <v>0</v>
      </c>
      <c r="L454" t="s">
        <v>251</v>
      </c>
      <c r="N454" t="s">
        <v>419</v>
      </c>
      <c r="O454" t="s">
        <v>1304</v>
      </c>
      <c r="P454">
        <v>3.3751379269301948E-5</v>
      </c>
      <c r="Q454" t="s">
        <v>251</v>
      </c>
      <c r="S454" t="s">
        <v>420</v>
      </c>
      <c r="T454" t="s">
        <v>1304</v>
      </c>
      <c r="U454">
        <v>3.462152906644928E-5</v>
      </c>
      <c r="V454" t="s">
        <v>251</v>
      </c>
      <c r="X454">
        <v>1.1415525114155251E-4</v>
      </c>
      <c r="Y454">
        <v>1.5579809230208258E-4</v>
      </c>
      <c r="Z454" t="s">
        <v>1304</v>
      </c>
      <c r="AA454" t="s">
        <v>25</v>
      </c>
      <c r="AC454" t="s">
        <v>22</v>
      </c>
      <c r="AD454" t="s">
        <v>1304</v>
      </c>
      <c r="AE454">
        <v>2.690196409701259E-5</v>
      </c>
      <c r="AG454" t="s">
        <v>97</v>
      </c>
      <c r="AH454" t="s">
        <v>1304</v>
      </c>
      <c r="AI454">
        <v>0</v>
      </c>
    </row>
    <row r="455" spans="9:35" x14ac:dyDescent="0.45">
      <c r="I455" t="s">
        <v>249</v>
      </c>
      <c r="J455" t="s">
        <v>1305</v>
      </c>
      <c r="K455">
        <v>0</v>
      </c>
      <c r="L455" t="s">
        <v>251</v>
      </c>
      <c r="N455" t="s">
        <v>419</v>
      </c>
      <c r="O455" t="s">
        <v>1305</v>
      </c>
      <c r="P455">
        <v>3.8623804948704892E-5</v>
      </c>
      <c r="Q455" t="s">
        <v>251</v>
      </c>
      <c r="S455" t="s">
        <v>420</v>
      </c>
      <c r="T455" t="s">
        <v>1305</v>
      </c>
      <c r="U455">
        <v>3.6437825660772815E-5</v>
      </c>
      <c r="V455" t="s">
        <v>251</v>
      </c>
      <c r="X455">
        <v>1.1415525114155251E-4</v>
      </c>
      <c r="Y455">
        <v>1.093901499142282E-4</v>
      </c>
      <c r="Z455" t="s">
        <v>1305</v>
      </c>
      <c r="AA455" t="s">
        <v>25</v>
      </c>
      <c r="AC455" t="s">
        <v>22</v>
      </c>
      <c r="AD455" t="s">
        <v>1305</v>
      </c>
      <c r="AE455">
        <v>2.6243509535568113E-5</v>
      </c>
      <c r="AG455" t="s">
        <v>97</v>
      </c>
      <c r="AH455" t="s">
        <v>1305</v>
      </c>
      <c r="AI455">
        <v>0</v>
      </c>
    </row>
    <row r="456" spans="9:35" x14ac:dyDescent="0.45">
      <c r="I456" t="s">
        <v>249</v>
      </c>
      <c r="J456" t="s">
        <v>1306</v>
      </c>
      <c r="K456">
        <v>0</v>
      </c>
      <c r="L456" t="s">
        <v>251</v>
      </c>
      <c r="N456" t="s">
        <v>419</v>
      </c>
      <c r="O456" t="s">
        <v>1306</v>
      </c>
      <c r="P456">
        <v>3.7956910842046976E-5</v>
      </c>
      <c r="Q456" t="s">
        <v>251</v>
      </c>
      <c r="S456" t="s">
        <v>420</v>
      </c>
      <c r="T456" t="s">
        <v>1306</v>
      </c>
      <c r="U456">
        <v>3.8142289953138812E-5</v>
      </c>
      <c r="V456" t="s">
        <v>251</v>
      </c>
      <c r="X456">
        <v>1.1415525114155251E-4</v>
      </c>
      <c r="Y456">
        <v>7.9556472664893237E-5</v>
      </c>
      <c r="Z456" t="s">
        <v>1306</v>
      </c>
      <c r="AA456" t="s">
        <v>25</v>
      </c>
      <c r="AC456" t="s">
        <v>22</v>
      </c>
      <c r="AD456" t="s">
        <v>1306</v>
      </c>
      <c r="AE456">
        <v>2.7340933804642277E-5</v>
      </c>
      <c r="AG456" t="s">
        <v>97</v>
      </c>
      <c r="AH456" t="s">
        <v>1306</v>
      </c>
      <c r="AI456">
        <v>0</v>
      </c>
    </row>
    <row r="457" spans="9:35" x14ac:dyDescent="0.45">
      <c r="I457" t="s">
        <v>249</v>
      </c>
      <c r="J457" t="s">
        <v>1307</v>
      </c>
      <c r="K457">
        <v>0</v>
      </c>
      <c r="L457" t="s">
        <v>251</v>
      </c>
      <c r="N457" t="s">
        <v>419</v>
      </c>
      <c r="O457" t="s">
        <v>1307</v>
      </c>
      <c r="P457">
        <v>3.4967398853449033E-5</v>
      </c>
      <c r="Q457" t="s">
        <v>251</v>
      </c>
      <c r="S457" t="s">
        <v>420</v>
      </c>
      <c r="T457" t="s">
        <v>1307</v>
      </c>
      <c r="U457">
        <v>3.95461728784333E-5</v>
      </c>
      <c r="V457" t="s">
        <v>251</v>
      </c>
      <c r="X457">
        <v>1.1415525114155251E-4</v>
      </c>
      <c r="Y457">
        <v>5.6352501470966035E-5</v>
      </c>
      <c r="Z457" t="s">
        <v>1307</v>
      </c>
      <c r="AA457" t="s">
        <v>25</v>
      </c>
      <c r="AC457" t="s">
        <v>22</v>
      </c>
      <c r="AD457" t="s">
        <v>1307</v>
      </c>
      <c r="AE457">
        <v>3.1498890527672351E-5</v>
      </c>
      <c r="AG457" t="s">
        <v>97</v>
      </c>
      <c r="AH457" t="s">
        <v>1307</v>
      </c>
      <c r="AI457">
        <v>0</v>
      </c>
    </row>
    <row r="458" spans="9:35" x14ac:dyDescent="0.45">
      <c r="I458" t="s">
        <v>249</v>
      </c>
      <c r="J458" t="s">
        <v>1308</v>
      </c>
      <c r="K458">
        <v>0</v>
      </c>
      <c r="L458" t="s">
        <v>251</v>
      </c>
      <c r="N458" t="s">
        <v>419</v>
      </c>
      <c r="O458" t="s">
        <v>1308</v>
      </c>
      <c r="P458">
        <v>3.076481017332323E-5</v>
      </c>
      <c r="Q458" t="s">
        <v>251</v>
      </c>
      <c r="S458" t="s">
        <v>420</v>
      </c>
      <c r="T458" t="s">
        <v>1308</v>
      </c>
      <c r="U458">
        <v>3.8923147254261166E-5</v>
      </c>
      <c r="V458" t="s">
        <v>251</v>
      </c>
      <c r="X458">
        <v>1.1415525114155251E-4</v>
      </c>
      <c r="Y458">
        <v>2.9833677249334962E-5</v>
      </c>
      <c r="Z458" t="s">
        <v>1308</v>
      </c>
      <c r="AA458" t="s">
        <v>25</v>
      </c>
      <c r="AC458" t="s">
        <v>22</v>
      </c>
      <c r="AD458" t="s">
        <v>1308</v>
      </c>
      <c r="AE458">
        <v>5.30407161546248E-5</v>
      </c>
      <c r="AG458" t="s">
        <v>97</v>
      </c>
      <c r="AH458" t="s">
        <v>1308</v>
      </c>
      <c r="AI458">
        <v>0</v>
      </c>
    </row>
    <row r="459" spans="9:35" x14ac:dyDescent="0.45">
      <c r="I459" t="s">
        <v>249</v>
      </c>
      <c r="J459" t="s">
        <v>411</v>
      </c>
      <c r="K459">
        <v>0</v>
      </c>
      <c r="L459" t="s">
        <v>251</v>
      </c>
      <c r="N459" t="s">
        <v>419</v>
      </c>
      <c r="O459" t="s">
        <v>411</v>
      </c>
      <c r="P459">
        <v>1.7735101237087186E-2</v>
      </c>
      <c r="Q459" t="s">
        <v>251</v>
      </c>
      <c r="S459" t="s">
        <v>420</v>
      </c>
      <c r="T459" t="s">
        <v>411</v>
      </c>
      <c r="U459">
        <v>1.9042613608245312E-2</v>
      </c>
      <c r="V459" t="s">
        <v>251</v>
      </c>
      <c r="X459">
        <v>2.4771689497716895E-2</v>
      </c>
      <c r="Y459">
        <v>9.7827942553597048E-3</v>
      </c>
      <c r="Z459" t="s">
        <v>411</v>
      </c>
      <c r="AA459" t="s">
        <v>25</v>
      </c>
      <c r="AC459" t="s">
        <v>22</v>
      </c>
      <c r="AD459" t="s">
        <v>411</v>
      </c>
      <c r="AE459">
        <v>1.9478113082872076E-2</v>
      </c>
      <c r="AG459" t="s">
        <v>97</v>
      </c>
      <c r="AH459" t="s">
        <v>411</v>
      </c>
      <c r="AI459">
        <v>0.14355804807208594</v>
      </c>
    </row>
    <row r="460" spans="9:35" x14ac:dyDescent="0.45">
      <c r="I460" t="s">
        <v>249</v>
      </c>
      <c r="J460" t="s">
        <v>412</v>
      </c>
      <c r="K460">
        <v>1.6154898979569435E-3</v>
      </c>
      <c r="L460" t="s">
        <v>251</v>
      </c>
      <c r="N460" t="s">
        <v>419</v>
      </c>
      <c r="O460" t="s">
        <v>412</v>
      </c>
      <c r="P460">
        <v>2.1091163348133345E-3</v>
      </c>
      <c r="Q460" t="s">
        <v>251</v>
      </c>
      <c r="S460" t="s">
        <v>420</v>
      </c>
      <c r="T460" t="s">
        <v>412</v>
      </c>
      <c r="U460">
        <v>2.8319565126200888E-3</v>
      </c>
      <c r="V460" t="s">
        <v>251</v>
      </c>
      <c r="X460">
        <v>3.5388127853881279E-3</v>
      </c>
      <c r="Y460">
        <v>5.9087255218821738E-3</v>
      </c>
      <c r="Z460" t="s">
        <v>412</v>
      </c>
      <c r="AA460" t="s">
        <v>25</v>
      </c>
      <c r="AC460" t="s">
        <v>22</v>
      </c>
      <c r="AD460" t="s">
        <v>412</v>
      </c>
      <c r="AE460">
        <v>3.3359779761860673E-3</v>
      </c>
      <c r="AG460" t="s">
        <v>97</v>
      </c>
      <c r="AH460" t="s">
        <v>412</v>
      </c>
      <c r="AI460">
        <v>5.3950509689007609E-2</v>
      </c>
    </row>
    <row r="461" spans="9:35" x14ac:dyDescent="0.45">
      <c r="I461" t="s">
        <v>249</v>
      </c>
      <c r="J461" t="s">
        <v>413</v>
      </c>
      <c r="K461">
        <v>6.4351954201609003E-3</v>
      </c>
      <c r="L461" t="s">
        <v>251</v>
      </c>
      <c r="N461" t="s">
        <v>419</v>
      </c>
      <c r="O461" t="s">
        <v>413</v>
      </c>
      <c r="P461">
        <v>1.5760119165755596E-3</v>
      </c>
      <c r="Q461" t="s">
        <v>251</v>
      </c>
      <c r="S461" t="s">
        <v>420</v>
      </c>
      <c r="T461" t="s">
        <v>413</v>
      </c>
      <c r="U461">
        <v>2.813179783114835E-3</v>
      </c>
      <c r="V461" t="s">
        <v>251</v>
      </c>
      <c r="X461">
        <v>3.5388127853881279E-3</v>
      </c>
      <c r="Y461">
        <v>4.521459529788099E-3</v>
      </c>
      <c r="Z461" t="s">
        <v>413</v>
      </c>
      <c r="AA461" t="s">
        <v>25</v>
      </c>
      <c r="AC461" t="s">
        <v>22</v>
      </c>
      <c r="AD461" t="s">
        <v>413</v>
      </c>
      <c r="AE461">
        <v>3.4423111459733102E-3</v>
      </c>
      <c r="AG461" t="s">
        <v>97</v>
      </c>
      <c r="AH461" t="s">
        <v>413</v>
      </c>
      <c r="AI461">
        <v>4.4327068300555439E-2</v>
      </c>
    </row>
    <row r="462" spans="9:35" x14ac:dyDescent="0.45">
      <c r="I462" t="s">
        <v>249</v>
      </c>
      <c r="J462" t="s">
        <v>414</v>
      </c>
      <c r="K462">
        <v>8.9729054957335998E-3</v>
      </c>
      <c r="L462" t="s">
        <v>251</v>
      </c>
      <c r="N462" t="s">
        <v>419</v>
      </c>
      <c r="O462" t="s">
        <v>414</v>
      </c>
      <c r="P462">
        <v>1.5050852864421545E-3</v>
      </c>
      <c r="Q462" t="s">
        <v>251</v>
      </c>
      <c r="S462" t="s">
        <v>420</v>
      </c>
      <c r="T462" t="s">
        <v>414</v>
      </c>
      <c r="U462">
        <v>2.7724472396623155E-3</v>
      </c>
      <c r="V462" t="s">
        <v>251</v>
      </c>
      <c r="X462">
        <v>3.5388127853881279E-3</v>
      </c>
      <c r="Y462">
        <v>4.4803553522445696E-3</v>
      </c>
      <c r="Z462" t="s">
        <v>414</v>
      </c>
      <c r="AA462" t="s">
        <v>25</v>
      </c>
      <c r="AC462" t="s">
        <v>22</v>
      </c>
      <c r="AD462" t="s">
        <v>414</v>
      </c>
      <c r="AE462">
        <v>3.4828434250686571E-3</v>
      </c>
      <c r="AG462" t="s">
        <v>97</v>
      </c>
      <c r="AH462" t="s">
        <v>414</v>
      </c>
      <c r="AI462">
        <v>3.9833092462189912E-2</v>
      </c>
    </row>
    <row r="463" spans="9:35" x14ac:dyDescent="0.45">
      <c r="I463" t="s">
        <v>249</v>
      </c>
      <c r="J463" t="s">
        <v>415</v>
      </c>
      <c r="K463">
        <v>6.5275103843921906E-2</v>
      </c>
      <c r="L463" t="s">
        <v>251</v>
      </c>
      <c r="N463" t="s">
        <v>419</v>
      </c>
      <c r="O463" t="s">
        <v>415</v>
      </c>
      <c r="P463">
        <v>9.2336310891315606E-3</v>
      </c>
      <c r="Q463" t="s">
        <v>251</v>
      </c>
      <c r="S463" t="s">
        <v>420</v>
      </c>
      <c r="T463" t="s">
        <v>415</v>
      </c>
      <c r="U463">
        <v>1.5945517424689779E-2</v>
      </c>
      <c r="V463" t="s">
        <v>251</v>
      </c>
      <c r="X463">
        <v>2.4771689497716895E-2</v>
      </c>
      <c r="Y463">
        <v>3.4650821669194247E-2</v>
      </c>
      <c r="Z463" t="s">
        <v>415</v>
      </c>
      <c r="AA463" t="s">
        <v>25</v>
      </c>
      <c r="AC463" t="s">
        <v>22</v>
      </c>
      <c r="AD463" t="s">
        <v>415</v>
      </c>
      <c r="AE463">
        <v>2.521487226725368E-2</v>
      </c>
      <c r="AG463" t="s">
        <v>97</v>
      </c>
      <c r="AH463" t="s">
        <v>415</v>
      </c>
      <c r="AI463">
        <v>0.12757569100527655</v>
      </c>
    </row>
    <row r="464" spans="9:35" x14ac:dyDescent="0.45">
      <c r="I464" t="s">
        <v>249</v>
      </c>
      <c r="J464" t="s">
        <v>416</v>
      </c>
      <c r="K464">
        <v>4.4126755720041997E-3</v>
      </c>
      <c r="L464" t="s">
        <v>251</v>
      </c>
      <c r="N464" t="s">
        <v>419</v>
      </c>
      <c r="O464" t="s">
        <v>416</v>
      </c>
      <c r="P464">
        <v>1.415502718704622E-3</v>
      </c>
      <c r="Q464" t="s">
        <v>251</v>
      </c>
      <c r="S464" t="s">
        <v>420</v>
      </c>
      <c r="T464" t="s">
        <v>416</v>
      </c>
      <c r="U464">
        <v>2.1843778148423437E-3</v>
      </c>
      <c r="V464" t="s">
        <v>251</v>
      </c>
      <c r="X464">
        <v>3.5388127853881279E-3</v>
      </c>
      <c r="Y464">
        <v>6.8849497385409693E-3</v>
      </c>
      <c r="Z464" t="s">
        <v>416</v>
      </c>
      <c r="AA464" t="s">
        <v>25</v>
      </c>
      <c r="AC464" t="s">
        <v>22</v>
      </c>
      <c r="AD464" t="s">
        <v>416</v>
      </c>
      <c r="AE464">
        <v>1.784427289069619E-3</v>
      </c>
      <c r="AG464" t="s">
        <v>97</v>
      </c>
      <c r="AH464" t="s">
        <v>416</v>
      </c>
      <c r="AI464">
        <v>7.7669055708102785E-3</v>
      </c>
    </row>
    <row r="465" spans="9:35" x14ac:dyDescent="0.45">
      <c r="I465" t="s">
        <v>249</v>
      </c>
      <c r="J465" t="s">
        <v>417</v>
      </c>
      <c r="K465">
        <v>4.942434988509928E-5</v>
      </c>
      <c r="L465" t="s">
        <v>251</v>
      </c>
      <c r="N465" t="s">
        <v>419</v>
      </c>
      <c r="O465" t="s">
        <v>417</v>
      </c>
      <c r="P465">
        <v>1.9914673929772148E-3</v>
      </c>
      <c r="Q465" t="s">
        <v>251</v>
      </c>
      <c r="S465" t="s">
        <v>420</v>
      </c>
      <c r="T465" t="s">
        <v>417</v>
      </c>
      <c r="U465">
        <v>2.3204971359952224E-3</v>
      </c>
      <c r="V465" t="s">
        <v>251</v>
      </c>
      <c r="X465">
        <v>3.5388127853881279E-3</v>
      </c>
      <c r="Y465">
        <v>5.3435430806586613E-3</v>
      </c>
      <c r="Z465" t="s">
        <v>417</v>
      </c>
      <c r="AA465" t="s">
        <v>25</v>
      </c>
      <c r="AC465" t="s">
        <v>22</v>
      </c>
      <c r="AD465" t="s">
        <v>417</v>
      </c>
      <c r="AE465">
        <v>9.384691566973987E-4</v>
      </c>
      <c r="AG465" t="s">
        <v>97</v>
      </c>
      <c r="AH465" t="s">
        <v>417</v>
      </c>
      <c r="AI465">
        <v>1.8056274068608102E-2</v>
      </c>
    </row>
    <row r="466" spans="9:35" x14ac:dyDescent="0.45">
      <c r="I466" t="s">
        <v>249</v>
      </c>
      <c r="J466" t="s">
        <v>418</v>
      </c>
      <c r="K466">
        <v>0</v>
      </c>
      <c r="L466" t="s">
        <v>251</v>
      </c>
      <c r="N466" t="s">
        <v>419</v>
      </c>
      <c r="O466" t="s">
        <v>418</v>
      </c>
      <c r="P466">
        <v>1.5166151400172592E-2</v>
      </c>
      <c r="Q466" t="s">
        <v>251</v>
      </c>
      <c r="S466" t="s">
        <v>420</v>
      </c>
      <c r="T466" t="s">
        <v>418</v>
      </c>
      <c r="U466">
        <v>1.3111703027212691E-2</v>
      </c>
      <c r="V466" t="s">
        <v>251</v>
      </c>
      <c r="X466">
        <v>1.7694063926940638E-2</v>
      </c>
      <c r="Y466">
        <v>1.3358857701646654E-2</v>
      </c>
      <c r="Z466" t="s">
        <v>418</v>
      </c>
      <c r="AA466" t="s">
        <v>25</v>
      </c>
      <c r="AC466" t="s">
        <v>22</v>
      </c>
      <c r="AD466" t="s">
        <v>418</v>
      </c>
      <c r="AE466">
        <v>4.5197694108912835E-3</v>
      </c>
      <c r="AG466" t="s">
        <v>97</v>
      </c>
      <c r="AH466" t="s">
        <v>418</v>
      </c>
      <c r="AI466">
        <v>0.13031366973009884</v>
      </c>
    </row>
    <row r="467" spans="9:35" x14ac:dyDescent="0.45">
      <c r="AC467" t="s">
        <v>19</v>
      </c>
      <c r="AD467" t="s">
        <v>250</v>
      </c>
      <c r="AE467">
        <v>2.3205196360697931E-2</v>
      </c>
    </row>
    <row r="468" spans="9:35" x14ac:dyDescent="0.45">
      <c r="AC468" t="s">
        <v>19</v>
      </c>
      <c r="AD468" t="s">
        <v>252</v>
      </c>
      <c r="AE468">
        <v>3.3318580726394292E-3</v>
      </c>
    </row>
    <row r="469" spans="9:35" x14ac:dyDescent="0.45">
      <c r="AC469" t="s">
        <v>19</v>
      </c>
      <c r="AD469" t="s">
        <v>253</v>
      </c>
      <c r="AE469">
        <v>3.3367026010919102E-3</v>
      </c>
    </row>
    <row r="470" spans="9:35" x14ac:dyDescent="0.45">
      <c r="AC470" t="s">
        <v>19</v>
      </c>
      <c r="AD470" t="s">
        <v>254</v>
      </c>
      <c r="AE470">
        <v>3.3387649591561995E-3</v>
      </c>
    </row>
    <row r="471" spans="9:35" x14ac:dyDescent="0.45">
      <c r="AC471" t="s">
        <v>19</v>
      </c>
      <c r="AD471" t="s">
        <v>255</v>
      </c>
      <c r="AE471">
        <v>2.3454304170093036E-2</v>
      </c>
    </row>
    <row r="472" spans="9:35" x14ac:dyDescent="0.45">
      <c r="AC472" t="s">
        <v>19</v>
      </c>
      <c r="AD472" t="s">
        <v>256</v>
      </c>
      <c r="AE472">
        <v>3.2826003408223839E-3</v>
      </c>
    </row>
    <row r="473" spans="9:35" x14ac:dyDescent="0.45">
      <c r="AC473" t="s">
        <v>19</v>
      </c>
      <c r="AD473" t="s">
        <v>257</v>
      </c>
      <c r="AE473">
        <v>3.2318942022874332E-3</v>
      </c>
    </row>
    <row r="474" spans="9:35" x14ac:dyDescent="0.45">
      <c r="AC474" t="s">
        <v>19</v>
      </c>
      <c r="AD474" t="s">
        <v>258</v>
      </c>
      <c r="AE474">
        <v>1.6172761034506968E-2</v>
      </c>
    </row>
    <row r="475" spans="9:35" x14ac:dyDescent="0.45">
      <c r="AC475" t="s">
        <v>19</v>
      </c>
      <c r="AD475" t="s">
        <v>949</v>
      </c>
      <c r="AE475">
        <v>1.1268737085229565E-4</v>
      </c>
    </row>
    <row r="476" spans="9:35" x14ac:dyDescent="0.45">
      <c r="AC476" t="s">
        <v>19</v>
      </c>
      <c r="AD476" t="s">
        <v>950</v>
      </c>
      <c r="AE476">
        <v>1.1364387583657964E-4</v>
      </c>
    </row>
    <row r="477" spans="9:35" x14ac:dyDescent="0.45">
      <c r="AC477" t="s">
        <v>19</v>
      </c>
      <c r="AD477" t="s">
        <v>951</v>
      </c>
      <c r="AE477">
        <v>1.1447838411213802E-4</v>
      </c>
    </row>
    <row r="478" spans="9:35" x14ac:dyDescent="0.45">
      <c r="AC478" t="s">
        <v>19</v>
      </c>
      <c r="AD478" t="s">
        <v>952</v>
      </c>
      <c r="AE478">
        <v>1.148656945651216E-4</v>
      </c>
    </row>
    <row r="479" spans="9:35" x14ac:dyDescent="0.45">
      <c r="AC479" t="s">
        <v>19</v>
      </c>
      <c r="AD479" t="s">
        <v>953</v>
      </c>
      <c r="AE479">
        <v>1.1513143154167351E-4</v>
      </c>
    </row>
    <row r="480" spans="9:35" x14ac:dyDescent="0.45">
      <c r="AC480" t="s">
        <v>19</v>
      </c>
      <c r="AD480" t="s">
        <v>954</v>
      </c>
      <c r="AE480">
        <v>1.1505387422381066E-4</v>
      </c>
    </row>
    <row r="481" spans="29:31" x14ac:dyDescent="0.45">
      <c r="AC481" t="s">
        <v>19</v>
      </c>
      <c r="AD481" t="s">
        <v>955</v>
      </c>
      <c r="AE481">
        <v>1.1509365805944015E-4</v>
      </c>
    </row>
    <row r="482" spans="29:31" x14ac:dyDescent="0.45">
      <c r="AC482" t="s">
        <v>19</v>
      </c>
      <c r="AD482" t="s">
        <v>956</v>
      </c>
      <c r="AE482">
        <v>1.150520225825247E-4</v>
      </c>
    </row>
    <row r="483" spans="29:31" x14ac:dyDescent="0.45">
      <c r="AC483" t="s">
        <v>19</v>
      </c>
      <c r="AD483" t="s">
        <v>957</v>
      </c>
      <c r="AE483">
        <v>1.1504075402269879E-4</v>
      </c>
    </row>
    <row r="484" spans="29:31" x14ac:dyDescent="0.45">
      <c r="AC484" t="s">
        <v>19</v>
      </c>
      <c r="AD484" t="s">
        <v>958</v>
      </c>
      <c r="AE484">
        <v>1.1507011576309026E-4</v>
      </c>
    </row>
    <row r="485" spans="29:31" x14ac:dyDescent="0.45">
      <c r="AC485" t="s">
        <v>19</v>
      </c>
      <c r="AD485" t="s">
        <v>959</v>
      </c>
      <c r="AE485">
        <v>1.1512286108772139E-4</v>
      </c>
    </row>
    <row r="486" spans="29:31" x14ac:dyDescent="0.45">
      <c r="AC486" t="s">
        <v>19</v>
      </c>
      <c r="AD486" t="s">
        <v>960</v>
      </c>
      <c r="AE486">
        <v>1.1532241511430986E-4</v>
      </c>
    </row>
    <row r="487" spans="29:31" x14ac:dyDescent="0.45">
      <c r="AC487" t="s">
        <v>19</v>
      </c>
      <c r="AD487" t="s">
        <v>961</v>
      </c>
      <c r="AE487">
        <v>1.1593276898619505E-4</v>
      </c>
    </row>
    <row r="488" spans="29:31" x14ac:dyDescent="0.45">
      <c r="AC488" t="s">
        <v>19</v>
      </c>
      <c r="AD488" t="s">
        <v>962</v>
      </c>
      <c r="AE488">
        <v>1.1598847693688372E-4</v>
      </c>
    </row>
    <row r="489" spans="29:31" x14ac:dyDescent="0.45">
      <c r="AC489" t="s">
        <v>19</v>
      </c>
      <c r="AD489" t="s">
        <v>963</v>
      </c>
      <c r="AE489">
        <v>1.1605915672997018E-4</v>
      </c>
    </row>
    <row r="490" spans="29:31" x14ac:dyDescent="0.45">
      <c r="AC490" t="s">
        <v>19</v>
      </c>
      <c r="AD490" t="s">
        <v>964</v>
      </c>
      <c r="AE490">
        <v>1.1545779654433103E-4</v>
      </c>
    </row>
    <row r="491" spans="29:31" x14ac:dyDescent="0.45">
      <c r="AC491" t="s">
        <v>19</v>
      </c>
      <c r="AD491" t="s">
        <v>965</v>
      </c>
      <c r="AE491">
        <v>1.1439955709739338E-4</v>
      </c>
    </row>
    <row r="492" spans="29:31" x14ac:dyDescent="0.45">
      <c r="AC492" t="s">
        <v>19</v>
      </c>
      <c r="AD492" t="s">
        <v>966</v>
      </c>
      <c r="AE492">
        <v>1.1284809331591594E-4</v>
      </c>
    </row>
    <row r="493" spans="29:31" x14ac:dyDescent="0.45">
      <c r="AC493" t="s">
        <v>19</v>
      </c>
      <c r="AD493" t="s">
        <v>967</v>
      </c>
      <c r="AE493">
        <v>1.1151633999902539E-4</v>
      </c>
    </row>
    <row r="494" spans="29:31" x14ac:dyDescent="0.45">
      <c r="AC494" t="s">
        <v>19</v>
      </c>
      <c r="AD494" t="s">
        <v>968</v>
      </c>
      <c r="AE494">
        <v>1.1136207182788756E-4</v>
      </c>
    </row>
    <row r="495" spans="29:31" x14ac:dyDescent="0.45">
      <c r="AC495" t="s">
        <v>19</v>
      </c>
      <c r="AD495" t="s">
        <v>969</v>
      </c>
      <c r="AE495">
        <v>1.1141920818756824E-4</v>
      </c>
    </row>
    <row r="496" spans="29:31" x14ac:dyDescent="0.45">
      <c r="AC496" t="s">
        <v>19</v>
      </c>
      <c r="AD496" t="s">
        <v>970</v>
      </c>
      <c r="AE496">
        <v>1.113873070534132E-4</v>
      </c>
    </row>
    <row r="497" spans="29:31" x14ac:dyDescent="0.45">
      <c r="AC497" t="s">
        <v>19</v>
      </c>
      <c r="AD497" t="s">
        <v>971</v>
      </c>
      <c r="AE497">
        <v>1.1148475628909079E-4</v>
      </c>
    </row>
    <row r="498" spans="29:31" x14ac:dyDescent="0.45">
      <c r="AC498" t="s">
        <v>19</v>
      </c>
      <c r="AD498" t="s">
        <v>972</v>
      </c>
      <c r="AE498">
        <v>1.1240809044233794E-4</v>
      </c>
    </row>
    <row r="499" spans="29:31" x14ac:dyDescent="0.45">
      <c r="AC499" t="s">
        <v>19</v>
      </c>
      <c r="AD499" t="s">
        <v>973</v>
      </c>
      <c r="AE499">
        <v>1.1267007123228123E-4</v>
      </c>
    </row>
    <row r="500" spans="29:31" x14ac:dyDescent="0.45">
      <c r="AC500" t="s">
        <v>19</v>
      </c>
      <c r="AD500" t="s">
        <v>974</v>
      </c>
      <c r="AE500">
        <v>1.1360128808700283E-4</v>
      </c>
    </row>
    <row r="501" spans="29:31" x14ac:dyDescent="0.45">
      <c r="AC501" t="s">
        <v>19</v>
      </c>
      <c r="AD501" t="s">
        <v>975</v>
      </c>
      <c r="AE501">
        <v>1.1443579636256122E-4</v>
      </c>
    </row>
    <row r="502" spans="29:31" x14ac:dyDescent="0.45">
      <c r="AC502" t="s">
        <v>19</v>
      </c>
      <c r="AD502" t="s">
        <v>976</v>
      </c>
      <c r="AE502">
        <v>1.1500848256028656E-4</v>
      </c>
    </row>
    <row r="503" spans="29:31" x14ac:dyDescent="0.45">
      <c r="AC503" t="s">
        <v>19</v>
      </c>
      <c r="AD503" t="s">
        <v>977</v>
      </c>
      <c r="AE503">
        <v>1.1513143154167351E-4</v>
      </c>
    </row>
    <row r="504" spans="29:31" x14ac:dyDescent="0.45">
      <c r="AC504" t="s">
        <v>19</v>
      </c>
      <c r="AD504" t="s">
        <v>978</v>
      </c>
      <c r="AE504">
        <v>1.1505387422381066E-4</v>
      </c>
    </row>
    <row r="505" spans="29:31" x14ac:dyDescent="0.45">
      <c r="AC505" t="s">
        <v>19</v>
      </c>
      <c r="AD505" t="s">
        <v>979</v>
      </c>
      <c r="AE505">
        <v>1.1505387422381066E-4</v>
      </c>
    </row>
    <row r="506" spans="29:31" x14ac:dyDescent="0.45">
      <c r="AC506" t="s">
        <v>19</v>
      </c>
      <c r="AD506" t="s">
        <v>980</v>
      </c>
      <c r="AE506">
        <v>1.1504699669903427E-4</v>
      </c>
    </row>
    <row r="507" spans="29:31" x14ac:dyDescent="0.45">
      <c r="AC507" t="s">
        <v>19</v>
      </c>
      <c r="AD507" t="s">
        <v>981</v>
      </c>
      <c r="AE507">
        <v>1.1504361084068283E-4</v>
      </c>
    </row>
    <row r="508" spans="29:31" x14ac:dyDescent="0.45">
      <c r="AC508" t="s">
        <v>19</v>
      </c>
      <c r="AD508" t="s">
        <v>982</v>
      </c>
      <c r="AE508">
        <v>1.151054556596335E-4</v>
      </c>
    </row>
    <row r="509" spans="29:31" x14ac:dyDescent="0.45">
      <c r="AC509" t="s">
        <v>19</v>
      </c>
      <c r="AD509" t="s">
        <v>983</v>
      </c>
      <c r="AE509">
        <v>1.151228610877214E-4</v>
      </c>
    </row>
    <row r="510" spans="29:31" x14ac:dyDescent="0.45">
      <c r="AC510" t="s">
        <v>19</v>
      </c>
      <c r="AD510" t="s">
        <v>984</v>
      </c>
      <c r="AE510">
        <v>1.1533172622477633E-4</v>
      </c>
    </row>
    <row r="511" spans="29:31" x14ac:dyDescent="0.45">
      <c r="AC511" t="s">
        <v>19</v>
      </c>
      <c r="AD511" t="s">
        <v>985</v>
      </c>
      <c r="AE511">
        <v>1.1594615370749061E-4</v>
      </c>
    </row>
    <row r="512" spans="29:31" x14ac:dyDescent="0.45">
      <c r="AC512" t="s">
        <v>19</v>
      </c>
      <c r="AD512" t="s">
        <v>986</v>
      </c>
      <c r="AE512">
        <v>1.1596207782254977E-4</v>
      </c>
    </row>
    <row r="513" spans="29:31" x14ac:dyDescent="0.45">
      <c r="AC513" t="s">
        <v>19</v>
      </c>
      <c r="AD513" t="s">
        <v>987</v>
      </c>
      <c r="AE513">
        <v>1.1620638866422143E-4</v>
      </c>
    </row>
    <row r="514" spans="29:31" x14ac:dyDescent="0.45">
      <c r="AC514" t="s">
        <v>19</v>
      </c>
      <c r="AD514" t="s">
        <v>988</v>
      </c>
      <c r="AE514">
        <v>1.15759931498161E-4</v>
      </c>
    </row>
    <row r="515" spans="29:31" x14ac:dyDescent="0.45">
      <c r="AC515" t="s">
        <v>19</v>
      </c>
      <c r="AD515" t="s">
        <v>989</v>
      </c>
      <c r="AE515">
        <v>1.1454747678412226E-4</v>
      </c>
    </row>
    <row r="516" spans="29:31" x14ac:dyDescent="0.45">
      <c r="AC516" t="s">
        <v>19</v>
      </c>
      <c r="AD516" t="s">
        <v>990</v>
      </c>
      <c r="AE516">
        <v>1.1288174028328344E-4</v>
      </c>
    </row>
    <row r="517" spans="29:31" x14ac:dyDescent="0.45">
      <c r="AC517" t="s">
        <v>19</v>
      </c>
      <c r="AD517" t="s">
        <v>991</v>
      </c>
      <c r="AE517">
        <v>1.1151819164031135E-4</v>
      </c>
    </row>
    <row r="518" spans="29:31" x14ac:dyDescent="0.45">
      <c r="AC518" t="s">
        <v>19</v>
      </c>
      <c r="AD518" t="s">
        <v>992</v>
      </c>
      <c r="AE518">
        <v>1.1136392346917351E-4</v>
      </c>
    </row>
    <row r="519" spans="29:31" x14ac:dyDescent="0.45">
      <c r="AC519" t="s">
        <v>19</v>
      </c>
      <c r="AD519" t="s">
        <v>993</v>
      </c>
      <c r="AE519">
        <v>1.1146005010393259E-4</v>
      </c>
    </row>
    <row r="520" spans="29:31" x14ac:dyDescent="0.45">
      <c r="AC520" t="s">
        <v>19</v>
      </c>
      <c r="AD520" t="s">
        <v>994</v>
      </c>
      <c r="AE520">
        <v>1.1142814896977753E-4</v>
      </c>
    </row>
    <row r="521" spans="29:31" x14ac:dyDescent="0.45">
      <c r="AC521" t="s">
        <v>19</v>
      </c>
      <c r="AD521" t="s">
        <v>995</v>
      </c>
      <c r="AE521">
        <v>1.1152565110949188E-4</v>
      </c>
    </row>
    <row r="522" spans="29:31" x14ac:dyDescent="0.45">
      <c r="AC522" t="s">
        <v>19</v>
      </c>
      <c r="AD522" t="s">
        <v>996</v>
      </c>
      <c r="AE522">
        <v>1.1244893235870229E-4</v>
      </c>
    </row>
    <row r="523" spans="29:31" x14ac:dyDescent="0.45">
      <c r="AC523" t="s">
        <v>19</v>
      </c>
      <c r="AD523" t="s">
        <v>259</v>
      </c>
      <c r="AE523">
        <v>2.2396102892648883E-2</v>
      </c>
    </row>
    <row r="524" spans="29:31" x14ac:dyDescent="0.45">
      <c r="AC524" t="s">
        <v>19</v>
      </c>
      <c r="AD524" t="s">
        <v>260</v>
      </c>
      <c r="AE524">
        <v>3.2256847155674282E-3</v>
      </c>
    </row>
    <row r="525" spans="29:31" x14ac:dyDescent="0.45">
      <c r="AC525" t="s">
        <v>19</v>
      </c>
      <c r="AD525" t="s">
        <v>261</v>
      </c>
      <c r="AE525">
        <v>3.2308029695060085E-3</v>
      </c>
    </row>
    <row r="526" spans="29:31" x14ac:dyDescent="0.45">
      <c r="AC526" t="s">
        <v>19</v>
      </c>
      <c r="AD526" t="s">
        <v>262</v>
      </c>
      <c r="AE526">
        <v>3.2332976593585478E-3</v>
      </c>
    </row>
    <row r="527" spans="29:31" x14ac:dyDescent="0.45">
      <c r="AC527" t="s">
        <v>19</v>
      </c>
      <c r="AD527" t="s">
        <v>263</v>
      </c>
      <c r="AE527">
        <v>2.2675381292253185E-2</v>
      </c>
    </row>
    <row r="528" spans="29:31" x14ac:dyDescent="0.45">
      <c r="AC528" t="s">
        <v>19</v>
      </c>
      <c r="AD528" t="s">
        <v>264</v>
      </c>
      <c r="AE528">
        <v>3.1527306837495182E-3</v>
      </c>
    </row>
    <row r="529" spans="29:31" x14ac:dyDescent="0.45">
      <c r="AC529" t="s">
        <v>19</v>
      </c>
      <c r="AD529" t="s">
        <v>265</v>
      </c>
      <c r="AE529">
        <v>3.1203667450810579E-3</v>
      </c>
    </row>
    <row r="530" spans="29:31" x14ac:dyDescent="0.45">
      <c r="AC530" t="s">
        <v>19</v>
      </c>
      <c r="AD530" t="s">
        <v>266</v>
      </c>
      <c r="AE530">
        <v>1.5590950306966856E-2</v>
      </c>
    </row>
    <row r="531" spans="29:31" x14ac:dyDescent="0.45">
      <c r="AC531" t="s">
        <v>19</v>
      </c>
      <c r="AD531" t="s">
        <v>267</v>
      </c>
      <c r="AE531">
        <v>2.4817941741787808E-2</v>
      </c>
    </row>
    <row r="532" spans="29:31" x14ac:dyDescent="0.45">
      <c r="AC532" t="s">
        <v>19</v>
      </c>
      <c r="AD532" t="s">
        <v>268</v>
      </c>
      <c r="AE532">
        <v>3.5813431856435533E-3</v>
      </c>
    </row>
    <row r="533" spans="29:31" x14ac:dyDescent="0.45">
      <c r="AC533" t="s">
        <v>19</v>
      </c>
      <c r="AD533" t="s">
        <v>269</v>
      </c>
      <c r="AE533">
        <v>3.5935791486853184E-3</v>
      </c>
    </row>
    <row r="534" spans="29:31" x14ac:dyDescent="0.45">
      <c r="AC534" t="s">
        <v>19</v>
      </c>
      <c r="AD534" t="s">
        <v>270</v>
      </c>
      <c r="AE534">
        <v>3.5992108892045106E-3</v>
      </c>
    </row>
    <row r="535" spans="29:31" x14ac:dyDescent="0.45">
      <c r="AC535" t="s">
        <v>19</v>
      </c>
      <c r="AD535" t="s">
        <v>271</v>
      </c>
      <c r="AE535">
        <v>2.5159670658659424E-2</v>
      </c>
    </row>
    <row r="536" spans="29:31" x14ac:dyDescent="0.45">
      <c r="AC536" t="s">
        <v>19</v>
      </c>
      <c r="AD536" t="s">
        <v>272</v>
      </c>
      <c r="AE536">
        <v>3.4703547488830963E-3</v>
      </c>
    </row>
    <row r="537" spans="29:31" x14ac:dyDescent="0.45">
      <c r="AC537" t="s">
        <v>19</v>
      </c>
      <c r="AD537" t="s">
        <v>273</v>
      </c>
      <c r="AE537">
        <v>3.4449947227347894E-3</v>
      </c>
    </row>
    <row r="538" spans="29:31" x14ac:dyDescent="0.45">
      <c r="AC538" t="s">
        <v>19</v>
      </c>
      <c r="AD538" t="s">
        <v>274</v>
      </c>
      <c r="AE538">
        <v>1.7239740876161678E-2</v>
      </c>
    </row>
    <row r="539" spans="29:31" x14ac:dyDescent="0.45">
      <c r="AC539" t="s">
        <v>19</v>
      </c>
      <c r="AD539" t="s">
        <v>275</v>
      </c>
      <c r="AE539">
        <v>2.3992482297509075E-2</v>
      </c>
    </row>
    <row r="540" spans="29:31" x14ac:dyDescent="0.45">
      <c r="AC540" t="s">
        <v>19</v>
      </c>
      <c r="AD540" t="s">
        <v>276</v>
      </c>
      <c r="AE540">
        <v>3.4738704666897762E-3</v>
      </c>
    </row>
    <row r="541" spans="29:31" x14ac:dyDescent="0.45">
      <c r="AC541" t="s">
        <v>19</v>
      </c>
      <c r="AD541" t="s">
        <v>277</v>
      </c>
      <c r="AE541">
        <v>3.4801538791335491E-3</v>
      </c>
    </row>
    <row r="542" spans="29:31" x14ac:dyDescent="0.45">
      <c r="AC542" t="s">
        <v>19</v>
      </c>
      <c r="AD542" t="s">
        <v>278</v>
      </c>
      <c r="AE542">
        <v>3.4821192640984906E-3</v>
      </c>
    </row>
    <row r="543" spans="29:31" x14ac:dyDescent="0.45">
      <c r="AC543" t="s">
        <v>19</v>
      </c>
      <c r="AD543" t="s">
        <v>279</v>
      </c>
      <c r="AE543">
        <v>2.431802215590554E-2</v>
      </c>
    </row>
    <row r="544" spans="29:31" x14ac:dyDescent="0.45">
      <c r="AC544" t="s">
        <v>19</v>
      </c>
      <c r="AD544" t="s">
        <v>280</v>
      </c>
      <c r="AE544">
        <v>3.3586893850175658E-3</v>
      </c>
    </row>
    <row r="545" spans="29:31" x14ac:dyDescent="0.45">
      <c r="AC545" t="s">
        <v>19</v>
      </c>
      <c r="AD545" t="s">
        <v>281</v>
      </c>
      <c r="AE545">
        <v>3.384166540703218E-3</v>
      </c>
    </row>
    <row r="546" spans="29:31" x14ac:dyDescent="0.45">
      <c r="AC546" t="s">
        <v>19</v>
      </c>
      <c r="AD546" t="s">
        <v>282</v>
      </c>
      <c r="AE546">
        <v>1.6789908068262124E-2</v>
      </c>
    </row>
    <row r="547" spans="29:31" x14ac:dyDescent="0.45">
      <c r="AC547" t="s">
        <v>19</v>
      </c>
      <c r="AD547" t="s">
        <v>283</v>
      </c>
      <c r="AE547">
        <v>2.4003434091172497E-2</v>
      </c>
    </row>
    <row r="548" spans="29:31" x14ac:dyDescent="0.45">
      <c r="AC548" t="s">
        <v>19</v>
      </c>
      <c r="AD548" t="s">
        <v>284</v>
      </c>
      <c r="AE548">
        <v>3.4642278779601575E-3</v>
      </c>
    </row>
    <row r="549" spans="29:31" x14ac:dyDescent="0.45">
      <c r="AC549" t="s">
        <v>19</v>
      </c>
      <c r="AD549" t="s">
        <v>285</v>
      </c>
      <c r="AE549">
        <v>3.4670656504909646E-3</v>
      </c>
    </row>
    <row r="550" spans="29:31" x14ac:dyDescent="0.45">
      <c r="AC550" t="s">
        <v>19</v>
      </c>
      <c r="AD550" t="s">
        <v>286</v>
      </c>
      <c r="AE550">
        <v>3.4672220348235718E-3</v>
      </c>
    </row>
    <row r="551" spans="29:31" x14ac:dyDescent="0.45">
      <c r="AC551" t="s">
        <v>19</v>
      </c>
      <c r="AD551" t="s">
        <v>287</v>
      </c>
      <c r="AE551">
        <v>2.4261134785831279E-2</v>
      </c>
    </row>
    <row r="552" spans="29:31" x14ac:dyDescent="0.45">
      <c r="AC552" t="s">
        <v>19</v>
      </c>
      <c r="AD552" t="s">
        <v>288</v>
      </c>
      <c r="AE552">
        <v>3.3616151024885208E-3</v>
      </c>
    </row>
    <row r="553" spans="29:31" x14ac:dyDescent="0.45">
      <c r="AC553" t="s">
        <v>19</v>
      </c>
      <c r="AD553" t="s">
        <v>289</v>
      </c>
      <c r="AE553">
        <v>3.4028226915548154E-3</v>
      </c>
    </row>
    <row r="554" spans="29:31" x14ac:dyDescent="0.45">
      <c r="AC554" t="s">
        <v>19</v>
      </c>
      <c r="AD554" t="s">
        <v>290</v>
      </c>
      <c r="AE554">
        <v>1.6900319149616969E-2</v>
      </c>
    </row>
    <row r="555" spans="29:31" x14ac:dyDescent="0.45">
      <c r="AC555" t="s">
        <v>19</v>
      </c>
      <c r="AD555" t="s">
        <v>997</v>
      </c>
      <c r="AE555">
        <v>1.134341912415943E-4</v>
      </c>
    </row>
    <row r="556" spans="29:31" x14ac:dyDescent="0.45">
      <c r="AC556" t="s">
        <v>19</v>
      </c>
      <c r="AD556" t="s">
        <v>998</v>
      </c>
      <c r="AE556">
        <v>1.1361046749201654E-4</v>
      </c>
    </row>
    <row r="557" spans="29:31" x14ac:dyDescent="0.45">
      <c r="AC557" t="s">
        <v>19</v>
      </c>
      <c r="AD557" t="s">
        <v>999</v>
      </c>
      <c r="AE557">
        <v>1.1428647527349779E-4</v>
      </c>
    </row>
    <row r="558" spans="29:31" x14ac:dyDescent="0.45">
      <c r="AC558" t="s">
        <v>19</v>
      </c>
      <c r="AD558" t="s">
        <v>1000</v>
      </c>
      <c r="AE558">
        <v>1.1489931563510983E-4</v>
      </c>
    </row>
    <row r="559" spans="29:31" x14ac:dyDescent="0.45">
      <c r="AC559" t="s">
        <v>19</v>
      </c>
      <c r="AD559" t="s">
        <v>1001</v>
      </c>
      <c r="AE559">
        <v>1.149853375988513E-4</v>
      </c>
    </row>
    <row r="560" spans="29:31" x14ac:dyDescent="0.45">
      <c r="AC560" t="s">
        <v>19</v>
      </c>
      <c r="AD560" t="s">
        <v>1002</v>
      </c>
      <c r="AE560">
        <v>1.1522478126914274E-4</v>
      </c>
    </row>
    <row r="561" spans="29:31" x14ac:dyDescent="0.45">
      <c r="AC561" t="s">
        <v>19</v>
      </c>
      <c r="AD561" t="s">
        <v>1003</v>
      </c>
      <c r="AE561">
        <v>1.1522478126914274E-4</v>
      </c>
    </row>
    <row r="562" spans="29:31" x14ac:dyDescent="0.45">
      <c r="AC562" t="s">
        <v>19</v>
      </c>
      <c r="AD562" t="s">
        <v>1004</v>
      </c>
      <c r="AE562">
        <v>1.1520986233078167E-4</v>
      </c>
    </row>
    <row r="563" spans="29:31" x14ac:dyDescent="0.45">
      <c r="AC563" t="s">
        <v>19</v>
      </c>
      <c r="AD563" t="s">
        <v>1005</v>
      </c>
      <c r="AE563">
        <v>1.1520393707866663E-4</v>
      </c>
    </row>
    <row r="564" spans="29:31" x14ac:dyDescent="0.45">
      <c r="AC564" t="s">
        <v>19</v>
      </c>
      <c r="AD564" t="s">
        <v>1006</v>
      </c>
      <c r="AE564">
        <v>1.1520393707866663E-4</v>
      </c>
    </row>
    <row r="565" spans="29:31" x14ac:dyDescent="0.45">
      <c r="AC565" t="s">
        <v>19</v>
      </c>
      <c r="AD565" t="s">
        <v>1007</v>
      </c>
      <c r="AE565">
        <v>1.1513886511347475E-4</v>
      </c>
    </row>
    <row r="566" spans="29:31" x14ac:dyDescent="0.45">
      <c r="AC566" t="s">
        <v>19</v>
      </c>
      <c r="AD566" t="s">
        <v>1008</v>
      </c>
      <c r="AE566">
        <v>1.1518489162543974E-4</v>
      </c>
    </row>
    <row r="567" spans="29:31" x14ac:dyDescent="0.45">
      <c r="AC567" t="s">
        <v>19</v>
      </c>
      <c r="AD567" t="s">
        <v>1009</v>
      </c>
      <c r="AE567">
        <v>1.1689871789567645E-4</v>
      </c>
    </row>
    <row r="568" spans="29:31" x14ac:dyDescent="0.45">
      <c r="AC568" t="s">
        <v>19</v>
      </c>
      <c r="AD568" t="s">
        <v>1010</v>
      </c>
      <c r="AE568">
        <v>1.1698087786473581E-4</v>
      </c>
    </row>
    <row r="569" spans="29:31" x14ac:dyDescent="0.45">
      <c r="AC569" t="s">
        <v>19</v>
      </c>
      <c r="AD569" t="s">
        <v>1011</v>
      </c>
      <c r="AE569">
        <v>1.1629645834141269E-4</v>
      </c>
    </row>
    <row r="570" spans="29:31" x14ac:dyDescent="0.45">
      <c r="AC570" t="s">
        <v>19</v>
      </c>
      <c r="AD570" t="s">
        <v>1012</v>
      </c>
      <c r="AE570">
        <v>1.1492539732522332E-4</v>
      </c>
    </row>
    <row r="571" spans="29:31" x14ac:dyDescent="0.45">
      <c r="AC571" t="s">
        <v>19</v>
      </c>
      <c r="AD571" t="s">
        <v>1013</v>
      </c>
      <c r="AE571">
        <v>1.1324728127978703E-4</v>
      </c>
    </row>
    <row r="572" spans="29:31" x14ac:dyDescent="0.45">
      <c r="AC572" t="s">
        <v>19</v>
      </c>
      <c r="AD572" t="s">
        <v>1014</v>
      </c>
      <c r="AE572">
        <v>1.1202826646519236E-4</v>
      </c>
    </row>
    <row r="573" spans="29:31" x14ac:dyDescent="0.45">
      <c r="AC573" t="s">
        <v>19</v>
      </c>
      <c r="AD573" t="s">
        <v>1015</v>
      </c>
      <c r="AE573">
        <v>1.1349053404072385E-4</v>
      </c>
    </row>
    <row r="574" spans="29:31" x14ac:dyDescent="0.45">
      <c r="AC574" t="s">
        <v>19</v>
      </c>
      <c r="AD574" t="s">
        <v>1016</v>
      </c>
      <c r="AE574">
        <v>1.1315284757420368E-4</v>
      </c>
    </row>
    <row r="575" spans="29:31" x14ac:dyDescent="0.45">
      <c r="AC575" t="s">
        <v>19</v>
      </c>
      <c r="AD575" t="s">
        <v>1017</v>
      </c>
      <c r="AE575">
        <v>1.1276818232305718E-4</v>
      </c>
    </row>
    <row r="576" spans="29:31" x14ac:dyDescent="0.45">
      <c r="AC576" t="s">
        <v>19</v>
      </c>
      <c r="AD576" t="s">
        <v>1018</v>
      </c>
      <c r="AE576">
        <v>1.1264428106900887E-4</v>
      </c>
    </row>
    <row r="577" spans="29:31" x14ac:dyDescent="0.45">
      <c r="AC577" t="s">
        <v>19</v>
      </c>
      <c r="AD577" t="s">
        <v>1019</v>
      </c>
      <c r="AE577">
        <v>1.1298672889883577E-4</v>
      </c>
    </row>
    <row r="578" spans="29:31" x14ac:dyDescent="0.45">
      <c r="AC578" t="s">
        <v>19</v>
      </c>
      <c r="AD578" t="s">
        <v>1020</v>
      </c>
      <c r="AE578">
        <v>1.1335457066629853E-4</v>
      </c>
    </row>
    <row r="579" spans="29:31" x14ac:dyDescent="0.45">
      <c r="AC579" t="s">
        <v>19</v>
      </c>
      <c r="AD579" t="s">
        <v>291</v>
      </c>
      <c r="AE579">
        <v>2.4008373861375724E-2</v>
      </c>
    </row>
    <row r="580" spans="29:31" x14ac:dyDescent="0.45">
      <c r="AC580" t="s">
        <v>19</v>
      </c>
      <c r="AD580" t="s">
        <v>292</v>
      </c>
      <c r="AE580">
        <v>3.4559498795923922E-3</v>
      </c>
    </row>
    <row r="581" spans="29:31" x14ac:dyDescent="0.45">
      <c r="AC581" t="s">
        <v>19</v>
      </c>
      <c r="AD581" t="s">
        <v>293</v>
      </c>
      <c r="AE581">
        <v>3.4583274928116229E-3</v>
      </c>
    </row>
    <row r="582" spans="29:31" x14ac:dyDescent="0.45">
      <c r="AC582" t="s">
        <v>19</v>
      </c>
      <c r="AD582" t="s">
        <v>294</v>
      </c>
      <c r="AE582">
        <v>3.4586289400129751E-3</v>
      </c>
    </row>
    <row r="583" spans="29:31" x14ac:dyDescent="0.45">
      <c r="AC583" t="s">
        <v>19</v>
      </c>
      <c r="AD583" t="s">
        <v>295</v>
      </c>
      <c r="AE583">
        <v>2.4232325166451862E-2</v>
      </c>
    </row>
    <row r="584" spans="29:31" x14ac:dyDescent="0.45">
      <c r="AC584" t="s">
        <v>19</v>
      </c>
      <c r="AD584" t="s">
        <v>296</v>
      </c>
      <c r="AE584">
        <v>3.3662016200230443E-3</v>
      </c>
    </row>
    <row r="585" spans="29:31" x14ac:dyDescent="0.45">
      <c r="AC585" t="s">
        <v>19</v>
      </c>
      <c r="AD585" t="s">
        <v>297</v>
      </c>
      <c r="AE585">
        <v>3.4017293258967124E-3</v>
      </c>
    </row>
    <row r="586" spans="29:31" x14ac:dyDescent="0.45">
      <c r="AC586" t="s">
        <v>19</v>
      </c>
      <c r="AD586" t="s">
        <v>298</v>
      </c>
      <c r="AE586">
        <v>1.6923760039274597E-2</v>
      </c>
    </row>
    <row r="587" spans="29:31" x14ac:dyDescent="0.45">
      <c r="AC587" t="s">
        <v>19</v>
      </c>
      <c r="AD587" t="s">
        <v>299</v>
      </c>
      <c r="AE587">
        <v>2.4820133261090005E-2</v>
      </c>
    </row>
    <row r="588" spans="29:31" x14ac:dyDescent="0.45">
      <c r="AC588" t="s">
        <v>19</v>
      </c>
      <c r="AD588" t="s">
        <v>300</v>
      </c>
      <c r="AE588">
        <v>3.5651303084484587E-3</v>
      </c>
    </row>
    <row r="589" spans="29:31" x14ac:dyDescent="0.45">
      <c r="AC589" t="s">
        <v>19</v>
      </c>
      <c r="AD589" t="s">
        <v>301</v>
      </c>
      <c r="AE589">
        <v>3.5674991925016271E-3</v>
      </c>
    </row>
    <row r="590" spans="29:31" x14ac:dyDescent="0.45">
      <c r="AC590" t="s">
        <v>19</v>
      </c>
      <c r="AD590" t="s">
        <v>302</v>
      </c>
      <c r="AE590">
        <v>3.5679085110338947E-3</v>
      </c>
    </row>
    <row r="591" spans="29:31" x14ac:dyDescent="0.45">
      <c r="AC591" t="s">
        <v>19</v>
      </c>
      <c r="AD591" t="s">
        <v>303</v>
      </c>
      <c r="AE591">
        <v>2.5025049535034486E-2</v>
      </c>
    </row>
    <row r="592" spans="29:31" x14ac:dyDescent="0.45">
      <c r="AC592" t="s">
        <v>19</v>
      </c>
      <c r="AD592" t="s">
        <v>304</v>
      </c>
      <c r="AE592">
        <v>3.479127390160216E-3</v>
      </c>
    </row>
    <row r="593" spans="29:31" x14ac:dyDescent="0.45">
      <c r="AC593" t="s">
        <v>19</v>
      </c>
      <c r="AD593" t="s">
        <v>305</v>
      </c>
      <c r="AE593">
        <v>3.5113373780817588E-3</v>
      </c>
    </row>
    <row r="594" spans="29:31" x14ac:dyDescent="0.45">
      <c r="AC594" t="s">
        <v>19</v>
      </c>
      <c r="AD594" t="s">
        <v>306</v>
      </c>
      <c r="AE594">
        <v>1.7489296829039009E-2</v>
      </c>
    </row>
    <row r="595" spans="29:31" x14ac:dyDescent="0.45">
      <c r="AC595" t="s">
        <v>19</v>
      </c>
      <c r="AD595" t="s">
        <v>307</v>
      </c>
      <c r="AE595">
        <v>2.0859426455368112E-2</v>
      </c>
    </row>
    <row r="596" spans="29:31" x14ac:dyDescent="0.45">
      <c r="AC596" t="s">
        <v>19</v>
      </c>
      <c r="AD596" t="s">
        <v>308</v>
      </c>
      <c r="AE596">
        <v>3.0054432576036008E-3</v>
      </c>
    </row>
    <row r="597" spans="29:31" x14ac:dyDescent="0.45">
      <c r="AC597" t="s">
        <v>19</v>
      </c>
      <c r="AD597" t="s">
        <v>309</v>
      </c>
      <c r="AE597">
        <v>3.0068002461460172E-3</v>
      </c>
    </row>
    <row r="598" spans="29:31" x14ac:dyDescent="0.45">
      <c r="AC598" t="s">
        <v>19</v>
      </c>
      <c r="AD598" t="s">
        <v>310</v>
      </c>
      <c r="AE598">
        <v>3.0064278017273576E-3</v>
      </c>
    </row>
    <row r="599" spans="29:31" x14ac:dyDescent="0.45">
      <c r="AC599" t="s">
        <v>19</v>
      </c>
      <c r="AD599" t="s">
        <v>311</v>
      </c>
      <c r="AE599">
        <v>2.1107167700590145E-2</v>
      </c>
    </row>
    <row r="600" spans="29:31" x14ac:dyDescent="0.45">
      <c r="AC600" t="s">
        <v>19</v>
      </c>
      <c r="AD600" t="s">
        <v>312</v>
      </c>
      <c r="AE600">
        <v>2.9269032472582796E-3</v>
      </c>
    </row>
    <row r="601" spans="29:31" x14ac:dyDescent="0.45">
      <c r="AC601" t="s">
        <v>19</v>
      </c>
      <c r="AD601" t="s">
        <v>313</v>
      </c>
      <c r="AE601">
        <v>2.8902642391888229E-3</v>
      </c>
    </row>
    <row r="602" spans="29:31" x14ac:dyDescent="0.45">
      <c r="AC602" t="s">
        <v>19</v>
      </c>
      <c r="AD602" t="s">
        <v>314</v>
      </c>
      <c r="AE602">
        <v>1.4466047404899332E-2</v>
      </c>
    </row>
    <row r="603" spans="29:31" x14ac:dyDescent="0.45">
      <c r="AC603" t="s">
        <v>19</v>
      </c>
      <c r="AD603" t="s">
        <v>1021</v>
      </c>
      <c r="AE603">
        <v>1.1244573768018039E-4</v>
      </c>
    </row>
    <row r="604" spans="29:31" x14ac:dyDescent="0.45">
      <c r="AC604" t="s">
        <v>19</v>
      </c>
      <c r="AD604" t="s">
        <v>1022</v>
      </c>
      <c r="AE604">
        <v>1.1313370177396518E-4</v>
      </c>
    </row>
    <row r="605" spans="29:31" x14ac:dyDescent="0.45">
      <c r="AC605" t="s">
        <v>19</v>
      </c>
      <c r="AD605" t="s">
        <v>1023</v>
      </c>
      <c r="AE605">
        <v>1.1424712013122407E-4</v>
      </c>
    </row>
    <row r="606" spans="29:31" x14ac:dyDescent="0.45">
      <c r="AC606" t="s">
        <v>19</v>
      </c>
      <c r="AD606" t="s">
        <v>1024</v>
      </c>
      <c r="AE606">
        <v>1.1505120858565617E-4</v>
      </c>
    </row>
    <row r="607" spans="29:31" x14ac:dyDescent="0.45">
      <c r="AC607" t="s">
        <v>19</v>
      </c>
      <c r="AD607" t="s">
        <v>1025</v>
      </c>
      <c r="AE607">
        <v>1.1527642107006419E-4</v>
      </c>
    </row>
    <row r="608" spans="29:31" x14ac:dyDescent="0.45">
      <c r="AC608" t="s">
        <v>19</v>
      </c>
      <c r="AD608" t="s">
        <v>1026</v>
      </c>
      <c r="AE608">
        <v>1.152889593267719E-4</v>
      </c>
    </row>
    <row r="609" spans="29:31" x14ac:dyDescent="0.45">
      <c r="AC609" t="s">
        <v>19</v>
      </c>
      <c r="AD609" t="s">
        <v>1027</v>
      </c>
      <c r="AE609">
        <v>1.152889593267719E-4</v>
      </c>
    </row>
    <row r="610" spans="29:31" x14ac:dyDescent="0.45">
      <c r="AC610" t="s">
        <v>19</v>
      </c>
      <c r="AD610" t="s">
        <v>1028</v>
      </c>
      <c r="AE610">
        <v>1.1530128596733263E-4</v>
      </c>
    </row>
    <row r="611" spans="29:31" x14ac:dyDescent="0.45">
      <c r="AC611" t="s">
        <v>19</v>
      </c>
      <c r="AD611" t="s">
        <v>1029</v>
      </c>
      <c r="AE611">
        <v>1.153090628607336E-4</v>
      </c>
    </row>
    <row r="612" spans="29:31" x14ac:dyDescent="0.45">
      <c r="AC612" t="s">
        <v>19</v>
      </c>
      <c r="AD612" t="s">
        <v>1030</v>
      </c>
      <c r="AE612">
        <v>1.153090628607336E-4</v>
      </c>
    </row>
    <row r="613" spans="29:31" x14ac:dyDescent="0.45">
      <c r="AC613" t="s">
        <v>19</v>
      </c>
      <c r="AD613" t="s">
        <v>1031</v>
      </c>
      <c r="AE613">
        <v>1.1530964480513778E-4</v>
      </c>
    </row>
    <row r="614" spans="29:31" x14ac:dyDescent="0.45">
      <c r="AC614" t="s">
        <v>19</v>
      </c>
      <c r="AD614" t="s">
        <v>1032</v>
      </c>
      <c r="AE614">
        <v>1.1532318823854356E-4</v>
      </c>
    </row>
    <row r="615" spans="29:31" x14ac:dyDescent="0.45">
      <c r="AC615" t="s">
        <v>19</v>
      </c>
      <c r="AD615" t="s">
        <v>1033</v>
      </c>
      <c r="AE615">
        <v>1.1664393751579189E-4</v>
      </c>
    </row>
    <row r="616" spans="29:31" x14ac:dyDescent="0.45">
      <c r="AC616" t="s">
        <v>19</v>
      </c>
      <c r="AD616" t="s">
        <v>1034</v>
      </c>
      <c r="AE616">
        <v>1.1672742008576977E-4</v>
      </c>
    </row>
    <row r="617" spans="29:31" x14ac:dyDescent="0.45">
      <c r="AC617" t="s">
        <v>19</v>
      </c>
      <c r="AD617" t="s">
        <v>1035</v>
      </c>
      <c r="AE617">
        <v>1.1640216606788382E-4</v>
      </c>
    </row>
    <row r="618" spans="29:31" x14ac:dyDescent="0.45">
      <c r="AC618" t="s">
        <v>19</v>
      </c>
      <c r="AD618" t="s">
        <v>1036</v>
      </c>
      <c r="AE618">
        <v>1.1540693532870515E-4</v>
      </c>
    </row>
    <row r="619" spans="29:31" x14ac:dyDescent="0.45">
      <c r="AC619" t="s">
        <v>19</v>
      </c>
      <c r="AD619" t="s">
        <v>1037</v>
      </c>
      <c r="AE619">
        <v>1.1422680498111539E-4</v>
      </c>
    </row>
    <row r="620" spans="29:31" x14ac:dyDescent="0.45">
      <c r="AC620" t="s">
        <v>19</v>
      </c>
      <c r="AD620" t="s">
        <v>1038</v>
      </c>
      <c r="AE620">
        <v>1.1274961846722283E-4</v>
      </c>
    </row>
    <row r="621" spans="29:31" x14ac:dyDescent="0.45">
      <c r="AC621" t="s">
        <v>19</v>
      </c>
      <c r="AD621" t="s">
        <v>1039</v>
      </c>
      <c r="AE621">
        <v>1.1108483423904537E-4</v>
      </c>
    </row>
    <row r="622" spans="29:31" x14ac:dyDescent="0.45">
      <c r="AC622" t="s">
        <v>19</v>
      </c>
      <c r="AD622" t="s">
        <v>1040</v>
      </c>
      <c r="AE622">
        <v>1.1072207125910978E-4</v>
      </c>
    </row>
    <row r="623" spans="29:31" x14ac:dyDescent="0.45">
      <c r="AC623" t="s">
        <v>19</v>
      </c>
      <c r="AD623" t="s">
        <v>1041</v>
      </c>
      <c r="AE623">
        <v>1.107237641882855E-4</v>
      </c>
    </row>
    <row r="624" spans="29:31" x14ac:dyDescent="0.45">
      <c r="AC624" t="s">
        <v>19</v>
      </c>
      <c r="AD624" t="s">
        <v>1042</v>
      </c>
      <c r="AE624">
        <v>1.107642886804294E-4</v>
      </c>
    </row>
    <row r="625" spans="29:31" x14ac:dyDescent="0.45">
      <c r="AC625" t="s">
        <v>19</v>
      </c>
      <c r="AD625" t="s">
        <v>1043</v>
      </c>
      <c r="AE625">
        <v>1.1133157866640712E-4</v>
      </c>
    </row>
    <row r="626" spans="29:31" x14ac:dyDescent="0.45">
      <c r="AC626" t="s">
        <v>19</v>
      </c>
      <c r="AD626" t="s">
        <v>1044</v>
      </c>
      <c r="AE626">
        <v>1.1243023679741516E-4</v>
      </c>
    </row>
    <row r="627" spans="29:31" x14ac:dyDescent="0.45">
      <c r="AC627" t="s">
        <v>19</v>
      </c>
      <c r="AD627" t="s">
        <v>1045</v>
      </c>
      <c r="AE627">
        <v>1.1244573768018039E-4</v>
      </c>
    </row>
    <row r="628" spans="29:31" x14ac:dyDescent="0.45">
      <c r="AC628" t="s">
        <v>19</v>
      </c>
      <c r="AD628" t="s">
        <v>1046</v>
      </c>
      <c r="AE628">
        <v>1.1313370177396518E-4</v>
      </c>
    </row>
    <row r="629" spans="29:31" x14ac:dyDescent="0.45">
      <c r="AC629" t="s">
        <v>19</v>
      </c>
      <c r="AD629" t="s">
        <v>1047</v>
      </c>
      <c r="AE629">
        <v>1.1424712013122407E-4</v>
      </c>
    </row>
    <row r="630" spans="29:31" x14ac:dyDescent="0.45">
      <c r="AC630" t="s">
        <v>19</v>
      </c>
      <c r="AD630" t="s">
        <v>1048</v>
      </c>
      <c r="AE630">
        <v>1.1505120858565617E-4</v>
      </c>
    </row>
    <row r="631" spans="29:31" x14ac:dyDescent="0.45">
      <c r="AC631" t="s">
        <v>19</v>
      </c>
      <c r="AD631" t="s">
        <v>1049</v>
      </c>
      <c r="AE631">
        <v>1.1527642107006419E-4</v>
      </c>
    </row>
    <row r="632" spans="29:31" x14ac:dyDescent="0.45">
      <c r="AC632" t="s">
        <v>19</v>
      </c>
      <c r="AD632" t="s">
        <v>1050</v>
      </c>
      <c r="AE632">
        <v>1.1534503760571775E-4</v>
      </c>
    </row>
    <row r="633" spans="29:31" x14ac:dyDescent="0.45">
      <c r="AC633" t="s">
        <v>19</v>
      </c>
      <c r="AD633" t="s">
        <v>1051</v>
      </c>
      <c r="AE633">
        <v>1.1528060048896676E-4</v>
      </c>
    </row>
    <row r="634" spans="29:31" x14ac:dyDescent="0.45">
      <c r="AC634" t="s">
        <v>19</v>
      </c>
      <c r="AD634" t="s">
        <v>1052</v>
      </c>
      <c r="AE634">
        <v>1.1530271437632464E-4</v>
      </c>
    </row>
    <row r="635" spans="29:31" x14ac:dyDescent="0.45">
      <c r="AC635" t="s">
        <v>19</v>
      </c>
      <c r="AD635" t="s">
        <v>1053</v>
      </c>
      <c r="AE635">
        <v>1.1530070402292848E-4</v>
      </c>
    </row>
    <row r="636" spans="29:31" x14ac:dyDescent="0.45">
      <c r="AC636" t="s">
        <v>19</v>
      </c>
      <c r="AD636" t="s">
        <v>1054</v>
      </c>
      <c r="AE636">
        <v>1.1532482826368254E-4</v>
      </c>
    </row>
    <row r="637" spans="29:31" x14ac:dyDescent="0.45">
      <c r="AC637" t="s">
        <v>19</v>
      </c>
      <c r="AD637" t="s">
        <v>1055</v>
      </c>
      <c r="AE637">
        <v>1.1530964480513778E-4</v>
      </c>
    </row>
    <row r="638" spans="29:31" x14ac:dyDescent="0.45">
      <c r="AC638" t="s">
        <v>19</v>
      </c>
      <c r="AD638" t="s">
        <v>1056</v>
      </c>
      <c r="AE638">
        <v>1.1532377018294771E-4</v>
      </c>
    </row>
    <row r="639" spans="29:31" x14ac:dyDescent="0.45">
      <c r="AC639" t="s">
        <v>19</v>
      </c>
      <c r="AD639" t="s">
        <v>1057</v>
      </c>
      <c r="AE639">
        <v>1.1674752361973149E-4</v>
      </c>
    </row>
    <row r="640" spans="29:31" x14ac:dyDescent="0.45">
      <c r="AC640" t="s">
        <v>19</v>
      </c>
      <c r="AD640" t="s">
        <v>1058</v>
      </c>
      <c r="AE640">
        <v>1.1683158813411353E-4</v>
      </c>
    </row>
    <row r="641" spans="29:31" x14ac:dyDescent="0.45">
      <c r="AC641" t="s">
        <v>19</v>
      </c>
      <c r="AD641" t="s">
        <v>1059</v>
      </c>
      <c r="AE641">
        <v>1.1641369914789344E-4</v>
      </c>
    </row>
    <row r="642" spans="29:31" x14ac:dyDescent="0.45">
      <c r="AC642" t="s">
        <v>19</v>
      </c>
      <c r="AD642" t="s">
        <v>1060</v>
      </c>
      <c r="AE642">
        <v>1.1540693532870515E-4</v>
      </c>
    </row>
    <row r="643" spans="29:31" x14ac:dyDescent="0.45">
      <c r="AC643" t="s">
        <v>19</v>
      </c>
      <c r="AD643" t="s">
        <v>1061</v>
      </c>
      <c r="AE643">
        <v>1.1422680498111539E-4</v>
      </c>
    </row>
    <row r="644" spans="29:31" x14ac:dyDescent="0.45">
      <c r="AC644" t="s">
        <v>19</v>
      </c>
      <c r="AD644" t="s">
        <v>1062</v>
      </c>
      <c r="AE644">
        <v>1.1274961846722283E-4</v>
      </c>
    </row>
    <row r="645" spans="29:31" x14ac:dyDescent="0.45">
      <c r="AC645" t="s">
        <v>19</v>
      </c>
      <c r="AD645" t="s">
        <v>1063</v>
      </c>
      <c r="AE645">
        <v>1.1112684004421802E-4</v>
      </c>
    </row>
    <row r="646" spans="29:31" x14ac:dyDescent="0.45">
      <c r="AC646" t="s">
        <v>19</v>
      </c>
      <c r="AD646" t="s">
        <v>1064</v>
      </c>
      <c r="AE646">
        <v>1.1085972756271083E-4</v>
      </c>
    </row>
    <row r="647" spans="29:31" x14ac:dyDescent="0.45">
      <c r="AC647" t="s">
        <v>19</v>
      </c>
      <c r="AD647" t="s">
        <v>1065</v>
      </c>
      <c r="AE647">
        <v>1.1072376418828552E-4</v>
      </c>
    </row>
    <row r="648" spans="29:31" x14ac:dyDescent="0.45">
      <c r="AC648" t="s">
        <v>19</v>
      </c>
      <c r="AD648" t="s">
        <v>1066</v>
      </c>
      <c r="AE648">
        <v>1.1067059563136043E-4</v>
      </c>
    </row>
    <row r="649" spans="29:31" x14ac:dyDescent="0.45">
      <c r="AC649" t="s">
        <v>19</v>
      </c>
      <c r="AD649" t="s">
        <v>1067</v>
      </c>
      <c r="AE649">
        <v>1.1133157866640712E-4</v>
      </c>
    </row>
    <row r="650" spans="29:31" x14ac:dyDescent="0.45">
      <c r="AC650" t="s">
        <v>19</v>
      </c>
      <c r="AD650" t="s">
        <v>1068</v>
      </c>
      <c r="AE650">
        <v>1.1235458402487501E-4</v>
      </c>
    </row>
    <row r="651" spans="29:31" x14ac:dyDescent="0.45">
      <c r="AC651" t="s">
        <v>19</v>
      </c>
      <c r="AD651" t="s">
        <v>1069</v>
      </c>
      <c r="AE651">
        <v>1.1244573768018039E-4</v>
      </c>
    </row>
    <row r="652" spans="29:31" x14ac:dyDescent="0.45">
      <c r="AC652" t="s">
        <v>19</v>
      </c>
      <c r="AD652" t="s">
        <v>1070</v>
      </c>
      <c r="AE652">
        <v>1.1313370177396518E-4</v>
      </c>
    </row>
    <row r="653" spans="29:31" x14ac:dyDescent="0.45">
      <c r="AC653" t="s">
        <v>19</v>
      </c>
      <c r="AD653" t="s">
        <v>1071</v>
      </c>
      <c r="AE653">
        <v>1.1424712013122407E-4</v>
      </c>
    </row>
    <row r="654" spans="29:31" x14ac:dyDescent="0.45">
      <c r="AC654" t="s">
        <v>19</v>
      </c>
      <c r="AD654" t="s">
        <v>1072</v>
      </c>
      <c r="AE654">
        <v>1.1504390782858587E-4</v>
      </c>
    </row>
    <row r="655" spans="29:31" x14ac:dyDescent="0.45">
      <c r="AC655" t="s">
        <v>19</v>
      </c>
      <c r="AD655" t="s">
        <v>1073</v>
      </c>
      <c r="AE655">
        <v>1.1526912031299389E-4</v>
      </c>
    </row>
    <row r="656" spans="29:31" x14ac:dyDescent="0.45">
      <c r="AC656" t="s">
        <v>19</v>
      </c>
      <c r="AD656" t="s">
        <v>1074</v>
      </c>
      <c r="AE656">
        <v>1.1528060048896676E-4</v>
      </c>
    </row>
    <row r="657" spans="29:31" x14ac:dyDescent="0.45">
      <c r="AC657" t="s">
        <v>19</v>
      </c>
      <c r="AD657" t="s">
        <v>1075</v>
      </c>
      <c r="AE657">
        <v>1.1528261084236294E-4</v>
      </c>
    </row>
    <row r="658" spans="29:31" x14ac:dyDescent="0.45">
      <c r="AC658" t="s">
        <v>19</v>
      </c>
      <c r="AD658" t="s">
        <v>1076</v>
      </c>
      <c r="AE658">
        <v>1.1536905603839834E-4</v>
      </c>
    </row>
    <row r="659" spans="29:31" x14ac:dyDescent="0.45">
      <c r="AC659" t="s">
        <v>19</v>
      </c>
      <c r="AD659" t="s">
        <v>1077</v>
      </c>
      <c r="AE659">
        <v>1.1578736825691234E-4</v>
      </c>
    </row>
    <row r="660" spans="29:31" x14ac:dyDescent="0.45">
      <c r="AC660" t="s">
        <v>19</v>
      </c>
      <c r="AD660" t="s">
        <v>1078</v>
      </c>
      <c r="AE660">
        <v>1.1598835069249283E-4</v>
      </c>
    </row>
    <row r="661" spans="29:31" x14ac:dyDescent="0.45">
      <c r="AC661" t="s">
        <v>19</v>
      </c>
      <c r="AD661" t="s">
        <v>1079</v>
      </c>
      <c r="AE661">
        <v>1.1530128596733263E-4</v>
      </c>
    </row>
    <row r="662" spans="29:31" x14ac:dyDescent="0.45">
      <c r="AC662" t="s">
        <v>19</v>
      </c>
      <c r="AD662" t="s">
        <v>1080</v>
      </c>
      <c r="AE662">
        <v>1.1532377018294771E-4</v>
      </c>
    </row>
    <row r="663" spans="29:31" x14ac:dyDescent="0.45">
      <c r="AC663" t="s">
        <v>19</v>
      </c>
      <c r="AD663" t="s">
        <v>1081</v>
      </c>
      <c r="AE663">
        <v>1.167481584681724E-4</v>
      </c>
    </row>
    <row r="664" spans="29:31" x14ac:dyDescent="0.45">
      <c r="AC664" t="s">
        <v>19</v>
      </c>
      <c r="AD664" t="s">
        <v>1082</v>
      </c>
      <c r="AE664">
        <v>1.1672742008576977E-4</v>
      </c>
    </row>
    <row r="665" spans="29:31" x14ac:dyDescent="0.45">
      <c r="AC665" t="s">
        <v>19</v>
      </c>
      <c r="AD665" t="s">
        <v>1083</v>
      </c>
      <c r="AE665">
        <v>1.1640216606788382E-4</v>
      </c>
    </row>
    <row r="666" spans="29:31" x14ac:dyDescent="0.45">
      <c r="AC666" t="s">
        <v>19</v>
      </c>
      <c r="AD666" t="s">
        <v>1084</v>
      </c>
      <c r="AE666">
        <v>1.1540693532870515E-4</v>
      </c>
    </row>
    <row r="667" spans="29:31" x14ac:dyDescent="0.45">
      <c r="AC667" t="s">
        <v>19</v>
      </c>
      <c r="AD667" t="s">
        <v>1085</v>
      </c>
      <c r="AE667">
        <v>1.1422680498111539E-4</v>
      </c>
    </row>
    <row r="668" spans="29:31" x14ac:dyDescent="0.45">
      <c r="AC668" t="s">
        <v>19</v>
      </c>
      <c r="AD668" t="s">
        <v>1086</v>
      </c>
      <c r="AE668">
        <v>1.1271644763618598E-4</v>
      </c>
    </row>
    <row r="669" spans="29:31" x14ac:dyDescent="0.45">
      <c r="AC669" t="s">
        <v>19</v>
      </c>
      <c r="AD669" t="s">
        <v>1087</v>
      </c>
      <c r="AE669">
        <v>1.1112684004421802E-4</v>
      </c>
    </row>
    <row r="670" spans="29:31" x14ac:dyDescent="0.45">
      <c r="AC670" t="s">
        <v>19</v>
      </c>
      <c r="AD670" t="s">
        <v>1088</v>
      </c>
      <c r="AE670">
        <v>1.1085972756271083E-4</v>
      </c>
    </row>
    <row r="671" spans="29:31" x14ac:dyDescent="0.45">
      <c r="AC671" t="s">
        <v>19</v>
      </c>
      <c r="AD671" t="s">
        <v>1089</v>
      </c>
      <c r="AE671">
        <v>1.107237641882855E-4</v>
      </c>
    </row>
    <row r="672" spans="29:31" x14ac:dyDescent="0.45">
      <c r="AC672" t="s">
        <v>19</v>
      </c>
      <c r="AD672" t="s">
        <v>1090</v>
      </c>
      <c r="AE672">
        <v>1.1079216910779209E-4</v>
      </c>
    </row>
    <row r="673" spans="29:31" x14ac:dyDescent="0.45">
      <c r="AC673" t="s">
        <v>19</v>
      </c>
      <c r="AD673" t="s">
        <v>1091</v>
      </c>
      <c r="AE673">
        <v>1.1133157866640712E-4</v>
      </c>
    </row>
    <row r="674" spans="29:31" x14ac:dyDescent="0.45">
      <c r="AC674" t="s">
        <v>19</v>
      </c>
      <c r="AD674" t="s">
        <v>1092</v>
      </c>
      <c r="AE674">
        <v>1.1243023679741516E-4</v>
      </c>
    </row>
    <row r="675" spans="29:31" x14ac:dyDescent="0.45">
      <c r="AC675" t="s">
        <v>19</v>
      </c>
      <c r="AD675" t="s">
        <v>1093</v>
      </c>
      <c r="AE675">
        <v>1.1244573768018039E-4</v>
      </c>
    </row>
    <row r="676" spans="29:31" x14ac:dyDescent="0.45">
      <c r="AC676" t="s">
        <v>19</v>
      </c>
      <c r="AD676" t="s">
        <v>1094</v>
      </c>
      <c r="AE676">
        <v>1.131337017739652E-4</v>
      </c>
    </row>
    <row r="677" spans="29:31" x14ac:dyDescent="0.45">
      <c r="AC677" t="s">
        <v>19</v>
      </c>
      <c r="AD677" t="s">
        <v>1095</v>
      </c>
      <c r="AE677">
        <v>1.1425235763086147E-4</v>
      </c>
    </row>
    <row r="678" spans="29:31" x14ac:dyDescent="0.45">
      <c r="AC678" t="s">
        <v>19</v>
      </c>
      <c r="AD678" t="s">
        <v>1096</v>
      </c>
      <c r="AE678">
        <v>1.1504390782858587E-4</v>
      </c>
    </row>
    <row r="679" spans="29:31" x14ac:dyDescent="0.45">
      <c r="AC679" t="s">
        <v>19</v>
      </c>
      <c r="AD679" t="s">
        <v>1097</v>
      </c>
      <c r="AE679">
        <v>1.1526912031299389E-4</v>
      </c>
    </row>
    <row r="680" spans="29:31" x14ac:dyDescent="0.45">
      <c r="AC680" t="s">
        <v>19</v>
      </c>
      <c r="AD680" t="s">
        <v>1098</v>
      </c>
      <c r="AE680">
        <v>1.1528954127117605E-4</v>
      </c>
    </row>
    <row r="681" spans="29:31" x14ac:dyDescent="0.45">
      <c r="AC681" t="s">
        <v>19</v>
      </c>
      <c r="AD681" t="s">
        <v>1099</v>
      </c>
      <c r="AE681">
        <v>1.152889593267719E-4</v>
      </c>
    </row>
    <row r="682" spans="29:31" x14ac:dyDescent="0.45">
      <c r="AC682" t="s">
        <v>19</v>
      </c>
      <c r="AD682" t="s">
        <v>1100</v>
      </c>
      <c r="AE682">
        <v>1.1530906286073362E-4</v>
      </c>
    </row>
    <row r="683" spans="29:31" x14ac:dyDescent="0.45">
      <c r="AC683" t="s">
        <v>19</v>
      </c>
      <c r="AD683" t="s">
        <v>1101</v>
      </c>
      <c r="AE683">
        <v>1.1532652119285827E-4</v>
      </c>
    </row>
    <row r="684" spans="29:31" x14ac:dyDescent="0.45">
      <c r="AC684" t="s">
        <v>19</v>
      </c>
      <c r="AD684" t="s">
        <v>1102</v>
      </c>
      <c r="AE684">
        <v>1.1535069833764909E-4</v>
      </c>
    </row>
    <row r="685" spans="29:31" x14ac:dyDescent="0.45">
      <c r="AC685" t="s">
        <v>19</v>
      </c>
      <c r="AD685" t="s">
        <v>1103</v>
      </c>
      <c r="AE685">
        <v>1.1530128596733263E-4</v>
      </c>
    </row>
    <row r="686" spans="29:31" x14ac:dyDescent="0.45">
      <c r="AC686" t="s">
        <v>19</v>
      </c>
      <c r="AD686" t="s">
        <v>1104</v>
      </c>
      <c r="AE686">
        <v>1.1531366551193012E-4</v>
      </c>
    </row>
    <row r="687" spans="29:31" x14ac:dyDescent="0.45">
      <c r="AC687" t="s">
        <v>19</v>
      </c>
      <c r="AD687" t="s">
        <v>1105</v>
      </c>
      <c r="AE687">
        <v>1.1665018019212738E-4</v>
      </c>
    </row>
    <row r="688" spans="29:31" x14ac:dyDescent="0.45">
      <c r="AC688" t="s">
        <v>19</v>
      </c>
      <c r="AD688" t="s">
        <v>1106</v>
      </c>
      <c r="AE688">
        <v>1.1673360985806853E-4</v>
      </c>
    </row>
    <row r="689" spans="29:31" x14ac:dyDescent="0.45">
      <c r="AC689" t="s">
        <v>19</v>
      </c>
      <c r="AD689" t="s">
        <v>1107</v>
      </c>
      <c r="AE689">
        <v>1.1630561620083082E-4</v>
      </c>
    </row>
    <row r="690" spans="29:31" x14ac:dyDescent="0.45">
      <c r="AC690" t="s">
        <v>19</v>
      </c>
      <c r="AD690" t="s">
        <v>1108</v>
      </c>
      <c r="AE690">
        <v>1.1540693532870515E-4</v>
      </c>
    </row>
    <row r="691" spans="29:31" x14ac:dyDescent="0.45">
      <c r="AC691" t="s">
        <v>19</v>
      </c>
      <c r="AD691" t="s">
        <v>1109</v>
      </c>
      <c r="AE691">
        <v>1.1422680498111539E-4</v>
      </c>
    </row>
    <row r="692" spans="29:31" x14ac:dyDescent="0.45">
      <c r="AC692" t="s">
        <v>19</v>
      </c>
      <c r="AD692" t="s">
        <v>1110</v>
      </c>
      <c r="AE692">
        <v>1.1249800686848087E-4</v>
      </c>
    </row>
    <row r="693" spans="29:31" x14ac:dyDescent="0.45">
      <c r="AC693" t="s">
        <v>19</v>
      </c>
      <c r="AD693" t="s">
        <v>1111</v>
      </c>
      <c r="AE693">
        <v>1.1098918374061696E-4</v>
      </c>
    </row>
    <row r="694" spans="29:31" x14ac:dyDescent="0.45">
      <c r="AC694" t="s">
        <v>19</v>
      </c>
      <c r="AD694" t="s">
        <v>1112</v>
      </c>
      <c r="AE694">
        <v>1.1072207125910978E-4</v>
      </c>
    </row>
    <row r="695" spans="29:31" x14ac:dyDescent="0.45">
      <c r="AC695" t="s">
        <v>19</v>
      </c>
      <c r="AD695" t="s">
        <v>1113</v>
      </c>
      <c r="AE695">
        <v>1.1072376418828552E-4</v>
      </c>
    </row>
    <row r="696" spans="29:31" x14ac:dyDescent="0.45">
      <c r="AC696" t="s">
        <v>19</v>
      </c>
      <c r="AD696" t="s">
        <v>1114</v>
      </c>
      <c r="AE696">
        <v>1.1067059563136043E-4</v>
      </c>
    </row>
    <row r="697" spans="29:31" x14ac:dyDescent="0.45">
      <c r="AC697" t="s">
        <v>19</v>
      </c>
      <c r="AD697" t="s">
        <v>1115</v>
      </c>
      <c r="AE697">
        <v>1.1107287792674183E-4</v>
      </c>
    </row>
    <row r="698" spans="29:31" x14ac:dyDescent="0.45">
      <c r="AC698" t="s">
        <v>19</v>
      </c>
      <c r="AD698" t="s">
        <v>1116</v>
      </c>
      <c r="AE698">
        <v>1.1233707278871362E-4</v>
      </c>
    </row>
    <row r="699" spans="29:31" x14ac:dyDescent="0.45">
      <c r="AC699" t="s">
        <v>19</v>
      </c>
      <c r="AD699" t="s">
        <v>1117</v>
      </c>
      <c r="AE699">
        <v>1.1237008490764023E-4</v>
      </c>
    </row>
    <row r="700" spans="29:31" x14ac:dyDescent="0.45">
      <c r="AC700" t="s">
        <v>19</v>
      </c>
      <c r="AD700" t="s">
        <v>1118</v>
      </c>
      <c r="AE700">
        <v>1.1313370177396518E-4</v>
      </c>
    </row>
    <row r="701" spans="29:31" x14ac:dyDescent="0.45">
      <c r="AC701" t="s">
        <v>19</v>
      </c>
      <c r="AD701" t="s">
        <v>1119</v>
      </c>
      <c r="AE701">
        <v>1.1424712013122407E-4</v>
      </c>
    </row>
    <row r="702" spans="29:31" x14ac:dyDescent="0.45">
      <c r="AC702" t="s">
        <v>19</v>
      </c>
      <c r="AD702" t="s">
        <v>1120</v>
      </c>
      <c r="AE702">
        <v>1.1504390782858585E-4</v>
      </c>
    </row>
    <row r="703" spans="29:31" x14ac:dyDescent="0.45">
      <c r="AC703" t="s">
        <v>19</v>
      </c>
      <c r="AD703" t="s">
        <v>1121</v>
      </c>
      <c r="AE703">
        <v>1.1522372864946979E-4</v>
      </c>
    </row>
    <row r="704" spans="29:31" x14ac:dyDescent="0.45">
      <c r="AC704" t="s">
        <v>19</v>
      </c>
      <c r="AD704" t="s">
        <v>1122</v>
      </c>
      <c r="AE704">
        <v>1.152889593267719E-4</v>
      </c>
    </row>
    <row r="705" spans="29:31" x14ac:dyDescent="0.45">
      <c r="AC705" t="s">
        <v>19</v>
      </c>
      <c r="AD705" t="s">
        <v>1123</v>
      </c>
      <c r="AE705">
        <v>1.152889593267719E-4</v>
      </c>
    </row>
    <row r="706" spans="29:31" x14ac:dyDescent="0.45">
      <c r="AC706" t="s">
        <v>19</v>
      </c>
      <c r="AD706" t="s">
        <v>1124</v>
      </c>
      <c r="AE706">
        <v>1.153090628607336E-4</v>
      </c>
    </row>
    <row r="707" spans="29:31" x14ac:dyDescent="0.45">
      <c r="AC707" t="s">
        <v>19</v>
      </c>
      <c r="AD707" t="s">
        <v>1125</v>
      </c>
      <c r="AE707">
        <v>1.1536514113967947E-4</v>
      </c>
    </row>
    <row r="708" spans="29:31" x14ac:dyDescent="0.45">
      <c r="AC708" t="s">
        <v>19</v>
      </c>
      <c r="AD708" t="s">
        <v>1126</v>
      </c>
      <c r="AE708">
        <v>1.1532482826368254E-4</v>
      </c>
    </row>
    <row r="709" spans="29:31" x14ac:dyDescent="0.45">
      <c r="AC709" t="s">
        <v>19</v>
      </c>
      <c r="AD709" t="s">
        <v>1127</v>
      </c>
      <c r="AE709">
        <v>1.1529959303815691E-4</v>
      </c>
    </row>
    <row r="710" spans="29:31" x14ac:dyDescent="0.45">
      <c r="AC710" t="s">
        <v>19</v>
      </c>
      <c r="AD710" t="s">
        <v>1128</v>
      </c>
      <c r="AE710">
        <v>1.1532377018294771E-4</v>
      </c>
    </row>
    <row r="711" spans="29:31" x14ac:dyDescent="0.45">
      <c r="AC711" t="s">
        <v>19</v>
      </c>
      <c r="AD711" t="s">
        <v>1129</v>
      </c>
      <c r="AE711">
        <v>1.1665018019212736E-4</v>
      </c>
    </row>
    <row r="712" spans="29:31" x14ac:dyDescent="0.45">
      <c r="AC712" t="s">
        <v>19</v>
      </c>
      <c r="AD712" t="s">
        <v>1130</v>
      </c>
      <c r="AE712">
        <v>1.167336098580685E-4</v>
      </c>
    </row>
    <row r="713" spans="29:31" x14ac:dyDescent="0.45">
      <c r="AC713" t="s">
        <v>19</v>
      </c>
      <c r="AD713" t="s">
        <v>1131</v>
      </c>
      <c r="AE713">
        <v>1.1630561620083082E-4</v>
      </c>
    </row>
    <row r="714" spans="29:31" x14ac:dyDescent="0.45">
      <c r="AC714" t="s">
        <v>19</v>
      </c>
      <c r="AD714" t="s">
        <v>1132</v>
      </c>
      <c r="AE714">
        <v>1.1540825792962368E-4</v>
      </c>
    </row>
    <row r="715" spans="29:31" x14ac:dyDescent="0.45">
      <c r="AC715" t="s">
        <v>19</v>
      </c>
      <c r="AD715" t="s">
        <v>1133</v>
      </c>
      <c r="AE715">
        <v>1.1406883352740565E-4</v>
      </c>
    </row>
    <row r="716" spans="29:31" x14ac:dyDescent="0.45">
      <c r="AC716" t="s">
        <v>19</v>
      </c>
      <c r="AD716" t="s">
        <v>1134</v>
      </c>
      <c r="AE716">
        <v>1.1245626558349192E-4</v>
      </c>
    </row>
    <row r="717" spans="29:31" x14ac:dyDescent="0.45">
      <c r="AC717" t="s">
        <v>19</v>
      </c>
      <c r="AD717" t="s">
        <v>1135</v>
      </c>
      <c r="AE717">
        <v>1.1090543665045537E-4</v>
      </c>
    </row>
    <row r="718" spans="29:31" x14ac:dyDescent="0.45">
      <c r="AC718" t="s">
        <v>19</v>
      </c>
      <c r="AD718" t="s">
        <v>1136</v>
      </c>
      <c r="AE718">
        <v>1.1072916040003313E-4</v>
      </c>
    </row>
    <row r="719" spans="29:31" x14ac:dyDescent="0.45">
      <c r="AC719" t="s">
        <v>19</v>
      </c>
      <c r="AD719" t="s">
        <v>1137</v>
      </c>
      <c r="AE719">
        <v>1.1082576317112287E-4</v>
      </c>
    </row>
    <row r="720" spans="29:31" x14ac:dyDescent="0.45">
      <c r="AC720" t="s">
        <v>19</v>
      </c>
      <c r="AD720" t="s">
        <v>1138</v>
      </c>
      <c r="AE720">
        <v>1.1083618526636092E-4</v>
      </c>
    </row>
    <row r="721" spans="29:31" x14ac:dyDescent="0.45">
      <c r="AC721" t="s">
        <v>19</v>
      </c>
      <c r="AD721" t="s">
        <v>1139</v>
      </c>
      <c r="AE721">
        <v>1.1154308900529912E-4</v>
      </c>
    </row>
    <row r="722" spans="29:31" x14ac:dyDescent="0.45">
      <c r="AC722" t="s">
        <v>19</v>
      </c>
      <c r="AD722" t="s">
        <v>1140</v>
      </c>
      <c r="AE722">
        <v>1.1249938237343613E-4</v>
      </c>
    </row>
    <row r="723" spans="29:31" x14ac:dyDescent="0.45">
      <c r="AC723" t="s">
        <v>19</v>
      </c>
      <c r="AD723" t="s">
        <v>339</v>
      </c>
      <c r="AE723">
        <v>2.0839636928917753E-2</v>
      </c>
    </row>
    <row r="724" spans="29:31" x14ac:dyDescent="0.45">
      <c r="AC724" t="s">
        <v>19</v>
      </c>
      <c r="AD724" t="s">
        <v>340</v>
      </c>
      <c r="AE724">
        <v>3.0004127670547262E-3</v>
      </c>
    </row>
    <row r="725" spans="29:31" x14ac:dyDescent="0.45">
      <c r="AC725" t="s">
        <v>19</v>
      </c>
      <c r="AD725" t="s">
        <v>341</v>
      </c>
      <c r="AE725">
        <v>3.0031452076483816E-3</v>
      </c>
    </row>
    <row r="726" spans="29:31" x14ac:dyDescent="0.45">
      <c r="AC726" t="s">
        <v>19</v>
      </c>
      <c r="AD726" t="s">
        <v>342</v>
      </c>
      <c r="AE726">
        <v>3.0034782385596681E-3</v>
      </c>
    </row>
    <row r="727" spans="29:31" x14ac:dyDescent="0.45">
      <c r="AC727" t="s">
        <v>19</v>
      </c>
      <c r="AD727" t="s">
        <v>343</v>
      </c>
      <c r="AE727">
        <v>2.105707622320736E-2</v>
      </c>
    </row>
    <row r="728" spans="29:31" x14ac:dyDescent="0.45">
      <c r="AC728" t="s">
        <v>19</v>
      </c>
      <c r="AD728" t="s">
        <v>344</v>
      </c>
      <c r="AE728">
        <v>2.9164035902951193E-3</v>
      </c>
    </row>
    <row r="729" spans="29:31" x14ac:dyDescent="0.45">
      <c r="AC729" t="s">
        <v>19</v>
      </c>
      <c r="AD729" t="s">
        <v>345</v>
      </c>
      <c r="AE729">
        <v>2.9033045507979556E-3</v>
      </c>
    </row>
    <row r="730" spans="29:31" x14ac:dyDescent="0.45">
      <c r="AC730" t="s">
        <v>19</v>
      </c>
      <c r="AD730" t="s">
        <v>346</v>
      </c>
      <c r="AE730">
        <v>1.4497766685843861E-2</v>
      </c>
    </row>
    <row r="731" spans="29:31" x14ac:dyDescent="0.45">
      <c r="AC731" t="s">
        <v>19</v>
      </c>
      <c r="AD731" t="s">
        <v>1141</v>
      </c>
      <c r="AE731">
        <v>1.1250416391493977E-4</v>
      </c>
    </row>
    <row r="732" spans="29:31" x14ac:dyDescent="0.45">
      <c r="AC732" t="s">
        <v>19</v>
      </c>
      <c r="AD732" t="s">
        <v>1142</v>
      </c>
      <c r="AE732">
        <v>1.134297729417668E-4</v>
      </c>
    </row>
    <row r="733" spans="29:31" x14ac:dyDescent="0.45">
      <c r="AC733" t="s">
        <v>19</v>
      </c>
      <c r="AD733" t="s">
        <v>1143</v>
      </c>
      <c r="AE733">
        <v>1.143935786831211E-4</v>
      </c>
    </row>
    <row r="734" spans="29:31" x14ac:dyDescent="0.45">
      <c r="AC734" t="s">
        <v>19</v>
      </c>
      <c r="AD734" t="s">
        <v>1144</v>
      </c>
      <c r="AE734">
        <v>1.1500763583757819E-4</v>
      </c>
    </row>
    <row r="735" spans="29:31" x14ac:dyDescent="0.45">
      <c r="AC735" t="s">
        <v>19</v>
      </c>
      <c r="AD735" t="s">
        <v>1145</v>
      </c>
      <c r="AE735">
        <v>1.1503826727485145E-4</v>
      </c>
    </row>
    <row r="736" spans="29:31" x14ac:dyDescent="0.45">
      <c r="AC736" t="s">
        <v>19</v>
      </c>
      <c r="AD736" t="s">
        <v>1146</v>
      </c>
      <c r="AE736">
        <v>1.1502488255355587E-4</v>
      </c>
    </row>
    <row r="737" spans="29:31" x14ac:dyDescent="0.45">
      <c r="AC737" t="s">
        <v>19</v>
      </c>
      <c r="AD737" t="s">
        <v>1147</v>
      </c>
      <c r="AE737">
        <v>1.1502488255355587E-4</v>
      </c>
    </row>
    <row r="738" spans="29:31" x14ac:dyDescent="0.45">
      <c r="AC738" t="s">
        <v>19</v>
      </c>
      <c r="AD738" t="s">
        <v>1148</v>
      </c>
      <c r="AE738">
        <v>1.1502869164420126E-4</v>
      </c>
    </row>
    <row r="739" spans="29:31" x14ac:dyDescent="0.45">
      <c r="AC739" t="s">
        <v>19</v>
      </c>
      <c r="AD739" t="s">
        <v>1149</v>
      </c>
      <c r="AE739">
        <v>1.1546726610878722E-4</v>
      </c>
    </row>
    <row r="740" spans="29:31" x14ac:dyDescent="0.45">
      <c r="AC740" t="s">
        <v>19</v>
      </c>
      <c r="AD740" t="s">
        <v>1150</v>
      </c>
      <c r="AE740">
        <v>1.1546716030071374E-4</v>
      </c>
    </row>
    <row r="741" spans="29:31" x14ac:dyDescent="0.45">
      <c r="AC741" t="s">
        <v>19</v>
      </c>
      <c r="AD741" t="s">
        <v>1151</v>
      </c>
      <c r="AE741">
        <v>1.1502117927098399E-4</v>
      </c>
    </row>
    <row r="742" spans="29:31" x14ac:dyDescent="0.45">
      <c r="AC742" t="s">
        <v>19</v>
      </c>
      <c r="AD742" t="s">
        <v>1152</v>
      </c>
      <c r="AE742">
        <v>1.1505323911724926E-4</v>
      </c>
    </row>
    <row r="743" spans="29:31" x14ac:dyDescent="0.45">
      <c r="AC743" t="s">
        <v>19</v>
      </c>
      <c r="AD743" t="s">
        <v>1153</v>
      </c>
      <c r="AE743">
        <v>1.1687033406720513E-4</v>
      </c>
    </row>
    <row r="744" spans="29:31" x14ac:dyDescent="0.45">
      <c r="AC744" t="s">
        <v>19</v>
      </c>
      <c r="AD744" t="s">
        <v>1154</v>
      </c>
      <c r="AE744">
        <v>1.1688943242446876E-4</v>
      </c>
    </row>
    <row r="745" spans="29:31" x14ac:dyDescent="0.45">
      <c r="AC745" t="s">
        <v>19</v>
      </c>
      <c r="AD745" t="s">
        <v>1155</v>
      </c>
      <c r="AE745">
        <v>1.165228603538878E-4</v>
      </c>
    </row>
    <row r="746" spans="29:31" x14ac:dyDescent="0.45">
      <c r="AC746" t="s">
        <v>19</v>
      </c>
      <c r="AD746" t="s">
        <v>1156</v>
      </c>
      <c r="AE746">
        <v>1.1508688608461677E-4</v>
      </c>
    </row>
    <row r="747" spans="29:31" x14ac:dyDescent="0.45">
      <c r="AC747" t="s">
        <v>19</v>
      </c>
      <c r="AD747" t="s">
        <v>1157</v>
      </c>
      <c r="AE747">
        <v>1.1392458439740884E-4</v>
      </c>
    </row>
    <row r="748" spans="29:31" x14ac:dyDescent="0.45">
      <c r="AC748" t="s">
        <v>19</v>
      </c>
      <c r="AD748" t="s">
        <v>1158</v>
      </c>
      <c r="AE748">
        <v>1.1217076267539565E-4</v>
      </c>
    </row>
    <row r="749" spans="29:31" x14ac:dyDescent="0.45">
      <c r="AC749" t="s">
        <v>19</v>
      </c>
      <c r="AD749" t="s">
        <v>1159</v>
      </c>
      <c r="AE749">
        <v>1.1163563834375669E-4</v>
      </c>
    </row>
    <row r="750" spans="29:31" x14ac:dyDescent="0.45">
      <c r="AC750" t="s">
        <v>19</v>
      </c>
      <c r="AD750" t="s">
        <v>1160</v>
      </c>
      <c r="AE750">
        <v>1.1137413369014409E-4</v>
      </c>
    </row>
    <row r="751" spans="29:31" x14ac:dyDescent="0.45">
      <c r="AC751" t="s">
        <v>19</v>
      </c>
      <c r="AD751" t="s">
        <v>1161</v>
      </c>
      <c r="AE751">
        <v>1.1115886716464346E-4</v>
      </c>
    </row>
    <row r="752" spans="29:31" x14ac:dyDescent="0.45">
      <c r="AC752" t="s">
        <v>19</v>
      </c>
      <c r="AD752" t="s">
        <v>1162</v>
      </c>
      <c r="AE752">
        <v>1.1115177802372011E-4</v>
      </c>
    </row>
    <row r="753" spans="29:31" x14ac:dyDescent="0.45">
      <c r="AC753" t="s">
        <v>19</v>
      </c>
      <c r="AD753" t="s">
        <v>1163</v>
      </c>
      <c r="AE753">
        <v>1.1150004529758854E-4</v>
      </c>
    </row>
    <row r="754" spans="29:31" x14ac:dyDescent="0.45">
      <c r="AC754" t="s">
        <v>19</v>
      </c>
      <c r="AD754" t="s">
        <v>1164</v>
      </c>
      <c r="AE754">
        <v>1.1234904927921408E-4</v>
      </c>
    </row>
    <row r="755" spans="29:31" x14ac:dyDescent="0.45">
      <c r="AC755" t="s">
        <v>19</v>
      </c>
      <c r="AD755" t="s">
        <v>1165</v>
      </c>
      <c r="AE755">
        <v>1.1252675393862834E-4</v>
      </c>
    </row>
    <row r="756" spans="29:31" x14ac:dyDescent="0.45">
      <c r="AC756" t="s">
        <v>19</v>
      </c>
      <c r="AD756" t="s">
        <v>1166</v>
      </c>
      <c r="AE756">
        <v>1.1335221562390397E-4</v>
      </c>
    </row>
    <row r="757" spans="29:31" x14ac:dyDescent="0.45">
      <c r="AC757" t="s">
        <v>19</v>
      </c>
      <c r="AD757" t="s">
        <v>1167</v>
      </c>
      <c r="AE757">
        <v>1.1441960746919786E-4</v>
      </c>
    </row>
    <row r="758" spans="29:31" x14ac:dyDescent="0.45">
      <c r="AC758" t="s">
        <v>19</v>
      </c>
      <c r="AD758" t="s">
        <v>1168</v>
      </c>
      <c r="AE758">
        <v>1.1500763583757819E-4</v>
      </c>
    </row>
    <row r="759" spans="29:31" x14ac:dyDescent="0.45">
      <c r="AC759" t="s">
        <v>19</v>
      </c>
      <c r="AD759" t="s">
        <v>1169</v>
      </c>
      <c r="AE759">
        <v>1.1503826727485145E-4</v>
      </c>
    </row>
    <row r="760" spans="29:31" x14ac:dyDescent="0.45">
      <c r="AC760" t="s">
        <v>19</v>
      </c>
      <c r="AD760" t="s">
        <v>1170</v>
      </c>
      <c r="AE760">
        <v>1.1502488255355589E-4</v>
      </c>
    </row>
    <row r="761" spans="29:31" x14ac:dyDescent="0.45">
      <c r="AC761" t="s">
        <v>19</v>
      </c>
      <c r="AD761" t="s">
        <v>1171</v>
      </c>
      <c r="AE761">
        <v>1.152001007232433E-4</v>
      </c>
    </row>
    <row r="762" spans="29:31" x14ac:dyDescent="0.45">
      <c r="AC762" t="s">
        <v>19</v>
      </c>
      <c r="AD762" t="s">
        <v>1172</v>
      </c>
      <c r="AE762">
        <v>1.15047155153024E-4</v>
      </c>
    </row>
    <row r="763" spans="29:31" x14ac:dyDescent="0.45">
      <c r="AC763" t="s">
        <v>19</v>
      </c>
      <c r="AD763" t="s">
        <v>1173</v>
      </c>
      <c r="AE763">
        <v>1.15021179270984E-4</v>
      </c>
    </row>
    <row r="764" spans="29:31" x14ac:dyDescent="0.45">
      <c r="AC764" t="s">
        <v>19</v>
      </c>
      <c r="AD764" t="s">
        <v>1174</v>
      </c>
      <c r="AE764">
        <v>1.1506916323230841E-4</v>
      </c>
    </row>
    <row r="765" spans="29:31" x14ac:dyDescent="0.45">
      <c r="AC765" t="s">
        <v>19</v>
      </c>
      <c r="AD765" t="s">
        <v>1175</v>
      </c>
      <c r="AE765">
        <v>1.150704329291902E-4</v>
      </c>
    </row>
    <row r="766" spans="29:31" x14ac:dyDescent="0.45">
      <c r="AC766" t="s">
        <v>19</v>
      </c>
      <c r="AD766" t="s">
        <v>1176</v>
      </c>
      <c r="AE766">
        <v>1.1510249277545549E-4</v>
      </c>
    </row>
    <row r="767" spans="29:31" x14ac:dyDescent="0.45">
      <c r="AC767" t="s">
        <v>19</v>
      </c>
      <c r="AD767" t="s">
        <v>1177</v>
      </c>
      <c r="AE767">
        <v>1.1679785553686946E-4</v>
      </c>
    </row>
    <row r="768" spans="29:31" x14ac:dyDescent="0.45">
      <c r="AC768" t="s">
        <v>19</v>
      </c>
      <c r="AD768" t="s">
        <v>1178</v>
      </c>
      <c r="AE768">
        <v>1.168365283877274E-4</v>
      </c>
    </row>
    <row r="769" spans="29:31" x14ac:dyDescent="0.45">
      <c r="AC769" t="s">
        <v>19</v>
      </c>
      <c r="AD769" t="s">
        <v>1179</v>
      </c>
      <c r="AE769">
        <v>1.1632685089776102E-4</v>
      </c>
    </row>
    <row r="770" spans="29:31" x14ac:dyDescent="0.45">
      <c r="AC770" t="s">
        <v>19</v>
      </c>
      <c r="AD770" t="s">
        <v>1180</v>
      </c>
      <c r="AE770">
        <v>1.1490246261253635E-4</v>
      </c>
    </row>
    <row r="771" spans="29:31" x14ac:dyDescent="0.45">
      <c r="AC771" t="s">
        <v>19</v>
      </c>
      <c r="AD771" t="s">
        <v>1181</v>
      </c>
      <c r="AE771">
        <v>1.1374016092532843E-4</v>
      </c>
    </row>
    <row r="772" spans="29:31" x14ac:dyDescent="0.45">
      <c r="AC772" t="s">
        <v>19</v>
      </c>
      <c r="AD772" t="s">
        <v>1182</v>
      </c>
      <c r="AE772">
        <v>1.1237396708051927E-4</v>
      </c>
    </row>
    <row r="773" spans="29:31" x14ac:dyDescent="0.45">
      <c r="AC773" t="s">
        <v>19</v>
      </c>
      <c r="AD773" t="s">
        <v>1183</v>
      </c>
      <c r="AE773">
        <v>1.1153215804789057E-4</v>
      </c>
    </row>
    <row r="774" spans="29:31" x14ac:dyDescent="0.45">
      <c r="AC774" t="s">
        <v>19</v>
      </c>
      <c r="AD774" t="s">
        <v>1184</v>
      </c>
      <c r="AE774">
        <v>1.1131768508294105E-4</v>
      </c>
    </row>
    <row r="775" spans="29:31" x14ac:dyDescent="0.45">
      <c r="AC775" t="s">
        <v>19</v>
      </c>
      <c r="AD775" t="s">
        <v>1185</v>
      </c>
      <c r="AE775">
        <v>1.1123843483590248E-4</v>
      </c>
    </row>
    <row r="776" spans="29:31" x14ac:dyDescent="0.45">
      <c r="AC776" t="s">
        <v>19</v>
      </c>
      <c r="AD776" t="s">
        <v>1186</v>
      </c>
      <c r="AE776">
        <v>1.112910214484234E-4</v>
      </c>
    </row>
    <row r="777" spans="29:31" x14ac:dyDescent="0.45">
      <c r="AC777" t="s">
        <v>19</v>
      </c>
      <c r="AD777" t="s">
        <v>1187</v>
      </c>
      <c r="AE777">
        <v>1.1197284867394619E-4</v>
      </c>
    </row>
    <row r="778" spans="29:31" x14ac:dyDescent="0.45">
      <c r="AC778" t="s">
        <v>19</v>
      </c>
      <c r="AD778" t="s">
        <v>1188</v>
      </c>
      <c r="AE778">
        <v>1.1272487955622478E-4</v>
      </c>
    </row>
    <row r="779" spans="29:31" x14ac:dyDescent="0.45">
      <c r="AC779" t="s">
        <v>19</v>
      </c>
      <c r="AD779" t="s">
        <v>1189</v>
      </c>
      <c r="AE779">
        <v>1.1294554229347304E-4</v>
      </c>
    </row>
    <row r="780" spans="29:31" x14ac:dyDescent="0.45">
      <c r="AC780" t="s">
        <v>19</v>
      </c>
      <c r="AD780" t="s">
        <v>1190</v>
      </c>
      <c r="AE780">
        <v>1.1360022974814751E-4</v>
      </c>
    </row>
    <row r="781" spans="29:31" x14ac:dyDescent="0.45">
      <c r="AC781" t="s">
        <v>19</v>
      </c>
      <c r="AD781" t="s">
        <v>1191</v>
      </c>
      <c r="AE781">
        <v>1.1494669038725213E-4</v>
      </c>
    </row>
    <row r="782" spans="29:31" x14ac:dyDescent="0.45">
      <c r="AC782" t="s">
        <v>19</v>
      </c>
      <c r="AD782" t="s">
        <v>1192</v>
      </c>
      <c r="AE782">
        <v>1.1552604249360689E-4</v>
      </c>
    </row>
    <row r="783" spans="29:31" x14ac:dyDescent="0.45">
      <c r="AC783" t="s">
        <v>19</v>
      </c>
      <c r="AD783" t="s">
        <v>1193</v>
      </c>
      <c r="AE783">
        <v>1.1539976055790524E-4</v>
      </c>
    </row>
    <row r="784" spans="29:31" x14ac:dyDescent="0.45">
      <c r="AC784" t="s">
        <v>19</v>
      </c>
      <c r="AD784" t="s">
        <v>1194</v>
      </c>
      <c r="AE784">
        <v>1.1546742482089745E-4</v>
      </c>
    </row>
    <row r="785" spans="29:31" x14ac:dyDescent="0.45">
      <c r="AC785" t="s">
        <v>19</v>
      </c>
      <c r="AD785" t="s">
        <v>1195</v>
      </c>
      <c r="AE785">
        <v>1.1547133971961632E-4</v>
      </c>
    </row>
    <row r="786" spans="29:31" x14ac:dyDescent="0.45">
      <c r="AC786" t="s">
        <v>19</v>
      </c>
      <c r="AD786" t="s">
        <v>1196</v>
      </c>
      <c r="AE786">
        <v>1.1538859780615282E-4</v>
      </c>
    </row>
    <row r="787" spans="29:31" x14ac:dyDescent="0.45">
      <c r="AC787" t="s">
        <v>19</v>
      </c>
      <c r="AD787" t="s">
        <v>1197</v>
      </c>
      <c r="AE787">
        <v>1.1545054843317695E-4</v>
      </c>
    </row>
    <row r="788" spans="29:31" x14ac:dyDescent="0.45">
      <c r="AC788" t="s">
        <v>19</v>
      </c>
      <c r="AD788" t="s">
        <v>1198</v>
      </c>
      <c r="AE788">
        <v>1.1539357078560651E-4</v>
      </c>
    </row>
    <row r="789" spans="29:31" x14ac:dyDescent="0.45">
      <c r="AC789" t="s">
        <v>19</v>
      </c>
      <c r="AD789" t="s">
        <v>1199</v>
      </c>
      <c r="AE789">
        <v>1.1527776384917964E-4</v>
      </c>
    </row>
    <row r="790" spans="29:31" x14ac:dyDescent="0.45">
      <c r="AC790" t="s">
        <v>19</v>
      </c>
      <c r="AD790" t="s">
        <v>1200</v>
      </c>
      <c r="AE790">
        <v>1.1534172482959997E-4</v>
      </c>
    </row>
    <row r="791" spans="29:31" x14ac:dyDescent="0.45">
      <c r="AC791" t="s">
        <v>19</v>
      </c>
      <c r="AD791" t="s">
        <v>1201</v>
      </c>
      <c r="AE791">
        <v>1.1728933403819678E-4</v>
      </c>
    </row>
    <row r="792" spans="29:31" x14ac:dyDescent="0.45">
      <c r="AC792" t="s">
        <v>19</v>
      </c>
      <c r="AD792" t="s">
        <v>1202</v>
      </c>
      <c r="AE792">
        <v>1.1739593567223065E-4</v>
      </c>
    </row>
    <row r="793" spans="29:31" x14ac:dyDescent="0.45">
      <c r="AC793" t="s">
        <v>19</v>
      </c>
      <c r="AD793" t="s">
        <v>1203</v>
      </c>
      <c r="AE793">
        <v>1.1697497825187958E-4</v>
      </c>
    </row>
    <row r="794" spans="29:31" x14ac:dyDescent="0.45">
      <c r="AC794" t="s">
        <v>19</v>
      </c>
      <c r="AD794" t="s">
        <v>1204</v>
      </c>
      <c r="AE794">
        <v>1.1528067357120041E-4</v>
      </c>
    </row>
    <row r="795" spans="29:31" x14ac:dyDescent="0.45">
      <c r="AC795" t="s">
        <v>19</v>
      </c>
      <c r="AD795" t="s">
        <v>1205</v>
      </c>
      <c r="AE795">
        <v>1.1311605200389047E-4</v>
      </c>
    </row>
    <row r="796" spans="29:31" x14ac:dyDescent="0.45">
      <c r="AC796" t="s">
        <v>19</v>
      </c>
      <c r="AD796" t="s">
        <v>1206</v>
      </c>
      <c r="AE796">
        <v>1.1151120804934098E-4</v>
      </c>
    </row>
    <row r="797" spans="29:31" x14ac:dyDescent="0.45">
      <c r="AC797" t="s">
        <v>19</v>
      </c>
      <c r="AD797" t="s">
        <v>1207</v>
      </c>
      <c r="AE797">
        <v>1.1150755767080583E-4</v>
      </c>
    </row>
    <row r="798" spans="29:31" x14ac:dyDescent="0.45">
      <c r="AC798" t="s">
        <v>19</v>
      </c>
      <c r="AD798" t="s">
        <v>1208</v>
      </c>
      <c r="AE798">
        <v>1.1129308470585632E-4</v>
      </c>
    </row>
    <row r="799" spans="29:31" x14ac:dyDescent="0.45">
      <c r="AC799" t="s">
        <v>19</v>
      </c>
      <c r="AD799" t="s">
        <v>1209</v>
      </c>
      <c r="AE799">
        <v>1.1123843483590248E-4</v>
      </c>
    </row>
    <row r="800" spans="29:31" x14ac:dyDescent="0.45">
      <c r="AC800" t="s">
        <v>19</v>
      </c>
      <c r="AD800" t="s">
        <v>1210</v>
      </c>
      <c r="AE800">
        <v>1.1138106411895721E-4</v>
      </c>
    </row>
    <row r="801" spans="29:31" x14ac:dyDescent="0.45">
      <c r="AC801" t="s">
        <v>19</v>
      </c>
      <c r="AD801" t="s">
        <v>1211</v>
      </c>
      <c r="AE801">
        <v>1.1197284867394619E-4</v>
      </c>
    </row>
    <row r="802" spans="29:31" x14ac:dyDescent="0.45">
      <c r="AC802" t="s">
        <v>19</v>
      </c>
      <c r="AD802" t="s">
        <v>1212</v>
      </c>
      <c r="AE802">
        <v>1.1272487955622478E-4</v>
      </c>
    </row>
    <row r="803" spans="29:31" x14ac:dyDescent="0.45">
      <c r="AC803" t="s">
        <v>19</v>
      </c>
      <c r="AD803" t="s">
        <v>1213</v>
      </c>
      <c r="AE803">
        <v>1.1294554229347304E-4</v>
      </c>
    </row>
    <row r="804" spans="29:31" x14ac:dyDescent="0.45">
      <c r="AC804" t="s">
        <v>19</v>
      </c>
      <c r="AD804" t="s">
        <v>1214</v>
      </c>
      <c r="AE804">
        <v>1.1353325323763293E-4</v>
      </c>
    </row>
    <row r="805" spans="29:31" x14ac:dyDescent="0.45">
      <c r="AC805" t="s">
        <v>19</v>
      </c>
      <c r="AD805" t="s">
        <v>1215</v>
      </c>
      <c r="AE805">
        <v>1.1494669038725213E-4</v>
      </c>
    </row>
    <row r="806" spans="29:31" x14ac:dyDescent="0.45">
      <c r="AC806" t="s">
        <v>19</v>
      </c>
      <c r="AD806" t="s">
        <v>1216</v>
      </c>
      <c r="AE806">
        <v>1.1550535701524102E-4</v>
      </c>
    </row>
    <row r="807" spans="29:31" x14ac:dyDescent="0.45">
      <c r="AC807" t="s">
        <v>19</v>
      </c>
      <c r="AD807" t="s">
        <v>1217</v>
      </c>
      <c r="AE807">
        <v>1.1538970879092438E-4</v>
      </c>
    </row>
    <row r="808" spans="29:31" x14ac:dyDescent="0.45">
      <c r="AC808" t="s">
        <v>19</v>
      </c>
      <c r="AD808" t="s">
        <v>1218</v>
      </c>
      <c r="AE808">
        <v>1.1547133971961631E-4</v>
      </c>
    </row>
    <row r="809" spans="29:31" x14ac:dyDescent="0.45">
      <c r="AC809" t="s">
        <v>19</v>
      </c>
      <c r="AD809" t="s">
        <v>1219</v>
      </c>
      <c r="AE809">
        <v>1.1546742482089745E-4</v>
      </c>
    </row>
    <row r="810" spans="29:31" x14ac:dyDescent="0.45">
      <c r="AC810" t="s">
        <v>19</v>
      </c>
      <c r="AD810" t="s">
        <v>1220</v>
      </c>
      <c r="AE810">
        <v>1.1545642078125524E-4</v>
      </c>
    </row>
    <row r="811" spans="29:31" x14ac:dyDescent="0.45">
      <c r="AC811" t="s">
        <v>19</v>
      </c>
      <c r="AD811" t="s">
        <v>1221</v>
      </c>
      <c r="AE811">
        <v>1.1544658063042135E-4</v>
      </c>
    </row>
    <row r="812" spans="29:31" x14ac:dyDescent="0.45">
      <c r="AC812" t="s">
        <v>19</v>
      </c>
      <c r="AD812" t="s">
        <v>1222</v>
      </c>
      <c r="AE812">
        <v>1.1544652772638461E-4</v>
      </c>
    </row>
    <row r="813" spans="29:31" x14ac:dyDescent="0.45">
      <c r="AC813" t="s">
        <v>19</v>
      </c>
      <c r="AD813" t="s">
        <v>1223</v>
      </c>
      <c r="AE813">
        <v>1.1533267823931718E-4</v>
      </c>
    </row>
    <row r="814" spans="29:31" x14ac:dyDescent="0.45">
      <c r="AC814" t="s">
        <v>19</v>
      </c>
      <c r="AD814" t="s">
        <v>1224</v>
      </c>
      <c r="AE814">
        <v>1.1539663921973749E-4</v>
      </c>
    </row>
    <row r="815" spans="29:31" x14ac:dyDescent="0.45">
      <c r="AC815" t="s">
        <v>19</v>
      </c>
      <c r="AD815" t="s">
        <v>1225</v>
      </c>
      <c r="AE815">
        <v>1.1732377456611542E-4</v>
      </c>
    </row>
    <row r="816" spans="29:31" x14ac:dyDescent="0.45">
      <c r="AC816" t="s">
        <v>19</v>
      </c>
      <c r="AD816" t="s">
        <v>1226</v>
      </c>
      <c r="AE816">
        <v>1.1743042910418603E-4</v>
      </c>
    </row>
    <row r="817" spans="29:31" x14ac:dyDescent="0.45">
      <c r="AC817" t="s">
        <v>19</v>
      </c>
      <c r="AD817" t="s">
        <v>1227</v>
      </c>
      <c r="AE817">
        <v>1.1696958204013195E-4</v>
      </c>
    </row>
    <row r="818" spans="29:31" x14ac:dyDescent="0.45">
      <c r="AC818" t="s">
        <v>19</v>
      </c>
      <c r="AD818" t="s">
        <v>1228</v>
      </c>
      <c r="AE818">
        <v>1.1528067357120041E-4</v>
      </c>
    </row>
    <row r="819" spans="29:31" x14ac:dyDescent="0.45">
      <c r="AC819" t="s">
        <v>19</v>
      </c>
      <c r="AD819" t="s">
        <v>1229</v>
      </c>
      <c r="AE819">
        <v>1.1311605200389047E-4</v>
      </c>
    </row>
    <row r="820" spans="29:31" x14ac:dyDescent="0.45">
      <c r="AC820" t="s">
        <v>19</v>
      </c>
      <c r="AD820" t="s">
        <v>1230</v>
      </c>
      <c r="AE820">
        <v>1.118602159797238E-4</v>
      </c>
    </row>
    <row r="821" spans="29:31" x14ac:dyDescent="0.45">
      <c r="AC821" t="s">
        <v>19</v>
      </c>
      <c r="AD821" t="s">
        <v>1231</v>
      </c>
      <c r="AE821">
        <v>1.1168288164856674E-4</v>
      </c>
    </row>
    <row r="822" spans="29:31" x14ac:dyDescent="0.45">
      <c r="AC822" t="s">
        <v>19</v>
      </c>
      <c r="AD822" t="s">
        <v>1232</v>
      </c>
      <c r="AE822">
        <v>1.113741336901441E-4</v>
      </c>
    </row>
    <row r="823" spans="29:31" x14ac:dyDescent="0.45">
      <c r="AC823" t="s">
        <v>19</v>
      </c>
      <c r="AD823" t="s">
        <v>1233</v>
      </c>
      <c r="AE823">
        <v>1.1120219557073463E-4</v>
      </c>
    </row>
    <row r="824" spans="29:31" x14ac:dyDescent="0.45">
      <c r="AC824" t="s">
        <v>19</v>
      </c>
      <c r="AD824" t="s">
        <v>1234</v>
      </c>
      <c r="AE824">
        <v>1.1125187246123479E-4</v>
      </c>
    </row>
    <row r="825" spans="29:31" x14ac:dyDescent="0.45">
      <c r="AC825" t="s">
        <v>19</v>
      </c>
      <c r="AD825" t="s">
        <v>1235</v>
      </c>
      <c r="AE825">
        <v>1.1165092761037494E-4</v>
      </c>
    </row>
    <row r="826" spans="29:31" x14ac:dyDescent="0.45">
      <c r="AC826" t="s">
        <v>19</v>
      </c>
      <c r="AD826" t="s">
        <v>1236</v>
      </c>
      <c r="AE826">
        <v>1.1239073766016628E-4</v>
      </c>
    </row>
    <row r="827" spans="29:31" x14ac:dyDescent="0.45">
      <c r="AC827" t="s">
        <v>19</v>
      </c>
      <c r="AD827" t="s">
        <v>371</v>
      </c>
      <c r="AE827">
        <v>2.4846814757333059E-2</v>
      </c>
    </row>
    <row r="828" spans="29:31" x14ac:dyDescent="0.45">
      <c r="AC828" t="s">
        <v>19</v>
      </c>
      <c r="AD828" t="s">
        <v>372</v>
      </c>
      <c r="AE828">
        <v>3.5755023763067648E-3</v>
      </c>
    </row>
    <row r="829" spans="29:31" x14ac:dyDescent="0.45">
      <c r="AC829" t="s">
        <v>19</v>
      </c>
      <c r="AD829" t="s">
        <v>373</v>
      </c>
      <c r="AE829">
        <v>3.5813273223681366E-3</v>
      </c>
    </row>
    <row r="830" spans="29:31" x14ac:dyDescent="0.45">
      <c r="AC830" t="s">
        <v>19</v>
      </c>
      <c r="AD830" t="s">
        <v>374</v>
      </c>
      <c r="AE830">
        <v>3.5825068178672857E-3</v>
      </c>
    </row>
    <row r="831" spans="29:31" x14ac:dyDescent="0.45">
      <c r="AC831" t="s">
        <v>19</v>
      </c>
      <c r="AD831" t="s">
        <v>375</v>
      </c>
      <c r="AE831">
        <v>2.5148154722202914E-2</v>
      </c>
    </row>
    <row r="832" spans="29:31" x14ac:dyDescent="0.45">
      <c r="AC832" t="s">
        <v>19</v>
      </c>
      <c r="AD832" t="s">
        <v>376</v>
      </c>
      <c r="AE832">
        <v>3.4718163366417561E-3</v>
      </c>
    </row>
    <row r="833" spans="29:31" x14ac:dyDescent="0.45">
      <c r="AC833" t="s">
        <v>19</v>
      </c>
      <c r="AD833" t="s">
        <v>377</v>
      </c>
      <c r="AE833">
        <v>3.4418135051330631E-3</v>
      </c>
    </row>
    <row r="834" spans="29:31" x14ac:dyDescent="0.45">
      <c r="AC834" t="s">
        <v>19</v>
      </c>
      <c r="AD834" t="s">
        <v>378</v>
      </c>
      <c r="AE834">
        <v>1.7242212486628189E-2</v>
      </c>
    </row>
    <row r="835" spans="29:31" x14ac:dyDescent="0.45">
      <c r="AC835" t="s">
        <v>19</v>
      </c>
      <c r="AD835" t="s">
        <v>379</v>
      </c>
      <c r="AE835">
        <v>2.1618269136614108E-2</v>
      </c>
    </row>
    <row r="836" spans="29:31" x14ac:dyDescent="0.45">
      <c r="AC836" t="s">
        <v>19</v>
      </c>
      <c r="AD836" t="s">
        <v>380</v>
      </c>
      <c r="AE836">
        <v>3.1148560280510116E-3</v>
      </c>
    </row>
    <row r="837" spans="29:31" x14ac:dyDescent="0.45">
      <c r="AC837" t="s">
        <v>19</v>
      </c>
      <c r="AD837" t="s">
        <v>381</v>
      </c>
      <c r="AE837">
        <v>3.1164228340031437E-3</v>
      </c>
    </row>
    <row r="838" spans="29:31" x14ac:dyDescent="0.45">
      <c r="AC838" t="s">
        <v>19</v>
      </c>
      <c r="AD838" t="s">
        <v>382</v>
      </c>
      <c r="AE838">
        <v>3.1167044421907182E-3</v>
      </c>
    </row>
    <row r="839" spans="29:31" x14ac:dyDescent="0.45">
      <c r="AC839" t="s">
        <v>19</v>
      </c>
      <c r="AD839" t="s">
        <v>383</v>
      </c>
      <c r="AE839">
        <v>2.1840441596358853E-2</v>
      </c>
    </row>
    <row r="840" spans="29:31" x14ac:dyDescent="0.45">
      <c r="AC840" t="s">
        <v>19</v>
      </c>
      <c r="AD840" t="s">
        <v>384</v>
      </c>
      <c r="AE840">
        <v>3.039798637540338E-3</v>
      </c>
    </row>
    <row r="841" spans="29:31" x14ac:dyDescent="0.45">
      <c r="AC841" t="s">
        <v>19</v>
      </c>
      <c r="AD841" t="s">
        <v>385</v>
      </c>
      <c r="AE841">
        <v>3.0087561888056408E-3</v>
      </c>
    </row>
    <row r="842" spans="29:31" x14ac:dyDescent="0.45">
      <c r="AC842" t="s">
        <v>19</v>
      </c>
      <c r="AD842" t="s">
        <v>386</v>
      </c>
      <c r="AE842">
        <v>1.5038907953203956E-2</v>
      </c>
    </row>
    <row r="843" spans="29:31" x14ac:dyDescent="0.45">
      <c r="AC843" t="s">
        <v>19</v>
      </c>
      <c r="AD843" t="s">
        <v>1237</v>
      </c>
      <c r="AE843">
        <v>1.1220878520338195E-4</v>
      </c>
    </row>
    <row r="844" spans="29:31" x14ac:dyDescent="0.45">
      <c r="AC844" t="s">
        <v>19</v>
      </c>
      <c r="AD844" t="s">
        <v>1238</v>
      </c>
      <c r="AE844">
        <v>1.1322903955193929E-4</v>
      </c>
    </row>
    <row r="845" spans="29:31" x14ac:dyDescent="0.45">
      <c r="AC845" t="s">
        <v>19</v>
      </c>
      <c r="AD845" t="s">
        <v>1239</v>
      </c>
      <c r="AE845">
        <v>1.1402646209774198E-4</v>
      </c>
    </row>
    <row r="846" spans="29:31" x14ac:dyDescent="0.45">
      <c r="AC846" t="s">
        <v>19</v>
      </c>
      <c r="AD846" t="s">
        <v>1240</v>
      </c>
      <c r="AE846">
        <v>1.1461380271364468E-4</v>
      </c>
    </row>
    <row r="847" spans="29:31" x14ac:dyDescent="0.45">
      <c r="AC847" t="s">
        <v>19</v>
      </c>
      <c r="AD847" t="s">
        <v>1241</v>
      </c>
      <c r="AE847">
        <v>1.1463242493457763E-4</v>
      </c>
    </row>
    <row r="848" spans="29:31" x14ac:dyDescent="0.45">
      <c r="AC848" t="s">
        <v>19</v>
      </c>
      <c r="AD848" t="s">
        <v>1242</v>
      </c>
      <c r="AE848">
        <v>1.148454165864984E-4</v>
      </c>
    </row>
    <row r="849" spans="29:31" x14ac:dyDescent="0.45">
      <c r="AC849" t="s">
        <v>19</v>
      </c>
      <c r="AD849" t="s">
        <v>1243</v>
      </c>
      <c r="AE849">
        <v>1.1482811696648398E-4</v>
      </c>
    </row>
    <row r="850" spans="29:31" x14ac:dyDescent="0.45">
      <c r="AC850" t="s">
        <v>19</v>
      </c>
      <c r="AD850" t="s">
        <v>1244</v>
      </c>
      <c r="AE850">
        <v>1.148438823694329E-4</v>
      </c>
    </row>
    <row r="851" spans="29:31" x14ac:dyDescent="0.45">
      <c r="AC851" t="s">
        <v>19</v>
      </c>
      <c r="AD851" t="s">
        <v>1245</v>
      </c>
      <c r="AE851">
        <v>1.1486356267110069E-4</v>
      </c>
    </row>
    <row r="852" spans="29:31" x14ac:dyDescent="0.45">
      <c r="AC852" t="s">
        <v>19</v>
      </c>
      <c r="AD852" t="s">
        <v>1246</v>
      </c>
      <c r="AE852">
        <v>1.1486356267110069E-4</v>
      </c>
    </row>
    <row r="853" spans="29:31" x14ac:dyDescent="0.45">
      <c r="AC853" t="s">
        <v>19</v>
      </c>
      <c r="AD853" t="s">
        <v>1247</v>
      </c>
      <c r="AE853">
        <v>1.1474643313375529E-4</v>
      </c>
    </row>
    <row r="854" spans="29:31" x14ac:dyDescent="0.45">
      <c r="AC854" t="s">
        <v>19</v>
      </c>
      <c r="AD854" t="s">
        <v>1248</v>
      </c>
      <c r="AE854">
        <v>1.1503386076537117E-4</v>
      </c>
    </row>
    <row r="855" spans="29:31" x14ac:dyDescent="0.45">
      <c r="AC855" t="s">
        <v>19</v>
      </c>
      <c r="AD855" t="s">
        <v>1249</v>
      </c>
      <c r="AE855">
        <v>1.1670753287172117E-4</v>
      </c>
    </row>
    <row r="856" spans="29:31" x14ac:dyDescent="0.45">
      <c r="AC856" t="s">
        <v>19</v>
      </c>
      <c r="AD856" t="s">
        <v>1250</v>
      </c>
      <c r="AE856">
        <v>1.168152454905266E-4</v>
      </c>
    </row>
    <row r="857" spans="29:31" x14ac:dyDescent="0.45">
      <c r="AC857" t="s">
        <v>19</v>
      </c>
      <c r="AD857" t="s">
        <v>1251</v>
      </c>
      <c r="AE857">
        <v>1.1608379427854042E-4</v>
      </c>
    </row>
    <row r="858" spans="29:31" x14ac:dyDescent="0.45">
      <c r="AC858" t="s">
        <v>19</v>
      </c>
      <c r="AD858" t="s">
        <v>1252</v>
      </c>
      <c r="AE858">
        <v>1.1539228561429396E-4</v>
      </c>
    </row>
    <row r="859" spans="29:31" x14ac:dyDescent="0.45">
      <c r="AC859" t="s">
        <v>19</v>
      </c>
      <c r="AD859" t="s">
        <v>1253</v>
      </c>
      <c r="AE859">
        <v>1.1410042194110641E-4</v>
      </c>
    </row>
    <row r="860" spans="29:31" x14ac:dyDescent="0.45">
      <c r="AC860" t="s">
        <v>19</v>
      </c>
      <c r="AD860" t="s">
        <v>1254</v>
      </c>
      <c r="AE860">
        <v>1.1281659968150356E-4</v>
      </c>
    </row>
    <row r="861" spans="29:31" x14ac:dyDescent="0.45">
      <c r="AC861" t="s">
        <v>19</v>
      </c>
      <c r="AD861" t="s">
        <v>1255</v>
      </c>
      <c r="AE861">
        <v>1.1138120735663669E-4</v>
      </c>
    </row>
    <row r="862" spans="29:31" x14ac:dyDescent="0.45">
      <c r="AC862" t="s">
        <v>19</v>
      </c>
      <c r="AD862" t="s">
        <v>1256</v>
      </c>
      <c r="AE862">
        <v>1.1113874815625099E-4</v>
      </c>
    </row>
    <row r="863" spans="29:31" x14ac:dyDescent="0.45">
      <c r="AC863" t="s">
        <v>19</v>
      </c>
      <c r="AD863" t="s">
        <v>1257</v>
      </c>
      <c r="AE863">
        <v>1.1113102416688673E-4</v>
      </c>
    </row>
    <row r="864" spans="29:31" x14ac:dyDescent="0.45">
      <c r="AC864" t="s">
        <v>19</v>
      </c>
      <c r="AD864" t="s">
        <v>1258</v>
      </c>
      <c r="AE864">
        <v>1.1115292643809767E-4</v>
      </c>
    </row>
    <row r="865" spans="29:31" x14ac:dyDescent="0.45">
      <c r="AC865" t="s">
        <v>19</v>
      </c>
      <c r="AD865" t="s">
        <v>1259</v>
      </c>
      <c r="AE865">
        <v>1.1136147415093216E-4</v>
      </c>
    </row>
    <row r="866" spans="29:31" x14ac:dyDescent="0.45">
      <c r="AC866" t="s">
        <v>19</v>
      </c>
      <c r="AD866" t="s">
        <v>1260</v>
      </c>
      <c r="AE866">
        <v>1.1231940754420816E-4</v>
      </c>
    </row>
    <row r="867" spans="29:31" x14ac:dyDescent="0.45">
      <c r="AC867" t="s">
        <v>19</v>
      </c>
      <c r="AD867" t="s">
        <v>1261</v>
      </c>
      <c r="AE867">
        <v>1.1245161473202484E-4</v>
      </c>
    </row>
    <row r="868" spans="29:31" x14ac:dyDescent="0.45">
      <c r="AC868" t="s">
        <v>19</v>
      </c>
      <c r="AD868" t="s">
        <v>1262</v>
      </c>
      <c r="AE868">
        <v>1.1327607124060237E-4</v>
      </c>
    </row>
    <row r="869" spans="29:31" x14ac:dyDescent="0.45">
      <c r="AC869" t="s">
        <v>19</v>
      </c>
      <c r="AD869" t="s">
        <v>1263</v>
      </c>
      <c r="AE869">
        <v>1.1436314338756406E-4</v>
      </c>
    </row>
    <row r="870" spans="29:31" x14ac:dyDescent="0.45">
      <c r="AC870" t="s">
        <v>19</v>
      </c>
      <c r="AD870" t="s">
        <v>1264</v>
      </c>
      <c r="AE870">
        <v>1.1487192150890582E-4</v>
      </c>
    </row>
    <row r="871" spans="29:31" x14ac:dyDescent="0.45">
      <c r="AC871" t="s">
        <v>19</v>
      </c>
      <c r="AD871" t="s">
        <v>1265</v>
      </c>
      <c r="AE871">
        <v>1.1500190672717937E-4</v>
      </c>
    </row>
    <row r="872" spans="29:31" x14ac:dyDescent="0.45">
      <c r="AC872" t="s">
        <v>19</v>
      </c>
      <c r="AD872" t="s">
        <v>1266</v>
      </c>
      <c r="AE872">
        <v>1.1557988332857886E-4</v>
      </c>
    </row>
    <row r="873" spans="29:31" x14ac:dyDescent="0.45">
      <c r="AC873" t="s">
        <v>19</v>
      </c>
      <c r="AD873" t="s">
        <v>1267</v>
      </c>
      <c r="AE873">
        <v>1.1556258370856444E-4</v>
      </c>
    </row>
    <row r="874" spans="29:31" x14ac:dyDescent="0.45">
      <c r="AC874" t="s">
        <v>19</v>
      </c>
      <c r="AD874" t="s">
        <v>1268</v>
      </c>
      <c r="AE874">
        <v>1.1554766477020336E-4</v>
      </c>
    </row>
    <row r="875" spans="29:31" x14ac:dyDescent="0.45">
      <c r="AC875" t="s">
        <v>19</v>
      </c>
      <c r="AD875" t="s">
        <v>1269</v>
      </c>
      <c r="AE875">
        <v>1.1564384430899917E-4</v>
      </c>
    </row>
    <row r="876" spans="29:31" x14ac:dyDescent="0.45">
      <c r="AC876" t="s">
        <v>19</v>
      </c>
      <c r="AD876" t="s">
        <v>1270</v>
      </c>
      <c r="AE876">
        <v>1.1561649292200389E-4</v>
      </c>
    </row>
    <row r="877" spans="29:31" x14ac:dyDescent="0.45">
      <c r="AC877" t="s">
        <v>19</v>
      </c>
      <c r="AD877" t="s">
        <v>1271</v>
      </c>
      <c r="AE877">
        <v>1.1556591666287913E-4</v>
      </c>
    </row>
    <row r="878" spans="29:31" x14ac:dyDescent="0.45">
      <c r="AC878" t="s">
        <v>19</v>
      </c>
      <c r="AD878" t="s">
        <v>1272</v>
      </c>
      <c r="AE878">
        <v>1.1558099431335042E-4</v>
      </c>
    </row>
    <row r="879" spans="29:31" x14ac:dyDescent="0.45">
      <c r="AC879" t="s">
        <v>19</v>
      </c>
      <c r="AD879" t="s">
        <v>1273</v>
      </c>
      <c r="AE879">
        <v>1.1674869221230596E-4</v>
      </c>
    </row>
    <row r="880" spans="29:31" x14ac:dyDescent="0.45">
      <c r="AC880" t="s">
        <v>19</v>
      </c>
      <c r="AD880" t="s">
        <v>1274</v>
      </c>
      <c r="AE880">
        <v>1.1679508905252815E-4</v>
      </c>
    </row>
    <row r="881" spans="29:31" x14ac:dyDescent="0.45">
      <c r="AC881" t="s">
        <v>19</v>
      </c>
      <c r="AD881" t="s">
        <v>1275</v>
      </c>
      <c r="AE881">
        <v>1.1578414581443729E-4</v>
      </c>
    </row>
    <row r="882" spans="29:31" x14ac:dyDescent="0.45">
      <c r="AC882" t="s">
        <v>19</v>
      </c>
      <c r="AD882" t="s">
        <v>1276</v>
      </c>
      <c r="AE882">
        <v>1.1486361557513743E-4</v>
      </c>
    </row>
    <row r="883" spans="29:31" x14ac:dyDescent="0.45">
      <c r="AC883" t="s">
        <v>19</v>
      </c>
      <c r="AD883" t="s">
        <v>1277</v>
      </c>
      <c r="AE883">
        <v>1.1403143507719566E-4</v>
      </c>
    </row>
    <row r="884" spans="29:31" x14ac:dyDescent="0.45">
      <c r="AC884" t="s">
        <v>19</v>
      </c>
      <c r="AD884" t="s">
        <v>1278</v>
      </c>
      <c r="AE884">
        <v>1.1261910891234803E-4</v>
      </c>
    </row>
    <row r="885" spans="29:31" x14ac:dyDescent="0.45">
      <c r="AC885" t="s">
        <v>19</v>
      </c>
      <c r="AD885" t="s">
        <v>1279</v>
      </c>
      <c r="AE885">
        <v>1.1140326833995784E-4</v>
      </c>
    </row>
    <row r="886" spans="29:31" x14ac:dyDescent="0.45">
      <c r="AC886" t="s">
        <v>19</v>
      </c>
      <c r="AD886" t="s">
        <v>1280</v>
      </c>
      <c r="AE886">
        <v>1.1115086318066475E-4</v>
      </c>
    </row>
    <row r="887" spans="29:31" x14ac:dyDescent="0.45">
      <c r="AC887" t="s">
        <v>19</v>
      </c>
      <c r="AD887" t="s">
        <v>1281</v>
      </c>
      <c r="AE887">
        <v>1.111711254267367E-4</v>
      </c>
    </row>
    <row r="888" spans="29:31" x14ac:dyDescent="0.45">
      <c r="AC888" t="s">
        <v>19</v>
      </c>
      <c r="AD888" t="s">
        <v>1282</v>
      </c>
      <c r="AE888">
        <v>1.1117366482050029E-4</v>
      </c>
    </row>
    <row r="889" spans="29:31" x14ac:dyDescent="0.45">
      <c r="AC889" t="s">
        <v>19</v>
      </c>
      <c r="AD889" t="s">
        <v>1283</v>
      </c>
      <c r="AE889">
        <v>1.1141564788455532E-4</v>
      </c>
    </row>
    <row r="890" spans="29:31" x14ac:dyDescent="0.45">
      <c r="AC890" t="s">
        <v>19</v>
      </c>
      <c r="AD890" t="s">
        <v>1284</v>
      </c>
      <c r="AE890">
        <v>1.1243854743494972E-4</v>
      </c>
    </row>
    <row r="891" spans="29:31" x14ac:dyDescent="0.45">
      <c r="AC891" t="s">
        <v>19</v>
      </c>
      <c r="AD891" t="s">
        <v>1285</v>
      </c>
      <c r="AE891">
        <v>1.1265852241972035E-4</v>
      </c>
    </row>
    <row r="892" spans="29:31" x14ac:dyDescent="0.45">
      <c r="AC892" t="s">
        <v>19</v>
      </c>
      <c r="AD892" t="s">
        <v>1286</v>
      </c>
      <c r="AE892">
        <v>1.1349509395271167E-4</v>
      </c>
    </row>
    <row r="893" spans="29:31" x14ac:dyDescent="0.45">
      <c r="AC893" t="s">
        <v>19</v>
      </c>
      <c r="AD893" t="s">
        <v>1287</v>
      </c>
      <c r="AE893">
        <v>1.1435277419636277E-4</v>
      </c>
    </row>
    <row r="894" spans="29:31" x14ac:dyDescent="0.45">
      <c r="AC894" t="s">
        <v>19</v>
      </c>
      <c r="AD894" t="s">
        <v>1288</v>
      </c>
      <c r="AE894">
        <v>1.1494551102401308E-4</v>
      </c>
    </row>
    <row r="895" spans="29:31" x14ac:dyDescent="0.45">
      <c r="AC895" t="s">
        <v>19</v>
      </c>
      <c r="AD895" t="s">
        <v>1289</v>
      </c>
      <c r="AE895">
        <v>1.1502095218040628E-4</v>
      </c>
    </row>
    <row r="896" spans="29:31" x14ac:dyDescent="0.45">
      <c r="AC896" t="s">
        <v>19</v>
      </c>
      <c r="AD896" t="s">
        <v>1290</v>
      </c>
      <c r="AE896">
        <v>1.1557988332857887E-4</v>
      </c>
    </row>
    <row r="897" spans="29:31" x14ac:dyDescent="0.45">
      <c r="AC897" t="s">
        <v>19</v>
      </c>
      <c r="AD897" t="s">
        <v>1291</v>
      </c>
      <c r="AE897">
        <v>1.1562680920916847E-4</v>
      </c>
    </row>
    <row r="898" spans="29:31" x14ac:dyDescent="0.45">
      <c r="AC898" t="s">
        <v>19</v>
      </c>
      <c r="AD898" t="s">
        <v>1292</v>
      </c>
      <c r="AE898">
        <v>1.1561189027080739E-4</v>
      </c>
    </row>
    <row r="899" spans="29:31" x14ac:dyDescent="0.45">
      <c r="AC899" t="s">
        <v>19</v>
      </c>
      <c r="AD899" t="s">
        <v>1293</v>
      </c>
      <c r="AE899">
        <v>1.156164929220039E-4</v>
      </c>
    </row>
    <row r="900" spans="29:31" x14ac:dyDescent="0.45">
      <c r="AC900" t="s">
        <v>19</v>
      </c>
      <c r="AD900" t="s">
        <v>1294</v>
      </c>
      <c r="AE900">
        <v>1.1566363041874045E-4</v>
      </c>
    </row>
    <row r="901" spans="29:31" x14ac:dyDescent="0.45">
      <c r="AC901" t="s">
        <v>19</v>
      </c>
      <c r="AD901" t="s">
        <v>1295</v>
      </c>
      <c r="AE901">
        <v>1.1554766477020337E-4</v>
      </c>
    </row>
    <row r="902" spans="29:31" x14ac:dyDescent="0.45">
      <c r="AC902" t="s">
        <v>19</v>
      </c>
      <c r="AD902" t="s">
        <v>1296</v>
      </c>
      <c r="AE902">
        <v>1.1563982360220684E-4</v>
      </c>
    </row>
    <row r="903" spans="29:31" x14ac:dyDescent="0.45">
      <c r="AC903" t="s">
        <v>19</v>
      </c>
      <c r="AD903" t="s">
        <v>1297</v>
      </c>
      <c r="AE903">
        <v>1.1674869221230598E-4</v>
      </c>
    </row>
    <row r="904" spans="29:31" x14ac:dyDescent="0.45">
      <c r="AC904" t="s">
        <v>19</v>
      </c>
      <c r="AD904" t="s">
        <v>1298</v>
      </c>
      <c r="AE904">
        <v>1.1678736506316392E-4</v>
      </c>
    </row>
    <row r="905" spans="29:31" x14ac:dyDescent="0.45">
      <c r="AC905" t="s">
        <v>19</v>
      </c>
      <c r="AD905" t="s">
        <v>1299</v>
      </c>
      <c r="AE905">
        <v>1.1587720401506537E-4</v>
      </c>
    </row>
    <row r="906" spans="29:31" x14ac:dyDescent="0.45">
      <c r="AC906" t="s">
        <v>19</v>
      </c>
      <c r="AD906" t="s">
        <v>1300</v>
      </c>
      <c r="AE906">
        <v>1.1486361557513744E-4</v>
      </c>
    </row>
    <row r="907" spans="29:31" x14ac:dyDescent="0.45">
      <c r="AC907" t="s">
        <v>19</v>
      </c>
      <c r="AD907" t="s">
        <v>1301</v>
      </c>
      <c r="AE907">
        <v>1.1402450464838255E-4</v>
      </c>
    </row>
    <row r="908" spans="29:31" x14ac:dyDescent="0.45">
      <c r="AC908" t="s">
        <v>19</v>
      </c>
      <c r="AD908" t="s">
        <v>1302</v>
      </c>
      <c r="AE908">
        <v>1.1256488227468812E-4</v>
      </c>
    </row>
    <row r="909" spans="29:31" x14ac:dyDescent="0.45">
      <c r="AC909" t="s">
        <v>19</v>
      </c>
      <c r="AD909" t="s">
        <v>1303</v>
      </c>
      <c r="AE909">
        <v>1.1138120735663669E-4</v>
      </c>
    </row>
    <row r="910" spans="29:31" x14ac:dyDescent="0.45">
      <c r="AC910" t="s">
        <v>19</v>
      </c>
      <c r="AD910" t="s">
        <v>1304</v>
      </c>
      <c r="AE910">
        <v>1.1115758199333092E-4</v>
      </c>
    </row>
    <row r="911" spans="29:31" x14ac:dyDescent="0.45">
      <c r="AC911" t="s">
        <v>19</v>
      </c>
      <c r="AD911" t="s">
        <v>1305</v>
      </c>
      <c r="AE911">
        <v>1.1112631570761678E-4</v>
      </c>
    </row>
    <row r="912" spans="29:31" x14ac:dyDescent="0.45">
      <c r="AC912" t="s">
        <v>19</v>
      </c>
      <c r="AD912" t="s">
        <v>1306</v>
      </c>
      <c r="AE912">
        <v>1.1117842618380702E-4</v>
      </c>
    </row>
    <row r="913" spans="29:31" x14ac:dyDescent="0.45">
      <c r="AC913" t="s">
        <v>19</v>
      </c>
      <c r="AD913" t="s">
        <v>1307</v>
      </c>
      <c r="AE913">
        <v>1.1137586404892582E-4</v>
      </c>
    </row>
    <row r="914" spans="29:31" x14ac:dyDescent="0.45">
      <c r="AC914" t="s">
        <v>19</v>
      </c>
      <c r="AD914" t="s">
        <v>1308</v>
      </c>
      <c r="AE914">
        <v>1.1239876359932023E-4</v>
      </c>
    </row>
    <row r="915" spans="29:31" x14ac:dyDescent="0.45">
      <c r="AC915" t="s">
        <v>19</v>
      </c>
      <c r="AD915" t="s">
        <v>411</v>
      </c>
      <c r="AE915">
        <v>2.4805278682473533E-2</v>
      </c>
    </row>
    <row r="916" spans="29:31" x14ac:dyDescent="0.45">
      <c r="AC916" t="s">
        <v>19</v>
      </c>
      <c r="AD916" t="s">
        <v>412</v>
      </c>
      <c r="AE916">
        <v>3.5698886224987637E-3</v>
      </c>
    </row>
    <row r="917" spans="29:31" x14ac:dyDescent="0.45">
      <c r="AC917" t="s">
        <v>19</v>
      </c>
      <c r="AD917" t="s">
        <v>413</v>
      </c>
      <c r="AE917">
        <v>3.5749377837653602E-3</v>
      </c>
    </row>
    <row r="918" spans="29:31" x14ac:dyDescent="0.45">
      <c r="AC918" t="s">
        <v>19</v>
      </c>
      <c r="AD918" t="s">
        <v>414</v>
      </c>
      <c r="AE918">
        <v>3.5768624326220112E-3</v>
      </c>
    </row>
    <row r="919" spans="29:31" x14ac:dyDescent="0.45">
      <c r="AC919" t="s">
        <v>19</v>
      </c>
      <c r="AD919" t="s">
        <v>415</v>
      </c>
      <c r="AE919">
        <v>2.5077684953513202E-2</v>
      </c>
    </row>
    <row r="920" spans="29:31" x14ac:dyDescent="0.45">
      <c r="AC920" t="s">
        <v>19</v>
      </c>
      <c r="AD920" t="s">
        <v>416</v>
      </c>
      <c r="AE920">
        <v>3.4962142493165835E-3</v>
      </c>
    </row>
    <row r="921" spans="29:31" x14ac:dyDescent="0.45">
      <c r="AC921" t="s">
        <v>19</v>
      </c>
      <c r="AD921" t="s">
        <v>417</v>
      </c>
      <c r="AE921">
        <v>3.4560444787390446E-3</v>
      </c>
    </row>
    <row r="922" spans="29:31" x14ac:dyDescent="0.45">
      <c r="AC922" t="s">
        <v>19</v>
      </c>
      <c r="AD922" t="s">
        <v>418</v>
      </c>
      <c r="AE922">
        <v>1.7272027717116094E-2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E9102-173F-4075-9C85-C34C9FEEE9D8}">
  <dimension ref="A9:AN87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104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122</v>
      </c>
      <c r="K10" t="s">
        <v>248</v>
      </c>
      <c r="L10" t="s">
        <v>30</v>
      </c>
      <c r="N10" t="s">
        <v>13</v>
      </c>
      <c r="O10" t="s">
        <v>122</v>
      </c>
      <c r="P10" t="s">
        <v>248</v>
      </c>
      <c r="Q10" t="s">
        <v>30</v>
      </c>
      <c r="S10" t="s">
        <v>13</v>
      </c>
      <c r="T10" t="s">
        <v>122</v>
      </c>
      <c r="U10" t="s">
        <v>248</v>
      </c>
      <c r="V10" t="s">
        <v>30</v>
      </c>
      <c r="X10" t="s">
        <v>421</v>
      </c>
      <c r="Y10" t="s">
        <v>248</v>
      </c>
      <c r="Z10" t="s">
        <v>122</v>
      </c>
      <c r="AA10" t="s">
        <v>13</v>
      </c>
      <c r="AC10" t="s">
        <v>13</v>
      </c>
      <c r="AD10" t="s">
        <v>122</v>
      </c>
      <c r="AE10" t="s">
        <v>248</v>
      </c>
      <c r="AG10" t="s">
        <v>13</v>
      </c>
      <c r="AH10" t="s">
        <v>122</v>
      </c>
      <c r="AI10" t="s">
        <v>427</v>
      </c>
      <c r="AK10" t="s">
        <v>47</v>
      </c>
      <c r="AL10" t="s">
        <v>122</v>
      </c>
      <c r="AM10" t="s">
        <v>428</v>
      </c>
      <c r="AN10" t="s">
        <v>429</v>
      </c>
    </row>
    <row r="11" spans="1:40" x14ac:dyDescent="0.45">
      <c r="A11" t="str">
        <f>IFERROR(IF(Veda!D5=A10,"ok","x"),"")</f>
        <v>x</v>
      </c>
      <c r="C11" t="s">
        <v>151</v>
      </c>
      <c r="D11" t="s">
        <v>152</v>
      </c>
      <c r="E11" t="s">
        <v>1311</v>
      </c>
      <c r="F11" t="s">
        <v>154</v>
      </c>
      <c r="G11" t="s">
        <v>155</v>
      </c>
      <c r="I11" t="s">
        <v>249</v>
      </c>
      <c r="J11" t="s">
        <v>250</v>
      </c>
      <c r="K11">
        <v>0</v>
      </c>
      <c r="L11" t="s">
        <v>251</v>
      </c>
      <c r="N11" t="s">
        <v>419</v>
      </c>
      <c r="O11" t="s">
        <v>250</v>
      </c>
      <c r="P11">
        <v>1.6534281361282488E-2</v>
      </c>
      <c r="Q11" t="s">
        <v>251</v>
      </c>
      <c r="S11" t="s">
        <v>420</v>
      </c>
      <c r="T11" t="s">
        <v>250</v>
      </c>
      <c r="U11">
        <v>1.7647212124224758E-2</v>
      </c>
      <c r="V11" t="s">
        <v>251</v>
      </c>
      <c r="X11">
        <v>2.2374429223744292E-2</v>
      </c>
      <c r="Y11">
        <v>8.8360722306474754E-3</v>
      </c>
      <c r="Z11" t="s">
        <v>250</v>
      </c>
      <c r="AA11" t="s">
        <v>25</v>
      </c>
      <c r="AC11" t="s">
        <v>22</v>
      </c>
      <c r="AD11" t="s">
        <v>250</v>
      </c>
      <c r="AE11">
        <v>1.7535550180817903E-2</v>
      </c>
      <c r="AG11" t="s">
        <v>97</v>
      </c>
      <c r="AH11" t="s">
        <v>250</v>
      </c>
      <c r="AI11">
        <v>0.10315035207274637</v>
      </c>
      <c r="AK11">
        <v>2020</v>
      </c>
      <c r="AL11" t="s">
        <v>151</v>
      </c>
      <c r="AM11">
        <v>0.2698110913113228</v>
      </c>
      <c r="AN11" t="s">
        <v>430</v>
      </c>
    </row>
    <row r="12" spans="1:40" x14ac:dyDescent="0.45">
      <c r="C12" t="s">
        <v>156</v>
      </c>
      <c r="D12" t="s">
        <v>155</v>
      </c>
      <c r="E12" t="s">
        <v>1312</v>
      </c>
      <c r="F12" t="s">
        <v>1313</v>
      </c>
      <c r="G12" t="s">
        <v>155</v>
      </c>
      <c r="I12" t="s">
        <v>249</v>
      </c>
      <c r="J12" t="s">
        <v>252</v>
      </c>
      <c r="K12">
        <v>1.4220819234940043E-3</v>
      </c>
      <c r="L12" t="s">
        <v>251</v>
      </c>
      <c r="N12" t="s">
        <v>419</v>
      </c>
      <c r="O12" t="s">
        <v>252</v>
      </c>
      <c r="P12">
        <v>1.7773785158014582E-3</v>
      </c>
      <c r="Q12" t="s">
        <v>251</v>
      </c>
      <c r="S12" t="s">
        <v>420</v>
      </c>
      <c r="T12" t="s">
        <v>252</v>
      </c>
      <c r="U12">
        <v>2.3461545018590331E-3</v>
      </c>
      <c r="V12" t="s">
        <v>251</v>
      </c>
      <c r="X12">
        <v>3.1963470319634705E-3</v>
      </c>
      <c r="Y12">
        <v>5.3369133746032542E-3</v>
      </c>
      <c r="Z12" t="s">
        <v>252</v>
      </c>
      <c r="AA12" t="s">
        <v>25</v>
      </c>
      <c r="AC12" t="s">
        <v>22</v>
      </c>
      <c r="AD12" t="s">
        <v>252</v>
      </c>
      <c r="AE12">
        <v>2.8451978337477894E-3</v>
      </c>
      <c r="AG12" t="s">
        <v>97</v>
      </c>
      <c r="AH12" t="s">
        <v>252</v>
      </c>
      <c r="AI12">
        <v>2.9990121533755465E-2</v>
      </c>
      <c r="AK12">
        <v>2020</v>
      </c>
      <c r="AL12" t="s">
        <v>156</v>
      </c>
      <c r="AM12">
        <v>0.28091924024938381</v>
      </c>
      <c r="AN12" t="s">
        <v>430</v>
      </c>
    </row>
    <row r="13" spans="1:40" x14ac:dyDescent="0.45">
      <c r="C13" t="s">
        <v>159</v>
      </c>
      <c r="D13" t="s">
        <v>160</v>
      </c>
      <c r="E13" t="s">
        <v>1314</v>
      </c>
      <c r="F13" t="s">
        <v>158</v>
      </c>
      <c r="G13" t="s">
        <v>155</v>
      </c>
      <c r="I13" t="s">
        <v>249</v>
      </c>
      <c r="J13" t="s">
        <v>253</v>
      </c>
      <c r="K13">
        <v>5.7078242027104997E-3</v>
      </c>
      <c r="L13" t="s">
        <v>251</v>
      </c>
      <c r="N13" t="s">
        <v>419</v>
      </c>
      <c r="O13" t="s">
        <v>253</v>
      </c>
      <c r="P13">
        <v>1.2112340331030048E-3</v>
      </c>
      <c r="Q13" t="s">
        <v>251</v>
      </c>
      <c r="S13" t="s">
        <v>420</v>
      </c>
      <c r="T13" t="s">
        <v>253</v>
      </c>
      <c r="U13">
        <v>2.2729993597109593E-3</v>
      </c>
      <c r="V13" t="s">
        <v>251</v>
      </c>
      <c r="X13">
        <v>3.1963470319634705E-3</v>
      </c>
      <c r="Y13">
        <v>4.0838989301311864E-3</v>
      </c>
      <c r="Z13" t="s">
        <v>253</v>
      </c>
      <c r="AA13" t="s">
        <v>25</v>
      </c>
      <c r="AC13" t="s">
        <v>22</v>
      </c>
      <c r="AD13" t="s">
        <v>253</v>
      </c>
      <c r="AE13">
        <v>2.9183876764726801E-3</v>
      </c>
      <c r="AG13" t="s">
        <v>97</v>
      </c>
      <c r="AH13" t="s">
        <v>253</v>
      </c>
      <c r="AI13">
        <v>5.8805228892234718E-2</v>
      </c>
      <c r="AK13">
        <v>2020</v>
      </c>
      <c r="AL13" t="s">
        <v>159</v>
      </c>
      <c r="AM13">
        <v>0.28179619937607281</v>
      </c>
      <c r="AN13" t="s">
        <v>430</v>
      </c>
    </row>
    <row r="14" spans="1:40" x14ac:dyDescent="0.45">
      <c r="C14" t="s">
        <v>163</v>
      </c>
      <c r="E14" t="s">
        <v>1315</v>
      </c>
      <c r="G14" t="s">
        <v>155</v>
      </c>
      <c r="I14" t="s">
        <v>249</v>
      </c>
      <c r="J14" t="s">
        <v>254</v>
      </c>
      <c r="K14">
        <v>8.1737947096809996E-3</v>
      </c>
      <c r="L14" t="s">
        <v>251</v>
      </c>
      <c r="N14" t="s">
        <v>419</v>
      </c>
      <c r="O14" t="s">
        <v>254</v>
      </c>
      <c r="P14">
        <v>9.4318397115850713E-4</v>
      </c>
      <c r="Q14" t="s">
        <v>251</v>
      </c>
      <c r="S14" t="s">
        <v>420</v>
      </c>
      <c r="T14" t="s">
        <v>254</v>
      </c>
      <c r="U14">
        <v>2.1895007798553739E-3</v>
      </c>
      <c r="V14" t="s">
        <v>251</v>
      </c>
      <c r="X14">
        <v>3.1963470319634705E-3</v>
      </c>
      <c r="Y14">
        <v>4.0467725762209023E-3</v>
      </c>
      <c r="Z14" t="s">
        <v>254</v>
      </c>
      <c r="AA14" t="s">
        <v>25</v>
      </c>
      <c r="AC14" t="s">
        <v>22</v>
      </c>
      <c r="AD14" t="s">
        <v>254</v>
      </c>
      <c r="AE14">
        <v>2.9616061382205525E-3</v>
      </c>
      <c r="AG14" t="s">
        <v>97</v>
      </c>
      <c r="AH14" t="s">
        <v>254</v>
      </c>
      <c r="AI14">
        <v>6.344270461711865E-2</v>
      </c>
      <c r="AK14">
        <v>2020</v>
      </c>
      <c r="AL14" t="s">
        <v>163</v>
      </c>
      <c r="AM14">
        <v>0.3265308588275096</v>
      </c>
      <c r="AN14" t="s">
        <v>430</v>
      </c>
    </row>
    <row r="15" spans="1:40" x14ac:dyDescent="0.45">
      <c r="C15" t="s">
        <v>167</v>
      </c>
      <c r="E15" t="s">
        <v>1316</v>
      </c>
      <c r="G15" t="s">
        <v>155</v>
      </c>
      <c r="I15" t="s">
        <v>249</v>
      </c>
      <c r="J15" t="s">
        <v>255</v>
      </c>
      <c r="K15">
        <v>6.1913779496867903E-2</v>
      </c>
      <c r="L15" t="s">
        <v>251</v>
      </c>
      <c r="N15" t="s">
        <v>419</v>
      </c>
      <c r="O15" t="s">
        <v>255</v>
      </c>
      <c r="P15">
        <v>5.9066067167927415E-3</v>
      </c>
      <c r="Q15" t="s">
        <v>251</v>
      </c>
      <c r="S15" t="s">
        <v>420</v>
      </c>
      <c r="T15" t="s">
        <v>255</v>
      </c>
      <c r="U15">
        <v>1.3246037100442759E-2</v>
      </c>
      <c r="V15" t="s">
        <v>251</v>
      </c>
      <c r="X15">
        <v>2.2374429223744292E-2</v>
      </c>
      <c r="Y15">
        <v>3.1297516346368993E-2</v>
      </c>
      <c r="Z15" t="s">
        <v>255</v>
      </c>
      <c r="AA15" t="s">
        <v>25</v>
      </c>
      <c r="AC15" t="s">
        <v>22</v>
      </c>
      <c r="AD15" t="s">
        <v>255</v>
      </c>
      <c r="AE15">
        <v>2.2657213646678446E-2</v>
      </c>
      <c r="AG15" t="s">
        <v>97</v>
      </c>
      <c r="AH15" t="s">
        <v>255</v>
      </c>
      <c r="AI15">
        <v>8.543767429288418E-2</v>
      </c>
      <c r="AK15">
        <v>2020</v>
      </c>
      <c r="AL15" t="s">
        <v>167</v>
      </c>
      <c r="AM15">
        <v>0.43263316916658479</v>
      </c>
      <c r="AN15" t="s">
        <v>430</v>
      </c>
    </row>
    <row r="16" spans="1:40" x14ac:dyDescent="0.45">
      <c r="C16" t="s">
        <v>169</v>
      </c>
      <c r="E16" t="s">
        <v>1317</v>
      </c>
      <c r="G16" t="s">
        <v>155</v>
      </c>
      <c r="I16" t="s">
        <v>249</v>
      </c>
      <c r="J16" t="s">
        <v>256</v>
      </c>
      <c r="K16">
        <v>5.7282587289227997E-3</v>
      </c>
      <c r="L16" t="s">
        <v>251</v>
      </c>
      <c r="N16" t="s">
        <v>419</v>
      </c>
      <c r="O16" t="s">
        <v>256</v>
      </c>
      <c r="P16">
        <v>1.046753196707632E-3</v>
      </c>
      <c r="Q16" t="s">
        <v>251</v>
      </c>
      <c r="S16" t="s">
        <v>420</v>
      </c>
      <c r="T16" t="s">
        <v>256</v>
      </c>
      <c r="U16">
        <v>2.0716541997032279E-3</v>
      </c>
      <c r="V16" t="s">
        <v>251</v>
      </c>
      <c r="X16">
        <v>3.1963470319634705E-3</v>
      </c>
      <c r="Y16">
        <v>6.2186642799724884E-3</v>
      </c>
      <c r="Z16" t="s">
        <v>256</v>
      </c>
      <c r="AA16" t="s">
        <v>25</v>
      </c>
      <c r="AC16" t="s">
        <v>22</v>
      </c>
      <c r="AD16" t="s">
        <v>256</v>
      </c>
      <c r="AE16">
        <v>1.8600439668770468E-3</v>
      </c>
      <c r="AG16" t="s">
        <v>97</v>
      </c>
      <c r="AH16" t="s">
        <v>256</v>
      </c>
      <c r="AI16">
        <v>0.12747288680582058</v>
      </c>
      <c r="AK16">
        <v>2020</v>
      </c>
      <c r="AL16" t="s">
        <v>169</v>
      </c>
      <c r="AM16">
        <v>0.53857957566091541</v>
      </c>
      <c r="AN16" t="s">
        <v>430</v>
      </c>
    </row>
    <row r="17" spans="3:40" x14ac:dyDescent="0.45">
      <c r="C17" t="s">
        <v>171</v>
      </c>
      <c r="E17" t="s">
        <v>1318</v>
      </c>
      <c r="G17" t="s">
        <v>155</v>
      </c>
      <c r="I17" t="s">
        <v>249</v>
      </c>
      <c r="J17" t="s">
        <v>257</v>
      </c>
      <c r="K17">
        <v>1.6993322674735715E-3</v>
      </c>
      <c r="L17" t="s">
        <v>251</v>
      </c>
      <c r="N17" t="s">
        <v>419</v>
      </c>
      <c r="O17" t="s">
        <v>257</v>
      </c>
      <c r="P17">
        <v>1.5871901314538914E-3</v>
      </c>
      <c r="Q17" t="s">
        <v>251</v>
      </c>
      <c r="S17" t="s">
        <v>420</v>
      </c>
      <c r="T17" t="s">
        <v>257</v>
      </c>
      <c r="U17">
        <v>2.1927650641661378E-3</v>
      </c>
      <c r="V17" t="s">
        <v>251</v>
      </c>
      <c r="X17">
        <v>3.1963470319634705E-3</v>
      </c>
      <c r="Y17">
        <v>4.8264260083368555E-3</v>
      </c>
      <c r="Z17" t="s">
        <v>257</v>
      </c>
      <c r="AA17" t="s">
        <v>25</v>
      </c>
      <c r="AC17" t="s">
        <v>22</v>
      </c>
      <c r="AD17" t="s">
        <v>257</v>
      </c>
      <c r="AE17">
        <v>8.2018600699966461E-4</v>
      </c>
      <c r="AG17" t="s">
        <v>97</v>
      </c>
      <c r="AH17" t="s">
        <v>257</v>
      </c>
      <c r="AI17">
        <v>2.6434178770731842E-2</v>
      </c>
      <c r="AK17">
        <v>2020</v>
      </c>
      <c r="AL17" t="s">
        <v>171</v>
      </c>
      <c r="AM17">
        <v>0.55540744690304811</v>
      </c>
      <c r="AN17" t="s">
        <v>430</v>
      </c>
    </row>
    <row r="18" spans="3:40" x14ac:dyDescent="0.45">
      <c r="C18" t="s">
        <v>158</v>
      </c>
      <c r="E18" t="s">
        <v>1319</v>
      </c>
      <c r="G18" t="s">
        <v>155</v>
      </c>
      <c r="I18" t="s">
        <v>249</v>
      </c>
      <c r="J18" t="s">
        <v>258</v>
      </c>
      <c r="K18">
        <v>0</v>
      </c>
      <c r="L18" t="s">
        <v>251</v>
      </c>
      <c r="N18" t="s">
        <v>419</v>
      </c>
      <c r="O18" t="s">
        <v>258</v>
      </c>
      <c r="P18">
        <v>1.3445260805011574E-2</v>
      </c>
      <c r="Q18" t="s">
        <v>251</v>
      </c>
      <c r="S18" t="s">
        <v>420</v>
      </c>
      <c r="T18" t="s">
        <v>258</v>
      </c>
      <c r="U18">
        <v>1.1967646107759388E-2</v>
      </c>
      <c r="V18" t="s">
        <v>251</v>
      </c>
      <c r="X18">
        <v>1.5981735159817351E-2</v>
      </c>
      <c r="Y18">
        <v>1.2066065020842141E-2</v>
      </c>
      <c r="Z18" t="s">
        <v>258</v>
      </c>
      <c r="AA18" t="s">
        <v>25</v>
      </c>
      <c r="AC18" t="s">
        <v>22</v>
      </c>
      <c r="AD18" t="s">
        <v>258</v>
      </c>
      <c r="AE18">
        <v>4.3874023346792213E-3</v>
      </c>
      <c r="AG18" t="s">
        <v>97</v>
      </c>
      <c r="AH18" t="s">
        <v>258</v>
      </c>
      <c r="AI18">
        <v>0.14443570876995038</v>
      </c>
      <c r="AK18">
        <v>2020</v>
      </c>
      <c r="AL18" t="s">
        <v>158</v>
      </c>
      <c r="AM18">
        <v>0.59107045138840164</v>
      </c>
      <c r="AN18" t="s">
        <v>430</v>
      </c>
    </row>
    <row r="19" spans="3:40" x14ac:dyDescent="0.45">
      <c r="C19" t="s">
        <v>162</v>
      </c>
      <c r="E19" t="s">
        <v>1320</v>
      </c>
      <c r="G19" t="s">
        <v>155</v>
      </c>
      <c r="I19" t="s">
        <v>249</v>
      </c>
      <c r="J19" t="s">
        <v>1624</v>
      </c>
      <c r="K19">
        <v>0</v>
      </c>
      <c r="L19" t="s">
        <v>251</v>
      </c>
      <c r="N19" t="s">
        <v>419</v>
      </c>
      <c r="O19" t="s">
        <v>1624</v>
      </c>
      <c r="P19">
        <v>8.5809271561571154E-5</v>
      </c>
      <c r="Q19" t="s">
        <v>251</v>
      </c>
      <c r="S19" t="s">
        <v>420</v>
      </c>
      <c r="T19" t="s">
        <v>1624</v>
      </c>
      <c r="U19">
        <v>7.0701551321084515E-5</v>
      </c>
      <c r="V19" t="s">
        <v>251</v>
      </c>
      <c r="X19">
        <v>1.1415525114155251E-4</v>
      </c>
      <c r="Y19">
        <v>2.1546544680075254E-5</v>
      </c>
      <c r="Z19" t="s">
        <v>1624</v>
      </c>
      <c r="AA19" t="s">
        <v>25</v>
      </c>
      <c r="AC19" t="s">
        <v>22</v>
      </c>
      <c r="AD19" t="s">
        <v>1624</v>
      </c>
      <c r="AE19">
        <v>5.9359275558770157E-5</v>
      </c>
      <c r="AG19" t="s">
        <v>97</v>
      </c>
      <c r="AH19" t="s">
        <v>1624</v>
      </c>
      <c r="AI19">
        <v>0</v>
      </c>
      <c r="AK19">
        <v>2020</v>
      </c>
      <c r="AL19" t="s">
        <v>162</v>
      </c>
      <c r="AM19">
        <v>0.61228311826397963</v>
      </c>
      <c r="AN19" t="s">
        <v>430</v>
      </c>
    </row>
    <row r="20" spans="3:40" x14ac:dyDescent="0.45">
      <c r="C20" t="s">
        <v>175</v>
      </c>
      <c r="E20" t="s">
        <v>1321</v>
      </c>
      <c r="G20" t="s">
        <v>155</v>
      </c>
      <c r="I20" t="s">
        <v>249</v>
      </c>
      <c r="J20" t="s">
        <v>1625</v>
      </c>
      <c r="K20">
        <v>0</v>
      </c>
      <c r="L20" t="s">
        <v>251</v>
      </c>
      <c r="N20" t="s">
        <v>419</v>
      </c>
      <c r="O20" t="s">
        <v>1625</v>
      </c>
      <c r="P20">
        <v>7.8574174228746946E-5</v>
      </c>
      <c r="Q20" t="s">
        <v>251</v>
      </c>
      <c r="S20" t="s">
        <v>420</v>
      </c>
      <c r="T20" t="s">
        <v>1625</v>
      </c>
      <c r="U20">
        <v>6.8299216845767733E-5</v>
      </c>
      <c r="V20" t="s">
        <v>251</v>
      </c>
      <c r="X20">
        <v>1.1415525114155251E-4</v>
      </c>
      <c r="Y20">
        <v>1.4916838624667481E-5</v>
      </c>
      <c r="Z20" t="s">
        <v>1625</v>
      </c>
      <c r="AA20" t="s">
        <v>25</v>
      </c>
      <c r="AC20" t="s">
        <v>22</v>
      </c>
      <c r="AD20" t="s">
        <v>1625</v>
      </c>
      <c r="AE20">
        <v>7.9502860111927697E-5</v>
      </c>
      <c r="AG20" t="s">
        <v>97</v>
      </c>
      <c r="AH20" t="s">
        <v>1625</v>
      </c>
      <c r="AI20">
        <v>0</v>
      </c>
      <c r="AK20">
        <v>2020</v>
      </c>
      <c r="AL20" t="s">
        <v>175</v>
      </c>
      <c r="AM20">
        <v>0.41918646255735309</v>
      </c>
      <c r="AN20" t="s">
        <v>430</v>
      </c>
    </row>
    <row r="21" spans="3:40" x14ac:dyDescent="0.45">
      <c r="C21" t="s">
        <v>166</v>
      </c>
      <c r="E21" t="s">
        <v>1322</v>
      </c>
      <c r="G21" t="s">
        <v>155</v>
      </c>
      <c r="I21" t="s">
        <v>249</v>
      </c>
      <c r="J21" t="s">
        <v>1626</v>
      </c>
      <c r="K21">
        <v>0</v>
      </c>
      <c r="L21" t="s">
        <v>251</v>
      </c>
      <c r="N21" t="s">
        <v>419</v>
      </c>
      <c r="O21" t="s">
        <v>1626</v>
      </c>
      <c r="P21">
        <v>7.3572495325552309E-5</v>
      </c>
      <c r="Q21" t="s">
        <v>251</v>
      </c>
      <c r="S21" t="s">
        <v>420</v>
      </c>
      <c r="T21" t="s">
        <v>1626</v>
      </c>
      <c r="U21">
        <v>6.7444542120545327E-5</v>
      </c>
      <c r="V21" t="s">
        <v>251</v>
      </c>
      <c r="X21">
        <v>1.1415525114155251E-4</v>
      </c>
      <c r="Y21">
        <v>1.6574265138519424E-5</v>
      </c>
      <c r="Z21" t="s">
        <v>1626</v>
      </c>
      <c r="AA21" t="s">
        <v>25</v>
      </c>
      <c r="AC21" t="s">
        <v>22</v>
      </c>
      <c r="AD21" t="s">
        <v>1626</v>
      </c>
      <c r="AE21">
        <v>9.4671826024053765E-5</v>
      </c>
      <c r="AG21" t="s">
        <v>97</v>
      </c>
      <c r="AH21" t="s">
        <v>1626</v>
      </c>
      <c r="AI21">
        <v>0</v>
      </c>
      <c r="AK21">
        <v>2020</v>
      </c>
      <c r="AL21" t="s">
        <v>166</v>
      </c>
      <c r="AM21">
        <v>0.28001304915180508</v>
      </c>
      <c r="AN21" t="s">
        <v>430</v>
      </c>
    </row>
    <row r="22" spans="3:40" x14ac:dyDescent="0.45">
      <c r="C22" t="s">
        <v>178</v>
      </c>
      <c r="E22" t="s">
        <v>1323</v>
      </c>
      <c r="G22" t="s">
        <v>155</v>
      </c>
      <c r="I22" t="s">
        <v>249</v>
      </c>
      <c r="J22" t="s">
        <v>1627</v>
      </c>
      <c r="K22">
        <v>0</v>
      </c>
      <c r="L22" t="s">
        <v>251</v>
      </c>
      <c r="N22" t="s">
        <v>419</v>
      </c>
      <c r="O22" t="s">
        <v>1627</v>
      </c>
      <c r="P22">
        <v>6.7276220556189981E-5</v>
      </c>
      <c r="Q22" t="s">
        <v>251</v>
      </c>
      <c r="S22" t="s">
        <v>420</v>
      </c>
      <c r="T22" t="s">
        <v>1627</v>
      </c>
      <c r="U22">
        <v>6.4204701132275553E-5</v>
      </c>
      <c r="V22" t="s">
        <v>251</v>
      </c>
      <c r="X22">
        <v>1.1415525114155251E-4</v>
      </c>
      <c r="Y22">
        <v>1.4585353321897093E-5</v>
      </c>
      <c r="Z22" t="s">
        <v>1627</v>
      </c>
      <c r="AA22" t="s">
        <v>25</v>
      </c>
      <c r="AC22" t="s">
        <v>22</v>
      </c>
      <c r="AD22" t="s">
        <v>1627</v>
      </c>
      <c r="AE22">
        <v>1.0305681592156833E-4</v>
      </c>
      <c r="AG22" t="s">
        <v>97</v>
      </c>
      <c r="AH22" t="s">
        <v>1627</v>
      </c>
      <c r="AI22">
        <v>0</v>
      </c>
      <c r="AK22">
        <v>2020</v>
      </c>
      <c r="AL22" t="s">
        <v>178</v>
      </c>
      <c r="AM22">
        <v>0.25899526208215817</v>
      </c>
      <c r="AN22" t="s">
        <v>430</v>
      </c>
    </row>
    <row r="23" spans="3:40" x14ac:dyDescent="0.45">
      <c r="E23" t="s">
        <v>1324</v>
      </c>
      <c r="G23" t="s">
        <v>155</v>
      </c>
      <c r="I23" t="s">
        <v>249</v>
      </c>
      <c r="J23" t="s">
        <v>1628</v>
      </c>
      <c r="K23">
        <v>0</v>
      </c>
      <c r="L23" t="s">
        <v>251</v>
      </c>
      <c r="N23" t="s">
        <v>419</v>
      </c>
      <c r="O23" t="s">
        <v>1628</v>
      </c>
      <c r="P23">
        <v>6.4990247345323761E-5</v>
      </c>
      <c r="Q23" t="s">
        <v>251</v>
      </c>
      <c r="S23" t="s">
        <v>420</v>
      </c>
      <c r="T23" t="s">
        <v>1628</v>
      </c>
      <c r="U23">
        <v>6.2087938193274294E-5</v>
      </c>
      <c r="V23" t="s">
        <v>251</v>
      </c>
      <c r="X23">
        <v>1.1415525114155251E-4</v>
      </c>
      <c r="Y23">
        <v>2.1215059377304864E-5</v>
      </c>
      <c r="Z23" t="s">
        <v>1628</v>
      </c>
      <c r="AA23" t="s">
        <v>25</v>
      </c>
      <c r="AC23" t="s">
        <v>22</v>
      </c>
      <c r="AD23" t="s">
        <v>1628</v>
      </c>
      <c r="AE23">
        <v>1.0521601209767561E-4</v>
      </c>
      <c r="AG23" t="s">
        <v>97</v>
      </c>
      <c r="AH23" t="s">
        <v>1628</v>
      </c>
      <c r="AI23">
        <v>0</v>
      </c>
      <c r="AK23">
        <v>2021</v>
      </c>
      <c r="AL23" t="s">
        <v>151</v>
      </c>
      <c r="AM23">
        <v>0.24537183889815969</v>
      </c>
      <c r="AN23" t="s">
        <v>430</v>
      </c>
    </row>
    <row r="24" spans="3:40" x14ac:dyDescent="0.45">
      <c r="E24" t="s">
        <v>1325</v>
      </c>
      <c r="G24" t="s">
        <v>155</v>
      </c>
      <c r="I24" t="s">
        <v>249</v>
      </c>
      <c r="J24" t="s">
        <v>1629</v>
      </c>
      <c r="K24">
        <v>0</v>
      </c>
      <c r="L24" t="s">
        <v>251</v>
      </c>
      <c r="N24" t="s">
        <v>419</v>
      </c>
      <c r="O24" t="s">
        <v>1629</v>
      </c>
      <c r="P24">
        <v>6.0782031171106767E-5</v>
      </c>
      <c r="Q24" t="s">
        <v>251</v>
      </c>
      <c r="S24" t="s">
        <v>420</v>
      </c>
      <c r="T24" t="s">
        <v>1629</v>
      </c>
      <c r="U24">
        <v>6.1546733857671147E-5</v>
      </c>
      <c r="V24" t="s">
        <v>251</v>
      </c>
      <c r="X24">
        <v>1.1415525114155251E-4</v>
      </c>
      <c r="Y24">
        <v>5.7678442682047593E-5</v>
      </c>
      <c r="Z24" t="s">
        <v>1629</v>
      </c>
      <c r="AA24" t="s">
        <v>25</v>
      </c>
      <c r="AC24" t="s">
        <v>22</v>
      </c>
      <c r="AD24" t="s">
        <v>1629</v>
      </c>
      <c r="AE24">
        <v>1.0747325226939559E-4</v>
      </c>
      <c r="AG24" t="s">
        <v>97</v>
      </c>
      <c r="AH24" t="s">
        <v>1629</v>
      </c>
      <c r="AI24">
        <v>0</v>
      </c>
      <c r="AK24">
        <v>2021</v>
      </c>
      <c r="AL24" t="s">
        <v>156</v>
      </c>
      <c r="AM24">
        <v>0.24748569799873779</v>
      </c>
      <c r="AN24" t="s">
        <v>430</v>
      </c>
    </row>
    <row r="25" spans="3:40" x14ac:dyDescent="0.45">
      <c r="E25" t="s">
        <v>1326</v>
      </c>
      <c r="G25" t="s">
        <v>155</v>
      </c>
      <c r="I25" t="s">
        <v>249</v>
      </c>
      <c r="J25" t="s">
        <v>1630</v>
      </c>
      <c r="K25">
        <v>0</v>
      </c>
      <c r="L25" t="s">
        <v>251</v>
      </c>
      <c r="N25" t="s">
        <v>419</v>
      </c>
      <c r="O25" t="s">
        <v>1630</v>
      </c>
      <c r="P25">
        <v>5.4208528086520862E-5</v>
      </c>
      <c r="Q25" t="s">
        <v>251</v>
      </c>
      <c r="S25" t="s">
        <v>420</v>
      </c>
      <c r="T25" t="s">
        <v>1630</v>
      </c>
      <c r="U25">
        <v>6.0413337797758365E-5</v>
      </c>
      <c r="V25" t="s">
        <v>251</v>
      </c>
      <c r="X25">
        <v>1.1415525114155251E-4</v>
      </c>
      <c r="Y25">
        <v>1.6905750441289813E-4</v>
      </c>
      <c r="Z25" t="s">
        <v>1630</v>
      </c>
      <c r="AA25" t="s">
        <v>25</v>
      </c>
      <c r="AC25" t="s">
        <v>22</v>
      </c>
      <c r="AD25" t="s">
        <v>1630</v>
      </c>
      <c r="AE25">
        <v>1.0644156204283455E-4</v>
      </c>
      <c r="AG25" t="s">
        <v>97</v>
      </c>
      <c r="AH25" t="s">
        <v>1630</v>
      </c>
      <c r="AI25">
        <v>0</v>
      </c>
      <c r="AK25">
        <v>2021</v>
      </c>
      <c r="AL25" t="s">
        <v>159</v>
      </c>
      <c r="AM25">
        <v>0.25370413787713708</v>
      </c>
      <c r="AN25" t="s">
        <v>430</v>
      </c>
    </row>
    <row r="26" spans="3:40" x14ac:dyDescent="0.45">
      <c r="E26" t="s">
        <v>1327</v>
      </c>
      <c r="G26" t="s">
        <v>155</v>
      </c>
      <c r="I26" t="s">
        <v>249</v>
      </c>
      <c r="J26" t="s">
        <v>1631</v>
      </c>
      <c r="K26">
        <v>4.9579274731957067E-5</v>
      </c>
      <c r="L26" t="s">
        <v>251</v>
      </c>
      <c r="N26" t="s">
        <v>419</v>
      </c>
      <c r="O26" t="s">
        <v>1631</v>
      </c>
      <c r="P26">
        <v>4.7383299813161477E-5</v>
      </c>
      <c r="Q26" t="s">
        <v>251</v>
      </c>
      <c r="S26" t="s">
        <v>420</v>
      </c>
      <c r="T26" t="s">
        <v>1631</v>
      </c>
      <c r="U26">
        <v>5.8472212970843447E-5</v>
      </c>
      <c r="V26" t="s">
        <v>251</v>
      </c>
      <c r="X26">
        <v>1.1415525114155251E-4</v>
      </c>
      <c r="Y26">
        <v>1.9060404909297337E-4</v>
      </c>
      <c r="Z26" t="s">
        <v>1631</v>
      </c>
      <c r="AA26" t="s">
        <v>25</v>
      </c>
      <c r="AC26" t="s">
        <v>22</v>
      </c>
      <c r="AD26" t="s">
        <v>1631</v>
      </c>
      <c r="AE26">
        <v>1.0686493384207124E-4</v>
      </c>
      <c r="AG26" t="s">
        <v>97</v>
      </c>
      <c r="AH26" t="s">
        <v>1631</v>
      </c>
      <c r="AI26">
        <v>0</v>
      </c>
      <c r="AK26">
        <v>2021</v>
      </c>
      <c r="AL26" t="s">
        <v>163</v>
      </c>
      <c r="AM26">
        <v>0.25859816635789279</v>
      </c>
      <c r="AN26" t="s">
        <v>430</v>
      </c>
    </row>
    <row r="27" spans="3:40" x14ac:dyDescent="0.45">
      <c r="E27" t="s">
        <v>1328</v>
      </c>
      <c r="G27" t="s">
        <v>155</v>
      </c>
      <c r="I27" t="s">
        <v>249</v>
      </c>
      <c r="J27" t="s">
        <v>1632</v>
      </c>
      <c r="K27">
        <v>1.719354885096E-4</v>
      </c>
      <c r="L27" t="s">
        <v>251</v>
      </c>
      <c r="N27" t="s">
        <v>419</v>
      </c>
      <c r="O27" t="s">
        <v>1632</v>
      </c>
      <c r="P27">
        <v>3.0477325305648168E-5</v>
      </c>
      <c r="Q27" t="s">
        <v>251</v>
      </c>
      <c r="S27" t="s">
        <v>420</v>
      </c>
      <c r="T27" t="s">
        <v>1632</v>
      </c>
      <c r="U27">
        <v>5.5412671934771709E-5</v>
      </c>
      <c r="V27" t="s">
        <v>251</v>
      </c>
      <c r="X27">
        <v>1.1415525114155251E-4</v>
      </c>
      <c r="Y27">
        <v>1.4585353321897094E-4</v>
      </c>
      <c r="Z27" t="s">
        <v>1632</v>
      </c>
      <c r="AA27" t="s">
        <v>25</v>
      </c>
      <c r="AC27" t="s">
        <v>22</v>
      </c>
      <c r="AD27" t="s">
        <v>1632</v>
      </c>
      <c r="AE27">
        <v>1.1519087451495543E-4</v>
      </c>
      <c r="AG27" t="s">
        <v>97</v>
      </c>
      <c r="AH27" t="s">
        <v>1632</v>
      </c>
      <c r="AI27">
        <v>0</v>
      </c>
      <c r="AK27">
        <v>2021</v>
      </c>
      <c r="AL27" t="s">
        <v>167</v>
      </c>
      <c r="AM27">
        <v>0.35369172562486489</v>
      </c>
      <c r="AN27" t="s">
        <v>430</v>
      </c>
    </row>
    <row r="28" spans="3:40" x14ac:dyDescent="0.45">
      <c r="E28" t="s">
        <v>1329</v>
      </c>
      <c r="G28" t="s">
        <v>155</v>
      </c>
      <c r="I28" t="s">
        <v>249</v>
      </c>
      <c r="J28" t="s">
        <v>1633</v>
      </c>
      <c r="K28">
        <v>2.7280873643039999E-4</v>
      </c>
      <c r="L28" t="s">
        <v>251</v>
      </c>
      <c r="N28" t="s">
        <v>419</v>
      </c>
      <c r="O28" t="s">
        <v>1633</v>
      </c>
      <c r="P28">
        <v>1.6313377040743019E-5</v>
      </c>
      <c r="Q28" t="s">
        <v>251</v>
      </c>
      <c r="S28" t="s">
        <v>420</v>
      </c>
      <c r="T28" t="s">
        <v>1633</v>
      </c>
      <c r="U28">
        <v>5.1509132136017078E-5</v>
      </c>
      <c r="V28" t="s">
        <v>251</v>
      </c>
      <c r="X28">
        <v>1.1415525114155251E-4</v>
      </c>
      <c r="Y28">
        <v>1.4452759200788939E-4</v>
      </c>
      <c r="Z28" t="s">
        <v>1633</v>
      </c>
      <c r="AA28" t="s">
        <v>25</v>
      </c>
      <c r="AC28" t="s">
        <v>22</v>
      </c>
      <c r="AD28" t="s">
        <v>1633</v>
      </c>
      <c r="AE28">
        <v>1.1708490624838285E-4</v>
      </c>
      <c r="AG28" t="s">
        <v>97</v>
      </c>
      <c r="AH28" t="s">
        <v>1633</v>
      </c>
      <c r="AI28">
        <v>0</v>
      </c>
      <c r="AK28">
        <v>2021</v>
      </c>
      <c r="AL28" t="s">
        <v>169</v>
      </c>
      <c r="AM28">
        <v>0.49671037005367918</v>
      </c>
      <c r="AN28" t="s">
        <v>430</v>
      </c>
    </row>
    <row r="29" spans="3:40" x14ac:dyDescent="0.45">
      <c r="E29" t="s">
        <v>1330</v>
      </c>
      <c r="G29" t="s">
        <v>155</v>
      </c>
      <c r="I29" t="s">
        <v>249</v>
      </c>
      <c r="J29" t="s">
        <v>1634</v>
      </c>
      <c r="K29">
        <v>3.2137201209010002E-4</v>
      </c>
      <c r="L29" t="s">
        <v>251</v>
      </c>
      <c r="N29" t="s">
        <v>419</v>
      </c>
      <c r="O29" t="s">
        <v>1634</v>
      </c>
      <c r="P29">
        <v>1.2598588754390644E-5</v>
      </c>
      <c r="Q29" t="s">
        <v>251</v>
      </c>
      <c r="S29" t="s">
        <v>420</v>
      </c>
      <c r="T29" t="s">
        <v>1634</v>
      </c>
      <c r="U29">
        <v>4.7398524137545136E-5</v>
      </c>
      <c r="V29" t="s">
        <v>251</v>
      </c>
      <c r="X29">
        <v>1.1415525114155251E-4</v>
      </c>
      <c r="Y29">
        <v>1.408812536774151E-4</v>
      </c>
      <c r="Z29" t="s">
        <v>1634</v>
      </c>
      <c r="AA29" t="s">
        <v>25</v>
      </c>
      <c r="AC29" t="s">
        <v>22</v>
      </c>
      <c r="AD29" t="s">
        <v>1634</v>
      </c>
      <c r="AE29">
        <v>1.0872888389502659E-4</v>
      </c>
      <c r="AG29" t="s">
        <v>97</v>
      </c>
      <c r="AH29" t="s">
        <v>1634</v>
      </c>
      <c r="AI29">
        <v>0</v>
      </c>
      <c r="AK29">
        <v>2021</v>
      </c>
      <c r="AL29" t="s">
        <v>171</v>
      </c>
      <c r="AM29">
        <v>0.57377934693164512</v>
      </c>
      <c r="AN29" t="s">
        <v>430</v>
      </c>
    </row>
    <row r="30" spans="3:40" x14ac:dyDescent="0.45">
      <c r="E30" t="s">
        <v>1331</v>
      </c>
      <c r="G30" t="s">
        <v>155</v>
      </c>
      <c r="I30" t="s">
        <v>249</v>
      </c>
      <c r="J30" t="s">
        <v>1635</v>
      </c>
      <c r="K30">
        <v>3.364341198898E-4</v>
      </c>
      <c r="L30" t="s">
        <v>251</v>
      </c>
      <c r="N30" t="s">
        <v>419</v>
      </c>
      <c r="O30" t="s">
        <v>1635</v>
      </c>
      <c r="P30">
        <v>9.330077952716658E-6</v>
      </c>
      <c r="Q30" t="s">
        <v>251</v>
      </c>
      <c r="S30" t="s">
        <v>420</v>
      </c>
      <c r="T30" t="s">
        <v>1635</v>
      </c>
      <c r="U30">
        <v>4.2607773880280293E-5</v>
      </c>
      <c r="V30" t="s">
        <v>251</v>
      </c>
      <c r="X30">
        <v>1.1415525114155251E-4</v>
      </c>
      <c r="Y30">
        <v>1.4054976837464471E-4</v>
      </c>
      <c r="Z30" t="s">
        <v>1635</v>
      </c>
      <c r="AA30" t="s">
        <v>25</v>
      </c>
      <c r="AC30" t="s">
        <v>22</v>
      </c>
      <c r="AD30" t="s">
        <v>1635</v>
      </c>
      <c r="AE30">
        <v>1.1230971800751819E-4</v>
      </c>
      <c r="AG30" t="s">
        <v>97</v>
      </c>
      <c r="AH30" t="s">
        <v>1635</v>
      </c>
      <c r="AI30">
        <v>0</v>
      </c>
      <c r="AK30">
        <v>2021</v>
      </c>
      <c r="AL30" t="s">
        <v>158</v>
      </c>
      <c r="AM30">
        <v>0.62492242342329907</v>
      </c>
      <c r="AN30" t="s">
        <v>430</v>
      </c>
    </row>
    <row r="31" spans="3:40" x14ac:dyDescent="0.45">
      <c r="E31" t="s">
        <v>1332</v>
      </c>
      <c r="G31" t="s">
        <v>155</v>
      </c>
      <c r="I31" t="s">
        <v>249</v>
      </c>
      <c r="J31" t="s">
        <v>1636</v>
      </c>
      <c r="K31">
        <v>3.191273256333E-4</v>
      </c>
      <c r="L31" t="s">
        <v>251</v>
      </c>
      <c r="N31" t="s">
        <v>419</v>
      </c>
      <c r="O31" t="s">
        <v>1636</v>
      </c>
      <c r="P31">
        <v>6.229886877580664E-6</v>
      </c>
      <c r="Q31" t="s">
        <v>251</v>
      </c>
      <c r="S31" t="s">
        <v>420</v>
      </c>
      <c r="T31" t="s">
        <v>1636</v>
      </c>
      <c r="U31">
        <v>3.7687013155221738E-5</v>
      </c>
      <c r="V31" t="s">
        <v>251</v>
      </c>
      <c r="X31">
        <v>1.1415525114155251E-4</v>
      </c>
      <c r="Y31">
        <v>1.4253868019126702E-4</v>
      </c>
      <c r="Z31" t="s">
        <v>1636</v>
      </c>
      <c r="AA31" t="s">
        <v>25</v>
      </c>
      <c r="AC31" t="s">
        <v>22</v>
      </c>
      <c r="AD31" t="s">
        <v>1636</v>
      </c>
      <c r="AE31">
        <v>1.2558576632253066E-4</v>
      </c>
      <c r="AG31" t="s">
        <v>97</v>
      </c>
      <c r="AH31" t="s">
        <v>1636</v>
      </c>
      <c r="AI31">
        <v>0</v>
      </c>
      <c r="AK31">
        <v>2021</v>
      </c>
      <c r="AL31" t="s">
        <v>162</v>
      </c>
      <c r="AM31">
        <v>0.57271626051018953</v>
      </c>
      <c r="AN31" t="s">
        <v>430</v>
      </c>
    </row>
    <row r="32" spans="3:40" x14ac:dyDescent="0.45">
      <c r="E32" t="s">
        <v>1333</v>
      </c>
      <c r="G32" t="s">
        <v>155</v>
      </c>
      <c r="I32" t="s">
        <v>249</v>
      </c>
      <c r="J32" t="s">
        <v>1637</v>
      </c>
      <c r="K32">
        <v>3.116878564896E-4</v>
      </c>
      <c r="L32" t="s">
        <v>251</v>
      </c>
      <c r="N32" t="s">
        <v>419</v>
      </c>
      <c r="O32" t="s">
        <v>1637</v>
      </c>
      <c r="P32">
        <v>5.0710646423762206E-6</v>
      </c>
      <c r="Q32" t="s">
        <v>251</v>
      </c>
      <c r="S32" t="s">
        <v>420</v>
      </c>
      <c r="T32" t="s">
        <v>1637</v>
      </c>
      <c r="U32">
        <v>3.3849328850382235E-5</v>
      </c>
      <c r="V32" t="s">
        <v>251</v>
      </c>
      <c r="X32">
        <v>1.1415525114155251E-4</v>
      </c>
      <c r="Y32">
        <v>1.4883690094390442E-4</v>
      </c>
      <c r="Z32" t="s">
        <v>1637</v>
      </c>
      <c r="AA32" t="s">
        <v>25</v>
      </c>
      <c r="AC32" t="s">
        <v>22</v>
      </c>
      <c r="AD32" t="s">
        <v>1637</v>
      </c>
      <c r="AE32">
        <v>1.2459752741220706E-4</v>
      </c>
      <c r="AG32" t="s">
        <v>97</v>
      </c>
      <c r="AH32" t="s">
        <v>1637</v>
      </c>
      <c r="AI32">
        <v>0</v>
      </c>
      <c r="AK32">
        <v>2021</v>
      </c>
      <c r="AL32" t="s">
        <v>175</v>
      </c>
      <c r="AM32">
        <v>0.48298602012623709</v>
      </c>
      <c r="AN32" t="s">
        <v>430</v>
      </c>
    </row>
    <row r="33" spans="5:40" x14ac:dyDescent="0.45">
      <c r="E33" t="s">
        <v>1334</v>
      </c>
      <c r="G33" t="s">
        <v>155</v>
      </c>
      <c r="I33" t="s">
        <v>249</v>
      </c>
      <c r="J33" t="s">
        <v>1638</v>
      </c>
      <c r="K33">
        <v>3.338776780316E-4</v>
      </c>
      <c r="L33" t="s">
        <v>251</v>
      </c>
      <c r="N33" t="s">
        <v>419</v>
      </c>
      <c r="O33" t="s">
        <v>1638</v>
      </c>
      <c r="P33">
        <v>5.6379949758625118E-6</v>
      </c>
      <c r="Q33" t="s">
        <v>251</v>
      </c>
      <c r="S33" t="s">
        <v>420</v>
      </c>
      <c r="T33" t="s">
        <v>1638</v>
      </c>
      <c r="U33">
        <v>3.0950443174123999E-5</v>
      </c>
      <c r="V33" t="s">
        <v>251</v>
      </c>
      <c r="X33">
        <v>1.1415525114155251E-4</v>
      </c>
      <c r="Y33">
        <v>1.5049432745775637E-4</v>
      </c>
      <c r="Z33" t="s">
        <v>1638</v>
      </c>
      <c r="AA33" t="s">
        <v>25</v>
      </c>
      <c r="AC33" t="s">
        <v>22</v>
      </c>
      <c r="AD33" t="s">
        <v>1638</v>
      </c>
      <c r="AE33">
        <v>1.2649490155457581E-4</v>
      </c>
      <c r="AG33" t="s">
        <v>97</v>
      </c>
      <c r="AH33" t="s">
        <v>1638</v>
      </c>
      <c r="AI33">
        <v>0</v>
      </c>
      <c r="AK33">
        <v>2021</v>
      </c>
      <c r="AL33" t="s">
        <v>166</v>
      </c>
      <c r="AM33">
        <v>0.3141180941522968</v>
      </c>
      <c r="AN33" t="s">
        <v>430</v>
      </c>
    </row>
    <row r="34" spans="5:40" x14ac:dyDescent="0.45">
      <c r="E34" t="s">
        <v>1335</v>
      </c>
      <c r="G34" t="s">
        <v>155</v>
      </c>
      <c r="I34" t="s">
        <v>249</v>
      </c>
      <c r="J34" t="s">
        <v>1639</v>
      </c>
      <c r="K34">
        <v>3.3378218233020001E-4</v>
      </c>
      <c r="L34" t="s">
        <v>251</v>
      </c>
      <c r="N34" t="s">
        <v>419</v>
      </c>
      <c r="O34" t="s">
        <v>1639</v>
      </c>
      <c r="P34">
        <v>7.2312219322781172E-6</v>
      </c>
      <c r="Q34" t="s">
        <v>251</v>
      </c>
      <c r="S34" t="s">
        <v>420</v>
      </c>
      <c r="T34" t="s">
        <v>1639</v>
      </c>
      <c r="U34">
        <v>3.0652579048151405E-5</v>
      </c>
      <c r="V34" t="s">
        <v>251</v>
      </c>
      <c r="X34">
        <v>1.1415525114155251E-4</v>
      </c>
      <c r="Y34">
        <v>1.7237235744060203E-4</v>
      </c>
      <c r="Z34" t="s">
        <v>1639</v>
      </c>
      <c r="AA34" t="s">
        <v>25</v>
      </c>
      <c r="AC34" t="s">
        <v>22</v>
      </c>
      <c r="AD34" t="s">
        <v>1639</v>
      </c>
      <c r="AE34">
        <v>1.1324113596583895E-4</v>
      </c>
      <c r="AG34" t="s">
        <v>97</v>
      </c>
      <c r="AH34" t="s">
        <v>1639</v>
      </c>
      <c r="AI34">
        <v>0</v>
      </c>
      <c r="AK34">
        <v>2021</v>
      </c>
      <c r="AL34" t="s">
        <v>178</v>
      </c>
      <c r="AM34">
        <v>0.2580139476938495</v>
      </c>
      <c r="AN34" t="s">
        <v>430</v>
      </c>
    </row>
    <row r="35" spans="5:40" x14ac:dyDescent="0.45">
      <c r="E35" t="s">
        <v>1336</v>
      </c>
      <c r="G35" t="s">
        <v>155</v>
      </c>
      <c r="I35" t="s">
        <v>249</v>
      </c>
      <c r="J35" t="s">
        <v>1640</v>
      </c>
      <c r="K35">
        <v>3.0191999967140002E-4</v>
      </c>
      <c r="L35" t="s">
        <v>251</v>
      </c>
      <c r="N35" t="s">
        <v>419</v>
      </c>
      <c r="O35" t="s">
        <v>1640</v>
      </c>
      <c r="P35">
        <v>9.5099756253991198E-6</v>
      </c>
      <c r="Q35" t="s">
        <v>251</v>
      </c>
      <c r="S35" t="s">
        <v>420</v>
      </c>
      <c r="T35" t="s">
        <v>1640</v>
      </c>
      <c r="U35">
        <v>3.3438395011833905E-5</v>
      </c>
      <c r="V35" t="s">
        <v>251</v>
      </c>
      <c r="X35">
        <v>1.1415525114155251E-4</v>
      </c>
      <c r="Y35">
        <v>2.2209515285616027E-4</v>
      </c>
      <c r="Z35" t="s">
        <v>1640</v>
      </c>
      <c r="AA35" t="s">
        <v>25</v>
      </c>
      <c r="AC35" t="s">
        <v>22</v>
      </c>
      <c r="AD35" t="s">
        <v>1640</v>
      </c>
      <c r="AE35">
        <v>9.154444539127096E-5</v>
      </c>
      <c r="AG35" t="s">
        <v>97</v>
      </c>
      <c r="AH35" t="s">
        <v>1640</v>
      </c>
      <c r="AI35">
        <v>0</v>
      </c>
      <c r="AK35">
        <v>2022</v>
      </c>
      <c r="AL35" t="s">
        <v>151</v>
      </c>
      <c r="AM35">
        <v>0.22856863093367569</v>
      </c>
      <c r="AN35" t="s">
        <v>430</v>
      </c>
    </row>
    <row r="36" spans="5:40" x14ac:dyDescent="0.45">
      <c r="E36" t="s">
        <v>1337</v>
      </c>
      <c r="G36" t="s">
        <v>155</v>
      </c>
      <c r="I36" t="s">
        <v>249</v>
      </c>
      <c r="J36" t="s">
        <v>1641</v>
      </c>
      <c r="K36">
        <v>2.2459887024820001E-4</v>
      </c>
      <c r="L36" t="s">
        <v>251</v>
      </c>
      <c r="N36" t="s">
        <v>419</v>
      </c>
      <c r="O36" t="s">
        <v>1641</v>
      </c>
      <c r="P36">
        <v>1.3335021179674559E-5</v>
      </c>
      <c r="Q36" t="s">
        <v>251</v>
      </c>
      <c r="S36" t="s">
        <v>420</v>
      </c>
      <c r="T36" t="s">
        <v>1641</v>
      </c>
      <c r="U36">
        <v>3.8119897146914713E-5</v>
      </c>
      <c r="V36" t="s">
        <v>251</v>
      </c>
      <c r="X36">
        <v>1.1415525114155251E-4</v>
      </c>
      <c r="Y36">
        <v>2.2209515285616027E-4</v>
      </c>
      <c r="Z36" t="s">
        <v>1641</v>
      </c>
      <c r="AA36" t="s">
        <v>25</v>
      </c>
      <c r="AC36" t="s">
        <v>22</v>
      </c>
      <c r="AD36" t="s">
        <v>1641</v>
      </c>
      <c r="AE36">
        <v>5.9819413856361667E-5</v>
      </c>
      <c r="AG36" t="s">
        <v>97</v>
      </c>
      <c r="AH36" t="s">
        <v>1641</v>
      </c>
      <c r="AI36">
        <v>0</v>
      </c>
      <c r="AK36">
        <v>2022</v>
      </c>
      <c r="AL36" t="s">
        <v>156</v>
      </c>
      <c r="AM36">
        <v>0.25211270446340328</v>
      </c>
      <c r="AN36" t="s">
        <v>430</v>
      </c>
    </row>
    <row r="37" spans="5:40" x14ac:dyDescent="0.45">
      <c r="E37" t="s">
        <v>1338</v>
      </c>
      <c r="G37" t="s">
        <v>155</v>
      </c>
      <c r="I37" t="s">
        <v>249</v>
      </c>
      <c r="J37" t="s">
        <v>1642</v>
      </c>
      <c r="K37">
        <v>1.061334633178E-4</v>
      </c>
      <c r="L37" t="s">
        <v>251</v>
      </c>
      <c r="N37" t="s">
        <v>419</v>
      </c>
      <c r="O37" t="s">
        <v>1642</v>
      </c>
      <c r="P37">
        <v>2.6857705982685822E-5</v>
      </c>
      <c r="Q37" t="s">
        <v>251</v>
      </c>
      <c r="S37" t="s">
        <v>420</v>
      </c>
      <c r="T37" t="s">
        <v>1642</v>
      </c>
      <c r="U37">
        <v>4.2855338982258301E-5</v>
      </c>
      <c r="V37" t="s">
        <v>251</v>
      </c>
      <c r="X37">
        <v>1.1415525114155251E-4</v>
      </c>
      <c r="Y37">
        <v>1.7237235744060203E-4</v>
      </c>
      <c r="Z37" t="s">
        <v>1642</v>
      </c>
      <c r="AA37" t="s">
        <v>25</v>
      </c>
      <c r="AC37" t="s">
        <v>22</v>
      </c>
      <c r="AD37" t="s">
        <v>1642</v>
      </c>
      <c r="AE37">
        <v>3.0825130426529159E-5</v>
      </c>
      <c r="AG37" t="s">
        <v>97</v>
      </c>
      <c r="AH37" t="s">
        <v>1642</v>
      </c>
      <c r="AI37">
        <v>0</v>
      </c>
      <c r="AK37">
        <v>2022</v>
      </c>
      <c r="AL37" t="s">
        <v>159</v>
      </c>
      <c r="AM37">
        <v>0.3193698678799306</v>
      </c>
      <c r="AN37" t="s">
        <v>430</v>
      </c>
    </row>
    <row r="38" spans="5:40" x14ac:dyDescent="0.45">
      <c r="E38" t="s">
        <v>1339</v>
      </c>
      <c r="G38" t="s">
        <v>155</v>
      </c>
      <c r="I38" t="s">
        <v>249</v>
      </c>
      <c r="J38" t="s">
        <v>1643</v>
      </c>
      <c r="K38">
        <v>0</v>
      </c>
      <c r="L38" t="s">
        <v>251</v>
      </c>
      <c r="N38" t="s">
        <v>419</v>
      </c>
      <c r="O38" t="s">
        <v>1643</v>
      </c>
      <c r="P38">
        <v>4.5630584210178825E-5</v>
      </c>
      <c r="Q38" t="s">
        <v>251</v>
      </c>
      <c r="S38" t="s">
        <v>420</v>
      </c>
      <c r="T38" t="s">
        <v>1643</v>
      </c>
      <c r="U38">
        <v>4.5928017038916581E-5</v>
      </c>
      <c r="V38" t="s">
        <v>251</v>
      </c>
      <c r="X38">
        <v>1.1415525114155251E-4</v>
      </c>
      <c r="Y38">
        <v>1.5579809230208258E-4</v>
      </c>
      <c r="Z38" t="s">
        <v>1643</v>
      </c>
      <c r="AA38" t="s">
        <v>25</v>
      </c>
      <c r="AC38" t="s">
        <v>22</v>
      </c>
      <c r="AD38" t="s">
        <v>1643</v>
      </c>
      <c r="AE38">
        <v>2.7576308935544232E-5</v>
      </c>
      <c r="AG38" t="s">
        <v>97</v>
      </c>
      <c r="AH38" t="s">
        <v>1643</v>
      </c>
      <c r="AI38">
        <v>0</v>
      </c>
      <c r="AK38">
        <v>2022</v>
      </c>
      <c r="AL38" t="s">
        <v>163</v>
      </c>
      <c r="AM38">
        <v>0.3594286789966587</v>
      </c>
      <c r="AN38" t="s">
        <v>430</v>
      </c>
    </row>
    <row r="39" spans="5:40" x14ac:dyDescent="0.45">
      <c r="E39" t="s">
        <v>1340</v>
      </c>
      <c r="G39" t="s">
        <v>155</v>
      </c>
      <c r="I39" t="s">
        <v>249</v>
      </c>
      <c r="J39" t="s">
        <v>1644</v>
      </c>
      <c r="K39">
        <v>0</v>
      </c>
      <c r="L39" t="s">
        <v>251</v>
      </c>
      <c r="N39" t="s">
        <v>419</v>
      </c>
      <c r="O39" t="s">
        <v>1644</v>
      </c>
      <c r="P39">
        <v>6.2598676406875294E-5</v>
      </c>
      <c r="Q39" t="s">
        <v>251</v>
      </c>
      <c r="S39" t="s">
        <v>420</v>
      </c>
      <c r="T39" t="s">
        <v>1644</v>
      </c>
      <c r="U39">
        <v>4.6998615878011201E-5</v>
      </c>
      <c r="V39" t="s">
        <v>251</v>
      </c>
      <c r="X39">
        <v>1.1415525114155251E-4</v>
      </c>
      <c r="Y39">
        <v>1.093901499142282E-4</v>
      </c>
      <c r="Z39" t="s">
        <v>1644</v>
      </c>
      <c r="AA39" t="s">
        <v>25</v>
      </c>
      <c r="AC39" t="s">
        <v>22</v>
      </c>
      <c r="AD39" t="s">
        <v>1644</v>
      </c>
      <c r="AE39">
        <v>2.8818570925409885E-5</v>
      </c>
      <c r="AG39" t="s">
        <v>97</v>
      </c>
      <c r="AH39" t="s">
        <v>1644</v>
      </c>
      <c r="AI39">
        <v>0</v>
      </c>
      <c r="AK39">
        <v>2022</v>
      </c>
      <c r="AL39" t="s">
        <v>167</v>
      </c>
      <c r="AM39">
        <v>0.3851224877375633</v>
      </c>
      <c r="AN39" t="s">
        <v>430</v>
      </c>
    </row>
    <row r="40" spans="5:40" x14ac:dyDescent="0.45">
      <c r="E40" t="s">
        <v>1341</v>
      </c>
      <c r="G40" t="s">
        <v>155</v>
      </c>
      <c r="I40" t="s">
        <v>249</v>
      </c>
      <c r="J40" t="s">
        <v>1645</v>
      </c>
      <c r="K40">
        <v>0</v>
      </c>
      <c r="L40" t="s">
        <v>251</v>
      </c>
      <c r="N40" t="s">
        <v>419</v>
      </c>
      <c r="O40" t="s">
        <v>1645</v>
      </c>
      <c r="P40">
        <v>7.5658894593583185E-5</v>
      </c>
      <c r="Q40" t="s">
        <v>251</v>
      </c>
      <c r="S40" t="s">
        <v>420</v>
      </c>
      <c r="T40" t="s">
        <v>1645</v>
      </c>
      <c r="U40">
        <v>4.7083153975449134E-5</v>
      </c>
      <c r="V40" t="s">
        <v>251</v>
      </c>
      <c r="X40">
        <v>1.1415525114155251E-4</v>
      </c>
      <c r="Y40">
        <v>7.9556472664893237E-5</v>
      </c>
      <c r="Z40" t="s">
        <v>1645</v>
      </c>
      <c r="AA40" t="s">
        <v>25</v>
      </c>
      <c r="AC40" t="s">
        <v>22</v>
      </c>
      <c r="AD40" t="s">
        <v>1645</v>
      </c>
      <c r="AE40">
        <v>2.8146746728200017E-5</v>
      </c>
      <c r="AG40" t="s">
        <v>97</v>
      </c>
      <c r="AH40" t="s">
        <v>1645</v>
      </c>
      <c r="AI40">
        <v>0</v>
      </c>
      <c r="AK40">
        <v>2022</v>
      </c>
      <c r="AL40" t="s">
        <v>169</v>
      </c>
      <c r="AM40">
        <v>0.43060849922349292</v>
      </c>
      <c r="AN40" t="s">
        <v>430</v>
      </c>
    </row>
    <row r="41" spans="5:40" x14ac:dyDescent="0.45">
      <c r="E41" t="s">
        <v>1342</v>
      </c>
      <c r="G41" t="s">
        <v>155</v>
      </c>
      <c r="I41" t="s">
        <v>249</v>
      </c>
      <c r="J41" t="s">
        <v>1646</v>
      </c>
      <c r="K41">
        <v>0</v>
      </c>
      <c r="L41" t="s">
        <v>251</v>
      </c>
      <c r="N41" t="s">
        <v>419</v>
      </c>
      <c r="O41" t="s">
        <v>1646</v>
      </c>
      <c r="P41">
        <v>7.7667839129804664E-5</v>
      </c>
      <c r="Q41" t="s">
        <v>251</v>
      </c>
      <c r="S41" t="s">
        <v>420</v>
      </c>
      <c r="T41" t="s">
        <v>1646</v>
      </c>
      <c r="U41">
        <v>4.5599776191024481E-5</v>
      </c>
      <c r="V41" t="s">
        <v>251</v>
      </c>
      <c r="X41">
        <v>1.1415525114155251E-4</v>
      </c>
      <c r="Y41">
        <v>5.6352501470966035E-5</v>
      </c>
      <c r="Z41" t="s">
        <v>1646</v>
      </c>
      <c r="AA41" t="s">
        <v>25</v>
      </c>
      <c r="AC41" t="s">
        <v>22</v>
      </c>
      <c r="AD41" t="s">
        <v>1646</v>
      </c>
      <c r="AE41">
        <v>3.1021218417754579E-5</v>
      </c>
      <c r="AG41" t="s">
        <v>97</v>
      </c>
      <c r="AH41" t="s">
        <v>1646</v>
      </c>
      <c r="AI41">
        <v>0</v>
      </c>
      <c r="AK41">
        <v>2022</v>
      </c>
      <c r="AL41" t="s">
        <v>171</v>
      </c>
      <c r="AM41">
        <v>0.58949643171063837</v>
      </c>
      <c r="AN41" t="s">
        <v>430</v>
      </c>
    </row>
    <row r="42" spans="5:40" x14ac:dyDescent="0.45">
      <c r="E42" t="s">
        <v>1343</v>
      </c>
      <c r="G42" t="s">
        <v>155</v>
      </c>
      <c r="I42" t="s">
        <v>249</v>
      </c>
      <c r="J42" t="s">
        <v>1647</v>
      </c>
      <c r="K42">
        <v>0</v>
      </c>
      <c r="L42" t="s">
        <v>251</v>
      </c>
      <c r="N42" t="s">
        <v>419</v>
      </c>
      <c r="O42" t="s">
        <v>1647</v>
      </c>
      <c r="P42">
        <v>7.8043664461395707E-5</v>
      </c>
      <c r="Q42" t="s">
        <v>251</v>
      </c>
      <c r="S42" t="s">
        <v>420</v>
      </c>
      <c r="T42" t="s">
        <v>1647</v>
      </c>
      <c r="U42">
        <v>4.3641782147626001E-5</v>
      </c>
      <c r="V42" t="s">
        <v>251</v>
      </c>
      <c r="X42">
        <v>1.1415525114155251E-4</v>
      </c>
      <c r="Y42">
        <v>2.9833677249334962E-5</v>
      </c>
      <c r="Z42" t="s">
        <v>1647</v>
      </c>
      <c r="AA42" t="s">
        <v>25</v>
      </c>
      <c r="AC42" t="s">
        <v>22</v>
      </c>
      <c r="AD42" t="s">
        <v>1647</v>
      </c>
      <c r="AE42">
        <v>5.0812735895757357E-5</v>
      </c>
      <c r="AG42" t="s">
        <v>97</v>
      </c>
      <c r="AH42" t="s">
        <v>1647</v>
      </c>
      <c r="AI42">
        <v>0</v>
      </c>
      <c r="AK42">
        <v>2022</v>
      </c>
      <c r="AL42" t="s">
        <v>158</v>
      </c>
      <c r="AM42">
        <v>0.70961593638562115</v>
      </c>
      <c r="AN42" t="s">
        <v>430</v>
      </c>
    </row>
    <row r="43" spans="5:40" x14ac:dyDescent="0.45">
      <c r="E43" t="s">
        <v>1344</v>
      </c>
      <c r="G43" t="s">
        <v>155</v>
      </c>
      <c r="I43" t="s">
        <v>249</v>
      </c>
      <c r="J43" t="s">
        <v>1648</v>
      </c>
      <c r="K43">
        <v>0</v>
      </c>
      <c r="L43" t="s">
        <v>251</v>
      </c>
      <c r="N43" t="s">
        <v>419</v>
      </c>
      <c r="O43" t="s">
        <v>1648</v>
      </c>
      <c r="P43">
        <v>7.6328546651527042E-5</v>
      </c>
      <c r="Q43" t="s">
        <v>251</v>
      </c>
      <c r="S43" t="s">
        <v>420</v>
      </c>
      <c r="T43" t="s">
        <v>1648</v>
      </c>
      <c r="U43">
        <v>4.1339868878667899E-5</v>
      </c>
      <c r="V43" t="s">
        <v>251</v>
      </c>
      <c r="X43">
        <v>1.1415525114155251E-4</v>
      </c>
      <c r="Y43">
        <v>2.1546544680075254E-5</v>
      </c>
      <c r="Z43" t="s">
        <v>1648</v>
      </c>
      <c r="AA43" t="s">
        <v>25</v>
      </c>
      <c r="AC43" t="s">
        <v>22</v>
      </c>
      <c r="AD43" t="s">
        <v>1648</v>
      </c>
      <c r="AE43">
        <v>5.9011665028870536E-5</v>
      </c>
      <c r="AG43" t="s">
        <v>97</v>
      </c>
      <c r="AH43" t="s">
        <v>1648</v>
      </c>
      <c r="AI43">
        <v>0</v>
      </c>
      <c r="AK43">
        <v>2022</v>
      </c>
      <c r="AL43" t="s">
        <v>162</v>
      </c>
      <c r="AM43">
        <v>0.69297378700174128</v>
      </c>
      <c r="AN43" t="s">
        <v>430</v>
      </c>
    </row>
    <row r="44" spans="5:40" x14ac:dyDescent="0.45">
      <c r="E44" t="s">
        <v>1345</v>
      </c>
      <c r="G44" t="s">
        <v>155</v>
      </c>
      <c r="I44" t="s">
        <v>249</v>
      </c>
      <c r="J44" t="s">
        <v>1649</v>
      </c>
      <c r="K44">
        <v>0</v>
      </c>
      <c r="L44" t="s">
        <v>251</v>
      </c>
      <c r="N44" t="s">
        <v>419</v>
      </c>
      <c r="O44" t="s">
        <v>1649</v>
      </c>
      <c r="P44">
        <v>6.7227475322915751E-5</v>
      </c>
      <c r="Q44" t="s">
        <v>251</v>
      </c>
      <c r="S44" t="s">
        <v>420</v>
      </c>
      <c r="T44" t="s">
        <v>1649</v>
      </c>
      <c r="U44">
        <v>3.9511771272174201E-5</v>
      </c>
      <c r="V44" t="s">
        <v>251</v>
      </c>
      <c r="X44">
        <v>1.1415525114155251E-4</v>
      </c>
      <c r="Y44">
        <v>1.4916838624667481E-5</v>
      </c>
      <c r="Z44" t="s">
        <v>1649</v>
      </c>
      <c r="AA44" t="s">
        <v>25</v>
      </c>
      <c r="AC44" t="s">
        <v>22</v>
      </c>
      <c r="AD44" t="s">
        <v>1649</v>
      </c>
      <c r="AE44">
        <v>7.9502860111927697E-5</v>
      </c>
      <c r="AG44" t="s">
        <v>97</v>
      </c>
      <c r="AH44" t="s">
        <v>1649</v>
      </c>
      <c r="AI44">
        <v>0</v>
      </c>
      <c r="AK44">
        <v>2022</v>
      </c>
      <c r="AL44" t="s">
        <v>175</v>
      </c>
      <c r="AM44">
        <v>0.49755662126035521</v>
      </c>
      <c r="AN44" t="s">
        <v>430</v>
      </c>
    </row>
    <row r="45" spans="5:40" x14ac:dyDescent="0.45">
      <c r="E45" t="s">
        <v>1346</v>
      </c>
      <c r="G45" t="s">
        <v>155</v>
      </c>
      <c r="I45" t="s">
        <v>249</v>
      </c>
      <c r="J45" t="s">
        <v>1650</v>
      </c>
      <c r="K45">
        <v>0</v>
      </c>
      <c r="L45" t="s">
        <v>251</v>
      </c>
      <c r="N45" t="s">
        <v>419</v>
      </c>
      <c r="O45" t="s">
        <v>1650</v>
      </c>
      <c r="P45">
        <v>5.2912868256254624E-5</v>
      </c>
      <c r="Q45" t="s">
        <v>251</v>
      </c>
      <c r="S45" t="s">
        <v>420</v>
      </c>
      <c r="T45" t="s">
        <v>1650</v>
      </c>
      <c r="U45">
        <v>3.887074046250373E-5</v>
      </c>
      <c r="V45" t="s">
        <v>251</v>
      </c>
      <c r="X45">
        <v>1.1415525114155251E-4</v>
      </c>
      <c r="Y45">
        <v>1.6574265138519424E-5</v>
      </c>
      <c r="Z45" t="s">
        <v>1650</v>
      </c>
      <c r="AA45" t="s">
        <v>25</v>
      </c>
      <c r="AC45" t="s">
        <v>22</v>
      </c>
      <c r="AD45" t="s">
        <v>1650</v>
      </c>
      <c r="AE45">
        <v>9.6115746686713718E-5</v>
      </c>
      <c r="AG45" t="s">
        <v>97</v>
      </c>
      <c r="AH45" t="s">
        <v>1650</v>
      </c>
      <c r="AI45">
        <v>0</v>
      </c>
      <c r="AK45">
        <v>2022</v>
      </c>
      <c r="AL45" t="s">
        <v>166</v>
      </c>
      <c r="AM45">
        <v>0.32030919102075389</v>
      </c>
      <c r="AN45" t="s">
        <v>430</v>
      </c>
    </row>
    <row r="46" spans="5:40" x14ac:dyDescent="0.45">
      <c r="E46" t="s">
        <v>1347</v>
      </c>
      <c r="G46" t="s">
        <v>155</v>
      </c>
      <c r="I46" t="s">
        <v>249</v>
      </c>
      <c r="J46" t="s">
        <v>1651</v>
      </c>
      <c r="K46">
        <v>0</v>
      </c>
      <c r="L46" t="s">
        <v>251</v>
      </c>
      <c r="N46" t="s">
        <v>419</v>
      </c>
      <c r="O46" t="s">
        <v>1651</v>
      </c>
      <c r="P46">
        <v>4.1558219854586153E-5</v>
      </c>
      <c r="Q46" t="s">
        <v>251</v>
      </c>
      <c r="S46" t="s">
        <v>420</v>
      </c>
      <c r="T46" t="s">
        <v>1651</v>
      </c>
      <c r="U46">
        <v>3.4553851165038529E-5</v>
      </c>
      <c r="V46" t="s">
        <v>251</v>
      </c>
      <c r="X46">
        <v>1.1415525114155251E-4</v>
      </c>
      <c r="Y46">
        <v>1.4585353321897093E-5</v>
      </c>
      <c r="Z46" t="s">
        <v>1651</v>
      </c>
      <c r="AA46" t="s">
        <v>25</v>
      </c>
      <c r="AC46" t="s">
        <v>22</v>
      </c>
      <c r="AD46" t="s">
        <v>1651</v>
      </c>
      <c r="AE46">
        <v>1.0185354870268504E-4</v>
      </c>
      <c r="AG46" t="s">
        <v>97</v>
      </c>
      <c r="AH46" t="s">
        <v>1651</v>
      </c>
      <c r="AI46">
        <v>0</v>
      </c>
      <c r="AK46">
        <v>2022</v>
      </c>
      <c r="AL46" t="s">
        <v>178</v>
      </c>
      <c r="AM46">
        <v>0.26614155656660882</v>
      </c>
      <c r="AN46" t="s">
        <v>430</v>
      </c>
    </row>
    <row r="47" spans="5:40" x14ac:dyDescent="0.45">
      <c r="E47" t="s">
        <v>1348</v>
      </c>
      <c r="G47" t="s">
        <v>155</v>
      </c>
      <c r="I47" t="s">
        <v>249</v>
      </c>
      <c r="J47" t="s">
        <v>1652</v>
      </c>
      <c r="K47">
        <v>0</v>
      </c>
      <c r="L47" t="s">
        <v>251</v>
      </c>
      <c r="N47" t="s">
        <v>419</v>
      </c>
      <c r="O47" t="s">
        <v>1652</v>
      </c>
      <c r="P47">
        <v>3.5941395657401949E-5</v>
      </c>
      <c r="Q47" t="s">
        <v>251</v>
      </c>
      <c r="S47" t="s">
        <v>420</v>
      </c>
      <c r="T47" t="s">
        <v>1652</v>
      </c>
      <c r="U47">
        <v>3.2071514371789057E-5</v>
      </c>
      <c r="V47" t="s">
        <v>251</v>
      </c>
      <c r="X47">
        <v>1.1415525114155251E-4</v>
      </c>
      <c r="Y47">
        <v>2.1215059377304864E-5</v>
      </c>
      <c r="Z47" t="s">
        <v>1652</v>
      </c>
      <c r="AA47" t="s">
        <v>25</v>
      </c>
      <c r="AC47" t="s">
        <v>22</v>
      </c>
      <c r="AD47" t="s">
        <v>1652</v>
      </c>
      <c r="AE47">
        <v>1.055123723571413E-4</v>
      </c>
      <c r="AG47" t="s">
        <v>97</v>
      </c>
      <c r="AH47" t="s">
        <v>1652</v>
      </c>
      <c r="AI47">
        <v>0</v>
      </c>
      <c r="AK47">
        <v>2025</v>
      </c>
      <c r="AL47" t="s">
        <v>151</v>
      </c>
      <c r="AM47">
        <v>0.2868</v>
      </c>
      <c r="AN47" t="s">
        <v>430</v>
      </c>
    </row>
    <row r="48" spans="5:40" x14ac:dyDescent="0.45">
      <c r="E48" t="s">
        <v>1349</v>
      </c>
      <c r="G48" t="s">
        <v>155</v>
      </c>
      <c r="I48" t="s">
        <v>249</v>
      </c>
      <c r="J48" t="s">
        <v>1653</v>
      </c>
      <c r="K48">
        <v>0</v>
      </c>
      <c r="L48" t="s">
        <v>251</v>
      </c>
      <c r="N48" t="s">
        <v>419</v>
      </c>
      <c r="O48" t="s">
        <v>1653</v>
      </c>
      <c r="P48">
        <v>3.2446742156875378E-5</v>
      </c>
      <c r="Q48" t="s">
        <v>251</v>
      </c>
      <c r="S48" t="s">
        <v>420</v>
      </c>
      <c r="T48" t="s">
        <v>1653</v>
      </c>
      <c r="U48">
        <v>3.0701005036181883E-5</v>
      </c>
      <c r="V48" t="s">
        <v>251</v>
      </c>
      <c r="X48">
        <v>1.1415525114155251E-4</v>
      </c>
      <c r="Y48">
        <v>5.7678442682047593E-5</v>
      </c>
      <c r="Z48" t="s">
        <v>1653</v>
      </c>
      <c r="AA48" t="s">
        <v>25</v>
      </c>
      <c r="AC48" t="s">
        <v>22</v>
      </c>
      <c r="AD48" t="s">
        <v>1653</v>
      </c>
      <c r="AE48">
        <v>1.0673012334810373E-4</v>
      </c>
      <c r="AG48" t="s">
        <v>97</v>
      </c>
      <c r="AH48" t="s">
        <v>1653</v>
      </c>
      <c r="AI48">
        <v>0</v>
      </c>
      <c r="AK48">
        <v>2025</v>
      </c>
      <c r="AL48" t="s">
        <v>156</v>
      </c>
      <c r="AM48">
        <v>0.30309999999999998</v>
      </c>
      <c r="AN48" t="s">
        <v>430</v>
      </c>
    </row>
    <row r="49" spans="5:40" x14ac:dyDescent="0.45">
      <c r="E49" t="s">
        <v>1350</v>
      </c>
      <c r="G49" t="s">
        <v>155</v>
      </c>
      <c r="I49" t="s">
        <v>249</v>
      </c>
      <c r="J49" t="s">
        <v>1654</v>
      </c>
      <c r="K49">
        <v>0</v>
      </c>
      <c r="L49" t="s">
        <v>251</v>
      </c>
      <c r="N49" t="s">
        <v>419</v>
      </c>
      <c r="O49" t="s">
        <v>1654</v>
      </c>
      <c r="P49">
        <v>3.1781173855077246E-5</v>
      </c>
      <c r="Q49" t="s">
        <v>251</v>
      </c>
      <c r="S49" t="s">
        <v>420</v>
      </c>
      <c r="T49" t="s">
        <v>1654</v>
      </c>
      <c r="U49">
        <v>3.0213406804209717E-5</v>
      </c>
      <c r="V49" t="s">
        <v>251</v>
      </c>
      <c r="X49">
        <v>1.1415525114155251E-4</v>
      </c>
      <c r="Y49">
        <v>1.6905750441289813E-4</v>
      </c>
      <c r="Z49" t="s">
        <v>1654</v>
      </c>
      <c r="AA49" t="s">
        <v>25</v>
      </c>
      <c r="AC49" t="s">
        <v>22</v>
      </c>
      <c r="AD49" t="s">
        <v>1654</v>
      </c>
      <c r="AE49">
        <v>1.0594911379214342E-4</v>
      </c>
      <c r="AG49" t="s">
        <v>97</v>
      </c>
      <c r="AH49" t="s">
        <v>1654</v>
      </c>
      <c r="AI49">
        <v>0</v>
      </c>
      <c r="AK49">
        <v>2025</v>
      </c>
      <c r="AL49" t="s">
        <v>159</v>
      </c>
      <c r="AM49">
        <v>0.30990000000000001</v>
      </c>
      <c r="AN49" t="s">
        <v>430</v>
      </c>
    </row>
    <row r="50" spans="5:40" x14ac:dyDescent="0.45">
      <c r="E50" t="s">
        <v>1351</v>
      </c>
      <c r="G50" t="s">
        <v>155</v>
      </c>
      <c r="I50" t="s">
        <v>249</v>
      </c>
      <c r="J50" t="s">
        <v>1655</v>
      </c>
      <c r="K50">
        <v>1.6318286718366594E-5</v>
      </c>
      <c r="L50" t="s">
        <v>251</v>
      </c>
      <c r="N50" t="s">
        <v>419</v>
      </c>
      <c r="O50" t="s">
        <v>1655</v>
      </c>
      <c r="P50">
        <v>3.3316584634803972E-5</v>
      </c>
      <c r="Q50" t="s">
        <v>251</v>
      </c>
      <c r="S50" t="s">
        <v>420</v>
      </c>
      <c r="T50" t="s">
        <v>1655</v>
      </c>
      <c r="U50">
        <v>3.1220359872913942E-5</v>
      </c>
      <c r="V50" t="s">
        <v>251</v>
      </c>
      <c r="X50">
        <v>1.1415525114155251E-4</v>
      </c>
      <c r="Y50">
        <v>1.9060404909297337E-4</v>
      </c>
      <c r="Z50" t="s">
        <v>1655</v>
      </c>
      <c r="AA50" t="s">
        <v>25</v>
      </c>
      <c r="AC50" t="s">
        <v>22</v>
      </c>
      <c r="AD50" t="s">
        <v>1655</v>
      </c>
      <c r="AE50">
        <v>1.0686493384207124E-4</v>
      </c>
      <c r="AG50" t="s">
        <v>97</v>
      </c>
      <c r="AH50" t="s">
        <v>1655</v>
      </c>
      <c r="AI50">
        <v>0</v>
      </c>
      <c r="AK50">
        <v>2025</v>
      </c>
      <c r="AL50" t="s">
        <v>163</v>
      </c>
      <c r="AM50">
        <v>0.3392</v>
      </c>
      <c r="AN50" t="s">
        <v>430</v>
      </c>
    </row>
    <row r="51" spans="5:40" x14ac:dyDescent="0.45">
      <c r="E51" t="s">
        <v>1352</v>
      </c>
      <c r="G51" t="s">
        <v>155</v>
      </c>
      <c r="I51" t="s">
        <v>249</v>
      </c>
      <c r="J51" t="s">
        <v>1656</v>
      </c>
      <c r="K51">
        <v>9.65642877903091E-5</v>
      </c>
      <c r="L51" t="s">
        <v>251</v>
      </c>
      <c r="N51" t="s">
        <v>419</v>
      </c>
      <c r="O51" t="s">
        <v>1656</v>
      </c>
      <c r="P51">
        <v>2.8332986751462186E-5</v>
      </c>
      <c r="Q51" t="s">
        <v>251</v>
      </c>
      <c r="S51" t="s">
        <v>420</v>
      </c>
      <c r="T51" t="s">
        <v>1656</v>
      </c>
      <c r="U51">
        <v>3.3370906179853256E-5</v>
      </c>
      <c r="V51" t="s">
        <v>251</v>
      </c>
      <c r="X51">
        <v>1.1415525114155251E-4</v>
      </c>
      <c r="Y51">
        <v>1.4585353321897094E-4</v>
      </c>
      <c r="Z51" t="s">
        <v>1656</v>
      </c>
      <c r="AA51" t="s">
        <v>25</v>
      </c>
      <c r="AC51" t="s">
        <v>22</v>
      </c>
      <c r="AD51" t="s">
        <v>1656</v>
      </c>
      <c r="AE51">
        <v>1.1696457952649452E-4</v>
      </c>
      <c r="AG51" t="s">
        <v>97</v>
      </c>
      <c r="AH51" t="s">
        <v>1656</v>
      </c>
      <c r="AI51">
        <v>0</v>
      </c>
      <c r="AK51">
        <v>2025</v>
      </c>
      <c r="AL51" t="s">
        <v>167</v>
      </c>
      <c r="AM51">
        <v>0.43769999999999998</v>
      </c>
      <c r="AN51" t="s">
        <v>430</v>
      </c>
    </row>
    <row r="52" spans="5:40" x14ac:dyDescent="0.45">
      <c r="E52" t="s">
        <v>1353</v>
      </c>
      <c r="G52" t="s">
        <v>155</v>
      </c>
      <c r="I52" t="s">
        <v>249</v>
      </c>
      <c r="J52" t="s">
        <v>1657</v>
      </c>
      <c r="K52">
        <v>1.768295332502E-4</v>
      </c>
      <c r="L52" t="s">
        <v>251</v>
      </c>
      <c r="N52" t="s">
        <v>419</v>
      </c>
      <c r="O52" t="s">
        <v>1657</v>
      </c>
      <c r="P52">
        <v>2.5780836965267096E-5</v>
      </c>
      <c r="Q52" t="s">
        <v>251</v>
      </c>
      <c r="S52" t="s">
        <v>420</v>
      </c>
      <c r="T52" t="s">
        <v>1657</v>
      </c>
      <c r="U52">
        <v>3.6287300045797154E-5</v>
      </c>
      <c r="V52" t="s">
        <v>251</v>
      </c>
      <c r="X52">
        <v>1.1415525114155251E-4</v>
      </c>
      <c r="Y52">
        <v>1.4452759200788939E-4</v>
      </c>
      <c r="Z52" t="s">
        <v>1657</v>
      </c>
      <c r="AA52" t="s">
        <v>25</v>
      </c>
      <c r="AC52" t="s">
        <v>22</v>
      </c>
      <c r="AD52" t="s">
        <v>1657</v>
      </c>
      <c r="AE52">
        <v>1.1708490624838285E-4</v>
      </c>
      <c r="AG52" t="s">
        <v>97</v>
      </c>
      <c r="AH52" t="s">
        <v>1657</v>
      </c>
      <c r="AI52">
        <v>0</v>
      </c>
      <c r="AK52">
        <v>2025</v>
      </c>
      <c r="AL52" t="s">
        <v>169</v>
      </c>
      <c r="AM52">
        <v>0.49469999999999997</v>
      </c>
      <c r="AN52" t="s">
        <v>430</v>
      </c>
    </row>
    <row r="53" spans="5:40" x14ac:dyDescent="0.45">
      <c r="E53" t="s">
        <v>1354</v>
      </c>
      <c r="G53" t="s">
        <v>155</v>
      </c>
      <c r="I53" t="s">
        <v>249</v>
      </c>
      <c r="J53" t="s">
        <v>1658</v>
      </c>
      <c r="K53">
        <v>2.2894565347530001E-4</v>
      </c>
      <c r="L53" t="s">
        <v>251</v>
      </c>
      <c r="N53" t="s">
        <v>419</v>
      </c>
      <c r="O53" t="s">
        <v>1658</v>
      </c>
      <c r="P53">
        <v>3.1192032332832465E-5</v>
      </c>
      <c r="Q53" t="s">
        <v>251</v>
      </c>
      <c r="S53" t="s">
        <v>420</v>
      </c>
      <c r="T53" t="s">
        <v>1658</v>
      </c>
      <c r="U53">
        <v>3.7425819590129727E-5</v>
      </c>
      <c r="V53" t="s">
        <v>251</v>
      </c>
      <c r="X53">
        <v>1.1415525114155251E-4</v>
      </c>
      <c r="Y53">
        <v>1.408812536774151E-4</v>
      </c>
      <c r="Z53" t="s">
        <v>1658</v>
      </c>
      <c r="AA53" t="s">
        <v>25</v>
      </c>
      <c r="AC53" t="s">
        <v>22</v>
      </c>
      <c r="AD53" t="s">
        <v>1658</v>
      </c>
      <c r="AE53">
        <v>1.0878904725597075E-4</v>
      </c>
      <c r="AG53" t="s">
        <v>97</v>
      </c>
      <c r="AH53" t="s">
        <v>1658</v>
      </c>
      <c r="AI53">
        <v>0</v>
      </c>
      <c r="AK53">
        <v>2025</v>
      </c>
      <c r="AL53" t="s">
        <v>171</v>
      </c>
      <c r="AM53">
        <v>0.67</v>
      </c>
      <c r="AN53" t="s">
        <v>430</v>
      </c>
    </row>
    <row r="54" spans="5:40" x14ac:dyDescent="0.45">
      <c r="E54" t="s">
        <v>1355</v>
      </c>
      <c r="G54" t="s">
        <v>155</v>
      </c>
      <c r="I54" t="s">
        <v>249</v>
      </c>
      <c r="J54" t="s">
        <v>1659</v>
      </c>
      <c r="K54">
        <v>2.6520095458380002E-4</v>
      </c>
      <c r="L54" t="s">
        <v>251</v>
      </c>
      <c r="N54" t="s">
        <v>419</v>
      </c>
      <c r="O54" t="s">
        <v>1659</v>
      </c>
      <c r="P54">
        <v>3.2001170169087115E-5</v>
      </c>
      <c r="Q54" t="s">
        <v>251</v>
      </c>
      <c r="S54" t="s">
        <v>420</v>
      </c>
      <c r="T54" t="s">
        <v>1659</v>
      </c>
      <c r="U54">
        <v>3.7653756985919823E-5</v>
      </c>
      <c r="V54" t="s">
        <v>251</v>
      </c>
      <c r="X54">
        <v>1.1415525114155251E-4</v>
      </c>
      <c r="Y54">
        <v>1.4054976837464471E-4</v>
      </c>
      <c r="Z54" t="s">
        <v>1659</v>
      </c>
      <c r="AA54" t="s">
        <v>25</v>
      </c>
      <c r="AC54" t="s">
        <v>22</v>
      </c>
      <c r="AD54" t="s">
        <v>1659</v>
      </c>
      <c r="AE54">
        <v>1.1230971800751819E-4</v>
      </c>
      <c r="AG54" t="s">
        <v>97</v>
      </c>
      <c r="AH54" t="s">
        <v>1659</v>
      </c>
      <c r="AI54">
        <v>0</v>
      </c>
      <c r="AK54">
        <v>2025</v>
      </c>
      <c r="AL54" t="s">
        <v>158</v>
      </c>
      <c r="AM54">
        <v>0.70209999999999995</v>
      </c>
      <c r="AN54" t="s">
        <v>430</v>
      </c>
    </row>
    <row r="55" spans="5:40" x14ac:dyDescent="0.45">
      <c r="E55" t="s">
        <v>1356</v>
      </c>
      <c r="G55" t="s">
        <v>155</v>
      </c>
      <c r="I55" t="s">
        <v>249</v>
      </c>
      <c r="J55" t="s">
        <v>1660</v>
      </c>
      <c r="K55">
        <v>2.8476499717039998E-4</v>
      </c>
      <c r="L55" t="s">
        <v>251</v>
      </c>
      <c r="N55" t="s">
        <v>419</v>
      </c>
      <c r="O55" t="s">
        <v>1660</v>
      </c>
      <c r="P55">
        <v>2.7930592761812571E-5</v>
      </c>
      <c r="Q55" t="s">
        <v>251</v>
      </c>
      <c r="S55" t="s">
        <v>420</v>
      </c>
      <c r="T55" t="s">
        <v>1660</v>
      </c>
      <c r="U55">
        <v>3.8923682043505854E-5</v>
      </c>
      <c r="V55" t="s">
        <v>251</v>
      </c>
      <c r="X55">
        <v>1.1415525114155251E-4</v>
      </c>
      <c r="Y55">
        <v>1.4253868019126702E-4</v>
      </c>
      <c r="Z55" t="s">
        <v>1660</v>
      </c>
      <c r="AA55" t="s">
        <v>25</v>
      </c>
      <c r="AC55" t="s">
        <v>22</v>
      </c>
      <c r="AD55" t="s">
        <v>1660</v>
      </c>
      <c r="AE55">
        <v>1.2377863722157811E-4</v>
      </c>
      <c r="AG55" t="s">
        <v>97</v>
      </c>
      <c r="AH55" t="s">
        <v>1660</v>
      </c>
      <c r="AI55">
        <v>0</v>
      </c>
      <c r="AK55">
        <v>2025</v>
      </c>
      <c r="AL55" t="s">
        <v>162</v>
      </c>
      <c r="AM55">
        <v>0.76329999999999998</v>
      </c>
      <c r="AN55" t="s">
        <v>430</v>
      </c>
    </row>
    <row r="56" spans="5:40" x14ac:dyDescent="0.45">
      <c r="E56" t="s">
        <v>1357</v>
      </c>
      <c r="G56" t="s">
        <v>155</v>
      </c>
      <c r="I56" t="s">
        <v>249</v>
      </c>
      <c r="J56" t="s">
        <v>1661</v>
      </c>
      <c r="K56">
        <v>2.883274081772E-4</v>
      </c>
      <c r="L56" t="s">
        <v>251</v>
      </c>
      <c r="N56" t="s">
        <v>419</v>
      </c>
      <c r="O56" t="s">
        <v>1661</v>
      </c>
      <c r="P56">
        <v>2.3766181313119611E-5</v>
      </c>
      <c r="Q56" t="s">
        <v>251</v>
      </c>
      <c r="S56" t="s">
        <v>420</v>
      </c>
      <c r="T56" t="s">
        <v>1661</v>
      </c>
      <c r="U56">
        <v>4.0413793998483567E-5</v>
      </c>
      <c r="V56" t="s">
        <v>251</v>
      </c>
      <c r="X56">
        <v>1.1415525114155251E-4</v>
      </c>
      <c r="Y56">
        <v>1.4883690094390442E-4</v>
      </c>
      <c r="Z56" t="s">
        <v>1661</v>
      </c>
      <c r="AA56" t="s">
        <v>25</v>
      </c>
      <c r="AC56" t="s">
        <v>22</v>
      </c>
      <c r="AD56" t="s">
        <v>1661</v>
      </c>
      <c r="AE56">
        <v>1.2707759484668319E-4</v>
      </c>
      <c r="AG56" t="s">
        <v>97</v>
      </c>
      <c r="AH56" t="s">
        <v>1661</v>
      </c>
      <c r="AI56">
        <v>0</v>
      </c>
      <c r="AK56">
        <v>2025</v>
      </c>
      <c r="AL56" t="s">
        <v>175</v>
      </c>
      <c r="AM56">
        <v>0.5343</v>
      </c>
      <c r="AN56" t="s">
        <v>430</v>
      </c>
    </row>
    <row r="57" spans="5:40" x14ac:dyDescent="0.45">
      <c r="E57" t="s">
        <v>1358</v>
      </c>
      <c r="G57" t="s">
        <v>155</v>
      </c>
      <c r="I57" t="s">
        <v>249</v>
      </c>
      <c r="J57" t="s">
        <v>1662</v>
      </c>
      <c r="K57">
        <v>3.0699912595090001E-4</v>
      </c>
      <c r="L57" t="s">
        <v>251</v>
      </c>
      <c r="N57" t="s">
        <v>419</v>
      </c>
      <c r="O57" t="s">
        <v>1662</v>
      </c>
      <c r="P57">
        <v>2.0981462509669548E-5</v>
      </c>
      <c r="Q57" t="s">
        <v>251</v>
      </c>
      <c r="S57" t="s">
        <v>420</v>
      </c>
      <c r="T57" t="s">
        <v>1662</v>
      </c>
      <c r="U57">
        <v>4.1603618805675125E-5</v>
      </c>
      <c r="V57" t="s">
        <v>251</v>
      </c>
      <c r="X57">
        <v>1.1415525114155251E-4</v>
      </c>
      <c r="Y57">
        <v>1.5049432745775637E-4</v>
      </c>
      <c r="Z57" t="s">
        <v>1662</v>
      </c>
      <c r="AA57" t="s">
        <v>25</v>
      </c>
      <c r="AC57" t="s">
        <v>22</v>
      </c>
      <c r="AD57" t="s">
        <v>1662</v>
      </c>
      <c r="AE57">
        <v>1.27332732062539E-4</v>
      </c>
      <c r="AG57" t="s">
        <v>97</v>
      </c>
      <c r="AH57" t="s">
        <v>1662</v>
      </c>
      <c r="AI57">
        <v>0</v>
      </c>
      <c r="AK57">
        <v>2025</v>
      </c>
      <c r="AL57" t="s">
        <v>166</v>
      </c>
      <c r="AM57">
        <v>0.37019999999999997</v>
      </c>
      <c r="AN57" t="s">
        <v>430</v>
      </c>
    </row>
    <row r="58" spans="5:40" x14ac:dyDescent="0.45">
      <c r="E58" t="s">
        <v>1359</v>
      </c>
      <c r="G58" t="s">
        <v>155</v>
      </c>
      <c r="I58" t="s">
        <v>249</v>
      </c>
      <c r="J58" t="s">
        <v>1663</v>
      </c>
      <c r="K58">
        <v>3.0438561246059998E-4</v>
      </c>
      <c r="L58" t="s">
        <v>251</v>
      </c>
      <c r="N58" t="s">
        <v>419</v>
      </c>
      <c r="O58" t="s">
        <v>1663</v>
      </c>
      <c r="P58">
        <v>1.4043377999252903E-5</v>
      </c>
      <c r="Q58" t="s">
        <v>251</v>
      </c>
      <c r="S58" t="s">
        <v>420</v>
      </c>
      <c r="T58" t="s">
        <v>1663</v>
      </c>
      <c r="U58">
        <v>4.0101143335756751E-5</v>
      </c>
      <c r="V58" t="s">
        <v>251</v>
      </c>
      <c r="X58">
        <v>1.1415525114155251E-4</v>
      </c>
      <c r="Y58">
        <v>1.7237235744060203E-4</v>
      </c>
      <c r="Z58" t="s">
        <v>1663</v>
      </c>
      <c r="AA58" t="s">
        <v>25</v>
      </c>
      <c r="AC58" t="s">
        <v>22</v>
      </c>
      <c r="AD58" t="s">
        <v>1663</v>
      </c>
      <c r="AE58">
        <v>1.1285898721021215E-4</v>
      </c>
      <c r="AG58" t="s">
        <v>97</v>
      </c>
      <c r="AH58" t="s">
        <v>1663</v>
      </c>
      <c r="AI58">
        <v>0</v>
      </c>
      <c r="AK58">
        <v>2025</v>
      </c>
      <c r="AL58" t="s">
        <v>178</v>
      </c>
      <c r="AM58">
        <v>0.314</v>
      </c>
      <c r="AN58" t="s">
        <v>430</v>
      </c>
    </row>
    <row r="59" spans="5:40" x14ac:dyDescent="0.45">
      <c r="E59" t="s">
        <v>1360</v>
      </c>
      <c r="G59" t="s">
        <v>155</v>
      </c>
      <c r="I59" t="s">
        <v>249</v>
      </c>
      <c r="J59" t="s">
        <v>1664</v>
      </c>
      <c r="K59">
        <v>2.6998888371090001E-4</v>
      </c>
      <c r="L59" t="s">
        <v>251</v>
      </c>
      <c r="N59" t="s">
        <v>419</v>
      </c>
      <c r="O59" t="s">
        <v>1664</v>
      </c>
      <c r="P59">
        <v>1.6295482529869128E-5</v>
      </c>
      <c r="Q59" t="s">
        <v>251</v>
      </c>
      <c r="S59" t="s">
        <v>420</v>
      </c>
      <c r="T59" t="s">
        <v>1664</v>
      </c>
      <c r="U59">
        <v>4.4403803615624127E-5</v>
      </c>
      <c r="V59" t="s">
        <v>251</v>
      </c>
      <c r="X59">
        <v>1.1415525114155251E-4</v>
      </c>
      <c r="Y59">
        <v>2.2209515285616027E-4</v>
      </c>
      <c r="Z59" t="s">
        <v>1664</v>
      </c>
      <c r="AA59" t="s">
        <v>25</v>
      </c>
      <c r="AC59" t="s">
        <v>22</v>
      </c>
      <c r="AD59" t="s">
        <v>1664</v>
      </c>
      <c r="AE59">
        <v>8.903541041263651E-5</v>
      </c>
      <c r="AG59" t="s">
        <v>97</v>
      </c>
      <c r="AH59" t="s">
        <v>1664</v>
      </c>
      <c r="AI59">
        <v>0</v>
      </c>
      <c r="AK59">
        <v>2026</v>
      </c>
      <c r="AL59" t="s">
        <v>151</v>
      </c>
      <c r="AM59">
        <v>0.25640000000000002</v>
      </c>
      <c r="AN59" t="s">
        <v>430</v>
      </c>
    </row>
    <row r="60" spans="5:40" x14ac:dyDescent="0.45">
      <c r="E60" t="s">
        <v>1361</v>
      </c>
      <c r="G60" t="s">
        <v>155</v>
      </c>
      <c r="I60" t="s">
        <v>249</v>
      </c>
      <c r="J60" t="s">
        <v>1665</v>
      </c>
      <c r="K60">
        <v>1.89437564711E-4</v>
      </c>
      <c r="L60" t="s">
        <v>251</v>
      </c>
      <c r="N60" t="s">
        <v>419</v>
      </c>
      <c r="O60" t="s">
        <v>1665</v>
      </c>
      <c r="P60">
        <v>2.3270379187868939E-5</v>
      </c>
      <c r="Q60" t="s">
        <v>251</v>
      </c>
      <c r="S60" t="s">
        <v>420</v>
      </c>
      <c r="T60" t="s">
        <v>1665</v>
      </c>
      <c r="U60">
        <v>4.9749807074877904E-5</v>
      </c>
      <c r="V60" t="s">
        <v>251</v>
      </c>
      <c r="X60">
        <v>1.1415525114155251E-4</v>
      </c>
      <c r="Y60">
        <v>2.2209515285616027E-4</v>
      </c>
      <c r="Z60" t="s">
        <v>1665</v>
      </c>
      <c r="AA60" t="s">
        <v>25</v>
      </c>
      <c r="AC60" t="s">
        <v>22</v>
      </c>
      <c r="AD60" t="s">
        <v>1665</v>
      </c>
      <c r="AE60">
        <v>5.9399384466066261E-5</v>
      </c>
      <c r="AG60" t="s">
        <v>97</v>
      </c>
      <c r="AH60" t="s">
        <v>1665</v>
      </c>
      <c r="AI60">
        <v>0</v>
      </c>
      <c r="AK60">
        <v>2026</v>
      </c>
      <c r="AL60" t="s">
        <v>156</v>
      </c>
      <c r="AM60">
        <v>0.2974</v>
      </c>
      <c r="AN60" t="s">
        <v>430</v>
      </c>
    </row>
    <row r="61" spans="5:40" x14ac:dyDescent="0.45">
      <c r="E61" t="s">
        <v>1362</v>
      </c>
      <c r="G61" t="s">
        <v>155</v>
      </c>
      <c r="I61" t="s">
        <v>249</v>
      </c>
      <c r="J61" t="s">
        <v>1666</v>
      </c>
      <c r="K61">
        <v>8.1722563758347705E-5</v>
      </c>
      <c r="L61" t="s">
        <v>251</v>
      </c>
      <c r="N61" t="s">
        <v>419</v>
      </c>
      <c r="O61" t="s">
        <v>1666</v>
      </c>
      <c r="P61">
        <v>4.4054094003367314E-5</v>
      </c>
      <c r="Q61" t="s">
        <v>251</v>
      </c>
      <c r="S61" t="s">
        <v>420</v>
      </c>
      <c r="T61" t="s">
        <v>1666</v>
      </c>
      <c r="U61">
        <v>5.5147147619474803E-5</v>
      </c>
      <c r="V61" t="s">
        <v>251</v>
      </c>
      <c r="X61">
        <v>1.1415525114155251E-4</v>
      </c>
      <c r="Y61">
        <v>1.7237235744060203E-4</v>
      </c>
      <c r="Z61" t="s">
        <v>1666</v>
      </c>
      <c r="AA61" t="s">
        <v>25</v>
      </c>
      <c r="AC61" t="s">
        <v>22</v>
      </c>
      <c r="AD61" t="s">
        <v>1666</v>
      </c>
      <c r="AE61">
        <v>3.0825130426529139E-5</v>
      </c>
      <c r="AG61" t="s">
        <v>97</v>
      </c>
      <c r="AH61" t="s">
        <v>1666</v>
      </c>
      <c r="AI61">
        <v>0</v>
      </c>
      <c r="AK61">
        <v>2026</v>
      </c>
      <c r="AL61" t="s">
        <v>159</v>
      </c>
      <c r="AM61">
        <v>0.30530000000000002</v>
      </c>
      <c r="AN61" t="s">
        <v>430</v>
      </c>
    </row>
    <row r="62" spans="5:40" x14ac:dyDescent="0.45">
      <c r="E62" t="s">
        <v>1363</v>
      </c>
      <c r="G62" t="s">
        <v>155</v>
      </c>
      <c r="I62" t="s">
        <v>249</v>
      </c>
      <c r="J62" t="s">
        <v>1667</v>
      </c>
      <c r="K62">
        <v>0</v>
      </c>
      <c r="L62" t="s">
        <v>251</v>
      </c>
      <c r="N62" t="s">
        <v>419</v>
      </c>
      <c r="O62" t="s">
        <v>1667</v>
      </c>
      <c r="P62">
        <v>7.2055289696803832E-5</v>
      </c>
      <c r="Q62" t="s">
        <v>251</v>
      </c>
      <c r="S62" t="s">
        <v>420</v>
      </c>
      <c r="T62" t="s">
        <v>1667</v>
      </c>
      <c r="U62">
        <v>6.0034289086818043E-5</v>
      </c>
      <c r="V62" t="s">
        <v>251</v>
      </c>
      <c r="X62">
        <v>1.1415525114155251E-4</v>
      </c>
      <c r="Y62">
        <v>1.5579809230208258E-4</v>
      </c>
      <c r="Z62" t="s">
        <v>1667</v>
      </c>
      <c r="AA62" t="s">
        <v>25</v>
      </c>
      <c r="AC62" t="s">
        <v>22</v>
      </c>
      <c r="AD62" t="s">
        <v>1667</v>
      </c>
      <c r="AE62">
        <v>2.7576308935544232E-5</v>
      </c>
      <c r="AG62" t="s">
        <v>97</v>
      </c>
      <c r="AH62" t="s">
        <v>1667</v>
      </c>
      <c r="AI62">
        <v>0</v>
      </c>
      <c r="AK62">
        <v>2026</v>
      </c>
      <c r="AL62" t="s">
        <v>163</v>
      </c>
      <c r="AM62">
        <v>0.34670000000000001</v>
      </c>
      <c r="AN62" t="s">
        <v>430</v>
      </c>
    </row>
    <row r="63" spans="5:40" x14ac:dyDescent="0.45">
      <c r="E63" t="s">
        <v>1364</v>
      </c>
      <c r="G63" t="s">
        <v>155</v>
      </c>
      <c r="I63" t="s">
        <v>249</v>
      </c>
      <c r="J63" t="s">
        <v>1668</v>
      </c>
      <c r="K63">
        <v>0</v>
      </c>
      <c r="L63" t="s">
        <v>251</v>
      </c>
      <c r="N63" t="s">
        <v>419</v>
      </c>
      <c r="O63" t="s">
        <v>1668</v>
      </c>
      <c r="P63">
        <v>9.5328142474158183E-5</v>
      </c>
      <c r="Q63" t="s">
        <v>251</v>
      </c>
      <c r="S63" t="s">
        <v>420</v>
      </c>
      <c r="T63" t="s">
        <v>1668</v>
      </c>
      <c r="U63">
        <v>6.2572023184305763E-5</v>
      </c>
      <c r="V63" t="s">
        <v>251</v>
      </c>
      <c r="X63">
        <v>1.1415525114155251E-4</v>
      </c>
      <c r="Y63">
        <v>1.093901499142282E-4</v>
      </c>
      <c r="Z63" t="s">
        <v>1668</v>
      </c>
      <c r="AA63" t="s">
        <v>25</v>
      </c>
      <c r="AC63" t="s">
        <v>22</v>
      </c>
      <c r="AD63" t="s">
        <v>1668</v>
      </c>
      <c r="AE63">
        <v>2.8818570925409868E-5</v>
      </c>
      <c r="AG63" t="s">
        <v>97</v>
      </c>
      <c r="AH63" t="s">
        <v>1668</v>
      </c>
      <c r="AI63">
        <v>0</v>
      </c>
      <c r="AK63">
        <v>2026</v>
      </c>
      <c r="AL63" t="s">
        <v>167</v>
      </c>
      <c r="AM63">
        <v>0.41049999999999998</v>
      </c>
      <c r="AN63" t="s">
        <v>430</v>
      </c>
    </row>
    <row r="64" spans="5:40" x14ac:dyDescent="0.45">
      <c r="E64" t="s">
        <v>1365</v>
      </c>
      <c r="G64" t="s">
        <v>155</v>
      </c>
      <c r="I64" t="s">
        <v>249</v>
      </c>
      <c r="J64" t="s">
        <v>1669</v>
      </c>
      <c r="K64">
        <v>0</v>
      </c>
      <c r="L64" t="s">
        <v>251</v>
      </c>
      <c r="N64" t="s">
        <v>419</v>
      </c>
      <c r="O64" t="s">
        <v>1669</v>
      </c>
      <c r="P64">
        <v>1.09630370863E-4</v>
      </c>
      <c r="Q64" t="s">
        <v>251</v>
      </c>
      <c r="S64" t="s">
        <v>420</v>
      </c>
      <c r="T64" t="s">
        <v>1669</v>
      </c>
      <c r="U64">
        <v>6.3217602228850381E-5</v>
      </c>
      <c r="V64" t="s">
        <v>251</v>
      </c>
      <c r="X64">
        <v>1.1415525114155251E-4</v>
      </c>
      <c r="Y64">
        <v>7.9556472664893237E-5</v>
      </c>
      <c r="Z64" t="s">
        <v>1669</v>
      </c>
      <c r="AA64" t="s">
        <v>25</v>
      </c>
      <c r="AC64" t="s">
        <v>22</v>
      </c>
      <c r="AD64" t="s">
        <v>1669</v>
      </c>
      <c r="AE64">
        <v>2.8146746728200017E-5</v>
      </c>
      <c r="AG64" t="s">
        <v>97</v>
      </c>
      <c r="AH64" t="s">
        <v>1669</v>
      </c>
      <c r="AI64">
        <v>0</v>
      </c>
      <c r="AK64">
        <v>2026</v>
      </c>
      <c r="AL64" t="s">
        <v>169</v>
      </c>
      <c r="AM64">
        <v>0.50549999999999995</v>
      </c>
      <c r="AN64" t="s">
        <v>430</v>
      </c>
    </row>
    <row r="65" spans="5:40" x14ac:dyDescent="0.45">
      <c r="E65" t="s">
        <v>1366</v>
      </c>
      <c r="G65" t="s">
        <v>155</v>
      </c>
      <c r="I65" t="s">
        <v>249</v>
      </c>
      <c r="J65" t="s">
        <v>1670</v>
      </c>
      <c r="K65">
        <v>0</v>
      </c>
      <c r="L65" t="s">
        <v>251</v>
      </c>
      <c r="N65" t="s">
        <v>419</v>
      </c>
      <c r="O65" t="s">
        <v>1670</v>
      </c>
      <c r="P65">
        <v>1.15626144583E-4</v>
      </c>
      <c r="Q65" t="s">
        <v>251</v>
      </c>
      <c r="S65" t="s">
        <v>420</v>
      </c>
      <c r="T65" t="s">
        <v>1670</v>
      </c>
      <c r="U65">
        <v>6.409042756140477E-5</v>
      </c>
      <c r="V65" t="s">
        <v>251</v>
      </c>
      <c r="X65">
        <v>1.1415525114155251E-4</v>
      </c>
      <c r="Y65">
        <v>5.6352501470966035E-5</v>
      </c>
      <c r="Z65" t="s">
        <v>1670</v>
      </c>
      <c r="AA65" t="s">
        <v>25</v>
      </c>
      <c r="AC65" t="s">
        <v>22</v>
      </c>
      <c r="AD65" t="s">
        <v>1670</v>
      </c>
      <c r="AE65">
        <v>3.0200099954498094E-5</v>
      </c>
      <c r="AG65" t="s">
        <v>97</v>
      </c>
      <c r="AH65" t="s">
        <v>1670</v>
      </c>
      <c r="AI65">
        <v>0</v>
      </c>
      <c r="AK65">
        <v>2026</v>
      </c>
      <c r="AL65" t="s">
        <v>171</v>
      </c>
      <c r="AM65">
        <v>0.57340000000000002</v>
      </c>
      <c r="AN65" t="s">
        <v>430</v>
      </c>
    </row>
    <row r="66" spans="5:40" x14ac:dyDescent="0.45">
      <c r="E66" t="s">
        <v>1367</v>
      </c>
      <c r="G66" t="s">
        <v>155</v>
      </c>
      <c r="I66" t="s">
        <v>249</v>
      </c>
      <c r="J66" t="s">
        <v>1671</v>
      </c>
      <c r="K66">
        <v>0</v>
      </c>
      <c r="L66" t="s">
        <v>251</v>
      </c>
      <c r="N66" t="s">
        <v>419</v>
      </c>
      <c r="O66" t="s">
        <v>1671</v>
      </c>
      <c r="P66">
        <v>1.101644816826E-4</v>
      </c>
      <c r="Q66" t="s">
        <v>251</v>
      </c>
      <c r="S66" t="s">
        <v>420</v>
      </c>
      <c r="T66" t="s">
        <v>1671</v>
      </c>
      <c r="U66">
        <v>6.4236743504143492E-5</v>
      </c>
      <c r="V66" t="s">
        <v>251</v>
      </c>
      <c r="X66">
        <v>1.1415525114155251E-4</v>
      </c>
      <c r="Y66">
        <v>2.9833677249334962E-5</v>
      </c>
      <c r="Z66" t="s">
        <v>1671</v>
      </c>
      <c r="AA66" t="s">
        <v>25</v>
      </c>
      <c r="AC66" t="s">
        <v>22</v>
      </c>
      <c r="AD66" t="s">
        <v>1671</v>
      </c>
      <c r="AE66">
        <v>4.9742050898213981E-5</v>
      </c>
      <c r="AG66" t="s">
        <v>97</v>
      </c>
      <c r="AH66" t="s">
        <v>1671</v>
      </c>
      <c r="AI66">
        <v>0</v>
      </c>
      <c r="AK66">
        <v>2026</v>
      </c>
      <c r="AL66" t="s">
        <v>158</v>
      </c>
      <c r="AM66">
        <v>0.76170000000000004</v>
      </c>
      <c r="AN66" t="s">
        <v>430</v>
      </c>
    </row>
    <row r="67" spans="5:40" x14ac:dyDescent="0.45">
      <c r="E67" t="s">
        <v>1368</v>
      </c>
      <c r="G67" t="s">
        <v>155</v>
      </c>
      <c r="I67" t="s">
        <v>249</v>
      </c>
      <c r="J67" t="s">
        <v>1672</v>
      </c>
      <c r="K67">
        <v>0</v>
      </c>
      <c r="L67" t="s">
        <v>251</v>
      </c>
      <c r="N67" t="s">
        <v>419</v>
      </c>
      <c r="O67" t="s">
        <v>1672</v>
      </c>
      <c r="P67">
        <v>9.7792295193242478E-5</v>
      </c>
      <c r="Q67" t="s">
        <v>251</v>
      </c>
      <c r="S67" t="s">
        <v>420</v>
      </c>
      <c r="T67" t="s">
        <v>1672</v>
      </c>
      <c r="U67">
        <v>6.4565155791243868E-5</v>
      </c>
      <c r="V67" t="s">
        <v>251</v>
      </c>
      <c r="X67">
        <v>1.1415525114155251E-4</v>
      </c>
      <c r="Y67">
        <v>2.1546544680075254E-5</v>
      </c>
      <c r="Z67" t="s">
        <v>1672</v>
      </c>
      <c r="AA67" t="s">
        <v>25</v>
      </c>
      <c r="AC67" t="s">
        <v>22</v>
      </c>
      <c r="AD67" t="s">
        <v>1672</v>
      </c>
      <c r="AE67">
        <v>5.7776087856887588E-5</v>
      </c>
      <c r="AG67" t="s">
        <v>97</v>
      </c>
      <c r="AH67" t="s">
        <v>1672</v>
      </c>
      <c r="AI67">
        <v>0</v>
      </c>
      <c r="AK67">
        <v>2026</v>
      </c>
      <c r="AL67" t="s">
        <v>162</v>
      </c>
      <c r="AM67">
        <v>0.75239999999999996</v>
      </c>
      <c r="AN67" t="s">
        <v>430</v>
      </c>
    </row>
    <row r="68" spans="5:40" x14ac:dyDescent="0.45">
      <c r="E68" t="s">
        <v>1369</v>
      </c>
      <c r="G68" t="s">
        <v>155</v>
      </c>
      <c r="I68" t="s">
        <v>249</v>
      </c>
      <c r="J68" t="s">
        <v>1673</v>
      </c>
      <c r="K68">
        <v>0</v>
      </c>
      <c r="L68" t="s">
        <v>251</v>
      </c>
      <c r="N68" t="s">
        <v>419</v>
      </c>
      <c r="O68" t="s">
        <v>1673</v>
      </c>
      <c r="P68">
        <v>8.8016382397015249E-5</v>
      </c>
      <c r="Q68" t="s">
        <v>251</v>
      </c>
      <c r="S68" t="s">
        <v>420</v>
      </c>
      <c r="T68" t="s">
        <v>1673</v>
      </c>
      <c r="U68">
        <v>6.4592376943729276E-5</v>
      </c>
      <c r="V68" t="s">
        <v>251</v>
      </c>
      <c r="X68">
        <v>1.1415525114155251E-4</v>
      </c>
      <c r="Y68">
        <v>1.4916838624667481E-5</v>
      </c>
      <c r="Z68" t="s">
        <v>1673</v>
      </c>
      <c r="AA68" t="s">
        <v>25</v>
      </c>
      <c r="AC68" t="s">
        <v>22</v>
      </c>
      <c r="AD68" t="s">
        <v>1673</v>
      </c>
      <c r="AE68">
        <v>7.7919672410045108E-5</v>
      </c>
      <c r="AG68" t="s">
        <v>97</v>
      </c>
      <c r="AH68" t="s">
        <v>1673</v>
      </c>
      <c r="AI68">
        <v>0</v>
      </c>
      <c r="AK68">
        <v>2026</v>
      </c>
      <c r="AL68" t="s">
        <v>175</v>
      </c>
      <c r="AM68">
        <v>0.48809999999999998</v>
      </c>
      <c r="AN68" t="s">
        <v>430</v>
      </c>
    </row>
    <row r="69" spans="5:40" x14ac:dyDescent="0.45">
      <c r="E69" t="s">
        <v>1370</v>
      </c>
      <c r="G69" t="s">
        <v>155</v>
      </c>
      <c r="I69" t="s">
        <v>249</v>
      </c>
      <c r="J69" t="s">
        <v>1674</v>
      </c>
      <c r="K69">
        <v>0</v>
      </c>
      <c r="L69" t="s">
        <v>251</v>
      </c>
      <c r="N69" t="s">
        <v>419</v>
      </c>
      <c r="O69" t="s">
        <v>1674</v>
      </c>
      <c r="P69">
        <v>7.9408472347666415E-5</v>
      </c>
      <c r="Q69" t="s">
        <v>251</v>
      </c>
      <c r="S69" t="s">
        <v>420</v>
      </c>
      <c r="T69" t="s">
        <v>1674</v>
      </c>
      <c r="U69">
        <v>6.5798020696643925E-5</v>
      </c>
      <c r="V69" t="s">
        <v>251</v>
      </c>
      <c r="X69">
        <v>1.1415525114155251E-4</v>
      </c>
      <c r="Y69">
        <v>1.6574265138519424E-5</v>
      </c>
      <c r="Z69" t="s">
        <v>1674</v>
      </c>
      <c r="AA69" t="s">
        <v>25</v>
      </c>
      <c r="AC69" t="s">
        <v>22</v>
      </c>
      <c r="AD69" t="s">
        <v>1674</v>
      </c>
      <c r="AE69">
        <v>9.3204508498804422E-5</v>
      </c>
      <c r="AG69" t="s">
        <v>97</v>
      </c>
      <c r="AH69" t="s">
        <v>1674</v>
      </c>
      <c r="AI69">
        <v>0</v>
      </c>
      <c r="AK69">
        <v>2026</v>
      </c>
      <c r="AL69" t="s">
        <v>166</v>
      </c>
      <c r="AM69">
        <v>0.35849999999999999</v>
      </c>
      <c r="AN69" t="s">
        <v>430</v>
      </c>
    </row>
    <row r="70" spans="5:40" x14ac:dyDescent="0.45">
      <c r="E70" t="s">
        <v>1371</v>
      </c>
      <c r="G70" t="s">
        <v>155</v>
      </c>
      <c r="I70" t="s">
        <v>249</v>
      </c>
      <c r="J70" t="s">
        <v>1675</v>
      </c>
      <c r="K70">
        <v>0</v>
      </c>
      <c r="L70" t="s">
        <v>251</v>
      </c>
      <c r="N70" t="s">
        <v>419</v>
      </c>
      <c r="O70" t="s">
        <v>1675</v>
      </c>
      <c r="P70">
        <v>6.6121103065221748E-5</v>
      </c>
      <c r="Q70" t="s">
        <v>251</v>
      </c>
      <c r="S70" t="s">
        <v>420</v>
      </c>
      <c r="T70" t="s">
        <v>1675</v>
      </c>
      <c r="U70">
        <v>6.4572249410536648E-5</v>
      </c>
      <c r="V70" t="s">
        <v>251</v>
      </c>
      <c r="X70">
        <v>1.1415525114155251E-4</v>
      </c>
      <c r="Y70">
        <v>1.4585353321897093E-5</v>
      </c>
      <c r="Z70" t="s">
        <v>1675</v>
      </c>
      <c r="AA70" t="s">
        <v>25</v>
      </c>
      <c r="AC70" t="s">
        <v>22</v>
      </c>
      <c r="AD70" t="s">
        <v>1675</v>
      </c>
      <c r="AE70">
        <v>1.0136110045199391E-4</v>
      </c>
      <c r="AG70" t="s">
        <v>97</v>
      </c>
      <c r="AH70" t="s">
        <v>1675</v>
      </c>
      <c r="AI70">
        <v>0</v>
      </c>
      <c r="AK70">
        <v>2026</v>
      </c>
      <c r="AL70" t="s">
        <v>178</v>
      </c>
      <c r="AM70">
        <v>0.28820000000000001</v>
      </c>
      <c r="AN70" t="s">
        <v>430</v>
      </c>
    </row>
    <row r="71" spans="5:40" x14ac:dyDescent="0.45">
      <c r="E71" t="s">
        <v>1372</v>
      </c>
      <c r="G71" t="s">
        <v>155</v>
      </c>
      <c r="I71" t="s">
        <v>249</v>
      </c>
      <c r="J71" t="s">
        <v>1676</v>
      </c>
      <c r="K71">
        <v>0</v>
      </c>
      <c r="L71" t="s">
        <v>251</v>
      </c>
      <c r="N71" t="s">
        <v>419</v>
      </c>
      <c r="O71" t="s">
        <v>1676</v>
      </c>
      <c r="P71">
        <v>6.1192384516587969E-5</v>
      </c>
      <c r="Q71" t="s">
        <v>251</v>
      </c>
      <c r="S71" t="s">
        <v>420</v>
      </c>
      <c r="T71" t="s">
        <v>1676</v>
      </c>
      <c r="U71">
        <v>6.578585026508472E-5</v>
      </c>
      <c r="V71" t="s">
        <v>251</v>
      </c>
      <c r="X71">
        <v>1.1415525114155251E-4</v>
      </c>
      <c r="Y71">
        <v>2.1215059377304864E-5</v>
      </c>
      <c r="Z71" t="s">
        <v>1676</v>
      </c>
      <c r="AA71" t="s">
        <v>25</v>
      </c>
      <c r="AC71" t="s">
        <v>22</v>
      </c>
      <c r="AD71" t="s">
        <v>1676</v>
      </c>
      <c r="AE71">
        <v>1.0521601209767562E-4</v>
      </c>
      <c r="AG71" t="s">
        <v>97</v>
      </c>
      <c r="AH71" t="s">
        <v>1676</v>
      </c>
      <c r="AI71">
        <v>0</v>
      </c>
      <c r="AK71">
        <v>2027</v>
      </c>
      <c r="AL71" t="s">
        <v>151</v>
      </c>
      <c r="AM71">
        <v>0.30059999999999998</v>
      </c>
      <c r="AN71" t="s">
        <v>430</v>
      </c>
    </row>
    <row r="72" spans="5:40" x14ac:dyDescent="0.45">
      <c r="E72" t="s">
        <v>1373</v>
      </c>
      <c r="G72" t="s">
        <v>155</v>
      </c>
      <c r="I72" t="s">
        <v>249</v>
      </c>
      <c r="J72" t="s">
        <v>1677</v>
      </c>
      <c r="K72">
        <v>0</v>
      </c>
      <c r="L72" t="s">
        <v>251</v>
      </c>
      <c r="N72" t="s">
        <v>419</v>
      </c>
      <c r="O72" t="s">
        <v>1677</v>
      </c>
      <c r="P72">
        <v>5.8648342138807166E-5</v>
      </c>
      <c r="Q72" t="s">
        <v>251</v>
      </c>
      <c r="S72" t="s">
        <v>420</v>
      </c>
      <c r="T72" t="s">
        <v>1677</v>
      </c>
      <c r="U72">
        <v>6.5692194194075229E-5</v>
      </c>
      <c r="V72" t="s">
        <v>251</v>
      </c>
      <c r="X72">
        <v>1.1415525114155251E-4</v>
      </c>
      <c r="Y72">
        <v>5.7678442682047593E-5</v>
      </c>
      <c r="Z72" t="s">
        <v>1677</v>
      </c>
      <c r="AA72" t="s">
        <v>25</v>
      </c>
      <c r="AC72" t="s">
        <v>22</v>
      </c>
      <c r="AD72" t="s">
        <v>1677</v>
      </c>
      <c r="AE72">
        <v>1.0715572341996805E-4</v>
      </c>
      <c r="AG72" t="s">
        <v>97</v>
      </c>
      <c r="AH72" t="s">
        <v>1677</v>
      </c>
      <c r="AI72">
        <v>0</v>
      </c>
      <c r="AK72">
        <v>2027</v>
      </c>
      <c r="AL72" t="s">
        <v>156</v>
      </c>
      <c r="AM72">
        <v>0.2923</v>
      </c>
      <c r="AN72" t="s">
        <v>430</v>
      </c>
    </row>
    <row r="73" spans="5:40" x14ac:dyDescent="0.45">
      <c r="E73" t="s">
        <v>1374</v>
      </c>
      <c r="G73" t="s">
        <v>155</v>
      </c>
      <c r="I73" t="s">
        <v>249</v>
      </c>
      <c r="J73" t="s">
        <v>1678</v>
      </c>
      <c r="K73">
        <v>0</v>
      </c>
      <c r="L73" t="s">
        <v>251</v>
      </c>
      <c r="N73" t="s">
        <v>419</v>
      </c>
      <c r="O73" t="s">
        <v>1678</v>
      </c>
      <c r="P73">
        <v>6.1966256230806588E-5</v>
      </c>
      <c r="Q73" t="s">
        <v>251</v>
      </c>
      <c r="S73" t="s">
        <v>420</v>
      </c>
      <c r="T73" t="s">
        <v>1678</v>
      </c>
      <c r="U73">
        <v>6.4745154684397836E-5</v>
      </c>
      <c r="V73" t="s">
        <v>251</v>
      </c>
      <c r="X73">
        <v>1.1415525114155251E-4</v>
      </c>
      <c r="Y73">
        <v>1.6905750441289813E-4</v>
      </c>
      <c r="Z73" t="s">
        <v>1678</v>
      </c>
      <c r="AA73" t="s">
        <v>25</v>
      </c>
      <c r="AC73" t="s">
        <v>22</v>
      </c>
      <c r="AD73" t="s">
        <v>1678</v>
      </c>
      <c r="AE73">
        <v>1.0594911379214338E-4</v>
      </c>
      <c r="AG73" t="s">
        <v>97</v>
      </c>
      <c r="AH73" t="s">
        <v>1678</v>
      </c>
      <c r="AI73">
        <v>0</v>
      </c>
      <c r="AK73">
        <v>2027</v>
      </c>
      <c r="AL73" t="s">
        <v>159</v>
      </c>
      <c r="AM73">
        <v>0.33539999999999998</v>
      </c>
      <c r="AN73" t="s">
        <v>430</v>
      </c>
    </row>
    <row r="74" spans="5:40" x14ac:dyDescent="0.45">
      <c r="E74" t="s">
        <v>1375</v>
      </c>
      <c r="G74" t="s">
        <v>155</v>
      </c>
      <c r="I74" t="s">
        <v>249</v>
      </c>
      <c r="J74" t="s">
        <v>1679</v>
      </c>
      <c r="K74">
        <v>2.7684962798016641E-5</v>
      </c>
      <c r="L74" t="s">
        <v>251</v>
      </c>
      <c r="N74" t="s">
        <v>419</v>
      </c>
      <c r="O74" t="s">
        <v>1679</v>
      </c>
      <c r="P74">
        <v>6.6036775568197259E-5</v>
      </c>
      <c r="Q74" t="s">
        <v>251</v>
      </c>
      <c r="S74" t="s">
        <v>420</v>
      </c>
      <c r="T74" t="s">
        <v>1679</v>
      </c>
      <c r="U74">
        <v>6.3618868923606868E-5</v>
      </c>
      <c r="V74" t="s">
        <v>251</v>
      </c>
      <c r="X74">
        <v>1.1415525114155251E-4</v>
      </c>
      <c r="Y74">
        <v>1.9060404909297337E-4</v>
      </c>
      <c r="Z74" t="s">
        <v>1679</v>
      </c>
      <c r="AA74" t="s">
        <v>25</v>
      </c>
      <c r="AC74" t="s">
        <v>22</v>
      </c>
      <c r="AD74" t="s">
        <v>1679</v>
      </c>
      <c r="AE74">
        <v>1.0686493384207124E-4</v>
      </c>
      <c r="AG74" t="s">
        <v>97</v>
      </c>
      <c r="AH74" t="s">
        <v>1679</v>
      </c>
      <c r="AI74">
        <v>0</v>
      </c>
      <c r="AK74">
        <v>2027</v>
      </c>
      <c r="AL74" t="s">
        <v>163</v>
      </c>
      <c r="AM74">
        <v>0.32800000000000001</v>
      </c>
      <c r="AN74" t="s">
        <v>430</v>
      </c>
    </row>
    <row r="75" spans="5:40" x14ac:dyDescent="0.45">
      <c r="E75" t="s">
        <v>1376</v>
      </c>
      <c r="G75" t="s">
        <v>155</v>
      </c>
      <c r="I75" t="s">
        <v>249</v>
      </c>
      <c r="J75" t="s">
        <v>1680</v>
      </c>
      <c r="K75">
        <v>1.144547162779E-4</v>
      </c>
      <c r="L75" t="s">
        <v>251</v>
      </c>
      <c r="N75" t="s">
        <v>419</v>
      </c>
      <c r="O75" t="s">
        <v>1680</v>
      </c>
      <c r="P75">
        <v>5.6397938950545721E-5</v>
      </c>
      <c r="Q75" t="s">
        <v>251</v>
      </c>
      <c r="S75" t="s">
        <v>420</v>
      </c>
      <c r="T75" t="s">
        <v>1680</v>
      </c>
      <c r="U75">
        <v>6.1856405114834879E-5</v>
      </c>
      <c r="V75" t="s">
        <v>251</v>
      </c>
      <c r="X75">
        <v>1.1415525114155251E-4</v>
      </c>
      <c r="Y75">
        <v>1.4585353321897094E-4</v>
      </c>
      <c r="Z75" t="s">
        <v>1680</v>
      </c>
      <c r="AA75" t="s">
        <v>25</v>
      </c>
      <c r="AC75" t="s">
        <v>22</v>
      </c>
      <c r="AD75" t="s">
        <v>1680</v>
      </c>
      <c r="AE75">
        <v>1.1696457952649454E-4</v>
      </c>
      <c r="AG75" t="s">
        <v>97</v>
      </c>
      <c r="AH75" t="s">
        <v>1680</v>
      </c>
      <c r="AI75">
        <v>0</v>
      </c>
      <c r="AK75">
        <v>2027</v>
      </c>
      <c r="AL75" t="s">
        <v>167</v>
      </c>
      <c r="AM75">
        <v>0.43840000000000001</v>
      </c>
      <c r="AN75" t="s">
        <v>430</v>
      </c>
    </row>
    <row r="76" spans="5:40" x14ac:dyDescent="0.45">
      <c r="E76" t="s">
        <v>1377</v>
      </c>
      <c r="G76" t="s">
        <v>155</v>
      </c>
      <c r="I76" t="s">
        <v>249</v>
      </c>
      <c r="J76" t="s">
        <v>1681</v>
      </c>
      <c r="K76">
        <v>2.0281348407390001E-4</v>
      </c>
      <c r="L76" t="s">
        <v>251</v>
      </c>
      <c r="N76" t="s">
        <v>419</v>
      </c>
      <c r="O76" t="s">
        <v>1681</v>
      </c>
      <c r="P76">
        <v>5.7884014382642331E-5</v>
      </c>
      <c r="Q76" t="s">
        <v>251</v>
      </c>
      <c r="S76" t="s">
        <v>420</v>
      </c>
      <c r="T76" t="s">
        <v>1681</v>
      </c>
      <c r="U76">
        <v>5.9793450879508888E-5</v>
      </c>
      <c r="V76" t="s">
        <v>251</v>
      </c>
      <c r="X76">
        <v>1.1415525114155251E-4</v>
      </c>
      <c r="Y76">
        <v>1.4452759200788939E-4</v>
      </c>
      <c r="Z76" t="s">
        <v>1681</v>
      </c>
      <c r="AA76" t="s">
        <v>25</v>
      </c>
      <c r="AC76" t="s">
        <v>22</v>
      </c>
      <c r="AD76" t="s">
        <v>1681</v>
      </c>
      <c r="AE76">
        <v>1.1708490624838288E-4</v>
      </c>
      <c r="AG76" t="s">
        <v>97</v>
      </c>
      <c r="AH76" t="s">
        <v>1681</v>
      </c>
      <c r="AI76">
        <v>0</v>
      </c>
      <c r="AK76">
        <v>2027</v>
      </c>
      <c r="AL76" t="s">
        <v>169</v>
      </c>
      <c r="AM76">
        <v>0.49719999999999998</v>
      </c>
      <c r="AN76" t="s">
        <v>430</v>
      </c>
    </row>
    <row r="77" spans="5:40" x14ac:dyDescent="0.45">
      <c r="E77" t="s">
        <v>1378</v>
      </c>
      <c r="G77" t="s">
        <v>155</v>
      </c>
      <c r="I77" t="s">
        <v>249</v>
      </c>
      <c r="J77" t="s">
        <v>1682</v>
      </c>
      <c r="K77">
        <v>2.5662919153849998E-4</v>
      </c>
      <c r="L77" t="s">
        <v>251</v>
      </c>
      <c r="N77" t="s">
        <v>419</v>
      </c>
      <c r="O77" t="s">
        <v>1682</v>
      </c>
      <c r="P77">
        <v>6.1732155459785722E-5</v>
      </c>
      <c r="Q77" t="s">
        <v>251</v>
      </c>
      <c r="S77" t="s">
        <v>420</v>
      </c>
      <c r="T77" t="s">
        <v>1682</v>
      </c>
      <c r="U77">
        <v>5.6591929192199781E-5</v>
      </c>
      <c r="V77" t="s">
        <v>251</v>
      </c>
      <c r="X77">
        <v>1.1415525114155251E-4</v>
      </c>
      <c r="Y77">
        <v>1.408812536774151E-4</v>
      </c>
      <c r="Z77" t="s">
        <v>1682</v>
      </c>
      <c r="AA77" t="s">
        <v>25</v>
      </c>
      <c r="AC77" t="s">
        <v>22</v>
      </c>
      <c r="AD77" t="s">
        <v>1682</v>
      </c>
      <c r="AE77">
        <v>1.0878904725597075E-4</v>
      </c>
      <c r="AG77" t="s">
        <v>97</v>
      </c>
      <c r="AH77" t="s">
        <v>1682</v>
      </c>
      <c r="AI77">
        <v>0</v>
      </c>
      <c r="AK77">
        <v>2027</v>
      </c>
      <c r="AL77" t="s">
        <v>171</v>
      </c>
      <c r="AM77">
        <v>0.58409999999999995</v>
      </c>
      <c r="AN77" t="s">
        <v>430</v>
      </c>
    </row>
    <row r="78" spans="5:40" x14ac:dyDescent="0.45">
      <c r="E78" t="s">
        <v>1379</v>
      </c>
      <c r="G78" t="s">
        <v>155</v>
      </c>
      <c r="I78" t="s">
        <v>249</v>
      </c>
      <c r="J78" t="s">
        <v>1683</v>
      </c>
      <c r="K78">
        <v>2.9003548539740002E-4</v>
      </c>
      <c r="L78" t="s">
        <v>251</v>
      </c>
      <c r="N78" t="s">
        <v>419</v>
      </c>
      <c r="O78" t="s">
        <v>1683</v>
      </c>
      <c r="P78">
        <v>5.7918565177450003E-5</v>
      </c>
      <c r="Q78" t="s">
        <v>251</v>
      </c>
      <c r="S78" t="s">
        <v>420</v>
      </c>
      <c r="T78" t="s">
        <v>1683</v>
      </c>
      <c r="U78">
        <v>5.446780580655403E-5</v>
      </c>
      <c r="V78" t="s">
        <v>251</v>
      </c>
      <c r="X78">
        <v>1.1415525114155251E-4</v>
      </c>
      <c r="Y78">
        <v>1.4054976837464471E-4</v>
      </c>
      <c r="Z78" t="s">
        <v>1683</v>
      </c>
      <c r="AA78" t="s">
        <v>25</v>
      </c>
      <c r="AC78" t="s">
        <v>22</v>
      </c>
      <c r="AD78" t="s">
        <v>1683</v>
      </c>
      <c r="AE78">
        <v>1.1230971800751821E-4</v>
      </c>
      <c r="AG78" t="s">
        <v>97</v>
      </c>
      <c r="AH78" t="s">
        <v>1683</v>
      </c>
      <c r="AI78">
        <v>0</v>
      </c>
      <c r="AK78">
        <v>2027</v>
      </c>
      <c r="AL78" t="s">
        <v>158</v>
      </c>
      <c r="AM78">
        <v>0.70130000000000003</v>
      </c>
      <c r="AN78" t="s">
        <v>430</v>
      </c>
    </row>
    <row r="79" spans="5:40" x14ac:dyDescent="0.45">
      <c r="E79" t="s">
        <v>1380</v>
      </c>
      <c r="G79" t="s">
        <v>155</v>
      </c>
      <c r="I79" t="s">
        <v>249</v>
      </c>
      <c r="J79" t="s">
        <v>1684</v>
      </c>
      <c r="K79">
        <v>2.8644003294250002E-4</v>
      </c>
      <c r="L79" t="s">
        <v>251</v>
      </c>
      <c r="N79" t="s">
        <v>419</v>
      </c>
      <c r="O79" t="s">
        <v>1684</v>
      </c>
      <c r="P79">
        <v>4.7547899749648495E-5</v>
      </c>
      <c r="Q79" t="s">
        <v>251</v>
      </c>
      <c r="S79" t="s">
        <v>420</v>
      </c>
      <c r="T79" t="s">
        <v>1684</v>
      </c>
      <c r="U79">
        <v>5.4156970476163211E-5</v>
      </c>
      <c r="V79" t="s">
        <v>251</v>
      </c>
      <c r="X79">
        <v>1.1415525114155251E-4</v>
      </c>
      <c r="Y79">
        <v>1.4253868019126702E-4</v>
      </c>
      <c r="Z79" t="s">
        <v>1684</v>
      </c>
      <c r="AA79" t="s">
        <v>25</v>
      </c>
      <c r="AC79" t="s">
        <v>22</v>
      </c>
      <c r="AD79" t="s">
        <v>1684</v>
      </c>
      <c r="AE79">
        <v>1.2377863722157816E-4</v>
      </c>
      <c r="AG79" t="s">
        <v>97</v>
      </c>
      <c r="AH79" t="s">
        <v>1684</v>
      </c>
      <c r="AI79">
        <v>0</v>
      </c>
      <c r="AK79">
        <v>2027</v>
      </c>
      <c r="AL79" t="s">
        <v>162</v>
      </c>
      <c r="AM79">
        <v>0.6401</v>
      </c>
      <c r="AN79" t="s">
        <v>430</v>
      </c>
    </row>
    <row r="80" spans="5:40" x14ac:dyDescent="0.45">
      <c r="E80" t="s">
        <v>1381</v>
      </c>
      <c r="G80" t="s">
        <v>155</v>
      </c>
      <c r="I80" t="s">
        <v>249</v>
      </c>
      <c r="J80" t="s">
        <v>1685</v>
      </c>
      <c r="K80">
        <v>2.8245313270129998E-4</v>
      </c>
      <c r="L80" t="s">
        <v>251</v>
      </c>
      <c r="N80" t="s">
        <v>419</v>
      </c>
      <c r="O80" t="s">
        <v>1685</v>
      </c>
      <c r="P80">
        <v>3.968821932709463E-5</v>
      </c>
      <c r="Q80" t="s">
        <v>251</v>
      </c>
      <c r="S80" t="s">
        <v>420</v>
      </c>
      <c r="T80" t="s">
        <v>1685</v>
      </c>
      <c r="U80">
        <v>5.523543726708747E-5</v>
      </c>
      <c r="V80" t="s">
        <v>251</v>
      </c>
      <c r="X80">
        <v>1.1415525114155251E-4</v>
      </c>
      <c r="Y80">
        <v>1.4883690094390442E-4</v>
      </c>
      <c r="Z80" t="s">
        <v>1685</v>
      </c>
      <c r="AA80" t="s">
        <v>25</v>
      </c>
      <c r="AC80" t="s">
        <v>22</v>
      </c>
      <c r="AD80" t="s">
        <v>1685</v>
      </c>
      <c r="AE80">
        <v>1.2708316552825211E-4</v>
      </c>
      <c r="AG80" t="s">
        <v>97</v>
      </c>
      <c r="AH80" t="s">
        <v>1685</v>
      </c>
      <c r="AI80">
        <v>0</v>
      </c>
      <c r="AK80">
        <v>2027</v>
      </c>
      <c r="AL80" t="s">
        <v>175</v>
      </c>
      <c r="AM80">
        <v>0.47910000000000003</v>
      </c>
      <c r="AN80" t="s">
        <v>430</v>
      </c>
    </row>
    <row r="81" spans="5:40" x14ac:dyDescent="0.45">
      <c r="E81" t="s">
        <v>1382</v>
      </c>
      <c r="G81" t="s">
        <v>155</v>
      </c>
      <c r="I81" t="s">
        <v>249</v>
      </c>
      <c r="J81" t="s">
        <v>1686</v>
      </c>
      <c r="K81">
        <v>2.918264891759E-4</v>
      </c>
      <c r="L81" t="s">
        <v>251</v>
      </c>
      <c r="N81" t="s">
        <v>419</v>
      </c>
      <c r="O81" t="s">
        <v>1686</v>
      </c>
      <c r="P81">
        <v>3.6006893361017914E-5</v>
      </c>
      <c r="Q81" t="s">
        <v>251</v>
      </c>
      <c r="S81" t="s">
        <v>420</v>
      </c>
      <c r="T81" t="s">
        <v>1686</v>
      </c>
      <c r="U81">
        <v>5.7584288739442772E-5</v>
      </c>
      <c r="V81" t="s">
        <v>251</v>
      </c>
      <c r="X81">
        <v>1.1415525114155251E-4</v>
      </c>
      <c r="Y81">
        <v>1.5049432745775637E-4</v>
      </c>
      <c r="Z81" t="s">
        <v>1686</v>
      </c>
      <c r="AA81" t="s">
        <v>25</v>
      </c>
      <c r="AC81" t="s">
        <v>22</v>
      </c>
      <c r="AD81" t="s">
        <v>1686</v>
      </c>
      <c r="AE81">
        <v>1.2704974143883867E-4</v>
      </c>
      <c r="AG81" t="s">
        <v>97</v>
      </c>
      <c r="AH81" t="s">
        <v>1686</v>
      </c>
      <c r="AI81">
        <v>0</v>
      </c>
      <c r="AK81">
        <v>2027</v>
      </c>
      <c r="AL81" t="s">
        <v>166</v>
      </c>
      <c r="AM81">
        <v>0.3034</v>
      </c>
      <c r="AN81" t="s">
        <v>430</v>
      </c>
    </row>
    <row r="82" spans="5:40" x14ac:dyDescent="0.45">
      <c r="E82" t="s">
        <v>1383</v>
      </c>
      <c r="G82" t="s">
        <v>155</v>
      </c>
      <c r="I82" t="s">
        <v>249</v>
      </c>
      <c r="J82" t="s">
        <v>1687</v>
      </c>
      <c r="K82">
        <v>2.8260418377619998E-4</v>
      </c>
      <c r="L82" t="s">
        <v>251</v>
      </c>
      <c r="N82" t="s">
        <v>419</v>
      </c>
      <c r="O82" t="s">
        <v>1687</v>
      </c>
      <c r="P82">
        <v>2.8687491595381412E-5</v>
      </c>
      <c r="Q82" t="s">
        <v>251</v>
      </c>
      <c r="S82" t="s">
        <v>420</v>
      </c>
      <c r="T82" t="s">
        <v>1687</v>
      </c>
      <c r="U82">
        <v>6.0461750878584925E-5</v>
      </c>
      <c r="V82" t="s">
        <v>251</v>
      </c>
      <c r="X82">
        <v>1.1415525114155251E-4</v>
      </c>
      <c r="Y82">
        <v>1.7237235744060203E-4</v>
      </c>
      <c r="Z82" t="s">
        <v>1687</v>
      </c>
      <c r="AA82" t="s">
        <v>25</v>
      </c>
      <c r="AC82" t="s">
        <v>22</v>
      </c>
      <c r="AD82" t="s">
        <v>1687</v>
      </c>
      <c r="AE82">
        <v>1.1285898721021215E-4</v>
      </c>
      <c r="AG82" t="s">
        <v>97</v>
      </c>
      <c r="AH82" t="s">
        <v>1687</v>
      </c>
      <c r="AI82">
        <v>0</v>
      </c>
      <c r="AK82">
        <v>2027</v>
      </c>
      <c r="AL82" t="s">
        <v>178</v>
      </c>
      <c r="AM82">
        <v>0.30459999999999998</v>
      </c>
      <c r="AN82" t="s">
        <v>430</v>
      </c>
    </row>
    <row r="83" spans="5:40" x14ac:dyDescent="0.45">
      <c r="E83" t="s">
        <v>1384</v>
      </c>
      <c r="G83" t="s">
        <v>155</v>
      </c>
      <c r="I83" t="s">
        <v>249</v>
      </c>
      <c r="J83" t="s">
        <v>1688</v>
      </c>
      <c r="K83">
        <v>2.4439062622910003E-4</v>
      </c>
      <c r="L83" t="s">
        <v>251</v>
      </c>
      <c r="N83" t="s">
        <v>419</v>
      </c>
      <c r="O83" t="s">
        <v>1688</v>
      </c>
      <c r="P83">
        <v>3.2077721638277859E-5</v>
      </c>
      <c r="Q83" t="s">
        <v>251</v>
      </c>
      <c r="S83" t="s">
        <v>420</v>
      </c>
      <c r="T83" t="s">
        <v>1688</v>
      </c>
      <c r="U83">
        <v>6.3691184006620458E-5</v>
      </c>
      <c r="V83" t="s">
        <v>251</v>
      </c>
      <c r="X83">
        <v>1.1415525114155251E-4</v>
      </c>
      <c r="Y83">
        <v>2.2209515285616027E-4</v>
      </c>
      <c r="Z83" t="s">
        <v>1688</v>
      </c>
      <c r="AA83" t="s">
        <v>25</v>
      </c>
      <c r="AC83" t="s">
        <v>22</v>
      </c>
      <c r="AD83" t="s">
        <v>1688</v>
      </c>
      <c r="AE83">
        <v>8.9035410412636524E-5</v>
      </c>
      <c r="AG83" t="s">
        <v>97</v>
      </c>
      <c r="AH83" t="s">
        <v>1688</v>
      </c>
      <c r="AI83">
        <v>0</v>
      </c>
      <c r="AK83">
        <v>2028</v>
      </c>
      <c r="AL83" t="s">
        <v>151</v>
      </c>
      <c r="AM83">
        <v>0.25540000000000002</v>
      </c>
      <c r="AN83" t="s">
        <v>430</v>
      </c>
    </row>
    <row r="84" spans="5:40" x14ac:dyDescent="0.45">
      <c r="E84" t="s">
        <v>1385</v>
      </c>
      <c r="G84" t="s">
        <v>155</v>
      </c>
      <c r="I84" t="s">
        <v>249</v>
      </c>
      <c r="J84" t="s">
        <v>1689</v>
      </c>
      <c r="K84">
        <v>1.622679534105E-4</v>
      </c>
      <c r="L84" t="s">
        <v>251</v>
      </c>
      <c r="N84" t="s">
        <v>419</v>
      </c>
      <c r="O84" t="s">
        <v>1689</v>
      </c>
      <c r="P84">
        <v>3.9620134921512138E-5</v>
      </c>
      <c r="Q84" t="s">
        <v>251</v>
      </c>
      <c r="S84" t="s">
        <v>420</v>
      </c>
      <c r="T84" t="s">
        <v>1689</v>
      </c>
      <c r="U84">
        <v>6.8257766795334131E-5</v>
      </c>
      <c r="V84" t="s">
        <v>251</v>
      </c>
      <c r="X84">
        <v>1.1415525114155251E-4</v>
      </c>
      <c r="Y84">
        <v>2.2209515285616027E-4</v>
      </c>
      <c r="Z84" t="s">
        <v>1689</v>
      </c>
      <c r="AA84" t="s">
        <v>25</v>
      </c>
      <c r="AC84" t="s">
        <v>22</v>
      </c>
      <c r="AD84" t="s">
        <v>1689</v>
      </c>
      <c r="AE84">
        <v>5.716999770219083E-5</v>
      </c>
      <c r="AG84" t="s">
        <v>97</v>
      </c>
      <c r="AH84" t="s">
        <v>1689</v>
      </c>
      <c r="AI84">
        <v>0</v>
      </c>
      <c r="AK84">
        <v>2028</v>
      </c>
      <c r="AL84" t="s">
        <v>156</v>
      </c>
      <c r="AM84">
        <v>0.25409999999999999</v>
      </c>
      <c r="AN84" t="s">
        <v>430</v>
      </c>
    </row>
    <row r="85" spans="5:40" x14ac:dyDescent="0.45">
      <c r="E85" t="s">
        <v>1386</v>
      </c>
      <c r="G85" t="s">
        <v>155</v>
      </c>
      <c r="I85" t="s">
        <v>249</v>
      </c>
      <c r="J85" t="s">
        <v>1690</v>
      </c>
      <c r="K85">
        <v>5.9971839943846842E-5</v>
      </c>
      <c r="L85" t="s">
        <v>251</v>
      </c>
      <c r="N85" t="s">
        <v>419</v>
      </c>
      <c r="O85" t="s">
        <v>1690</v>
      </c>
      <c r="P85">
        <v>5.8824622538342678E-5</v>
      </c>
      <c r="Q85" t="s">
        <v>251</v>
      </c>
      <c r="S85" t="s">
        <v>420</v>
      </c>
      <c r="T85" t="s">
        <v>1690</v>
      </c>
      <c r="U85">
        <v>7.3011885588544089E-5</v>
      </c>
      <c r="V85" t="s">
        <v>251</v>
      </c>
      <c r="X85">
        <v>1.1415525114155251E-4</v>
      </c>
      <c r="Y85">
        <v>1.7237235744060203E-4</v>
      </c>
      <c r="Z85" t="s">
        <v>1690</v>
      </c>
      <c r="AA85" t="s">
        <v>25</v>
      </c>
      <c r="AC85" t="s">
        <v>22</v>
      </c>
      <c r="AD85" t="s">
        <v>1690</v>
      </c>
      <c r="AE85">
        <v>2.9985071645938404E-5</v>
      </c>
      <c r="AG85" t="s">
        <v>97</v>
      </c>
      <c r="AH85" t="s">
        <v>1690</v>
      </c>
      <c r="AI85">
        <v>0</v>
      </c>
      <c r="AK85">
        <v>2028</v>
      </c>
      <c r="AL85" t="s">
        <v>159</v>
      </c>
      <c r="AM85">
        <v>0.24859999999999999</v>
      </c>
      <c r="AN85" t="s">
        <v>430</v>
      </c>
    </row>
    <row r="86" spans="5:40" x14ac:dyDescent="0.45">
      <c r="E86" t="s">
        <v>1387</v>
      </c>
      <c r="G86" t="s">
        <v>155</v>
      </c>
      <c r="I86" t="s">
        <v>249</v>
      </c>
      <c r="J86" t="s">
        <v>1691</v>
      </c>
      <c r="K86">
        <v>0</v>
      </c>
      <c r="L86" t="s">
        <v>251</v>
      </c>
      <c r="N86" t="s">
        <v>419</v>
      </c>
      <c r="O86" t="s">
        <v>1691</v>
      </c>
      <c r="P86">
        <v>8.3188350519888902E-5</v>
      </c>
      <c r="Q86" t="s">
        <v>251</v>
      </c>
      <c r="S86" t="s">
        <v>420</v>
      </c>
      <c r="T86" t="s">
        <v>1691</v>
      </c>
      <c r="U86">
        <v>7.5666227936603962E-5</v>
      </c>
      <c r="V86" t="s">
        <v>251</v>
      </c>
      <c r="X86">
        <v>1.1415525114155251E-4</v>
      </c>
      <c r="Y86">
        <v>1.5579809230208258E-4</v>
      </c>
      <c r="Z86" t="s">
        <v>1691</v>
      </c>
      <c r="AA86" t="s">
        <v>25</v>
      </c>
      <c r="AC86" t="s">
        <v>22</v>
      </c>
      <c r="AD86" t="s">
        <v>1691</v>
      </c>
      <c r="AE86">
        <v>2.3718054880921204E-5</v>
      </c>
      <c r="AG86" t="s">
        <v>97</v>
      </c>
      <c r="AH86" t="s">
        <v>1691</v>
      </c>
      <c r="AI86">
        <v>0</v>
      </c>
      <c r="AK86">
        <v>2028</v>
      </c>
      <c r="AL86" t="s">
        <v>163</v>
      </c>
      <c r="AM86">
        <v>0.33439999999999998</v>
      </c>
      <c r="AN86" t="s">
        <v>430</v>
      </c>
    </row>
    <row r="87" spans="5:40" x14ac:dyDescent="0.45">
      <c r="E87" t="s">
        <v>1388</v>
      </c>
      <c r="G87" t="s">
        <v>155</v>
      </c>
      <c r="I87" t="s">
        <v>249</v>
      </c>
      <c r="J87" t="s">
        <v>1692</v>
      </c>
      <c r="K87">
        <v>0</v>
      </c>
      <c r="L87" t="s">
        <v>251</v>
      </c>
      <c r="N87" t="s">
        <v>419</v>
      </c>
      <c r="O87" t="s">
        <v>1692</v>
      </c>
      <c r="P87">
        <v>1.029008601871E-4</v>
      </c>
      <c r="Q87" t="s">
        <v>251</v>
      </c>
      <c r="S87" t="s">
        <v>420</v>
      </c>
      <c r="T87" t="s">
        <v>1692</v>
      </c>
      <c r="U87">
        <v>7.7550857801163639E-5</v>
      </c>
      <c r="V87" t="s">
        <v>251</v>
      </c>
      <c r="X87">
        <v>1.1415525114155251E-4</v>
      </c>
      <c r="Y87">
        <v>1.093901499142282E-4</v>
      </c>
      <c r="Z87" t="s">
        <v>1692</v>
      </c>
      <c r="AA87" t="s">
        <v>25</v>
      </c>
      <c r="AC87" t="s">
        <v>22</v>
      </c>
      <c r="AD87" t="s">
        <v>1692</v>
      </c>
      <c r="AE87">
        <v>2.379493028657208E-5</v>
      </c>
      <c r="AG87" t="s">
        <v>97</v>
      </c>
      <c r="AH87" t="s">
        <v>1692</v>
      </c>
      <c r="AI87">
        <v>0</v>
      </c>
      <c r="AK87">
        <v>2028</v>
      </c>
      <c r="AL87" t="s">
        <v>167</v>
      </c>
      <c r="AM87">
        <v>0.39839999999999998</v>
      </c>
      <c r="AN87" t="s">
        <v>430</v>
      </c>
    </row>
    <row r="88" spans="5:40" x14ac:dyDescent="0.45">
      <c r="E88" t="s">
        <v>1389</v>
      </c>
      <c r="G88" t="s">
        <v>155</v>
      </c>
      <c r="I88" t="s">
        <v>249</v>
      </c>
      <c r="J88" t="s">
        <v>1693</v>
      </c>
      <c r="K88">
        <v>0</v>
      </c>
      <c r="L88" t="s">
        <v>251</v>
      </c>
      <c r="N88" t="s">
        <v>419</v>
      </c>
      <c r="O88" t="s">
        <v>1693</v>
      </c>
      <c r="P88">
        <v>1.127167316789E-4</v>
      </c>
      <c r="Q88" t="s">
        <v>251</v>
      </c>
      <c r="S88" t="s">
        <v>420</v>
      </c>
      <c r="T88" t="s">
        <v>1693</v>
      </c>
      <c r="U88">
        <v>7.839787925767058E-5</v>
      </c>
      <c r="V88" t="s">
        <v>251</v>
      </c>
      <c r="X88">
        <v>1.1415525114155251E-4</v>
      </c>
      <c r="Y88">
        <v>7.9556472664893237E-5</v>
      </c>
      <c r="Z88" t="s">
        <v>1693</v>
      </c>
      <c r="AA88" t="s">
        <v>25</v>
      </c>
      <c r="AC88" t="s">
        <v>22</v>
      </c>
      <c r="AD88" t="s">
        <v>1693</v>
      </c>
      <c r="AE88">
        <v>2.3546477888598951E-5</v>
      </c>
      <c r="AG88" t="s">
        <v>97</v>
      </c>
      <c r="AH88" t="s">
        <v>1693</v>
      </c>
      <c r="AI88">
        <v>0</v>
      </c>
      <c r="AK88">
        <v>2028</v>
      </c>
      <c r="AL88" t="s">
        <v>169</v>
      </c>
      <c r="AM88">
        <v>0.5161</v>
      </c>
      <c r="AN88" t="s">
        <v>430</v>
      </c>
    </row>
    <row r="89" spans="5:40" x14ac:dyDescent="0.45">
      <c r="E89" t="s">
        <v>1390</v>
      </c>
      <c r="G89" t="s">
        <v>155</v>
      </c>
      <c r="I89" t="s">
        <v>249</v>
      </c>
      <c r="J89" t="s">
        <v>1694</v>
      </c>
      <c r="K89">
        <v>0</v>
      </c>
      <c r="L89" t="s">
        <v>251</v>
      </c>
      <c r="N89" t="s">
        <v>419</v>
      </c>
      <c r="O89" t="s">
        <v>1694</v>
      </c>
      <c r="P89">
        <v>1.130031077145E-4</v>
      </c>
      <c r="Q89" t="s">
        <v>251</v>
      </c>
      <c r="S89" t="s">
        <v>420</v>
      </c>
      <c r="T89" t="s">
        <v>1694</v>
      </c>
      <c r="U89">
        <v>7.6619198748511321E-5</v>
      </c>
      <c r="V89" t="s">
        <v>251</v>
      </c>
      <c r="X89">
        <v>1.1415525114155251E-4</v>
      </c>
      <c r="Y89">
        <v>5.6352501470966035E-5</v>
      </c>
      <c r="Z89" t="s">
        <v>1694</v>
      </c>
      <c r="AA89" t="s">
        <v>25</v>
      </c>
      <c r="AC89" t="s">
        <v>22</v>
      </c>
      <c r="AD89" t="s">
        <v>1694</v>
      </c>
      <c r="AE89">
        <v>2.5856082467066644E-5</v>
      </c>
      <c r="AG89" t="s">
        <v>97</v>
      </c>
      <c r="AH89" t="s">
        <v>1694</v>
      </c>
      <c r="AI89">
        <v>0</v>
      </c>
      <c r="AK89">
        <v>2028</v>
      </c>
      <c r="AL89" t="s">
        <v>171</v>
      </c>
      <c r="AM89">
        <v>0.59350000000000003</v>
      </c>
      <c r="AN89" t="s">
        <v>430</v>
      </c>
    </row>
    <row r="90" spans="5:40" x14ac:dyDescent="0.45">
      <c r="E90" t="s">
        <v>1391</v>
      </c>
      <c r="G90" t="s">
        <v>155</v>
      </c>
      <c r="I90" t="s">
        <v>249</v>
      </c>
      <c r="J90" t="s">
        <v>1695</v>
      </c>
      <c r="K90">
        <v>0</v>
      </c>
      <c r="L90" t="s">
        <v>251</v>
      </c>
      <c r="N90" t="s">
        <v>419</v>
      </c>
      <c r="O90" t="s">
        <v>1695</v>
      </c>
      <c r="P90">
        <v>1.0942455728829999E-4</v>
      </c>
      <c r="Q90" t="s">
        <v>251</v>
      </c>
      <c r="S90" t="s">
        <v>420</v>
      </c>
      <c r="T90" t="s">
        <v>1695</v>
      </c>
      <c r="U90">
        <v>7.4796928415776407E-5</v>
      </c>
      <c r="V90" t="s">
        <v>251</v>
      </c>
      <c r="X90">
        <v>1.1415525114155251E-4</v>
      </c>
      <c r="Y90">
        <v>2.9833677249334962E-5</v>
      </c>
      <c r="Z90" t="s">
        <v>1695</v>
      </c>
      <c r="AA90" t="s">
        <v>25</v>
      </c>
      <c r="AC90" t="s">
        <v>22</v>
      </c>
      <c r="AD90" t="s">
        <v>1695</v>
      </c>
      <c r="AE90">
        <v>4.7303206507347752E-5</v>
      </c>
      <c r="AG90" t="s">
        <v>97</v>
      </c>
      <c r="AH90" t="s">
        <v>1695</v>
      </c>
      <c r="AI90">
        <v>0</v>
      </c>
      <c r="AK90">
        <v>2028</v>
      </c>
      <c r="AL90" t="s">
        <v>158</v>
      </c>
      <c r="AM90">
        <v>0.58140000000000003</v>
      </c>
      <c r="AN90" t="s">
        <v>430</v>
      </c>
    </row>
    <row r="91" spans="5:40" x14ac:dyDescent="0.45">
      <c r="E91" t="s">
        <v>1392</v>
      </c>
      <c r="G91" t="s">
        <v>155</v>
      </c>
      <c r="I91" t="s">
        <v>249</v>
      </c>
      <c r="J91" t="s">
        <v>259</v>
      </c>
      <c r="K91">
        <v>0</v>
      </c>
      <c r="L91" t="s">
        <v>251</v>
      </c>
      <c r="N91" t="s">
        <v>419</v>
      </c>
      <c r="O91" t="s">
        <v>259</v>
      </c>
      <c r="P91">
        <v>1.4654608629173699E-2</v>
      </c>
      <c r="Q91" t="s">
        <v>251</v>
      </c>
      <c r="S91" t="s">
        <v>420</v>
      </c>
      <c r="T91" t="s">
        <v>259</v>
      </c>
      <c r="U91">
        <v>1.2703464735891786E-2</v>
      </c>
      <c r="V91" t="s">
        <v>251</v>
      </c>
      <c r="X91">
        <v>1.9178082191780823E-2</v>
      </c>
      <c r="Y91">
        <v>7.5737761976978363E-3</v>
      </c>
      <c r="Z91" t="s">
        <v>259</v>
      </c>
      <c r="AA91" t="s">
        <v>25</v>
      </c>
      <c r="AC91" t="s">
        <v>22</v>
      </c>
      <c r="AD91" t="s">
        <v>259</v>
      </c>
      <c r="AE91">
        <v>1.5281734637876689E-2</v>
      </c>
      <c r="AG91" t="s">
        <v>97</v>
      </c>
      <c r="AH91" t="s">
        <v>259</v>
      </c>
      <c r="AI91">
        <v>0.14396344881583967</v>
      </c>
      <c r="AK91">
        <v>2028</v>
      </c>
      <c r="AL91" t="s">
        <v>162</v>
      </c>
      <c r="AM91">
        <v>0.67200000000000004</v>
      </c>
      <c r="AN91" t="s">
        <v>430</v>
      </c>
    </row>
    <row r="92" spans="5:40" x14ac:dyDescent="0.45">
      <c r="E92" t="s">
        <v>1393</v>
      </c>
      <c r="G92" t="s">
        <v>155</v>
      </c>
      <c r="I92" t="s">
        <v>249</v>
      </c>
      <c r="J92" t="s">
        <v>260</v>
      </c>
      <c r="K92">
        <v>1.2328382500637102E-3</v>
      </c>
      <c r="L92" t="s">
        <v>251</v>
      </c>
      <c r="N92" t="s">
        <v>419</v>
      </c>
      <c r="O92" t="s">
        <v>260</v>
      </c>
      <c r="P92">
        <v>1.4495831264856865E-3</v>
      </c>
      <c r="Q92" t="s">
        <v>251</v>
      </c>
      <c r="S92" t="s">
        <v>420</v>
      </c>
      <c r="T92" t="s">
        <v>260</v>
      </c>
      <c r="U92">
        <v>1.8828305116088226E-3</v>
      </c>
      <c r="V92" t="s">
        <v>251</v>
      </c>
      <c r="X92">
        <v>2.7397260273972603E-3</v>
      </c>
      <c r="Y92">
        <v>4.5744971782313605E-3</v>
      </c>
      <c r="Z92" t="s">
        <v>260</v>
      </c>
      <c r="AA92" t="s">
        <v>25</v>
      </c>
      <c r="AC92" t="s">
        <v>22</v>
      </c>
      <c r="AD92" t="s">
        <v>260</v>
      </c>
      <c r="AE92">
        <v>2.6694825885100974E-3</v>
      </c>
      <c r="AG92" t="s">
        <v>97</v>
      </c>
      <c r="AH92" t="s">
        <v>260</v>
      </c>
      <c r="AI92">
        <v>4.6259465952494416E-2</v>
      </c>
      <c r="AK92">
        <v>2028</v>
      </c>
      <c r="AL92" t="s">
        <v>175</v>
      </c>
      <c r="AM92">
        <v>0.48330000000000001</v>
      </c>
      <c r="AN92" t="s">
        <v>430</v>
      </c>
    </row>
    <row r="93" spans="5:40" x14ac:dyDescent="0.45">
      <c r="E93" t="s">
        <v>1394</v>
      </c>
      <c r="G93" t="s">
        <v>155</v>
      </c>
      <c r="I93" t="s">
        <v>249</v>
      </c>
      <c r="J93" t="s">
        <v>261</v>
      </c>
      <c r="K93">
        <v>5.0581373249709996E-3</v>
      </c>
      <c r="L93" t="s">
        <v>251</v>
      </c>
      <c r="N93" t="s">
        <v>419</v>
      </c>
      <c r="O93" t="s">
        <v>261</v>
      </c>
      <c r="P93">
        <v>1.0103803709188457E-3</v>
      </c>
      <c r="Q93" t="s">
        <v>251</v>
      </c>
      <c r="S93" t="s">
        <v>420</v>
      </c>
      <c r="T93" t="s">
        <v>261</v>
      </c>
      <c r="U93">
        <v>1.8485712801002089E-3</v>
      </c>
      <c r="V93" t="s">
        <v>251</v>
      </c>
      <c r="X93">
        <v>2.7397260273972603E-3</v>
      </c>
      <c r="Y93">
        <v>3.5004847972553029E-3</v>
      </c>
      <c r="Z93" t="s">
        <v>261</v>
      </c>
      <c r="AA93" t="s">
        <v>25</v>
      </c>
      <c r="AC93" t="s">
        <v>22</v>
      </c>
      <c r="AD93" t="s">
        <v>261</v>
      </c>
      <c r="AE93">
        <v>2.7537625441023624E-3</v>
      </c>
      <c r="AG93" t="s">
        <v>97</v>
      </c>
      <c r="AH93" t="s">
        <v>261</v>
      </c>
      <c r="AI93">
        <v>4.0442410616230884E-2</v>
      </c>
      <c r="AK93">
        <v>2028</v>
      </c>
      <c r="AL93" t="s">
        <v>166</v>
      </c>
      <c r="AM93">
        <v>0.26340000000000002</v>
      </c>
      <c r="AN93" t="s">
        <v>430</v>
      </c>
    </row>
    <row r="94" spans="5:40" x14ac:dyDescent="0.45">
      <c r="E94" t="s">
        <v>1395</v>
      </c>
      <c r="G94" t="s">
        <v>155</v>
      </c>
      <c r="I94" t="s">
        <v>249</v>
      </c>
      <c r="J94" t="s">
        <v>262</v>
      </c>
      <c r="K94">
        <v>7.1285083266177003E-3</v>
      </c>
      <c r="L94" t="s">
        <v>251</v>
      </c>
      <c r="N94" t="s">
        <v>419</v>
      </c>
      <c r="O94" t="s">
        <v>262</v>
      </c>
      <c r="P94">
        <v>9.2694327666745973E-4</v>
      </c>
      <c r="Q94" t="s">
        <v>251</v>
      </c>
      <c r="S94" t="s">
        <v>420</v>
      </c>
      <c r="T94" t="s">
        <v>262</v>
      </c>
      <c r="U94">
        <v>1.7767090462132836E-3</v>
      </c>
      <c r="V94" t="s">
        <v>251</v>
      </c>
      <c r="X94">
        <v>2.7397260273972603E-3</v>
      </c>
      <c r="Y94">
        <v>3.4686622081893455E-3</v>
      </c>
      <c r="Z94" t="s">
        <v>262</v>
      </c>
      <c r="AA94" t="s">
        <v>25</v>
      </c>
      <c r="AC94" t="s">
        <v>22</v>
      </c>
      <c r="AD94" t="s">
        <v>262</v>
      </c>
      <c r="AE94">
        <v>2.7972495127018561E-3</v>
      </c>
      <c r="AG94" t="s">
        <v>97</v>
      </c>
      <c r="AH94" t="s">
        <v>262</v>
      </c>
      <c r="AI94">
        <v>5.0518812525552903E-2</v>
      </c>
      <c r="AK94">
        <v>2028</v>
      </c>
      <c r="AL94" t="s">
        <v>178</v>
      </c>
      <c r="AM94">
        <v>0.23949999999999999</v>
      </c>
      <c r="AN94" t="s">
        <v>430</v>
      </c>
    </row>
    <row r="95" spans="5:40" x14ac:dyDescent="0.45">
      <c r="E95" t="s">
        <v>1396</v>
      </c>
      <c r="G95" t="s">
        <v>155</v>
      </c>
      <c r="I95" t="s">
        <v>249</v>
      </c>
      <c r="J95" t="s">
        <v>263</v>
      </c>
      <c r="K95">
        <v>5.4564848041251501E-2</v>
      </c>
      <c r="L95" t="s">
        <v>251</v>
      </c>
      <c r="N95" t="s">
        <v>419</v>
      </c>
      <c r="O95" t="s">
        <v>263</v>
      </c>
      <c r="P95">
        <v>6.9226986652987689E-3</v>
      </c>
      <c r="Q95" t="s">
        <v>251</v>
      </c>
      <c r="S95" t="s">
        <v>420</v>
      </c>
      <c r="T95" t="s">
        <v>263</v>
      </c>
      <c r="U95">
        <v>1.0567214613323394E-2</v>
      </c>
      <c r="V95" t="s">
        <v>251</v>
      </c>
      <c r="X95">
        <v>1.9178082191780823E-2</v>
      </c>
      <c r="Y95">
        <v>2.6826442582601997E-2</v>
      </c>
      <c r="Z95" t="s">
        <v>263</v>
      </c>
      <c r="AA95" t="s">
        <v>25</v>
      </c>
      <c r="AC95" t="s">
        <v>22</v>
      </c>
      <c r="AD95" t="s">
        <v>263</v>
      </c>
      <c r="AE95">
        <v>2.032902393411079E-2</v>
      </c>
      <c r="AG95" t="s">
        <v>97</v>
      </c>
      <c r="AH95" t="s">
        <v>263</v>
      </c>
      <c r="AI95">
        <v>0.18491685685503745</v>
      </c>
      <c r="AK95">
        <v>2029</v>
      </c>
      <c r="AL95" t="s">
        <v>151</v>
      </c>
      <c r="AM95">
        <v>0.2417</v>
      </c>
      <c r="AN95" t="s">
        <v>430</v>
      </c>
    </row>
    <row r="96" spans="5:40" x14ac:dyDescent="0.45">
      <c r="E96" t="s">
        <v>1397</v>
      </c>
      <c r="G96" t="s">
        <v>155</v>
      </c>
      <c r="I96" t="s">
        <v>249</v>
      </c>
      <c r="J96" t="s">
        <v>264</v>
      </c>
      <c r="K96">
        <v>5.2789118191189999E-3</v>
      </c>
      <c r="L96" t="s">
        <v>251</v>
      </c>
      <c r="N96" t="s">
        <v>419</v>
      </c>
      <c r="O96" t="s">
        <v>264</v>
      </c>
      <c r="P96">
        <v>1.2917695679563735E-3</v>
      </c>
      <c r="Q96" t="s">
        <v>251</v>
      </c>
      <c r="S96" t="s">
        <v>420</v>
      </c>
      <c r="T96" t="s">
        <v>264</v>
      </c>
      <c r="U96">
        <v>1.6323375240967605E-3</v>
      </c>
      <c r="V96" t="s">
        <v>251</v>
      </c>
      <c r="X96">
        <v>2.7397260273972603E-3</v>
      </c>
      <c r="Y96">
        <v>5.3302836685478472E-3</v>
      </c>
      <c r="Z96" t="s">
        <v>264</v>
      </c>
      <c r="AA96" t="s">
        <v>25</v>
      </c>
      <c r="AC96" t="s">
        <v>22</v>
      </c>
      <c r="AD96" t="s">
        <v>264</v>
      </c>
      <c r="AE96">
        <v>1.3213876760621093E-3</v>
      </c>
      <c r="AG96" t="s">
        <v>97</v>
      </c>
      <c r="AH96" t="s">
        <v>264</v>
      </c>
      <c r="AI96">
        <v>3.9976832093647108E-2</v>
      </c>
      <c r="AK96">
        <v>2029</v>
      </c>
      <c r="AL96" t="s">
        <v>156</v>
      </c>
      <c r="AM96">
        <v>0.26079999999999998</v>
      </c>
      <c r="AN96" t="s">
        <v>430</v>
      </c>
    </row>
    <row r="97" spans="5:40" x14ac:dyDescent="0.45">
      <c r="E97" t="s">
        <v>1398</v>
      </c>
      <c r="G97" t="s">
        <v>155</v>
      </c>
      <c r="I97" t="s">
        <v>249</v>
      </c>
      <c r="J97" t="s">
        <v>265</v>
      </c>
      <c r="K97">
        <v>2.3246908894984596E-3</v>
      </c>
      <c r="L97" t="s">
        <v>251</v>
      </c>
      <c r="N97" t="s">
        <v>419</v>
      </c>
      <c r="O97" t="s">
        <v>265</v>
      </c>
      <c r="P97">
        <v>1.6925792132394199E-3</v>
      </c>
      <c r="Q97" t="s">
        <v>251</v>
      </c>
      <c r="S97" t="s">
        <v>420</v>
      </c>
      <c r="T97" t="s">
        <v>265</v>
      </c>
      <c r="U97">
        <v>1.7112230026547917E-3</v>
      </c>
      <c r="V97" t="s">
        <v>251</v>
      </c>
      <c r="X97">
        <v>2.7397260273972603E-3</v>
      </c>
      <c r="Y97">
        <v>4.1369365785744487E-3</v>
      </c>
      <c r="Z97" t="s">
        <v>265</v>
      </c>
      <c r="AA97" t="s">
        <v>25</v>
      </c>
      <c r="AC97" t="s">
        <v>22</v>
      </c>
      <c r="AD97" t="s">
        <v>265</v>
      </c>
      <c r="AE97">
        <v>7.4562542596276222E-4</v>
      </c>
      <c r="AG97" t="s">
        <v>97</v>
      </c>
      <c r="AH97" t="s">
        <v>265</v>
      </c>
      <c r="AI97">
        <v>3.9185589617337868E-2</v>
      </c>
      <c r="AK97">
        <v>2029</v>
      </c>
      <c r="AL97" t="s">
        <v>159</v>
      </c>
      <c r="AM97">
        <v>0.27239999999999998</v>
      </c>
      <c r="AN97" t="s">
        <v>430</v>
      </c>
    </row>
    <row r="98" spans="5:40" x14ac:dyDescent="0.45">
      <c r="E98" t="s">
        <v>1399</v>
      </c>
      <c r="G98" t="s">
        <v>155</v>
      </c>
      <c r="I98" t="s">
        <v>249</v>
      </c>
      <c r="J98" t="s">
        <v>266</v>
      </c>
      <c r="K98">
        <v>0</v>
      </c>
      <c r="L98" t="s">
        <v>251</v>
      </c>
      <c r="N98" t="s">
        <v>419</v>
      </c>
      <c r="O98" t="s">
        <v>266</v>
      </c>
      <c r="P98">
        <v>1.3923549745748465E-2</v>
      </c>
      <c r="Q98" t="s">
        <v>251</v>
      </c>
      <c r="S98" t="s">
        <v>420</v>
      </c>
      <c r="T98" t="s">
        <v>266</v>
      </c>
      <c r="U98">
        <v>8.9984085475876968E-3</v>
      </c>
      <c r="V98" t="s">
        <v>251</v>
      </c>
      <c r="X98">
        <v>1.3698630136986301E-2</v>
      </c>
      <c r="Y98">
        <v>1.0342341446436119E-2</v>
      </c>
      <c r="Z98" t="s">
        <v>266</v>
      </c>
      <c r="AA98" t="s">
        <v>25</v>
      </c>
      <c r="AC98" t="s">
        <v>22</v>
      </c>
      <c r="AD98" t="s">
        <v>266</v>
      </c>
      <c r="AE98">
        <v>3.5344445588898371E-3</v>
      </c>
      <c r="AG98" t="s">
        <v>97</v>
      </c>
      <c r="AH98" t="s">
        <v>266</v>
      </c>
      <c r="AI98">
        <v>0.15665279972470936</v>
      </c>
      <c r="AK98">
        <v>2029</v>
      </c>
      <c r="AL98" t="s">
        <v>163</v>
      </c>
      <c r="AM98">
        <v>0.2833</v>
      </c>
      <c r="AN98" t="s">
        <v>430</v>
      </c>
    </row>
    <row r="99" spans="5:40" x14ac:dyDescent="0.45">
      <c r="E99" t="s">
        <v>1400</v>
      </c>
      <c r="G99" t="s">
        <v>155</v>
      </c>
      <c r="I99" t="s">
        <v>249</v>
      </c>
      <c r="J99" t="s">
        <v>1696</v>
      </c>
      <c r="K99">
        <v>0</v>
      </c>
      <c r="L99" t="s">
        <v>251</v>
      </c>
      <c r="N99" t="s">
        <v>419</v>
      </c>
      <c r="O99" t="s">
        <v>1696</v>
      </c>
      <c r="P99">
        <v>1.038224375726E-4</v>
      </c>
      <c r="Q99" t="s">
        <v>251</v>
      </c>
      <c r="S99" t="s">
        <v>420</v>
      </c>
      <c r="T99" t="s">
        <v>1696</v>
      </c>
      <c r="U99">
        <v>7.2105375350856938E-5</v>
      </c>
      <c r="V99" t="s">
        <v>251</v>
      </c>
      <c r="X99">
        <v>1.1415525114155251E-4</v>
      </c>
      <c r="Y99">
        <v>2.1546544680075254E-5</v>
      </c>
      <c r="Z99" t="s">
        <v>1696</v>
      </c>
      <c r="AA99" t="s">
        <v>25</v>
      </c>
      <c r="AC99" t="s">
        <v>22</v>
      </c>
      <c r="AD99" t="s">
        <v>1696</v>
      </c>
      <c r="AE99">
        <v>5.2810606891025266E-5</v>
      </c>
      <c r="AG99" t="s">
        <v>97</v>
      </c>
      <c r="AH99" t="s">
        <v>1696</v>
      </c>
      <c r="AI99">
        <v>0</v>
      </c>
      <c r="AK99">
        <v>2029</v>
      </c>
      <c r="AL99" t="s">
        <v>167</v>
      </c>
      <c r="AM99">
        <v>0.36370000000000002</v>
      </c>
      <c r="AN99" t="s">
        <v>430</v>
      </c>
    </row>
    <row r="100" spans="5:40" x14ac:dyDescent="0.45">
      <c r="E100" t="s">
        <v>1401</v>
      </c>
      <c r="G100" t="s">
        <v>155</v>
      </c>
      <c r="I100" t="s">
        <v>249</v>
      </c>
      <c r="J100" t="s">
        <v>1697</v>
      </c>
      <c r="K100">
        <v>0</v>
      </c>
      <c r="L100" t="s">
        <v>251</v>
      </c>
      <c r="N100" t="s">
        <v>419</v>
      </c>
      <c r="O100" t="s">
        <v>1697</v>
      </c>
      <c r="P100">
        <v>9.9587451512741685E-5</v>
      </c>
      <c r="Q100" t="s">
        <v>251</v>
      </c>
      <c r="S100" t="s">
        <v>420</v>
      </c>
      <c r="T100" t="s">
        <v>1697</v>
      </c>
      <c r="U100">
        <v>6.9787078343347137E-5</v>
      </c>
      <c r="V100" t="s">
        <v>251</v>
      </c>
      <c r="X100">
        <v>1.1415525114155251E-4</v>
      </c>
      <c r="Y100">
        <v>1.4916838624667481E-5</v>
      </c>
      <c r="Z100" t="s">
        <v>1697</v>
      </c>
      <c r="AA100" t="s">
        <v>25</v>
      </c>
      <c r="AC100" t="s">
        <v>22</v>
      </c>
      <c r="AD100" t="s">
        <v>1697</v>
      </c>
      <c r="AE100">
        <v>7.2644461548951732E-5</v>
      </c>
      <c r="AG100" t="s">
        <v>97</v>
      </c>
      <c r="AH100" t="s">
        <v>1697</v>
      </c>
      <c r="AI100">
        <v>0</v>
      </c>
      <c r="AK100">
        <v>2029</v>
      </c>
      <c r="AL100" t="s">
        <v>169</v>
      </c>
      <c r="AM100">
        <v>0.43809999999999999</v>
      </c>
      <c r="AN100" t="s">
        <v>430</v>
      </c>
    </row>
    <row r="101" spans="5:40" x14ac:dyDescent="0.45">
      <c r="E101" t="s">
        <v>1402</v>
      </c>
      <c r="G101" t="s">
        <v>155</v>
      </c>
      <c r="I101" t="s">
        <v>249</v>
      </c>
      <c r="J101" t="s">
        <v>1698</v>
      </c>
      <c r="K101">
        <v>0</v>
      </c>
      <c r="L101" t="s">
        <v>251</v>
      </c>
      <c r="N101" t="s">
        <v>419</v>
      </c>
      <c r="O101" t="s">
        <v>1698</v>
      </c>
      <c r="P101">
        <v>8.853053854712658E-5</v>
      </c>
      <c r="Q101" t="s">
        <v>251</v>
      </c>
      <c r="S101" t="s">
        <v>420</v>
      </c>
      <c r="T101" t="s">
        <v>1698</v>
      </c>
      <c r="U101">
        <v>6.6527988755229407E-5</v>
      </c>
      <c r="V101" t="s">
        <v>251</v>
      </c>
      <c r="X101">
        <v>1.1415525114155251E-4</v>
      </c>
      <c r="Y101">
        <v>1.6574265138519424E-5</v>
      </c>
      <c r="Z101" t="s">
        <v>1698</v>
      </c>
      <c r="AA101" t="s">
        <v>25</v>
      </c>
      <c r="AC101" t="s">
        <v>22</v>
      </c>
      <c r="AD101" t="s">
        <v>1698</v>
      </c>
      <c r="AE101">
        <v>9.0506294931486084E-5</v>
      </c>
      <c r="AG101" t="s">
        <v>97</v>
      </c>
      <c r="AH101" t="s">
        <v>1698</v>
      </c>
      <c r="AI101">
        <v>0</v>
      </c>
      <c r="AK101">
        <v>2029</v>
      </c>
      <c r="AL101" t="s">
        <v>171</v>
      </c>
      <c r="AM101">
        <v>0.60219999999999996</v>
      </c>
      <c r="AN101" t="s">
        <v>430</v>
      </c>
    </row>
    <row r="102" spans="5:40" x14ac:dyDescent="0.45">
      <c r="E102" t="s">
        <v>1403</v>
      </c>
      <c r="G102" t="s">
        <v>155</v>
      </c>
      <c r="I102" t="s">
        <v>249</v>
      </c>
      <c r="J102" t="s">
        <v>1699</v>
      </c>
      <c r="K102">
        <v>0</v>
      </c>
      <c r="L102" t="s">
        <v>251</v>
      </c>
      <c r="N102" t="s">
        <v>419</v>
      </c>
      <c r="O102" t="s">
        <v>1699</v>
      </c>
      <c r="P102">
        <v>8.002202036169726E-5</v>
      </c>
      <c r="Q102" t="s">
        <v>251</v>
      </c>
      <c r="S102" t="s">
        <v>420</v>
      </c>
      <c r="T102" t="s">
        <v>1699</v>
      </c>
      <c r="U102">
        <v>5.9629862955438168E-5</v>
      </c>
      <c r="V102" t="s">
        <v>251</v>
      </c>
      <c r="X102">
        <v>1.1415525114155251E-4</v>
      </c>
      <c r="Y102">
        <v>1.4585353321897093E-5</v>
      </c>
      <c r="Z102" t="s">
        <v>1699</v>
      </c>
      <c r="AA102" t="s">
        <v>25</v>
      </c>
      <c r="AC102" t="s">
        <v>22</v>
      </c>
      <c r="AD102" t="s">
        <v>1699</v>
      </c>
      <c r="AE102">
        <v>1.0003661695956738E-4</v>
      </c>
      <c r="AG102" t="s">
        <v>97</v>
      </c>
      <c r="AH102" t="s">
        <v>1699</v>
      </c>
      <c r="AI102">
        <v>0</v>
      </c>
      <c r="AK102">
        <v>2029</v>
      </c>
      <c r="AL102" t="s">
        <v>158</v>
      </c>
      <c r="AM102">
        <v>0.62319999999999998</v>
      </c>
      <c r="AN102" t="s">
        <v>430</v>
      </c>
    </row>
    <row r="103" spans="5:40" x14ac:dyDescent="0.45">
      <c r="E103" t="s">
        <v>1404</v>
      </c>
      <c r="G103" t="s">
        <v>155</v>
      </c>
      <c r="I103" t="s">
        <v>249</v>
      </c>
      <c r="J103" t="s">
        <v>1700</v>
      </c>
      <c r="K103">
        <v>0</v>
      </c>
      <c r="L103" t="s">
        <v>251</v>
      </c>
      <c r="N103" t="s">
        <v>419</v>
      </c>
      <c r="O103" t="s">
        <v>1700</v>
      </c>
      <c r="P103">
        <v>7.2574436333433943E-5</v>
      </c>
      <c r="Q103" t="s">
        <v>251</v>
      </c>
      <c r="S103" t="s">
        <v>420</v>
      </c>
      <c r="T103" t="s">
        <v>1700</v>
      </c>
      <c r="U103">
        <v>6.004310182685683E-5</v>
      </c>
      <c r="V103" t="s">
        <v>251</v>
      </c>
      <c r="X103">
        <v>1.1415525114155251E-4</v>
      </c>
      <c r="Y103">
        <v>2.1215059377304864E-5</v>
      </c>
      <c r="Z103" t="s">
        <v>1700</v>
      </c>
      <c r="AA103" t="s">
        <v>25</v>
      </c>
      <c r="AC103" t="s">
        <v>22</v>
      </c>
      <c r="AD103" t="s">
        <v>1700</v>
      </c>
      <c r="AE103">
        <v>1.0358068457370422E-4</v>
      </c>
      <c r="AG103" t="s">
        <v>97</v>
      </c>
      <c r="AH103" t="s">
        <v>1700</v>
      </c>
      <c r="AI103">
        <v>0</v>
      </c>
      <c r="AK103">
        <v>2029</v>
      </c>
      <c r="AL103" t="s">
        <v>162</v>
      </c>
      <c r="AM103">
        <v>0.56759999999999999</v>
      </c>
      <c r="AN103" t="s">
        <v>430</v>
      </c>
    </row>
    <row r="104" spans="5:40" x14ac:dyDescent="0.45">
      <c r="E104" t="s">
        <v>1405</v>
      </c>
      <c r="G104" t="s">
        <v>155</v>
      </c>
      <c r="I104" t="s">
        <v>249</v>
      </c>
      <c r="J104" t="s">
        <v>1701</v>
      </c>
      <c r="K104">
        <v>0</v>
      </c>
      <c r="L104" t="s">
        <v>251</v>
      </c>
      <c r="N104" t="s">
        <v>419</v>
      </c>
      <c r="O104" t="s">
        <v>1701</v>
      </c>
      <c r="P104">
        <v>6.7509418314606404E-5</v>
      </c>
      <c r="Q104" t="s">
        <v>251</v>
      </c>
      <c r="S104" t="s">
        <v>420</v>
      </c>
      <c r="T104" t="s">
        <v>1701</v>
      </c>
      <c r="U104">
        <v>5.9532165238052528E-5</v>
      </c>
      <c r="V104" t="s">
        <v>251</v>
      </c>
      <c r="X104">
        <v>1.1415525114155251E-4</v>
      </c>
      <c r="Y104">
        <v>5.7678442682047593E-5</v>
      </c>
      <c r="Z104" t="s">
        <v>1701</v>
      </c>
      <c r="AA104" t="s">
        <v>25</v>
      </c>
      <c r="AC104" t="s">
        <v>22</v>
      </c>
      <c r="AD104" t="s">
        <v>1701</v>
      </c>
      <c r="AE104">
        <v>1.0598721901147082E-4</v>
      </c>
      <c r="AG104" t="s">
        <v>97</v>
      </c>
      <c r="AH104" t="s">
        <v>1701</v>
      </c>
      <c r="AI104">
        <v>0</v>
      </c>
      <c r="AK104">
        <v>2029</v>
      </c>
      <c r="AL104" t="s">
        <v>175</v>
      </c>
      <c r="AM104">
        <v>0.42130000000000001</v>
      </c>
      <c r="AN104" t="s">
        <v>430</v>
      </c>
    </row>
    <row r="105" spans="5:40" x14ac:dyDescent="0.45">
      <c r="E105" t="s">
        <v>1406</v>
      </c>
      <c r="G105" t="s">
        <v>155</v>
      </c>
      <c r="I105" t="s">
        <v>249</v>
      </c>
      <c r="J105" t="s">
        <v>1702</v>
      </c>
      <c r="K105">
        <v>0</v>
      </c>
      <c r="L105" t="s">
        <v>251</v>
      </c>
      <c r="N105" t="s">
        <v>419</v>
      </c>
      <c r="O105" t="s">
        <v>1702</v>
      </c>
      <c r="P105">
        <v>6.388600213796658E-5</v>
      </c>
      <c r="Q105" t="s">
        <v>251</v>
      </c>
      <c r="S105" t="s">
        <v>420</v>
      </c>
      <c r="T105" t="s">
        <v>1702</v>
      </c>
      <c r="U105">
        <v>5.7815237028906005E-5</v>
      </c>
      <c r="V105" t="s">
        <v>251</v>
      </c>
      <c r="X105">
        <v>1.1415525114155251E-4</v>
      </c>
      <c r="Y105">
        <v>1.6905750441289813E-4</v>
      </c>
      <c r="Z105" t="s">
        <v>1702</v>
      </c>
      <c r="AA105" t="s">
        <v>25</v>
      </c>
      <c r="AC105" t="s">
        <v>22</v>
      </c>
      <c r="AD105" t="s">
        <v>1702</v>
      </c>
      <c r="AE105">
        <v>1.0747570512668203E-4</v>
      </c>
      <c r="AG105" t="s">
        <v>97</v>
      </c>
      <c r="AH105" t="s">
        <v>1702</v>
      </c>
      <c r="AI105">
        <v>0</v>
      </c>
      <c r="AK105">
        <v>2029</v>
      </c>
      <c r="AL105" t="s">
        <v>166</v>
      </c>
      <c r="AM105">
        <v>0.26490000000000002</v>
      </c>
      <c r="AN105" t="s">
        <v>430</v>
      </c>
    </row>
    <row r="106" spans="5:40" x14ac:dyDescent="0.45">
      <c r="E106" t="s">
        <v>1407</v>
      </c>
      <c r="G106" t="s">
        <v>155</v>
      </c>
      <c r="I106" t="s">
        <v>249</v>
      </c>
      <c r="J106" t="s">
        <v>1703</v>
      </c>
      <c r="K106">
        <v>4.1444766925867537E-5</v>
      </c>
      <c r="L106" t="s">
        <v>251</v>
      </c>
      <c r="N106" t="s">
        <v>419</v>
      </c>
      <c r="O106" t="s">
        <v>1703</v>
      </c>
      <c r="P106">
        <v>6.2006477143584384E-5</v>
      </c>
      <c r="Q106" t="s">
        <v>251</v>
      </c>
      <c r="S106" t="s">
        <v>420</v>
      </c>
      <c r="T106" t="s">
        <v>1703</v>
      </c>
      <c r="U106">
        <v>5.561014925056774E-5</v>
      </c>
      <c r="V106" t="s">
        <v>251</v>
      </c>
      <c r="X106">
        <v>1.1415525114155251E-4</v>
      </c>
      <c r="Y106">
        <v>1.9060404909297337E-4</v>
      </c>
      <c r="Z106" t="s">
        <v>1703</v>
      </c>
      <c r="AA106" t="s">
        <v>25</v>
      </c>
      <c r="AC106" t="s">
        <v>22</v>
      </c>
      <c r="AD106" t="s">
        <v>1703</v>
      </c>
      <c r="AE106">
        <v>1.0756260775915692E-4</v>
      </c>
      <c r="AG106" t="s">
        <v>97</v>
      </c>
      <c r="AH106" t="s">
        <v>1703</v>
      </c>
      <c r="AI106">
        <v>0</v>
      </c>
      <c r="AK106">
        <v>2029</v>
      </c>
      <c r="AL106" t="s">
        <v>178</v>
      </c>
      <c r="AM106">
        <v>0.2467</v>
      </c>
      <c r="AN106" t="s">
        <v>430</v>
      </c>
    </row>
    <row r="107" spans="5:40" x14ac:dyDescent="0.45">
      <c r="E107" t="s">
        <v>1408</v>
      </c>
      <c r="G107" t="s">
        <v>155</v>
      </c>
      <c r="I107" t="s">
        <v>249</v>
      </c>
      <c r="J107" t="s">
        <v>1704</v>
      </c>
      <c r="K107">
        <v>1.8448398309150001E-4</v>
      </c>
      <c r="L107" t="s">
        <v>251</v>
      </c>
      <c r="N107" t="s">
        <v>419</v>
      </c>
      <c r="O107" t="s">
        <v>1704</v>
      </c>
      <c r="P107">
        <v>4.2552281859615978E-5</v>
      </c>
      <c r="Q107" t="s">
        <v>251</v>
      </c>
      <c r="S107" t="s">
        <v>420</v>
      </c>
      <c r="T107" t="s">
        <v>1704</v>
      </c>
      <c r="U107">
        <v>5.2886439615217752E-5</v>
      </c>
      <c r="V107" t="s">
        <v>251</v>
      </c>
      <c r="X107">
        <v>1.1415525114155251E-4</v>
      </c>
      <c r="Y107">
        <v>1.4585353321897094E-4</v>
      </c>
      <c r="Z107" t="s">
        <v>1704</v>
      </c>
      <c r="AA107" t="s">
        <v>25</v>
      </c>
      <c r="AC107" t="s">
        <v>22</v>
      </c>
      <c r="AD107" t="s">
        <v>1704</v>
      </c>
      <c r="AE107">
        <v>1.1765222621675617E-4</v>
      </c>
      <c r="AG107" t="s">
        <v>97</v>
      </c>
      <c r="AH107" t="s">
        <v>1704</v>
      </c>
      <c r="AI107">
        <v>0</v>
      </c>
      <c r="AK107">
        <v>2030</v>
      </c>
      <c r="AL107" t="s">
        <v>151</v>
      </c>
      <c r="AM107">
        <v>0.23350000000000001</v>
      </c>
      <c r="AN107" t="s">
        <v>430</v>
      </c>
    </row>
    <row r="108" spans="5:40" x14ac:dyDescent="0.45">
      <c r="E108" t="s">
        <v>1409</v>
      </c>
      <c r="G108" t="s">
        <v>155</v>
      </c>
      <c r="I108" t="s">
        <v>249</v>
      </c>
      <c r="J108" t="s">
        <v>1705</v>
      </c>
      <c r="K108">
        <v>2.7311456806810002E-4</v>
      </c>
      <c r="L108" t="s">
        <v>251</v>
      </c>
      <c r="N108" t="s">
        <v>419</v>
      </c>
      <c r="O108" t="s">
        <v>1705</v>
      </c>
      <c r="P108">
        <v>3.7607922154161172E-5</v>
      </c>
      <c r="Q108" t="s">
        <v>251</v>
      </c>
      <c r="S108" t="s">
        <v>420</v>
      </c>
      <c r="T108" t="s">
        <v>1705</v>
      </c>
      <c r="U108">
        <v>5.049562932409154E-5</v>
      </c>
      <c r="V108" t="s">
        <v>251</v>
      </c>
      <c r="X108">
        <v>1.1415525114155251E-4</v>
      </c>
      <c r="Y108">
        <v>1.4452759200788939E-4</v>
      </c>
      <c r="Z108" t="s">
        <v>1705</v>
      </c>
      <c r="AA108" t="s">
        <v>25</v>
      </c>
      <c r="AC108" t="s">
        <v>22</v>
      </c>
      <c r="AD108" t="s">
        <v>1705</v>
      </c>
      <c r="AE108">
        <v>1.21440289683611E-4</v>
      </c>
      <c r="AG108" t="s">
        <v>97</v>
      </c>
      <c r="AH108" t="s">
        <v>1705</v>
      </c>
      <c r="AI108">
        <v>0</v>
      </c>
      <c r="AK108">
        <v>2030</v>
      </c>
      <c r="AL108" t="s">
        <v>156</v>
      </c>
      <c r="AM108">
        <v>0.26919999999999999</v>
      </c>
      <c r="AN108" t="s">
        <v>430</v>
      </c>
    </row>
    <row r="109" spans="5:40" x14ac:dyDescent="0.45">
      <c r="E109" t="s">
        <v>1410</v>
      </c>
      <c r="G109" t="s">
        <v>155</v>
      </c>
      <c r="I109" t="s">
        <v>249</v>
      </c>
      <c r="J109" t="s">
        <v>1706</v>
      </c>
      <c r="K109">
        <v>3.1639783764190002E-4</v>
      </c>
      <c r="L109" t="s">
        <v>251</v>
      </c>
      <c r="N109" t="s">
        <v>419</v>
      </c>
      <c r="O109" t="s">
        <v>1706</v>
      </c>
      <c r="P109">
        <v>3.9354200494897597E-5</v>
      </c>
      <c r="Q109" t="s">
        <v>251</v>
      </c>
      <c r="S109" t="s">
        <v>420</v>
      </c>
      <c r="T109" t="s">
        <v>1706</v>
      </c>
      <c r="U109">
        <v>4.8113264343469421E-5</v>
      </c>
      <c r="V109" t="s">
        <v>251</v>
      </c>
      <c r="X109">
        <v>1.1415525114155251E-4</v>
      </c>
      <c r="Y109">
        <v>1.408812536774151E-4</v>
      </c>
      <c r="Z109" t="s">
        <v>1706</v>
      </c>
      <c r="AA109" t="s">
        <v>25</v>
      </c>
      <c r="AC109" t="s">
        <v>22</v>
      </c>
      <c r="AD109" t="s">
        <v>1706</v>
      </c>
      <c r="AE109">
        <v>1.1289932070216712E-4</v>
      </c>
      <c r="AG109" t="s">
        <v>97</v>
      </c>
      <c r="AH109" t="s">
        <v>1706</v>
      </c>
      <c r="AI109">
        <v>0</v>
      </c>
      <c r="AK109">
        <v>2030</v>
      </c>
      <c r="AL109" t="s">
        <v>159</v>
      </c>
      <c r="AM109">
        <v>0.29170000000000001</v>
      </c>
      <c r="AN109" t="s">
        <v>430</v>
      </c>
    </row>
    <row r="110" spans="5:40" x14ac:dyDescent="0.45">
      <c r="E110" t="s">
        <v>1411</v>
      </c>
      <c r="G110" t="s">
        <v>155</v>
      </c>
      <c r="I110" t="s">
        <v>249</v>
      </c>
      <c r="J110" t="s">
        <v>1707</v>
      </c>
      <c r="K110">
        <v>3.171985761962E-4</v>
      </c>
      <c r="L110" t="s">
        <v>251</v>
      </c>
      <c r="N110" t="s">
        <v>419</v>
      </c>
      <c r="O110" t="s">
        <v>1707</v>
      </c>
      <c r="P110">
        <v>3.6860269498439735E-5</v>
      </c>
      <c r="Q110" t="s">
        <v>251</v>
      </c>
      <c r="S110" t="s">
        <v>420</v>
      </c>
      <c r="T110" t="s">
        <v>1707</v>
      </c>
      <c r="U110">
        <v>4.5465367419245554E-5</v>
      </c>
      <c r="V110" t="s">
        <v>251</v>
      </c>
      <c r="X110">
        <v>1.1415525114155251E-4</v>
      </c>
      <c r="Y110">
        <v>1.4054976837464471E-4</v>
      </c>
      <c r="Z110" t="s">
        <v>1707</v>
      </c>
      <c r="AA110" t="s">
        <v>25</v>
      </c>
      <c r="AC110" t="s">
        <v>22</v>
      </c>
      <c r="AD110" t="s">
        <v>1707</v>
      </c>
      <c r="AE110">
        <v>1.1335611659081729E-4</v>
      </c>
      <c r="AG110" t="s">
        <v>97</v>
      </c>
      <c r="AH110" t="s">
        <v>1707</v>
      </c>
      <c r="AI110">
        <v>0</v>
      </c>
      <c r="AK110">
        <v>2030</v>
      </c>
      <c r="AL110" t="s">
        <v>163</v>
      </c>
      <c r="AM110">
        <v>0.32640000000000002</v>
      </c>
      <c r="AN110" t="s">
        <v>430</v>
      </c>
    </row>
    <row r="111" spans="5:40" x14ac:dyDescent="0.45">
      <c r="E111" t="s">
        <v>1412</v>
      </c>
      <c r="G111" t="s">
        <v>155</v>
      </c>
      <c r="I111" t="s">
        <v>249</v>
      </c>
      <c r="J111" t="s">
        <v>1708</v>
      </c>
      <c r="K111">
        <v>3.0494934322419998E-4</v>
      </c>
      <c r="L111" t="s">
        <v>251</v>
      </c>
      <c r="N111" t="s">
        <v>419</v>
      </c>
      <c r="O111" t="s">
        <v>1708</v>
      </c>
      <c r="P111">
        <v>3.4208759405004777E-5</v>
      </c>
      <c r="Q111" t="s">
        <v>251</v>
      </c>
      <c r="S111" t="s">
        <v>420</v>
      </c>
      <c r="T111" t="s">
        <v>1708</v>
      </c>
      <c r="U111">
        <v>4.4537819400620602E-5</v>
      </c>
      <c r="V111" t="s">
        <v>251</v>
      </c>
      <c r="X111">
        <v>1.1415525114155251E-4</v>
      </c>
      <c r="Y111">
        <v>1.4253868019126702E-4</v>
      </c>
      <c r="Z111" t="s">
        <v>1708</v>
      </c>
      <c r="AA111" t="s">
        <v>25</v>
      </c>
      <c r="AC111" t="s">
        <v>22</v>
      </c>
      <c r="AD111" t="s">
        <v>1708</v>
      </c>
      <c r="AE111">
        <v>1.291345150665815E-4</v>
      </c>
      <c r="AG111" t="s">
        <v>97</v>
      </c>
      <c r="AH111" t="s">
        <v>1708</v>
      </c>
      <c r="AI111">
        <v>0</v>
      </c>
      <c r="AK111">
        <v>2030</v>
      </c>
      <c r="AL111" t="s">
        <v>167</v>
      </c>
      <c r="AM111">
        <v>0.37280000000000002</v>
      </c>
      <c r="AN111" t="s">
        <v>430</v>
      </c>
    </row>
    <row r="112" spans="5:40" x14ac:dyDescent="0.45">
      <c r="E112" t="s">
        <v>1413</v>
      </c>
      <c r="G112" t="s">
        <v>155</v>
      </c>
      <c r="I112" t="s">
        <v>249</v>
      </c>
      <c r="J112" t="s">
        <v>1709</v>
      </c>
      <c r="K112">
        <v>2.9387180499000003E-4</v>
      </c>
      <c r="L112" t="s">
        <v>251</v>
      </c>
      <c r="N112" t="s">
        <v>419</v>
      </c>
      <c r="O112" t="s">
        <v>1709</v>
      </c>
      <c r="P112">
        <v>3.3450469367834191E-5</v>
      </c>
      <c r="Q112" t="s">
        <v>251</v>
      </c>
      <c r="S112" t="s">
        <v>420</v>
      </c>
      <c r="T112" t="s">
        <v>1709</v>
      </c>
      <c r="U112">
        <v>4.5226138778358153E-5</v>
      </c>
      <c r="V112" t="s">
        <v>251</v>
      </c>
      <c r="X112">
        <v>1.1415525114155251E-4</v>
      </c>
      <c r="Y112">
        <v>1.4883690094390442E-4</v>
      </c>
      <c r="Z112" t="s">
        <v>1709</v>
      </c>
      <c r="AA112" t="s">
        <v>25</v>
      </c>
      <c r="AC112" t="s">
        <v>22</v>
      </c>
      <c r="AD112" t="s">
        <v>1709</v>
      </c>
      <c r="AE112">
        <v>1.2753238704736462E-4</v>
      </c>
      <c r="AG112" t="s">
        <v>97</v>
      </c>
      <c r="AH112" t="s">
        <v>1709</v>
      </c>
      <c r="AI112">
        <v>0</v>
      </c>
      <c r="AK112">
        <v>2030</v>
      </c>
      <c r="AL112" t="s">
        <v>169</v>
      </c>
      <c r="AM112">
        <v>0.42849999999999999</v>
      </c>
      <c r="AN112" t="s">
        <v>430</v>
      </c>
    </row>
    <row r="113" spans="5:40" x14ac:dyDescent="0.45">
      <c r="E113" t="s">
        <v>1414</v>
      </c>
      <c r="G113" t="s">
        <v>155</v>
      </c>
      <c r="I113" t="s">
        <v>249</v>
      </c>
      <c r="J113" t="s">
        <v>1710</v>
      </c>
      <c r="K113">
        <v>3.065854268576E-4</v>
      </c>
      <c r="L113" t="s">
        <v>251</v>
      </c>
      <c r="N113" t="s">
        <v>419</v>
      </c>
      <c r="O113" t="s">
        <v>1710</v>
      </c>
      <c r="P113">
        <v>3.3300585833629779E-5</v>
      </c>
      <c r="Q113" t="s">
        <v>251</v>
      </c>
      <c r="S113" t="s">
        <v>420</v>
      </c>
      <c r="T113" t="s">
        <v>1710</v>
      </c>
      <c r="U113">
        <v>4.7136631885640611E-5</v>
      </c>
      <c r="V113" t="s">
        <v>251</v>
      </c>
      <c r="X113">
        <v>1.1415525114155251E-4</v>
      </c>
      <c r="Y113">
        <v>1.5049432745775637E-4</v>
      </c>
      <c r="Z113" t="s">
        <v>1710</v>
      </c>
      <c r="AA113" t="s">
        <v>25</v>
      </c>
      <c r="AC113" t="s">
        <v>22</v>
      </c>
      <c r="AD113" t="s">
        <v>1710</v>
      </c>
      <c r="AE113">
        <v>1.2549240345683193E-4</v>
      </c>
      <c r="AG113" t="s">
        <v>97</v>
      </c>
      <c r="AH113" t="s">
        <v>1710</v>
      </c>
      <c r="AI113">
        <v>0</v>
      </c>
      <c r="AK113">
        <v>2030</v>
      </c>
      <c r="AL113" t="s">
        <v>171</v>
      </c>
      <c r="AM113">
        <v>0.55489999999999995</v>
      </c>
      <c r="AN113" t="s">
        <v>430</v>
      </c>
    </row>
    <row r="114" spans="5:40" x14ac:dyDescent="0.45">
      <c r="E114" t="s">
        <v>1415</v>
      </c>
      <c r="G114" t="s">
        <v>155</v>
      </c>
      <c r="I114" t="s">
        <v>249</v>
      </c>
      <c r="J114" t="s">
        <v>1711</v>
      </c>
      <c r="K114">
        <v>2.8507841801550001E-4</v>
      </c>
      <c r="L114" t="s">
        <v>251</v>
      </c>
      <c r="N114" t="s">
        <v>419</v>
      </c>
      <c r="O114" t="s">
        <v>1711</v>
      </c>
      <c r="P114">
        <v>2.4248744254816355E-5</v>
      </c>
      <c r="Q114" t="s">
        <v>251</v>
      </c>
      <c r="S114" t="s">
        <v>420</v>
      </c>
      <c r="T114" t="s">
        <v>1711</v>
      </c>
      <c r="U114">
        <v>4.7494975900323256E-5</v>
      </c>
      <c r="V114" t="s">
        <v>251</v>
      </c>
      <c r="X114">
        <v>1.1415525114155251E-4</v>
      </c>
      <c r="Y114">
        <v>1.7237235744060203E-4</v>
      </c>
      <c r="Z114" t="s">
        <v>1711</v>
      </c>
      <c r="AA114" t="s">
        <v>25</v>
      </c>
      <c r="AC114" t="s">
        <v>22</v>
      </c>
      <c r="AD114" t="s">
        <v>1711</v>
      </c>
      <c r="AE114">
        <v>1.1024544800274117E-4</v>
      </c>
      <c r="AG114" t="s">
        <v>97</v>
      </c>
      <c r="AH114" t="s">
        <v>1711</v>
      </c>
      <c r="AI114">
        <v>0</v>
      </c>
      <c r="AK114">
        <v>2030</v>
      </c>
      <c r="AL114" t="s">
        <v>158</v>
      </c>
      <c r="AM114">
        <v>0.69620000000000004</v>
      </c>
      <c r="AN114" t="s">
        <v>430</v>
      </c>
    </row>
    <row r="115" spans="5:40" x14ac:dyDescent="0.45">
      <c r="E115" t="s">
        <v>1416</v>
      </c>
      <c r="G115" t="s">
        <v>155</v>
      </c>
      <c r="I115" t="s">
        <v>249</v>
      </c>
      <c r="J115" t="s">
        <v>1712</v>
      </c>
      <c r="K115">
        <v>2.2291807203959999E-4</v>
      </c>
      <c r="L115" t="s">
        <v>251</v>
      </c>
      <c r="N115" t="s">
        <v>419</v>
      </c>
      <c r="O115" t="s">
        <v>1712</v>
      </c>
      <c r="P115">
        <v>2.824251019452258E-5</v>
      </c>
      <c r="Q115" t="s">
        <v>251</v>
      </c>
      <c r="S115" t="s">
        <v>420</v>
      </c>
      <c r="T115" t="s">
        <v>1712</v>
      </c>
      <c r="U115">
        <v>5.3293782177473201E-5</v>
      </c>
      <c r="V115" t="s">
        <v>251</v>
      </c>
      <c r="X115">
        <v>1.1415525114155251E-4</v>
      </c>
      <c r="Y115">
        <v>2.2209515285616027E-4</v>
      </c>
      <c r="Z115" t="s">
        <v>1712</v>
      </c>
      <c r="AA115" t="s">
        <v>25</v>
      </c>
      <c r="AC115" t="s">
        <v>22</v>
      </c>
      <c r="AD115" t="s">
        <v>1712</v>
      </c>
      <c r="AE115">
        <v>8.453118188067947E-5</v>
      </c>
      <c r="AG115" t="s">
        <v>97</v>
      </c>
      <c r="AH115" t="s">
        <v>1712</v>
      </c>
      <c r="AI115">
        <v>0</v>
      </c>
      <c r="AK115">
        <v>2030</v>
      </c>
      <c r="AL115" t="s">
        <v>162</v>
      </c>
      <c r="AM115">
        <v>0.57189999999999996</v>
      </c>
      <c r="AN115" t="s">
        <v>430</v>
      </c>
    </row>
    <row r="116" spans="5:40" x14ac:dyDescent="0.45">
      <c r="E116" t="s">
        <v>1417</v>
      </c>
      <c r="G116" t="s">
        <v>155</v>
      </c>
      <c r="I116" t="s">
        <v>249</v>
      </c>
      <c r="J116" t="s">
        <v>1713</v>
      </c>
      <c r="K116">
        <v>1.382130132051E-4</v>
      </c>
      <c r="L116" t="s">
        <v>251</v>
      </c>
      <c r="N116" t="s">
        <v>419</v>
      </c>
      <c r="O116" t="s">
        <v>1713</v>
      </c>
      <c r="P116">
        <v>3.4837518483270862E-5</v>
      </c>
      <c r="Q116" t="s">
        <v>251</v>
      </c>
      <c r="S116" t="s">
        <v>420</v>
      </c>
      <c r="T116" t="s">
        <v>1713</v>
      </c>
      <c r="U116">
        <v>6.1410140652806117E-5</v>
      </c>
      <c r="V116" t="s">
        <v>251</v>
      </c>
      <c r="X116">
        <v>1.1415525114155251E-4</v>
      </c>
      <c r="Y116">
        <v>2.2209515285616027E-4</v>
      </c>
      <c r="Z116" t="s">
        <v>1713</v>
      </c>
      <c r="AA116" t="s">
        <v>25</v>
      </c>
      <c r="AC116" t="s">
        <v>22</v>
      </c>
      <c r="AD116" t="s">
        <v>1713</v>
      </c>
      <c r="AE116">
        <v>5.1878074796390707E-5</v>
      </c>
      <c r="AG116" t="s">
        <v>97</v>
      </c>
      <c r="AH116" t="s">
        <v>1713</v>
      </c>
      <c r="AI116">
        <v>0</v>
      </c>
      <c r="AK116">
        <v>2030</v>
      </c>
      <c r="AL116" t="s">
        <v>175</v>
      </c>
      <c r="AM116">
        <v>0.4728</v>
      </c>
      <c r="AN116" t="s">
        <v>430</v>
      </c>
    </row>
    <row r="117" spans="5:40" x14ac:dyDescent="0.45">
      <c r="E117" t="s">
        <v>1418</v>
      </c>
      <c r="G117" t="s">
        <v>155</v>
      </c>
      <c r="I117" t="s">
        <v>249</v>
      </c>
      <c r="J117" t="s">
        <v>1714</v>
      </c>
      <c r="K117">
        <v>4.4444768104811041E-5</v>
      </c>
      <c r="L117" t="s">
        <v>251</v>
      </c>
      <c r="N117" t="s">
        <v>419</v>
      </c>
      <c r="O117" t="s">
        <v>1714</v>
      </c>
      <c r="P117">
        <v>5.0699544195858668E-5</v>
      </c>
      <c r="Q117" t="s">
        <v>251</v>
      </c>
      <c r="S117" t="s">
        <v>420</v>
      </c>
      <c r="T117" t="s">
        <v>1714</v>
      </c>
      <c r="U117">
        <v>6.9444463462006275E-5</v>
      </c>
      <c r="V117" t="s">
        <v>251</v>
      </c>
      <c r="X117">
        <v>1.1415525114155251E-4</v>
      </c>
      <c r="Y117">
        <v>1.7237235744060203E-4</v>
      </c>
      <c r="Z117" t="s">
        <v>1714</v>
      </c>
      <c r="AA117" t="s">
        <v>25</v>
      </c>
      <c r="AC117" t="s">
        <v>22</v>
      </c>
      <c r="AD117" t="s">
        <v>1714</v>
      </c>
      <c r="AE117">
        <v>2.9135210223182498E-5</v>
      </c>
      <c r="AG117" t="s">
        <v>97</v>
      </c>
      <c r="AH117" t="s">
        <v>1714</v>
      </c>
      <c r="AI117">
        <v>0</v>
      </c>
      <c r="AK117">
        <v>2030</v>
      </c>
      <c r="AL117" t="s">
        <v>166</v>
      </c>
      <c r="AM117">
        <v>0.2646</v>
      </c>
      <c r="AN117" t="s">
        <v>430</v>
      </c>
    </row>
    <row r="118" spans="5:40" x14ac:dyDescent="0.45">
      <c r="E118" t="s">
        <v>1419</v>
      </c>
      <c r="G118" t="s">
        <v>155</v>
      </c>
      <c r="I118" t="s">
        <v>249</v>
      </c>
      <c r="J118" t="s">
        <v>1715</v>
      </c>
      <c r="K118">
        <v>0</v>
      </c>
      <c r="L118" t="s">
        <v>251</v>
      </c>
      <c r="N118" t="s">
        <v>419</v>
      </c>
      <c r="O118" t="s">
        <v>1715</v>
      </c>
      <c r="P118">
        <v>7.4359380947282329E-5</v>
      </c>
      <c r="Q118" t="s">
        <v>251</v>
      </c>
      <c r="S118" t="s">
        <v>420</v>
      </c>
      <c r="T118" t="s">
        <v>1715</v>
      </c>
      <c r="U118">
        <v>7.4090244069989822E-5</v>
      </c>
      <c r="V118" t="s">
        <v>251</v>
      </c>
      <c r="X118">
        <v>1.1415525114155251E-4</v>
      </c>
      <c r="Y118">
        <v>1.5579809230208258E-4</v>
      </c>
      <c r="Z118" t="s">
        <v>1715</v>
      </c>
      <c r="AA118" t="s">
        <v>25</v>
      </c>
      <c r="AC118" t="s">
        <v>22</v>
      </c>
      <c r="AD118" t="s">
        <v>1715</v>
      </c>
      <c r="AE118">
        <v>2.4194015671564489E-5</v>
      </c>
      <c r="AG118" t="s">
        <v>97</v>
      </c>
      <c r="AH118" t="s">
        <v>1715</v>
      </c>
      <c r="AI118">
        <v>0</v>
      </c>
      <c r="AK118">
        <v>2030</v>
      </c>
      <c r="AL118" t="s">
        <v>178</v>
      </c>
      <c r="AM118">
        <v>0.26090000000000002</v>
      </c>
      <c r="AN118" t="s">
        <v>430</v>
      </c>
    </row>
    <row r="119" spans="5:40" x14ac:dyDescent="0.45">
      <c r="E119" t="s">
        <v>1420</v>
      </c>
      <c r="G119" t="s">
        <v>155</v>
      </c>
      <c r="I119" t="s">
        <v>249</v>
      </c>
      <c r="J119" t="s">
        <v>1716</v>
      </c>
      <c r="K119">
        <v>0</v>
      </c>
      <c r="L119" t="s">
        <v>251</v>
      </c>
      <c r="N119" t="s">
        <v>419</v>
      </c>
      <c r="O119" t="s">
        <v>1716</v>
      </c>
      <c r="P119">
        <v>9.3053758039406505E-5</v>
      </c>
      <c r="Q119" t="s">
        <v>251</v>
      </c>
      <c r="S119" t="s">
        <v>420</v>
      </c>
      <c r="T119" t="s">
        <v>1716</v>
      </c>
      <c r="U119">
        <v>7.7141399141920875E-5</v>
      </c>
      <c r="V119" t="s">
        <v>251</v>
      </c>
      <c r="X119">
        <v>1.1415525114155251E-4</v>
      </c>
      <c r="Y119">
        <v>1.093901499142282E-4</v>
      </c>
      <c r="Z119" t="s">
        <v>1716</v>
      </c>
      <c r="AA119" t="s">
        <v>25</v>
      </c>
      <c r="AC119" t="s">
        <v>22</v>
      </c>
      <c r="AD119" t="s">
        <v>1716</v>
      </c>
      <c r="AE119">
        <v>2.1910036228313767E-5</v>
      </c>
      <c r="AG119" t="s">
        <v>97</v>
      </c>
      <c r="AH119" t="s">
        <v>1716</v>
      </c>
      <c r="AI119">
        <v>0</v>
      </c>
      <c r="AK119">
        <v>2031</v>
      </c>
      <c r="AL119" t="s">
        <v>151</v>
      </c>
      <c r="AM119">
        <v>0.23710000000000001</v>
      </c>
      <c r="AN119" t="s">
        <v>430</v>
      </c>
    </row>
    <row r="120" spans="5:40" x14ac:dyDescent="0.45">
      <c r="E120" t="s">
        <v>1421</v>
      </c>
      <c r="G120" t="s">
        <v>155</v>
      </c>
      <c r="I120" t="s">
        <v>249</v>
      </c>
      <c r="J120" t="s">
        <v>1717</v>
      </c>
      <c r="K120">
        <v>0</v>
      </c>
      <c r="L120" t="s">
        <v>251</v>
      </c>
      <c r="N120" t="s">
        <v>419</v>
      </c>
      <c r="O120" t="s">
        <v>1717</v>
      </c>
      <c r="P120">
        <v>1.056998585389E-4</v>
      </c>
      <c r="Q120" t="s">
        <v>251</v>
      </c>
      <c r="S120" t="s">
        <v>420</v>
      </c>
      <c r="T120" t="s">
        <v>1717</v>
      </c>
      <c r="U120">
        <v>7.8974458781170761E-5</v>
      </c>
      <c r="V120" t="s">
        <v>251</v>
      </c>
      <c r="X120">
        <v>1.1415525114155251E-4</v>
      </c>
      <c r="Y120">
        <v>7.9556472664893237E-5</v>
      </c>
      <c r="Z120" t="s">
        <v>1717</v>
      </c>
      <c r="AA120" t="s">
        <v>25</v>
      </c>
      <c r="AC120" t="s">
        <v>22</v>
      </c>
      <c r="AD120" t="s">
        <v>1717</v>
      </c>
      <c r="AE120">
        <v>2.2484930566224674E-5</v>
      </c>
      <c r="AG120" t="s">
        <v>97</v>
      </c>
      <c r="AH120" t="s">
        <v>1717</v>
      </c>
      <c r="AI120">
        <v>0</v>
      </c>
      <c r="AK120">
        <v>2031</v>
      </c>
      <c r="AL120" t="s">
        <v>156</v>
      </c>
      <c r="AM120">
        <v>0.28249999999999997</v>
      </c>
      <c r="AN120" t="s">
        <v>430</v>
      </c>
    </row>
    <row r="121" spans="5:40" x14ac:dyDescent="0.45">
      <c r="E121" t="s">
        <v>1422</v>
      </c>
      <c r="G121" t="s">
        <v>155</v>
      </c>
      <c r="I121" t="s">
        <v>249</v>
      </c>
      <c r="J121" t="s">
        <v>1718</v>
      </c>
      <c r="K121">
        <v>0</v>
      </c>
      <c r="L121" t="s">
        <v>251</v>
      </c>
      <c r="N121" t="s">
        <v>419</v>
      </c>
      <c r="O121" t="s">
        <v>1718</v>
      </c>
      <c r="P121">
        <v>1.0489728343000001E-4</v>
      </c>
      <c r="Q121" t="s">
        <v>251</v>
      </c>
      <c r="S121" t="s">
        <v>420</v>
      </c>
      <c r="T121" t="s">
        <v>1718</v>
      </c>
      <c r="U121">
        <v>7.9789815426213183E-5</v>
      </c>
      <c r="V121" t="s">
        <v>251</v>
      </c>
      <c r="X121">
        <v>1.1415525114155251E-4</v>
      </c>
      <c r="Y121">
        <v>5.6352501470966035E-5</v>
      </c>
      <c r="Z121" t="s">
        <v>1718</v>
      </c>
      <c r="AA121" t="s">
        <v>25</v>
      </c>
      <c r="AC121" t="s">
        <v>22</v>
      </c>
      <c r="AD121" t="s">
        <v>1718</v>
      </c>
      <c r="AE121">
        <v>2.5861877733294408E-5</v>
      </c>
      <c r="AG121" t="s">
        <v>97</v>
      </c>
      <c r="AH121" t="s">
        <v>1718</v>
      </c>
      <c r="AI121">
        <v>0</v>
      </c>
      <c r="AK121">
        <v>2031</v>
      </c>
      <c r="AL121" t="s">
        <v>159</v>
      </c>
      <c r="AM121">
        <v>0.28789999999999999</v>
      </c>
      <c r="AN121" t="s">
        <v>430</v>
      </c>
    </row>
    <row r="122" spans="5:40" x14ac:dyDescent="0.45">
      <c r="E122" t="s">
        <v>1423</v>
      </c>
      <c r="G122" t="s">
        <v>155</v>
      </c>
      <c r="I122" t="s">
        <v>249</v>
      </c>
      <c r="J122" t="s">
        <v>1719</v>
      </c>
      <c r="K122">
        <v>0</v>
      </c>
      <c r="L122" t="s">
        <v>251</v>
      </c>
      <c r="N122" t="s">
        <v>419</v>
      </c>
      <c r="O122" t="s">
        <v>1719</v>
      </c>
      <c r="P122">
        <v>9.5556695496095439E-5</v>
      </c>
      <c r="Q122" t="s">
        <v>251</v>
      </c>
      <c r="S122" t="s">
        <v>420</v>
      </c>
      <c r="T122" t="s">
        <v>1719</v>
      </c>
      <c r="U122">
        <v>7.9506213038266723E-5</v>
      </c>
      <c r="V122" t="s">
        <v>251</v>
      </c>
      <c r="X122">
        <v>1.1415525114155251E-4</v>
      </c>
      <c r="Y122">
        <v>2.9833677249334962E-5</v>
      </c>
      <c r="Z122" t="s">
        <v>1719</v>
      </c>
      <c r="AA122" t="s">
        <v>25</v>
      </c>
      <c r="AC122" t="s">
        <v>22</v>
      </c>
      <c r="AD122" t="s">
        <v>1719</v>
      </c>
      <c r="AE122">
        <v>4.5418312449089413E-5</v>
      </c>
      <c r="AG122" t="s">
        <v>97</v>
      </c>
      <c r="AH122" t="s">
        <v>1719</v>
      </c>
      <c r="AI122">
        <v>0</v>
      </c>
      <c r="AK122">
        <v>2031</v>
      </c>
      <c r="AL122" t="s">
        <v>163</v>
      </c>
      <c r="AM122">
        <v>0.30680000000000002</v>
      </c>
      <c r="AN122" t="s">
        <v>430</v>
      </c>
    </row>
    <row r="123" spans="5:40" x14ac:dyDescent="0.45">
      <c r="E123" t="s">
        <v>1424</v>
      </c>
      <c r="G123" t="s">
        <v>155</v>
      </c>
      <c r="I123" t="s">
        <v>249</v>
      </c>
      <c r="J123" t="s">
        <v>1720</v>
      </c>
      <c r="K123">
        <v>0</v>
      </c>
      <c r="L123" t="s">
        <v>251</v>
      </c>
      <c r="N123" t="s">
        <v>419</v>
      </c>
      <c r="O123" t="s">
        <v>1720</v>
      </c>
      <c r="P123">
        <v>8.3226081559909114E-5</v>
      </c>
      <c r="Q123" t="s">
        <v>251</v>
      </c>
      <c r="S123" t="s">
        <v>420</v>
      </c>
      <c r="T123" t="s">
        <v>1720</v>
      </c>
      <c r="U123">
        <v>8.0502151567450847E-5</v>
      </c>
      <c r="V123" t="s">
        <v>251</v>
      </c>
      <c r="X123">
        <v>1.1415525114155251E-4</v>
      </c>
      <c r="Y123">
        <v>2.1546544680075254E-5</v>
      </c>
      <c r="Z123" t="s">
        <v>1720</v>
      </c>
      <c r="AA123" t="s">
        <v>25</v>
      </c>
      <c r="AC123" t="s">
        <v>22</v>
      </c>
      <c r="AD123" t="s">
        <v>1720</v>
      </c>
      <c r="AE123">
        <v>4.7745743208577598E-5</v>
      </c>
      <c r="AG123" t="s">
        <v>97</v>
      </c>
      <c r="AH123" t="s">
        <v>1720</v>
      </c>
      <c r="AI123">
        <v>0</v>
      </c>
      <c r="AK123">
        <v>2031</v>
      </c>
      <c r="AL123" t="s">
        <v>167</v>
      </c>
      <c r="AM123">
        <v>0.41089999999999999</v>
      </c>
      <c r="AN123" t="s">
        <v>430</v>
      </c>
    </row>
    <row r="124" spans="5:40" x14ac:dyDescent="0.45">
      <c r="E124" t="s">
        <v>1425</v>
      </c>
      <c r="G124" t="s">
        <v>155</v>
      </c>
      <c r="I124" t="s">
        <v>249</v>
      </c>
      <c r="J124" t="s">
        <v>1721</v>
      </c>
      <c r="K124">
        <v>0</v>
      </c>
      <c r="L124" t="s">
        <v>251</v>
      </c>
      <c r="N124" t="s">
        <v>419</v>
      </c>
      <c r="O124" t="s">
        <v>1721</v>
      </c>
      <c r="P124">
        <v>7.908183735189729E-5</v>
      </c>
      <c r="Q124" t="s">
        <v>251</v>
      </c>
      <c r="S124" t="s">
        <v>420</v>
      </c>
      <c r="T124" t="s">
        <v>1721</v>
      </c>
      <c r="U124">
        <v>8.1737837808730385E-5</v>
      </c>
      <c r="V124" t="s">
        <v>251</v>
      </c>
      <c r="X124">
        <v>1.1415525114155251E-4</v>
      </c>
      <c r="Y124">
        <v>1.4916838624667481E-5</v>
      </c>
      <c r="Z124" t="s">
        <v>1721</v>
      </c>
      <c r="AA124" t="s">
        <v>25</v>
      </c>
      <c r="AC124" t="s">
        <v>22</v>
      </c>
      <c r="AD124" t="s">
        <v>1721</v>
      </c>
      <c r="AE124">
        <v>6.9585043231309542E-5</v>
      </c>
      <c r="AG124" t="s">
        <v>97</v>
      </c>
      <c r="AH124" t="s">
        <v>1721</v>
      </c>
      <c r="AI124">
        <v>0</v>
      </c>
      <c r="AK124">
        <v>2031</v>
      </c>
      <c r="AL124" t="s">
        <v>169</v>
      </c>
      <c r="AM124">
        <v>0.4637</v>
      </c>
      <c r="AN124" t="s">
        <v>430</v>
      </c>
    </row>
    <row r="125" spans="5:40" x14ac:dyDescent="0.45">
      <c r="E125" t="s">
        <v>1426</v>
      </c>
      <c r="G125" t="s">
        <v>155</v>
      </c>
      <c r="I125" t="s">
        <v>249</v>
      </c>
      <c r="J125" t="s">
        <v>1722</v>
      </c>
      <c r="K125">
        <v>0</v>
      </c>
      <c r="L125" t="s">
        <v>251</v>
      </c>
      <c r="N125" t="s">
        <v>419</v>
      </c>
      <c r="O125" t="s">
        <v>1722</v>
      </c>
      <c r="P125">
        <v>7.250758489331518E-5</v>
      </c>
      <c r="Q125" t="s">
        <v>251</v>
      </c>
      <c r="S125" t="s">
        <v>420</v>
      </c>
      <c r="T125" t="s">
        <v>1722</v>
      </c>
      <c r="U125">
        <v>8.0987835003062085E-5</v>
      </c>
      <c r="V125" t="s">
        <v>251</v>
      </c>
      <c r="X125">
        <v>1.1415525114155251E-4</v>
      </c>
      <c r="Y125">
        <v>1.6574265138519424E-5</v>
      </c>
      <c r="Z125" t="s">
        <v>1722</v>
      </c>
      <c r="AA125" t="s">
        <v>25</v>
      </c>
      <c r="AC125" t="s">
        <v>22</v>
      </c>
      <c r="AD125" t="s">
        <v>1722</v>
      </c>
      <c r="AE125">
        <v>7.9877434498016919E-5</v>
      </c>
      <c r="AG125" t="s">
        <v>97</v>
      </c>
      <c r="AH125" t="s">
        <v>1722</v>
      </c>
      <c r="AI125">
        <v>0</v>
      </c>
      <c r="AK125">
        <v>2031</v>
      </c>
      <c r="AL125" t="s">
        <v>171</v>
      </c>
      <c r="AM125">
        <v>0.54390000000000005</v>
      </c>
      <c r="AN125" t="s">
        <v>430</v>
      </c>
    </row>
    <row r="126" spans="5:40" x14ac:dyDescent="0.45">
      <c r="E126" t="s">
        <v>1427</v>
      </c>
      <c r="G126" t="s">
        <v>155</v>
      </c>
      <c r="I126" t="s">
        <v>249</v>
      </c>
      <c r="J126" t="s">
        <v>1723</v>
      </c>
      <c r="K126">
        <v>0</v>
      </c>
      <c r="L126" t="s">
        <v>251</v>
      </c>
      <c r="N126" t="s">
        <v>419</v>
      </c>
      <c r="O126" t="s">
        <v>1723</v>
      </c>
      <c r="P126">
        <v>5.7201202683779723E-5</v>
      </c>
      <c r="Q126" t="s">
        <v>251</v>
      </c>
      <c r="S126" t="s">
        <v>420</v>
      </c>
      <c r="T126" t="s">
        <v>1723</v>
      </c>
      <c r="U126">
        <v>7.1330697860940581E-5</v>
      </c>
      <c r="V126" t="s">
        <v>251</v>
      </c>
      <c r="X126">
        <v>1.1415525114155251E-4</v>
      </c>
      <c r="Y126">
        <v>1.4585353321897093E-5</v>
      </c>
      <c r="Z126" t="s">
        <v>1723</v>
      </c>
      <c r="AA126" t="s">
        <v>25</v>
      </c>
      <c r="AC126" t="s">
        <v>22</v>
      </c>
      <c r="AD126" t="s">
        <v>1723</v>
      </c>
      <c r="AE126">
        <v>9.8880143465862862E-5</v>
      </c>
      <c r="AG126" t="s">
        <v>97</v>
      </c>
      <c r="AH126" t="s">
        <v>1723</v>
      </c>
      <c r="AI126">
        <v>0</v>
      </c>
      <c r="AK126">
        <v>2031</v>
      </c>
      <c r="AL126" t="s">
        <v>158</v>
      </c>
      <c r="AM126">
        <v>0.67930000000000001</v>
      </c>
      <c r="AN126" t="s">
        <v>430</v>
      </c>
    </row>
    <row r="127" spans="5:40" x14ac:dyDescent="0.45">
      <c r="E127" t="s">
        <v>1428</v>
      </c>
      <c r="G127" t="s">
        <v>155</v>
      </c>
      <c r="I127" t="s">
        <v>249</v>
      </c>
      <c r="J127" t="s">
        <v>1724</v>
      </c>
      <c r="K127">
        <v>0</v>
      </c>
      <c r="L127" t="s">
        <v>251</v>
      </c>
      <c r="N127" t="s">
        <v>419</v>
      </c>
      <c r="O127" t="s">
        <v>1724</v>
      </c>
      <c r="P127">
        <v>5.0212706895753934E-5</v>
      </c>
      <c r="Q127" t="s">
        <v>251</v>
      </c>
      <c r="S127" t="s">
        <v>420</v>
      </c>
      <c r="T127" t="s">
        <v>1724</v>
      </c>
      <c r="U127">
        <v>6.8383699653691332E-5</v>
      </c>
      <c r="V127" t="s">
        <v>251</v>
      </c>
      <c r="X127">
        <v>1.1415525114155251E-4</v>
      </c>
      <c r="Y127">
        <v>2.1215059377304864E-5</v>
      </c>
      <c r="Z127" t="s">
        <v>1724</v>
      </c>
      <c r="AA127" t="s">
        <v>25</v>
      </c>
      <c r="AC127" t="s">
        <v>22</v>
      </c>
      <c r="AD127" t="s">
        <v>1724</v>
      </c>
      <c r="AE127">
        <v>9.884114869488053E-5</v>
      </c>
      <c r="AG127" t="s">
        <v>97</v>
      </c>
      <c r="AH127" t="s">
        <v>1724</v>
      </c>
      <c r="AI127">
        <v>0</v>
      </c>
      <c r="AK127">
        <v>2031</v>
      </c>
      <c r="AL127" t="s">
        <v>162</v>
      </c>
      <c r="AM127">
        <v>0.55269999999999997</v>
      </c>
      <c r="AN127" t="s">
        <v>430</v>
      </c>
    </row>
    <row r="128" spans="5:40" x14ac:dyDescent="0.45">
      <c r="E128" t="s">
        <v>1429</v>
      </c>
      <c r="G128" t="s">
        <v>155</v>
      </c>
      <c r="I128" t="s">
        <v>249</v>
      </c>
      <c r="J128" t="s">
        <v>1725</v>
      </c>
      <c r="K128">
        <v>0</v>
      </c>
      <c r="L128" t="s">
        <v>251</v>
      </c>
      <c r="N128" t="s">
        <v>419</v>
      </c>
      <c r="O128" t="s">
        <v>1725</v>
      </c>
      <c r="P128">
        <v>4.7688911739046472E-5</v>
      </c>
      <c r="Q128" t="s">
        <v>251</v>
      </c>
      <c r="S128" t="s">
        <v>420</v>
      </c>
      <c r="T128" t="s">
        <v>1725</v>
      </c>
      <c r="U128">
        <v>6.5044024738254044E-5</v>
      </c>
      <c r="V128" t="s">
        <v>251</v>
      </c>
      <c r="X128">
        <v>1.1415525114155251E-4</v>
      </c>
      <c r="Y128">
        <v>5.7678442682047593E-5</v>
      </c>
      <c r="Z128" t="s">
        <v>1725</v>
      </c>
      <c r="AA128" t="s">
        <v>25</v>
      </c>
      <c r="AC128" t="s">
        <v>22</v>
      </c>
      <c r="AD128" t="s">
        <v>1725</v>
      </c>
      <c r="AE128">
        <v>9.6943774552511766E-5</v>
      </c>
      <c r="AG128" t="s">
        <v>97</v>
      </c>
      <c r="AH128" t="s">
        <v>1725</v>
      </c>
      <c r="AI128">
        <v>0</v>
      </c>
      <c r="AK128">
        <v>2031</v>
      </c>
      <c r="AL128" t="s">
        <v>175</v>
      </c>
      <c r="AM128">
        <v>0.4325</v>
      </c>
      <c r="AN128" t="s">
        <v>430</v>
      </c>
    </row>
    <row r="129" spans="5:40" x14ac:dyDescent="0.45">
      <c r="E129" t="s">
        <v>1430</v>
      </c>
      <c r="G129" t="s">
        <v>155</v>
      </c>
      <c r="I129" t="s">
        <v>249</v>
      </c>
      <c r="J129" t="s">
        <v>1726</v>
      </c>
      <c r="K129">
        <v>0</v>
      </c>
      <c r="L129" t="s">
        <v>251</v>
      </c>
      <c r="N129" t="s">
        <v>419</v>
      </c>
      <c r="O129" t="s">
        <v>1726</v>
      </c>
      <c r="P129">
        <v>4.7700503250406097E-5</v>
      </c>
      <c r="Q129" t="s">
        <v>251</v>
      </c>
      <c r="S129" t="s">
        <v>420</v>
      </c>
      <c r="T129" t="s">
        <v>1726</v>
      </c>
      <c r="U129">
        <v>6.3605427289113758E-5</v>
      </c>
      <c r="V129" t="s">
        <v>251</v>
      </c>
      <c r="X129">
        <v>1.1415525114155251E-4</v>
      </c>
      <c r="Y129">
        <v>1.6905750441289813E-4</v>
      </c>
      <c r="Z129" t="s">
        <v>1726</v>
      </c>
      <c r="AA129" t="s">
        <v>25</v>
      </c>
      <c r="AC129" t="s">
        <v>22</v>
      </c>
      <c r="AD129" t="s">
        <v>1726</v>
      </c>
      <c r="AE129">
        <v>9.6579451977905459E-5</v>
      </c>
      <c r="AG129" t="s">
        <v>97</v>
      </c>
      <c r="AH129" t="s">
        <v>1726</v>
      </c>
      <c r="AI129">
        <v>0</v>
      </c>
      <c r="AK129">
        <v>2031</v>
      </c>
      <c r="AL129" t="s">
        <v>166</v>
      </c>
      <c r="AM129">
        <v>0.28139999999999998</v>
      </c>
      <c r="AN129" t="s">
        <v>430</v>
      </c>
    </row>
    <row r="130" spans="5:40" x14ac:dyDescent="0.45">
      <c r="E130" t="s">
        <v>1431</v>
      </c>
      <c r="G130" t="s">
        <v>155</v>
      </c>
      <c r="I130" t="s">
        <v>249</v>
      </c>
      <c r="J130" t="s">
        <v>1727</v>
      </c>
      <c r="K130">
        <v>3.7462290612891527E-5</v>
      </c>
      <c r="L130" t="s">
        <v>251</v>
      </c>
      <c r="N130" t="s">
        <v>419</v>
      </c>
      <c r="O130" t="s">
        <v>1727</v>
      </c>
      <c r="P130">
        <v>4.6511764556766851E-5</v>
      </c>
      <c r="Q130" t="s">
        <v>251</v>
      </c>
      <c r="S130" t="s">
        <v>420</v>
      </c>
      <c r="T130" t="s">
        <v>1727</v>
      </c>
      <c r="U130">
        <v>6.1971163884299069E-5</v>
      </c>
      <c r="V130" t="s">
        <v>251</v>
      </c>
      <c r="X130">
        <v>1.1415525114155251E-4</v>
      </c>
      <c r="Y130">
        <v>1.9060404909297337E-4</v>
      </c>
      <c r="Z130" t="s">
        <v>1727</v>
      </c>
      <c r="AA130" t="s">
        <v>25</v>
      </c>
      <c r="AC130" t="s">
        <v>22</v>
      </c>
      <c r="AD130" t="s">
        <v>1727</v>
      </c>
      <c r="AE130">
        <v>9.8251770584890471E-5</v>
      </c>
      <c r="AG130" t="s">
        <v>97</v>
      </c>
      <c r="AH130" t="s">
        <v>1727</v>
      </c>
      <c r="AI130">
        <v>0</v>
      </c>
      <c r="AK130">
        <v>2031</v>
      </c>
      <c r="AL130" t="s">
        <v>178</v>
      </c>
      <c r="AM130">
        <v>0.24030000000000001</v>
      </c>
      <c r="AN130" t="s">
        <v>430</v>
      </c>
    </row>
    <row r="131" spans="5:40" x14ac:dyDescent="0.45">
      <c r="E131" t="s">
        <v>1432</v>
      </c>
      <c r="G131" t="s">
        <v>155</v>
      </c>
      <c r="I131" t="s">
        <v>249</v>
      </c>
      <c r="J131" t="s">
        <v>1728</v>
      </c>
      <c r="K131">
        <v>1.5101536506869999E-4</v>
      </c>
      <c r="L131" t="s">
        <v>251</v>
      </c>
      <c r="N131" t="s">
        <v>419</v>
      </c>
      <c r="O131" t="s">
        <v>1728</v>
      </c>
      <c r="P131">
        <v>2.9577722296744163E-5</v>
      </c>
      <c r="Q131" t="s">
        <v>251</v>
      </c>
      <c r="S131" t="s">
        <v>420</v>
      </c>
      <c r="T131" t="s">
        <v>1728</v>
      </c>
      <c r="U131">
        <v>6.1112116138526456E-5</v>
      </c>
      <c r="V131" t="s">
        <v>251</v>
      </c>
      <c r="X131">
        <v>1.1415525114155251E-4</v>
      </c>
      <c r="Y131">
        <v>1.4585353321897094E-4</v>
      </c>
      <c r="Z131" t="s">
        <v>1728</v>
      </c>
      <c r="AA131" t="s">
        <v>25</v>
      </c>
      <c r="AC131" t="s">
        <v>22</v>
      </c>
      <c r="AD131" t="s">
        <v>1728</v>
      </c>
      <c r="AE131">
        <v>1.0184486019683367E-4</v>
      </c>
      <c r="AG131" t="s">
        <v>97</v>
      </c>
      <c r="AH131" t="s">
        <v>1728</v>
      </c>
      <c r="AI131">
        <v>0</v>
      </c>
      <c r="AK131">
        <v>2032</v>
      </c>
      <c r="AL131" t="s">
        <v>151</v>
      </c>
      <c r="AM131">
        <v>0.22370000000000001</v>
      </c>
      <c r="AN131" t="s">
        <v>430</v>
      </c>
    </row>
    <row r="132" spans="5:40" x14ac:dyDescent="0.45">
      <c r="E132" t="s">
        <v>1433</v>
      </c>
      <c r="G132" t="s">
        <v>155</v>
      </c>
      <c r="I132" t="s">
        <v>249</v>
      </c>
      <c r="J132" t="s">
        <v>1729</v>
      </c>
      <c r="K132">
        <v>2.3587422279899999E-4</v>
      </c>
      <c r="L132" t="s">
        <v>251</v>
      </c>
      <c r="N132" t="s">
        <v>419</v>
      </c>
      <c r="O132" t="s">
        <v>1729</v>
      </c>
      <c r="P132">
        <v>2.9774726180345558E-5</v>
      </c>
      <c r="Q132" t="s">
        <v>251</v>
      </c>
      <c r="S132" t="s">
        <v>420</v>
      </c>
      <c r="T132" t="s">
        <v>1729</v>
      </c>
      <c r="U132">
        <v>6.2601852729161594E-5</v>
      </c>
      <c r="V132" t="s">
        <v>251</v>
      </c>
      <c r="X132">
        <v>1.1415525114155251E-4</v>
      </c>
      <c r="Y132">
        <v>1.4452759200788939E-4</v>
      </c>
      <c r="Z132" t="s">
        <v>1729</v>
      </c>
      <c r="AA132" t="s">
        <v>25</v>
      </c>
      <c r="AC132" t="s">
        <v>22</v>
      </c>
      <c r="AD132" t="s">
        <v>1729</v>
      </c>
      <c r="AE132">
        <v>1.0445750985264972E-4</v>
      </c>
      <c r="AG132" t="s">
        <v>97</v>
      </c>
      <c r="AH132" t="s">
        <v>1729</v>
      </c>
      <c r="AI132">
        <v>0</v>
      </c>
      <c r="AK132">
        <v>2032</v>
      </c>
      <c r="AL132" t="s">
        <v>156</v>
      </c>
      <c r="AM132">
        <v>0.27400000000000002</v>
      </c>
      <c r="AN132" t="s">
        <v>430</v>
      </c>
    </row>
    <row r="133" spans="5:40" x14ac:dyDescent="0.45">
      <c r="E133" t="s">
        <v>1434</v>
      </c>
      <c r="G133" t="s">
        <v>155</v>
      </c>
      <c r="I133" t="s">
        <v>249</v>
      </c>
      <c r="J133" t="s">
        <v>1730</v>
      </c>
      <c r="K133">
        <v>2.9064030495089998E-4</v>
      </c>
      <c r="L133" t="s">
        <v>251</v>
      </c>
      <c r="N133" t="s">
        <v>419</v>
      </c>
      <c r="O133" t="s">
        <v>1730</v>
      </c>
      <c r="P133">
        <v>3.3283384011550924E-5</v>
      </c>
      <c r="Q133" t="s">
        <v>251</v>
      </c>
      <c r="S133" t="s">
        <v>420</v>
      </c>
      <c r="T133" t="s">
        <v>1730</v>
      </c>
      <c r="U133">
        <v>6.2841173913848522E-5</v>
      </c>
      <c r="V133" t="s">
        <v>251</v>
      </c>
      <c r="X133">
        <v>1.1415525114155251E-4</v>
      </c>
      <c r="Y133">
        <v>1.408812536774151E-4</v>
      </c>
      <c r="Z133" t="s">
        <v>1730</v>
      </c>
      <c r="AA133" t="s">
        <v>25</v>
      </c>
      <c r="AC133" t="s">
        <v>22</v>
      </c>
      <c r="AD133" t="s">
        <v>1730</v>
      </c>
      <c r="AE133">
        <v>1.0323864472537349E-4</v>
      </c>
      <c r="AG133" t="s">
        <v>97</v>
      </c>
      <c r="AH133" t="s">
        <v>1730</v>
      </c>
      <c r="AI133">
        <v>0</v>
      </c>
      <c r="AK133">
        <v>2032</v>
      </c>
      <c r="AL133" t="s">
        <v>159</v>
      </c>
      <c r="AM133">
        <v>0.26619999999999999</v>
      </c>
      <c r="AN133" t="s">
        <v>430</v>
      </c>
    </row>
    <row r="134" spans="5:40" x14ac:dyDescent="0.45">
      <c r="E134" t="s">
        <v>1435</v>
      </c>
      <c r="G134" t="s">
        <v>155</v>
      </c>
      <c r="I134" t="s">
        <v>249</v>
      </c>
      <c r="J134" t="s">
        <v>1731</v>
      </c>
      <c r="K134">
        <v>3.1233373107489998E-4</v>
      </c>
      <c r="L134" t="s">
        <v>251</v>
      </c>
      <c r="N134" t="s">
        <v>419</v>
      </c>
      <c r="O134" t="s">
        <v>1731</v>
      </c>
      <c r="P134">
        <v>3.2627216811917247E-5</v>
      </c>
      <c r="Q134" t="s">
        <v>251</v>
      </c>
      <c r="S134" t="s">
        <v>420</v>
      </c>
      <c r="T134" t="s">
        <v>1731</v>
      </c>
      <c r="U134">
        <v>6.1638887179030661E-5</v>
      </c>
      <c r="V134" t="s">
        <v>251</v>
      </c>
      <c r="X134">
        <v>1.1415525114155251E-4</v>
      </c>
      <c r="Y134">
        <v>1.4054976837464471E-4</v>
      </c>
      <c r="Z134" t="s">
        <v>1731</v>
      </c>
      <c r="AA134" t="s">
        <v>25</v>
      </c>
      <c r="AC134" t="s">
        <v>22</v>
      </c>
      <c r="AD134" t="s">
        <v>1731</v>
      </c>
      <c r="AE134">
        <v>1.0953685730717656E-4</v>
      </c>
      <c r="AG134" t="s">
        <v>97</v>
      </c>
      <c r="AH134" t="s">
        <v>1731</v>
      </c>
      <c r="AI134">
        <v>0</v>
      </c>
      <c r="AK134">
        <v>2032</v>
      </c>
      <c r="AL134" t="s">
        <v>163</v>
      </c>
      <c r="AM134">
        <v>0.30599999999999999</v>
      </c>
      <c r="AN134" t="s">
        <v>430</v>
      </c>
    </row>
    <row r="135" spans="5:40" x14ac:dyDescent="0.45">
      <c r="E135" t="s">
        <v>1436</v>
      </c>
      <c r="G135" t="s">
        <v>155</v>
      </c>
      <c r="I135" t="s">
        <v>249</v>
      </c>
      <c r="J135" t="s">
        <v>1732</v>
      </c>
      <c r="K135">
        <v>3.0565144474760001E-4</v>
      </c>
      <c r="L135" t="s">
        <v>251</v>
      </c>
      <c r="N135" t="s">
        <v>419</v>
      </c>
      <c r="O135" t="s">
        <v>1732</v>
      </c>
      <c r="P135">
        <v>3.0299542613280651E-5</v>
      </c>
      <c r="Q135" t="s">
        <v>251</v>
      </c>
      <c r="S135" t="s">
        <v>420</v>
      </c>
      <c r="T135" t="s">
        <v>1732</v>
      </c>
      <c r="U135">
        <v>6.0193190220775706E-5</v>
      </c>
      <c r="V135" t="s">
        <v>251</v>
      </c>
      <c r="X135">
        <v>1.1415525114155251E-4</v>
      </c>
      <c r="Y135">
        <v>1.4253868019126702E-4</v>
      </c>
      <c r="Z135" t="s">
        <v>1732</v>
      </c>
      <c r="AA135" t="s">
        <v>25</v>
      </c>
      <c r="AC135" t="s">
        <v>22</v>
      </c>
      <c r="AD135" t="s">
        <v>1732</v>
      </c>
      <c r="AE135">
        <v>1.3740586306009038E-4</v>
      </c>
      <c r="AG135" t="s">
        <v>97</v>
      </c>
      <c r="AH135" t="s">
        <v>1732</v>
      </c>
      <c r="AI135">
        <v>0</v>
      </c>
      <c r="AK135">
        <v>2032</v>
      </c>
      <c r="AL135" t="s">
        <v>167</v>
      </c>
      <c r="AM135">
        <v>0.41270000000000001</v>
      </c>
      <c r="AN135" t="s">
        <v>430</v>
      </c>
    </row>
    <row r="136" spans="5:40" x14ac:dyDescent="0.45">
      <c r="E136" t="s">
        <v>1437</v>
      </c>
      <c r="G136" t="s">
        <v>155</v>
      </c>
      <c r="I136" t="s">
        <v>249</v>
      </c>
      <c r="J136" t="s">
        <v>1733</v>
      </c>
      <c r="K136">
        <v>2.977901402312E-4</v>
      </c>
      <c r="L136" t="s">
        <v>251</v>
      </c>
      <c r="N136" t="s">
        <v>419</v>
      </c>
      <c r="O136" t="s">
        <v>1733</v>
      </c>
      <c r="P136">
        <v>2.8922879835281771E-5</v>
      </c>
      <c r="Q136" t="s">
        <v>251</v>
      </c>
      <c r="S136" t="s">
        <v>420</v>
      </c>
      <c r="T136" t="s">
        <v>1733</v>
      </c>
      <c r="U136">
        <v>5.8652707977128257E-5</v>
      </c>
      <c r="V136" t="s">
        <v>251</v>
      </c>
      <c r="X136">
        <v>1.1415525114155251E-4</v>
      </c>
      <c r="Y136">
        <v>1.4883690094390442E-4</v>
      </c>
      <c r="Z136" t="s">
        <v>1733</v>
      </c>
      <c r="AA136" t="s">
        <v>25</v>
      </c>
      <c r="AC136" t="s">
        <v>22</v>
      </c>
      <c r="AD136" t="s">
        <v>1733</v>
      </c>
      <c r="AE136">
        <v>1.4032712847482378E-4</v>
      </c>
      <c r="AG136" t="s">
        <v>97</v>
      </c>
      <c r="AH136" t="s">
        <v>1733</v>
      </c>
      <c r="AI136">
        <v>0</v>
      </c>
      <c r="AK136">
        <v>2032</v>
      </c>
      <c r="AL136" t="s">
        <v>169</v>
      </c>
      <c r="AM136">
        <v>0.51</v>
      </c>
      <c r="AN136" t="s">
        <v>430</v>
      </c>
    </row>
    <row r="137" spans="5:40" x14ac:dyDescent="0.45">
      <c r="E137" t="s">
        <v>1438</v>
      </c>
      <c r="G137" t="s">
        <v>155</v>
      </c>
      <c r="I137" t="s">
        <v>249</v>
      </c>
      <c r="J137" t="s">
        <v>1734</v>
      </c>
      <c r="K137">
        <v>3.1275091715120002E-4</v>
      </c>
      <c r="L137" t="s">
        <v>251</v>
      </c>
      <c r="N137" t="s">
        <v>419</v>
      </c>
      <c r="O137" t="s">
        <v>1734</v>
      </c>
      <c r="P137">
        <v>2.8492633054649321E-5</v>
      </c>
      <c r="Q137" t="s">
        <v>251</v>
      </c>
      <c r="S137" t="s">
        <v>420</v>
      </c>
      <c r="T137" t="s">
        <v>1734</v>
      </c>
      <c r="U137">
        <v>5.6969769960148173E-5</v>
      </c>
      <c r="V137" t="s">
        <v>251</v>
      </c>
      <c r="X137">
        <v>1.1415525114155251E-4</v>
      </c>
      <c r="Y137">
        <v>1.5049432745775637E-4</v>
      </c>
      <c r="Z137" t="s">
        <v>1734</v>
      </c>
      <c r="AA137" t="s">
        <v>25</v>
      </c>
      <c r="AC137" t="s">
        <v>22</v>
      </c>
      <c r="AD137" t="s">
        <v>1734</v>
      </c>
      <c r="AE137">
        <v>1.3658920114208904E-4</v>
      </c>
      <c r="AG137" t="s">
        <v>97</v>
      </c>
      <c r="AH137" t="s">
        <v>1734</v>
      </c>
      <c r="AI137">
        <v>0</v>
      </c>
      <c r="AK137">
        <v>2032</v>
      </c>
      <c r="AL137" t="s">
        <v>171</v>
      </c>
      <c r="AM137">
        <v>0.51129999999999998</v>
      </c>
      <c r="AN137" t="s">
        <v>430</v>
      </c>
    </row>
    <row r="138" spans="5:40" x14ac:dyDescent="0.45">
      <c r="E138" t="s">
        <v>1439</v>
      </c>
      <c r="G138" t="s">
        <v>155</v>
      </c>
      <c r="I138" t="s">
        <v>249</v>
      </c>
      <c r="J138" t="s">
        <v>1735</v>
      </c>
      <c r="K138">
        <v>3.106516553582E-4</v>
      </c>
      <c r="L138" t="s">
        <v>251</v>
      </c>
      <c r="N138" t="s">
        <v>419</v>
      </c>
      <c r="O138" t="s">
        <v>1735</v>
      </c>
      <c r="P138">
        <v>2.6090701093675583E-5</v>
      </c>
      <c r="Q138" t="s">
        <v>251</v>
      </c>
      <c r="S138" t="s">
        <v>420</v>
      </c>
      <c r="T138" t="s">
        <v>1735</v>
      </c>
      <c r="U138">
        <v>5.147440052642688E-5</v>
      </c>
      <c r="V138" t="s">
        <v>251</v>
      </c>
      <c r="X138">
        <v>1.1415525114155251E-4</v>
      </c>
      <c r="Y138">
        <v>1.7237235744060203E-4</v>
      </c>
      <c r="Z138" t="s">
        <v>1735</v>
      </c>
      <c r="AA138" t="s">
        <v>25</v>
      </c>
      <c r="AC138" t="s">
        <v>22</v>
      </c>
      <c r="AD138" t="s">
        <v>1735</v>
      </c>
      <c r="AE138">
        <v>1.2107151056374956E-4</v>
      </c>
      <c r="AG138" t="s">
        <v>97</v>
      </c>
      <c r="AH138" t="s">
        <v>1735</v>
      </c>
      <c r="AI138">
        <v>0</v>
      </c>
      <c r="AK138">
        <v>2032</v>
      </c>
      <c r="AL138" t="s">
        <v>158</v>
      </c>
      <c r="AM138">
        <v>0.61519999999999997</v>
      </c>
      <c r="AN138" t="s">
        <v>430</v>
      </c>
    </row>
    <row r="139" spans="5:40" x14ac:dyDescent="0.45">
      <c r="E139" t="s">
        <v>1440</v>
      </c>
      <c r="G139" t="s">
        <v>155</v>
      </c>
      <c r="I139" t="s">
        <v>249</v>
      </c>
      <c r="J139" t="s">
        <v>1736</v>
      </c>
      <c r="K139">
        <v>2.7585289739369997E-4</v>
      </c>
      <c r="L139" t="s">
        <v>251</v>
      </c>
      <c r="N139" t="s">
        <v>419</v>
      </c>
      <c r="O139" t="s">
        <v>1736</v>
      </c>
      <c r="P139">
        <v>2.9794118069285817E-5</v>
      </c>
      <c r="Q139" t="s">
        <v>251</v>
      </c>
      <c r="S139" t="s">
        <v>420</v>
      </c>
      <c r="T139" t="s">
        <v>1736</v>
      </c>
      <c r="U139">
        <v>5.3701451241474179E-5</v>
      </c>
      <c r="V139" t="s">
        <v>251</v>
      </c>
      <c r="X139">
        <v>1.1415525114155251E-4</v>
      </c>
      <c r="Y139">
        <v>2.2209515285616027E-4</v>
      </c>
      <c r="Z139" t="s">
        <v>1736</v>
      </c>
      <c r="AA139" t="s">
        <v>25</v>
      </c>
      <c r="AC139" t="s">
        <v>22</v>
      </c>
      <c r="AD139" t="s">
        <v>1736</v>
      </c>
      <c r="AE139">
        <v>9.260421361033543E-5</v>
      </c>
      <c r="AG139" t="s">
        <v>97</v>
      </c>
      <c r="AH139" t="s">
        <v>1736</v>
      </c>
      <c r="AI139">
        <v>0</v>
      </c>
      <c r="AK139">
        <v>2032</v>
      </c>
      <c r="AL139" t="s">
        <v>162</v>
      </c>
      <c r="AM139">
        <v>0.57240000000000002</v>
      </c>
      <c r="AN139" t="s">
        <v>430</v>
      </c>
    </row>
    <row r="140" spans="5:40" x14ac:dyDescent="0.45">
      <c r="E140" t="s">
        <v>1441</v>
      </c>
      <c r="G140" t="s">
        <v>155</v>
      </c>
      <c r="I140" t="s">
        <v>249</v>
      </c>
      <c r="J140" t="s">
        <v>1737</v>
      </c>
      <c r="K140">
        <v>1.9863369841200001E-4</v>
      </c>
      <c r="L140" t="s">
        <v>251</v>
      </c>
      <c r="N140" t="s">
        <v>419</v>
      </c>
      <c r="O140" t="s">
        <v>1737</v>
      </c>
      <c r="P140">
        <v>3.454304757687353E-5</v>
      </c>
      <c r="Q140" t="s">
        <v>251</v>
      </c>
      <c r="S140" t="s">
        <v>420</v>
      </c>
      <c r="T140" t="s">
        <v>1737</v>
      </c>
      <c r="U140">
        <v>5.5468845648560486E-5</v>
      </c>
      <c r="V140" t="s">
        <v>251</v>
      </c>
      <c r="X140">
        <v>1.1415525114155251E-4</v>
      </c>
      <c r="Y140">
        <v>2.2209515285616027E-4</v>
      </c>
      <c r="Z140" t="s">
        <v>1737</v>
      </c>
      <c r="AA140" t="s">
        <v>25</v>
      </c>
      <c r="AC140" t="s">
        <v>22</v>
      </c>
      <c r="AD140" t="s">
        <v>1737</v>
      </c>
      <c r="AE140">
        <v>6.2363211645382154E-5</v>
      </c>
      <c r="AG140" t="s">
        <v>97</v>
      </c>
      <c r="AH140" t="s">
        <v>1737</v>
      </c>
      <c r="AI140">
        <v>0</v>
      </c>
      <c r="AK140">
        <v>2032</v>
      </c>
      <c r="AL140" t="s">
        <v>175</v>
      </c>
      <c r="AM140">
        <v>0.41599999999999998</v>
      </c>
      <c r="AN140" t="s">
        <v>430</v>
      </c>
    </row>
    <row r="141" spans="5:40" x14ac:dyDescent="0.45">
      <c r="E141" t="s">
        <v>1442</v>
      </c>
      <c r="G141" t="s">
        <v>155</v>
      </c>
      <c r="I141" t="s">
        <v>249</v>
      </c>
      <c r="J141" t="s">
        <v>1738</v>
      </c>
      <c r="K141">
        <v>8.6229681281720766E-5</v>
      </c>
      <c r="L141" t="s">
        <v>251</v>
      </c>
      <c r="N141" t="s">
        <v>419</v>
      </c>
      <c r="O141" t="s">
        <v>1738</v>
      </c>
      <c r="P141">
        <v>4.8210709934688898E-5</v>
      </c>
      <c r="Q141" t="s">
        <v>251</v>
      </c>
      <c r="S141" t="s">
        <v>420</v>
      </c>
      <c r="T141" t="s">
        <v>1738</v>
      </c>
      <c r="U141">
        <v>5.6835334185923536E-5</v>
      </c>
      <c r="V141" t="s">
        <v>251</v>
      </c>
      <c r="X141">
        <v>1.1415525114155251E-4</v>
      </c>
      <c r="Y141">
        <v>1.7237235744060203E-4</v>
      </c>
      <c r="Z141" t="s">
        <v>1738</v>
      </c>
      <c r="AA141" t="s">
        <v>25</v>
      </c>
      <c r="AC141" t="s">
        <v>22</v>
      </c>
      <c r="AD141" t="s">
        <v>1738</v>
      </c>
      <c r="AE141">
        <v>3.2006339503795714E-5</v>
      </c>
      <c r="AG141" t="s">
        <v>97</v>
      </c>
      <c r="AH141" t="s">
        <v>1738</v>
      </c>
      <c r="AI141">
        <v>0</v>
      </c>
      <c r="AK141">
        <v>2032</v>
      </c>
      <c r="AL141" t="s">
        <v>166</v>
      </c>
      <c r="AM141">
        <v>0.27539999999999998</v>
      </c>
      <c r="AN141" t="s">
        <v>430</v>
      </c>
    </row>
    <row r="142" spans="5:40" x14ac:dyDescent="0.45">
      <c r="E142" t="s">
        <v>1443</v>
      </c>
      <c r="G142" t="s">
        <v>155</v>
      </c>
      <c r="I142" t="s">
        <v>249</v>
      </c>
      <c r="J142" t="s">
        <v>1739</v>
      </c>
      <c r="K142">
        <v>0</v>
      </c>
      <c r="L142" t="s">
        <v>251</v>
      </c>
      <c r="N142" t="s">
        <v>419</v>
      </c>
      <c r="O142" t="s">
        <v>1739</v>
      </c>
      <c r="P142">
        <v>6.8793518309795653E-5</v>
      </c>
      <c r="Q142" t="s">
        <v>251</v>
      </c>
      <c r="S142" t="s">
        <v>420</v>
      </c>
      <c r="T142" t="s">
        <v>1739</v>
      </c>
      <c r="U142">
        <v>5.6501832331497256E-5</v>
      </c>
      <c r="V142" t="s">
        <v>251</v>
      </c>
      <c r="X142">
        <v>1.1415525114155251E-4</v>
      </c>
      <c r="Y142">
        <v>1.5579809230208258E-4</v>
      </c>
      <c r="Z142" t="s">
        <v>1739</v>
      </c>
      <c r="AA142" t="s">
        <v>25</v>
      </c>
      <c r="AC142" t="s">
        <v>22</v>
      </c>
      <c r="AD142" t="s">
        <v>1739</v>
      </c>
      <c r="AE142">
        <v>2.6959302002368545E-5</v>
      </c>
      <c r="AG142" t="s">
        <v>97</v>
      </c>
      <c r="AH142" t="s">
        <v>1739</v>
      </c>
      <c r="AI142">
        <v>0</v>
      </c>
      <c r="AK142">
        <v>2032</v>
      </c>
      <c r="AL142" t="s">
        <v>178</v>
      </c>
      <c r="AM142">
        <v>0.2432</v>
      </c>
      <c r="AN142" t="s">
        <v>430</v>
      </c>
    </row>
    <row r="143" spans="5:40" x14ac:dyDescent="0.45">
      <c r="E143" t="s">
        <v>1444</v>
      </c>
      <c r="G143" t="s">
        <v>155</v>
      </c>
      <c r="I143" t="s">
        <v>249</v>
      </c>
      <c r="J143" t="s">
        <v>1740</v>
      </c>
      <c r="K143">
        <v>0</v>
      </c>
      <c r="L143" t="s">
        <v>251</v>
      </c>
      <c r="N143" t="s">
        <v>419</v>
      </c>
      <c r="O143" t="s">
        <v>1740</v>
      </c>
      <c r="P143">
        <v>8.2595211594726893E-5</v>
      </c>
      <c r="Q143" t="s">
        <v>251</v>
      </c>
      <c r="S143" t="s">
        <v>420</v>
      </c>
      <c r="T143" t="s">
        <v>1740</v>
      </c>
      <c r="U143">
        <v>5.6159478674668745E-5</v>
      </c>
      <c r="V143" t="s">
        <v>251</v>
      </c>
      <c r="X143">
        <v>1.1415525114155251E-4</v>
      </c>
      <c r="Y143">
        <v>1.093901499142282E-4</v>
      </c>
      <c r="Z143" t="s">
        <v>1740</v>
      </c>
      <c r="AA143" t="s">
        <v>25</v>
      </c>
      <c r="AC143" t="s">
        <v>22</v>
      </c>
      <c r="AD143" t="s">
        <v>1740</v>
      </c>
      <c r="AE143">
        <v>2.2263217439782298E-5</v>
      </c>
      <c r="AG143" t="s">
        <v>97</v>
      </c>
      <c r="AH143" t="s">
        <v>1740</v>
      </c>
      <c r="AI143">
        <v>0</v>
      </c>
      <c r="AK143">
        <v>2033</v>
      </c>
      <c r="AL143" t="s">
        <v>151</v>
      </c>
      <c r="AM143">
        <v>0.26369999999999999</v>
      </c>
      <c r="AN143" t="s">
        <v>430</v>
      </c>
    </row>
    <row r="144" spans="5:40" x14ac:dyDescent="0.45">
      <c r="E144" t="s">
        <v>1445</v>
      </c>
      <c r="G144" t="s">
        <v>155</v>
      </c>
      <c r="I144" t="s">
        <v>249</v>
      </c>
      <c r="J144" t="s">
        <v>1741</v>
      </c>
      <c r="K144">
        <v>0</v>
      </c>
      <c r="L144" t="s">
        <v>251</v>
      </c>
      <c r="N144" t="s">
        <v>419</v>
      </c>
      <c r="O144" t="s">
        <v>1741</v>
      </c>
      <c r="P144">
        <v>8.7886150680571948E-5</v>
      </c>
      <c r="Q144" t="s">
        <v>251</v>
      </c>
      <c r="S144" t="s">
        <v>420</v>
      </c>
      <c r="T144" t="s">
        <v>1741</v>
      </c>
      <c r="U144">
        <v>5.4139508383939382E-5</v>
      </c>
      <c r="V144" t="s">
        <v>251</v>
      </c>
      <c r="X144">
        <v>1.1415525114155251E-4</v>
      </c>
      <c r="Y144">
        <v>7.9556472664893237E-5</v>
      </c>
      <c r="Z144" t="s">
        <v>1741</v>
      </c>
      <c r="AA144" t="s">
        <v>25</v>
      </c>
      <c r="AC144" t="s">
        <v>22</v>
      </c>
      <c r="AD144" t="s">
        <v>1741</v>
      </c>
      <c r="AE144">
        <v>2.2484930566224674E-5</v>
      </c>
      <c r="AG144" t="s">
        <v>97</v>
      </c>
      <c r="AH144" t="s">
        <v>1741</v>
      </c>
      <c r="AI144">
        <v>0</v>
      </c>
      <c r="AK144">
        <v>2033</v>
      </c>
      <c r="AL144" t="s">
        <v>156</v>
      </c>
      <c r="AM144">
        <v>0.28339999999999999</v>
      </c>
      <c r="AN144" t="s">
        <v>430</v>
      </c>
    </row>
    <row r="145" spans="5:40" x14ac:dyDescent="0.45">
      <c r="E145" t="s">
        <v>1446</v>
      </c>
      <c r="G145" t="s">
        <v>155</v>
      </c>
      <c r="I145" t="s">
        <v>249</v>
      </c>
      <c r="J145" t="s">
        <v>1742</v>
      </c>
      <c r="K145">
        <v>0</v>
      </c>
      <c r="L145" t="s">
        <v>251</v>
      </c>
      <c r="N145" t="s">
        <v>419</v>
      </c>
      <c r="O145" t="s">
        <v>1742</v>
      </c>
      <c r="P145">
        <v>8.8156605725388902E-5</v>
      </c>
      <c r="Q145" t="s">
        <v>251</v>
      </c>
      <c r="S145" t="s">
        <v>420</v>
      </c>
      <c r="T145" t="s">
        <v>1742</v>
      </c>
      <c r="U145">
        <v>5.24323418479755E-5</v>
      </c>
      <c r="V145" t="s">
        <v>251</v>
      </c>
      <c r="X145">
        <v>1.1415525114155251E-4</v>
      </c>
      <c r="Y145">
        <v>5.6352501470966035E-5</v>
      </c>
      <c r="Z145" t="s">
        <v>1742</v>
      </c>
      <c r="AA145" t="s">
        <v>25</v>
      </c>
      <c r="AC145" t="s">
        <v>22</v>
      </c>
      <c r="AD145" t="s">
        <v>1742</v>
      </c>
      <c r="AE145">
        <v>2.5861877733294411E-5</v>
      </c>
      <c r="AG145" t="s">
        <v>97</v>
      </c>
      <c r="AH145" t="s">
        <v>1742</v>
      </c>
      <c r="AI145">
        <v>0</v>
      </c>
      <c r="AK145">
        <v>2033</v>
      </c>
      <c r="AL145" t="s">
        <v>159</v>
      </c>
      <c r="AM145">
        <v>0.26419999999999999</v>
      </c>
      <c r="AN145" t="s">
        <v>430</v>
      </c>
    </row>
    <row r="146" spans="5:40" x14ac:dyDescent="0.45">
      <c r="E146" t="s">
        <v>1447</v>
      </c>
      <c r="G146" t="s">
        <v>155</v>
      </c>
      <c r="I146" t="s">
        <v>249</v>
      </c>
      <c r="J146" t="s">
        <v>1743</v>
      </c>
      <c r="K146">
        <v>0</v>
      </c>
      <c r="L146" t="s">
        <v>251</v>
      </c>
      <c r="N146" t="s">
        <v>419</v>
      </c>
      <c r="O146" t="s">
        <v>1743</v>
      </c>
      <c r="P146">
        <v>8.6850945288332335E-5</v>
      </c>
      <c r="Q146" t="s">
        <v>251</v>
      </c>
      <c r="S146" t="s">
        <v>420</v>
      </c>
      <c r="T146" t="s">
        <v>1743</v>
      </c>
      <c r="U146">
        <v>5.0568277817560191E-5</v>
      </c>
      <c r="V146" t="s">
        <v>251</v>
      </c>
      <c r="X146">
        <v>1.1415525114155251E-4</v>
      </c>
      <c r="Y146">
        <v>2.9833677249334962E-5</v>
      </c>
      <c r="Z146" t="s">
        <v>1743</v>
      </c>
      <c r="AA146" t="s">
        <v>25</v>
      </c>
      <c r="AC146" t="s">
        <v>22</v>
      </c>
      <c r="AD146" t="s">
        <v>1743</v>
      </c>
      <c r="AE146">
        <v>4.5418312449089413E-5</v>
      </c>
      <c r="AG146" t="s">
        <v>97</v>
      </c>
      <c r="AH146" t="s">
        <v>1743</v>
      </c>
      <c r="AI146">
        <v>0</v>
      </c>
      <c r="AK146">
        <v>2033</v>
      </c>
      <c r="AL146" t="s">
        <v>163</v>
      </c>
      <c r="AM146">
        <v>0.30669999999999997</v>
      </c>
      <c r="AN146" t="s">
        <v>430</v>
      </c>
    </row>
    <row r="147" spans="5:40" x14ac:dyDescent="0.45">
      <c r="E147" t="s">
        <v>1448</v>
      </c>
      <c r="G147" t="s">
        <v>155</v>
      </c>
      <c r="I147" t="s">
        <v>249</v>
      </c>
      <c r="J147" t="s">
        <v>1744</v>
      </c>
      <c r="K147">
        <v>0</v>
      </c>
      <c r="L147" t="s">
        <v>251</v>
      </c>
      <c r="N147" t="s">
        <v>419</v>
      </c>
      <c r="O147" t="s">
        <v>1744</v>
      </c>
      <c r="P147">
        <v>8.616667665574027E-5</v>
      </c>
      <c r="Q147" t="s">
        <v>251</v>
      </c>
      <c r="S147" t="s">
        <v>420</v>
      </c>
      <c r="T147" t="s">
        <v>1744</v>
      </c>
      <c r="U147">
        <v>4.8872032375067629E-5</v>
      </c>
      <c r="V147" t="s">
        <v>251</v>
      </c>
      <c r="X147">
        <v>1.1415525114155251E-4</v>
      </c>
      <c r="Y147">
        <v>2.1546544680075254E-5</v>
      </c>
      <c r="Z147" t="s">
        <v>1744</v>
      </c>
      <c r="AA147" t="s">
        <v>25</v>
      </c>
      <c r="AC147" t="s">
        <v>22</v>
      </c>
      <c r="AD147" t="s">
        <v>1744</v>
      </c>
      <c r="AE147">
        <v>4.7745743208577578E-5</v>
      </c>
      <c r="AG147" t="s">
        <v>97</v>
      </c>
      <c r="AH147" t="s">
        <v>1744</v>
      </c>
      <c r="AI147">
        <v>0</v>
      </c>
      <c r="AK147">
        <v>2033</v>
      </c>
      <c r="AL147" t="s">
        <v>167</v>
      </c>
      <c r="AM147">
        <v>0.41010000000000002</v>
      </c>
      <c r="AN147" t="s">
        <v>430</v>
      </c>
    </row>
    <row r="148" spans="5:40" x14ac:dyDescent="0.45">
      <c r="E148" t="s">
        <v>1449</v>
      </c>
      <c r="G148" t="s">
        <v>155</v>
      </c>
      <c r="I148" t="s">
        <v>249</v>
      </c>
      <c r="J148" t="s">
        <v>1745</v>
      </c>
      <c r="K148">
        <v>0</v>
      </c>
      <c r="L148" t="s">
        <v>251</v>
      </c>
      <c r="N148" t="s">
        <v>419</v>
      </c>
      <c r="O148" t="s">
        <v>1745</v>
      </c>
      <c r="P148">
        <v>8.3197012931519486E-5</v>
      </c>
      <c r="Q148" t="s">
        <v>251</v>
      </c>
      <c r="S148" t="s">
        <v>420</v>
      </c>
      <c r="T148" t="s">
        <v>1745</v>
      </c>
      <c r="U148">
        <v>4.9335772261845748E-5</v>
      </c>
      <c r="V148" t="s">
        <v>251</v>
      </c>
      <c r="X148">
        <v>1.1415525114155251E-4</v>
      </c>
      <c r="Y148">
        <v>1.4916838624667481E-5</v>
      </c>
      <c r="Z148" t="s">
        <v>1745</v>
      </c>
      <c r="AA148" t="s">
        <v>25</v>
      </c>
      <c r="AC148" t="s">
        <v>22</v>
      </c>
      <c r="AD148" t="s">
        <v>1745</v>
      </c>
      <c r="AE148">
        <v>6.9585043231309529E-5</v>
      </c>
      <c r="AG148" t="s">
        <v>97</v>
      </c>
      <c r="AH148" t="s">
        <v>1745</v>
      </c>
      <c r="AI148">
        <v>0</v>
      </c>
      <c r="AK148">
        <v>2033</v>
      </c>
      <c r="AL148" t="s">
        <v>169</v>
      </c>
      <c r="AM148">
        <v>0.51259999999999994</v>
      </c>
      <c r="AN148" t="s">
        <v>430</v>
      </c>
    </row>
    <row r="149" spans="5:40" x14ac:dyDescent="0.45">
      <c r="E149" t="s">
        <v>1450</v>
      </c>
      <c r="G149" t="s">
        <v>155</v>
      </c>
      <c r="I149" t="s">
        <v>249</v>
      </c>
      <c r="J149" t="s">
        <v>1746</v>
      </c>
      <c r="K149">
        <v>0</v>
      </c>
      <c r="L149" t="s">
        <v>251</v>
      </c>
      <c r="N149" t="s">
        <v>419</v>
      </c>
      <c r="O149" t="s">
        <v>1746</v>
      </c>
      <c r="P149">
        <v>7.9069860594354553E-5</v>
      </c>
      <c r="Q149" t="s">
        <v>251</v>
      </c>
      <c r="S149" t="s">
        <v>420</v>
      </c>
      <c r="T149" t="s">
        <v>1746</v>
      </c>
      <c r="U149">
        <v>5.1943999572786488E-5</v>
      </c>
      <c r="V149" t="s">
        <v>251</v>
      </c>
      <c r="X149">
        <v>1.1415525114155251E-4</v>
      </c>
      <c r="Y149">
        <v>1.6574265138519424E-5</v>
      </c>
      <c r="Z149" t="s">
        <v>1746</v>
      </c>
      <c r="AA149" t="s">
        <v>25</v>
      </c>
      <c r="AC149" t="s">
        <v>22</v>
      </c>
      <c r="AD149" t="s">
        <v>1746</v>
      </c>
      <c r="AE149">
        <v>7.9877434498016892E-5</v>
      </c>
      <c r="AG149" t="s">
        <v>97</v>
      </c>
      <c r="AH149" t="s">
        <v>1746</v>
      </c>
      <c r="AI149">
        <v>0</v>
      </c>
      <c r="AK149">
        <v>2033</v>
      </c>
      <c r="AL149" t="s">
        <v>171</v>
      </c>
      <c r="AM149">
        <v>0.50719999999999998</v>
      </c>
      <c r="AN149" t="s">
        <v>430</v>
      </c>
    </row>
    <row r="150" spans="5:40" x14ac:dyDescent="0.45">
      <c r="E150" t="s">
        <v>1451</v>
      </c>
      <c r="G150" t="s">
        <v>155</v>
      </c>
      <c r="I150" t="s">
        <v>249</v>
      </c>
      <c r="J150" t="s">
        <v>1747</v>
      </c>
      <c r="K150">
        <v>0</v>
      </c>
      <c r="L150" t="s">
        <v>251</v>
      </c>
      <c r="N150" t="s">
        <v>419</v>
      </c>
      <c r="O150" t="s">
        <v>1747</v>
      </c>
      <c r="P150">
        <v>6.5054560785743435E-5</v>
      </c>
      <c r="Q150" t="s">
        <v>251</v>
      </c>
      <c r="S150" t="s">
        <v>420</v>
      </c>
      <c r="T150" t="s">
        <v>1747</v>
      </c>
      <c r="U150">
        <v>5.1293986393556771E-5</v>
      </c>
      <c r="V150" t="s">
        <v>251</v>
      </c>
      <c r="X150">
        <v>1.1415525114155251E-4</v>
      </c>
      <c r="Y150">
        <v>1.4585353321897093E-5</v>
      </c>
      <c r="Z150" t="s">
        <v>1747</v>
      </c>
      <c r="AA150" t="s">
        <v>25</v>
      </c>
      <c r="AC150" t="s">
        <v>22</v>
      </c>
      <c r="AD150" t="s">
        <v>1747</v>
      </c>
      <c r="AE150">
        <v>9.8208319268652998E-5</v>
      </c>
      <c r="AG150" t="s">
        <v>97</v>
      </c>
      <c r="AH150" t="s">
        <v>1747</v>
      </c>
      <c r="AI150">
        <v>0</v>
      </c>
      <c r="AK150">
        <v>2033</v>
      </c>
      <c r="AL150" t="s">
        <v>158</v>
      </c>
      <c r="AM150">
        <v>0.70079999999999998</v>
      </c>
      <c r="AN150" t="s">
        <v>430</v>
      </c>
    </row>
    <row r="151" spans="5:40" x14ac:dyDescent="0.45">
      <c r="E151" t="s">
        <v>1452</v>
      </c>
      <c r="G151" t="s">
        <v>155</v>
      </c>
      <c r="I151" t="s">
        <v>249</v>
      </c>
      <c r="J151" t="s">
        <v>1748</v>
      </c>
      <c r="K151">
        <v>0</v>
      </c>
      <c r="L151" t="s">
        <v>251</v>
      </c>
      <c r="N151" t="s">
        <v>419</v>
      </c>
      <c r="O151" t="s">
        <v>1748</v>
      </c>
      <c r="P151">
        <v>5.5763775588777976E-5</v>
      </c>
      <c r="Q151" t="s">
        <v>251</v>
      </c>
      <c r="S151" t="s">
        <v>420</v>
      </c>
      <c r="T151" t="s">
        <v>1748</v>
      </c>
      <c r="U151">
        <v>5.0518644027839095E-5</v>
      </c>
      <c r="V151" t="s">
        <v>251</v>
      </c>
      <c r="X151">
        <v>1.1415525114155251E-4</v>
      </c>
      <c r="Y151">
        <v>2.1215059377304864E-5</v>
      </c>
      <c r="Z151" t="s">
        <v>1748</v>
      </c>
      <c r="AA151" t="s">
        <v>25</v>
      </c>
      <c r="AC151" t="s">
        <v>22</v>
      </c>
      <c r="AD151" t="s">
        <v>1748</v>
      </c>
      <c r="AE151">
        <v>9.8841148694880517E-5</v>
      </c>
      <c r="AG151" t="s">
        <v>97</v>
      </c>
      <c r="AH151" t="s">
        <v>1748</v>
      </c>
      <c r="AI151">
        <v>0</v>
      </c>
      <c r="AK151">
        <v>2033</v>
      </c>
      <c r="AL151" t="s">
        <v>162</v>
      </c>
      <c r="AM151">
        <v>0.58540000000000003</v>
      </c>
      <c r="AN151" t="s">
        <v>430</v>
      </c>
    </row>
    <row r="152" spans="5:40" x14ac:dyDescent="0.45">
      <c r="E152" t="s">
        <v>1453</v>
      </c>
      <c r="G152" t="s">
        <v>155</v>
      </c>
      <c r="I152" t="s">
        <v>249</v>
      </c>
      <c r="J152" t="s">
        <v>1749</v>
      </c>
      <c r="K152">
        <v>0</v>
      </c>
      <c r="L152" t="s">
        <v>251</v>
      </c>
      <c r="N152" t="s">
        <v>419</v>
      </c>
      <c r="O152" t="s">
        <v>1749</v>
      </c>
      <c r="P152">
        <v>5.0603543683829351E-5</v>
      </c>
      <c r="Q152" t="s">
        <v>251</v>
      </c>
      <c r="S152" t="s">
        <v>420</v>
      </c>
      <c r="T152" t="s">
        <v>1749</v>
      </c>
      <c r="U152">
        <v>5.1124003065598679E-5</v>
      </c>
      <c r="V152" t="s">
        <v>251</v>
      </c>
      <c r="X152">
        <v>1.1415525114155251E-4</v>
      </c>
      <c r="Y152">
        <v>5.7678442682047593E-5</v>
      </c>
      <c r="Z152" t="s">
        <v>1749</v>
      </c>
      <c r="AA152" t="s">
        <v>25</v>
      </c>
      <c r="AC152" t="s">
        <v>22</v>
      </c>
      <c r="AD152" t="s">
        <v>1749</v>
      </c>
      <c r="AE152">
        <v>1.0096135010000545E-4</v>
      </c>
      <c r="AG152" t="s">
        <v>97</v>
      </c>
      <c r="AH152" t="s">
        <v>1749</v>
      </c>
      <c r="AI152">
        <v>0</v>
      </c>
      <c r="AK152">
        <v>2033</v>
      </c>
      <c r="AL152" t="s">
        <v>175</v>
      </c>
      <c r="AM152">
        <v>0.44950000000000001</v>
      </c>
      <c r="AN152" t="s">
        <v>430</v>
      </c>
    </row>
    <row r="153" spans="5:40" x14ac:dyDescent="0.45">
      <c r="E153" t="s">
        <v>1454</v>
      </c>
      <c r="G153" t="s">
        <v>155</v>
      </c>
      <c r="I153" t="s">
        <v>249</v>
      </c>
      <c r="J153" t="s">
        <v>1750</v>
      </c>
      <c r="K153">
        <v>0</v>
      </c>
      <c r="L153" t="s">
        <v>251</v>
      </c>
      <c r="N153" t="s">
        <v>419</v>
      </c>
      <c r="O153" t="s">
        <v>1750</v>
      </c>
      <c r="P153">
        <v>4.7447213320629913E-5</v>
      </c>
      <c r="Q153" t="s">
        <v>251</v>
      </c>
      <c r="S153" t="s">
        <v>420</v>
      </c>
      <c r="T153" t="s">
        <v>1750</v>
      </c>
      <c r="U153">
        <v>5.0637383307407343E-5</v>
      </c>
      <c r="V153" t="s">
        <v>251</v>
      </c>
      <c r="X153">
        <v>1.1415525114155251E-4</v>
      </c>
      <c r="Y153">
        <v>1.6905750441289813E-4</v>
      </c>
      <c r="Z153" t="s">
        <v>1750</v>
      </c>
      <c r="AA153" t="s">
        <v>25</v>
      </c>
      <c r="AC153" t="s">
        <v>22</v>
      </c>
      <c r="AD153" t="s">
        <v>1750</v>
      </c>
      <c r="AE153">
        <v>1.0059702752539913E-4</v>
      </c>
      <c r="AG153" t="s">
        <v>97</v>
      </c>
      <c r="AH153" t="s">
        <v>1750</v>
      </c>
      <c r="AI153">
        <v>0</v>
      </c>
      <c r="AK153">
        <v>2033</v>
      </c>
      <c r="AL153" t="s">
        <v>166</v>
      </c>
      <c r="AM153">
        <v>0.31309999999999999</v>
      </c>
      <c r="AN153" t="s">
        <v>430</v>
      </c>
    </row>
    <row r="154" spans="5:40" x14ac:dyDescent="0.45">
      <c r="E154" t="s">
        <v>1455</v>
      </c>
      <c r="G154" t="s">
        <v>155</v>
      </c>
      <c r="I154" t="s">
        <v>249</v>
      </c>
      <c r="J154" t="s">
        <v>1751</v>
      </c>
      <c r="K154">
        <v>3.0679952743426343E-5</v>
      </c>
      <c r="L154" t="s">
        <v>251</v>
      </c>
      <c r="N154" t="s">
        <v>419</v>
      </c>
      <c r="O154" t="s">
        <v>1751</v>
      </c>
      <c r="P154">
        <v>4.4736263392318569E-5</v>
      </c>
      <c r="Q154" t="s">
        <v>251</v>
      </c>
      <c r="S154" t="s">
        <v>420</v>
      </c>
      <c r="T154" t="s">
        <v>1751</v>
      </c>
      <c r="U154">
        <v>4.9469451123895838E-5</v>
      </c>
      <c r="V154" t="s">
        <v>251</v>
      </c>
      <c r="X154">
        <v>1.1415525114155251E-4</v>
      </c>
      <c r="Y154">
        <v>1.9060404909297337E-4</v>
      </c>
      <c r="Z154" t="s">
        <v>1751</v>
      </c>
      <c r="AA154" t="s">
        <v>25</v>
      </c>
      <c r="AC154" t="s">
        <v>22</v>
      </c>
      <c r="AD154" t="s">
        <v>1751</v>
      </c>
      <c r="AE154">
        <v>1.0028284108491294E-4</v>
      </c>
      <c r="AG154" t="s">
        <v>97</v>
      </c>
      <c r="AH154" t="s">
        <v>1751</v>
      </c>
      <c r="AI154">
        <v>0</v>
      </c>
      <c r="AK154">
        <v>2033</v>
      </c>
      <c r="AL154" t="s">
        <v>178</v>
      </c>
      <c r="AM154">
        <v>0.24959999999999999</v>
      </c>
      <c r="AN154" t="s">
        <v>430</v>
      </c>
    </row>
    <row r="155" spans="5:40" x14ac:dyDescent="0.45">
      <c r="E155" t="s">
        <v>1456</v>
      </c>
      <c r="G155" t="s">
        <v>155</v>
      </c>
      <c r="I155" t="s">
        <v>249</v>
      </c>
      <c r="J155" t="s">
        <v>1752</v>
      </c>
      <c r="K155">
        <v>1.188497398159E-4</v>
      </c>
      <c r="L155" t="s">
        <v>251</v>
      </c>
      <c r="N155" t="s">
        <v>419</v>
      </c>
      <c r="O155" t="s">
        <v>1752</v>
      </c>
      <c r="P155">
        <v>2.6364465856410827E-5</v>
      </c>
      <c r="Q155" t="s">
        <v>251</v>
      </c>
      <c r="S155" t="s">
        <v>420</v>
      </c>
      <c r="T155" t="s">
        <v>1752</v>
      </c>
      <c r="U155">
        <v>4.7570676521182608E-5</v>
      </c>
      <c r="V155" t="s">
        <v>251</v>
      </c>
      <c r="X155">
        <v>1.1415525114155251E-4</v>
      </c>
      <c r="Y155">
        <v>1.4585353321897094E-4</v>
      </c>
      <c r="Z155" t="s">
        <v>1752</v>
      </c>
      <c r="AA155" t="s">
        <v>25</v>
      </c>
      <c r="AC155" t="s">
        <v>22</v>
      </c>
      <c r="AD155" t="s">
        <v>1752</v>
      </c>
      <c r="AE155">
        <v>1.0380685424540173E-4</v>
      </c>
      <c r="AG155" t="s">
        <v>97</v>
      </c>
      <c r="AH155" t="s">
        <v>1752</v>
      </c>
      <c r="AI155">
        <v>0</v>
      </c>
      <c r="AK155">
        <v>2034</v>
      </c>
      <c r="AL155" t="s">
        <v>151</v>
      </c>
      <c r="AM155">
        <v>0.23400000000000001</v>
      </c>
      <c r="AN155" t="s">
        <v>430</v>
      </c>
    </row>
    <row r="156" spans="5:40" x14ac:dyDescent="0.45">
      <c r="E156" t="s">
        <v>1457</v>
      </c>
      <c r="G156" t="s">
        <v>155</v>
      </c>
      <c r="I156" t="s">
        <v>249</v>
      </c>
      <c r="J156" t="s">
        <v>1753</v>
      </c>
      <c r="K156">
        <v>1.965629373105E-4</v>
      </c>
      <c r="L156" t="s">
        <v>251</v>
      </c>
      <c r="N156" t="s">
        <v>419</v>
      </c>
      <c r="O156" t="s">
        <v>1753</v>
      </c>
      <c r="P156">
        <v>2.4731146164938396E-5</v>
      </c>
      <c r="Q156" t="s">
        <v>251</v>
      </c>
      <c r="S156" t="s">
        <v>420</v>
      </c>
      <c r="T156" t="s">
        <v>1753</v>
      </c>
      <c r="U156">
        <v>4.4731219932713909E-5</v>
      </c>
      <c r="V156" t="s">
        <v>251</v>
      </c>
      <c r="X156">
        <v>1.1415525114155251E-4</v>
      </c>
      <c r="Y156">
        <v>1.4452759200788939E-4</v>
      </c>
      <c r="Z156" t="s">
        <v>1753</v>
      </c>
      <c r="AA156" t="s">
        <v>25</v>
      </c>
      <c r="AC156" t="s">
        <v>22</v>
      </c>
      <c r="AD156" t="s">
        <v>1753</v>
      </c>
      <c r="AE156">
        <v>1.0510259477832881E-4</v>
      </c>
      <c r="AG156" t="s">
        <v>97</v>
      </c>
      <c r="AH156" t="s">
        <v>1753</v>
      </c>
      <c r="AI156">
        <v>0</v>
      </c>
      <c r="AK156">
        <v>2034</v>
      </c>
      <c r="AL156" t="s">
        <v>156</v>
      </c>
      <c r="AM156">
        <v>0.28210000000000002</v>
      </c>
      <c r="AN156" t="s">
        <v>430</v>
      </c>
    </row>
    <row r="157" spans="5:40" x14ac:dyDescent="0.45">
      <c r="E157" t="s">
        <v>1458</v>
      </c>
      <c r="G157" t="s">
        <v>155</v>
      </c>
      <c r="I157" t="s">
        <v>249</v>
      </c>
      <c r="J157" t="s">
        <v>1754</v>
      </c>
      <c r="K157">
        <v>2.4699519112E-4</v>
      </c>
      <c r="L157" t="s">
        <v>251</v>
      </c>
      <c r="N157" t="s">
        <v>419</v>
      </c>
      <c r="O157" t="s">
        <v>1754</v>
      </c>
      <c r="P157">
        <v>2.8910222434169617E-5</v>
      </c>
      <c r="Q157" t="s">
        <v>251</v>
      </c>
      <c r="S157" t="s">
        <v>420</v>
      </c>
      <c r="T157" t="s">
        <v>1754</v>
      </c>
      <c r="U157">
        <v>4.3272136319743439E-5</v>
      </c>
      <c r="V157" t="s">
        <v>251</v>
      </c>
      <c r="X157">
        <v>1.1415525114155251E-4</v>
      </c>
      <c r="Y157">
        <v>1.408812536774151E-4</v>
      </c>
      <c r="Z157" t="s">
        <v>1754</v>
      </c>
      <c r="AA157" t="s">
        <v>25</v>
      </c>
      <c r="AC157" t="s">
        <v>22</v>
      </c>
      <c r="AD157" t="s">
        <v>1754</v>
      </c>
      <c r="AE157">
        <v>1.0323864472537349E-4</v>
      </c>
      <c r="AG157" t="s">
        <v>97</v>
      </c>
      <c r="AH157" t="s">
        <v>1754</v>
      </c>
      <c r="AI157">
        <v>0</v>
      </c>
      <c r="AK157">
        <v>2034</v>
      </c>
      <c r="AL157" t="s">
        <v>159</v>
      </c>
      <c r="AM157">
        <v>0.27650000000000002</v>
      </c>
      <c r="AN157" t="s">
        <v>430</v>
      </c>
    </row>
    <row r="158" spans="5:40" x14ac:dyDescent="0.45">
      <c r="E158" t="s">
        <v>1459</v>
      </c>
      <c r="G158" t="s">
        <v>155</v>
      </c>
      <c r="I158" t="s">
        <v>249</v>
      </c>
      <c r="J158" t="s">
        <v>1755</v>
      </c>
      <c r="K158">
        <v>2.7468689647499998E-4</v>
      </c>
      <c r="L158" t="s">
        <v>251</v>
      </c>
      <c r="N158" t="s">
        <v>419</v>
      </c>
      <c r="O158" t="s">
        <v>1755</v>
      </c>
      <c r="P158">
        <v>2.9502716147405392E-5</v>
      </c>
      <c r="Q158" t="s">
        <v>251</v>
      </c>
      <c r="S158" t="s">
        <v>420</v>
      </c>
      <c r="T158" t="s">
        <v>1755</v>
      </c>
      <c r="U158">
        <v>4.2417277659470405E-5</v>
      </c>
      <c r="V158" t="s">
        <v>251</v>
      </c>
      <c r="X158">
        <v>1.1415525114155251E-4</v>
      </c>
      <c r="Y158">
        <v>1.4054976837464471E-4</v>
      </c>
      <c r="Z158" t="s">
        <v>1755</v>
      </c>
      <c r="AA158" t="s">
        <v>25</v>
      </c>
      <c r="AC158" t="s">
        <v>22</v>
      </c>
      <c r="AD158" t="s">
        <v>1755</v>
      </c>
      <c r="AE158">
        <v>1.1107882196544925E-4</v>
      </c>
      <c r="AG158" t="s">
        <v>97</v>
      </c>
      <c r="AH158" t="s">
        <v>1755</v>
      </c>
      <c r="AI158">
        <v>0</v>
      </c>
      <c r="AK158">
        <v>2034</v>
      </c>
      <c r="AL158" t="s">
        <v>163</v>
      </c>
      <c r="AM158">
        <v>0.31869999999999998</v>
      </c>
      <c r="AN158" t="s">
        <v>430</v>
      </c>
    </row>
    <row r="159" spans="5:40" x14ac:dyDescent="0.45">
      <c r="E159" t="s">
        <v>1460</v>
      </c>
      <c r="G159" t="s">
        <v>155</v>
      </c>
      <c r="I159" t="s">
        <v>249</v>
      </c>
      <c r="J159" t="s">
        <v>1756</v>
      </c>
      <c r="K159">
        <v>2.7224569783719998E-4</v>
      </c>
      <c r="L159" t="s">
        <v>251</v>
      </c>
      <c r="N159" t="s">
        <v>419</v>
      </c>
      <c r="O159" t="s">
        <v>1756</v>
      </c>
      <c r="P159">
        <v>2.7550131872338704E-5</v>
      </c>
      <c r="Q159" t="s">
        <v>251</v>
      </c>
      <c r="S159" t="s">
        <v>420</v>
      </c>
      <c r="T159" t="s">
        <v>1756</v>
      </c>
      <c r="U159">
        <v>4.4476845737835049E-5</v>
      </c>
      <c r="V159" t="s">
        <v>251</v>
      </c>
      <c r="X159">
        <v>1.1415525114155251E-4</v>
      </c>
      <c r="Y159">
        <v>1.4253868019126702E-4</v>
      </c>
      <c r="Z159" t="s">
        <v>1756</v>
      </c>
      <c r="AA159" t="s">
        <v>25</v>
      </c>
      <c r="AC159" t="s">
        <v>22</v>
      </c>
      <c r="AD159" t="s">
        <v>1756</v>
      </c>
      <c r="AE159">
        <v>1.4442826424585102E-4</v>
      </c>
      <c r="AG159" t="s">
        <v>97</v>
      </c>
      <c r="AH159" t="s">
        <v>1756</v>
      </c>
      <c r="AI159">
        <v>0</v>
      </c>
      <c r="AK159">
        <v>2034</v>
      </c>
      <c r="AL159" t="s">
        <v>167</v>
      </c>
      <c r="AM159">
        <v>0.37459999999999999</v>
      </c>
      <c r="AN159" t="s">
        <v>430</v>
      </c>
    </row>
    <row r="160" spans="5:40" x14ac:dyDescent="0.45">
      <c r="E160" t="s">
        <v>1461</v>
      </c>
      <c r="G160" t="s">
        <v>155</v>
      </c>
      <c r="I160" t="s">
        <v>249</v>
      </c>
      <c r="J160" t="s">
        <v>1757</v>
      </c>
      <c r="K160">
        <v>2.6521521956400003E-4</v>
      </c>
      <c r="L160" t="s">
        <v>251</v>
      </c>
      <c r="N160" t="s">
        <v>419</v>
      </c>
      <c r="O160" t="s">
        <v>1757</v>
      </c>
      <c r="P160">
        <v>2.70941235114864E-5</v>
      </c>
      <c r="Q160" t="s">
        <v>251</v>
      </c>
      <c r="S160" t="s">
        <v>420</v>
      </c>
      <c r="T160" t="s">
        <v>1757</v>
      </c>
      <c r="U160">
        <v>4.8493736505507872E-5</v>
      </c>
      <c r="V160" t="s">
        <v>251</v>
      </c>
      <c r="X160">
        <v>1.1415525114155251E-4</v>
      </c>
      <c r="Y160">
        <v>1.4883690094390442E-4</v>
      </c>
      <c r="Z160" t="s">
        <v>1757</v>
      </c>
      <c r="AA160" t="s">
        <v>25</v>
      </c>
      <c r="AC160" t="s">
        <v>22</v>
      </c>
      <c r="AD160" t="s">
        <v>1757</v>
      </c>
      <c r="AE160">
        <v>1.4482044022830188E-4</v>
      </c>
      <c r="AG160" t="s">
        <v>97</v>
      </c>
      <c r="AH160" t="s">
        <v>1757</v>
      </c>
      <c r="AI160">
        <v>0</v>
      </c>
      <c r="AK160">
        <v>2034</v>
      </c>
      <c r="AL160" t="s">
        <v>169</v>
      </c>
      <c r="AM160">
        <v>0.47089999999999999</v>
      </c>
      <c r="AN160" t="s">
        <v>430</v>
      </c>
    </row>
    <row r="161" spans="5:40" x14ac:dyDescent="0.45">
      <c r="E161" t="s">
        <v>1462</v>
      </c>
      <c r="G161" t="s">
        <v>155</v>
      </c>
      <c r="I161" t="s">
        <v>249</v>
      </c>
      <c r="J161" t="s">
        <v>1758</v>
      </c>
      <c r="K161">
        <v>2.7417624313189997E-4</v>
      </c>
      <c r="L161" t="s">
        <v>251</v>
      </c>
      <c r="N161" t="s">
        <v>419</v>
      </c>
      <c r="O161" t="s">
        <v>1758</v>
      </c>
      <c r="P161">
        <v>2.8171284188688582E-5</v>
      </c>
      <c r="Q161" t="s">
        <v>251</v>
      </c>
      <c r="S161" t="s">
        <v>420</v>
      </c>
      <c r="T161" t="s">
        <v>1758</v>
      </c>
      <c r="U161">
        <v>5.2577636872270031E-5</v>
      </c>
      <c r="V161" t="s">
        <v>251</v>
      </c>
      <c r="X161">
        <v>1.1415525114155251E-4</v>
      </c>
      <c r="Y161">
        <v>1.5049432745775637E-4</v>
      </c>
      <c r="Z161" t="s">
        <v>1758</v>
      </c>
      <c r="AA161" t="s">
        <v>25</v>
      </c>
      <c r="AC161" t="s">
        <v>22</v>
      </c>
      <c r="AD161" t="s">
        <v>1758</v>
      </c>
      <c r="AE161">
        <v>1.3398323630415567E-4</v>
      </c>
      <c r="AG161" t="s">
        <v>97</v>
      </c>
      <c r="AH161" t="s">
        <v>1758</v>
      </c>
      <c r="AI161">
        <v>0</v>
      </c>
      <c r="AK161">
        <v>2034</v>
      </c>
      <c r="AL161" t="s">
        <v>171</v>
      </c>
      <c r="AM161">
        <v>0.56269999999999998</v>
      </c>
      <c r="AN161" t="s">
        <v>430</v>
      </c>
    </row>
    <row r="162" spans="5:40" x14ac:dyDescent="0.45">
      <c r="E162" t="s">
        <v>1463</v>
      </c>
      <c r="G162" t="s">
        <v>155</v>
      </c>
      <c r="I162" t="s">
        <v>249</v>
      </c>
      <c r="J162" t="s">
        <v>1759</v>
      </c>
      <c r="K162">
        <v>2.5863127468639998E-4</v>
      </c>
      <c r="L162" t="s">
        <v>251</v>
      </c>
      <c r="N162" t="s">
        <v>419</v>
      </c>
      <c r="O162" t="s">
        <v>1759</v>
      </c>
      <c r="P162">
        <v>2.7967862324317216E-5</v>
      </c>
      <c r="Q162" t="s">
        <v>251</v>
      </c>
      <c r="S162" t="s">
        <v>420</v>
      </c>
      <c r="T162" t="s">
        <v>1759</v>
      </c>
      <c r="U162">
        <v>5.6834872739596518E-5</v>
      </c>
      <c r="V162" t="s">
        <v>251</v>
      </c>
      <c r="X162">
        <v>1.1415525114155251E-4</v>
      </c>
      <c r="Y162">
        <v>1.7237235744060203E-4</v>
      </c>
      <c r="Z162" t="s">
        <v>1759</v>
      </c>
      <c r="AA162" t="s">
        <v>25</v>
      </c>
      <c r="AC162" t="s">
        <v>22</v>
      </c>
      <c r="AD162" t="s">
        <v>1759</v>
      </c>
      <c r="AE162">
        <v>1.2096789588656793E-4</v>
      </c>
      <c r="AG162" t="s">
        <v>97</v>
      </c>
      <c r="AH162" t="s">
        <v>1759</v>
      </c>
      <c r="AI162">
        <v>0</v>
      </c>
      <c r="AK162">
        <v>2034</v>
      </c>
      <c r="AL162" t="s">
        <v>158</v>
      </c>
      <c r="AM162">
        <v>0.65029999999999999</v>
      </c>
      <c r="AN162" t="s">
        <v>430</v>
      </c>
    </row>
    <row r="163" spans="5:40" x14ac:dyDescent="0.45">
      <c r="E163" t="s">
        <v>1464</v>
      </c>
      <c r="G163" t="s">
        <v>155</v>
      </c>
      <c r="I163" t="s">
        <v>249</v>
      </c>
      <c r="J163" t="s">
        <v>1760</v>
      </c>
      <c r="K163">
        <v>2.144351674449E-4</v>
      </c>
      <c r="L163" t="s">
        <v>251</v>
      </c>
      <c r="N163" t="s">
        <v>419</v>
      </c>
      <c r="O163" t="s">
        <v>1760</v>
      </c>
      <c r="P163">
        <v>3.6609588765067768E-5</v>
      </c>
      <c r="Q163" t="s">
        <v>251</v>
      </c>
      <c r="S163" t="s">
        <v>420</v>
      </c>
      <c r="T163" t="s">
        <v>1760</v>
      </c>
      <c r="U163">
        <v>6.2317689929973998E-5</v>
      </c>
      <c r="V163" t="s">
        <v>251</v>
      </c>
      <c r="X163">
        <v>1.1415525114155251E-4</v>
      </c>
      <c r="Y163">
        <v>2.2209515285616027E-4</v>
      </c>
      <c r="Z163" t="s">
        <v>1760</v>
      </c>
      <c r="AA163" t="s">
        <v>25</v>
      </c>
      <c r="AC163" t="s">
        <v>22</v>
      </c>
      <c r="AD163" t="s">
        <v>1760</v>
      </c>
      <c r="AE163">
        <v>9.2500598933153763E-5</v>
      </c>
      <c r="AG163" t="s">
        <v>97</v>
      </c>
      <c r="AH163" t="s">
        <v>1760</v>
      </c>
      <c r="AI163">
        <v>0</v>
      </c>
      <c r="AK163">
        <v>2034</v>
      </c>
      <c r="AL163" t="s">
        <v>162</v>
      </c>
      <c r="AM163">
        <v>0.62109999999999999</v>
      </c>
      <c r="AN163" t="s">
        <v>430</v>
      </c>
    </row>
    <row r="164" spans="5:40" x14ac:dyDescent="0.45">
      <c r="E164" t="s">
        <v>1465</v>
      </c>
      <c r="G164" t="s">
        <v>155</v>
      </c>
      <c r="I164" t="s">
        <v>249</v>
      </c>
      <c r="J164" t="s">
        <v>1761</v>
      </c>
      <c r="K164">
        <v>1.410610907791E-4</v>
      </c>
      <c r="L164" t="s">
        <v>251</v>
      </c>
      <c r="N164" t="s">
        <v>419</v>
      </c>
      <c r="O164" t="s">
        <v>1761</v>
      </c>
      <c r="P164">
        <v>5.0920869509093057E-5</v>
      </c>
      <c r="Q164" t="s">
        <v>251</v>
      </c>
      <c r="S164" t="s">
        <v>420</v>
      </c>
      <c r="T164" t="s">
        <v>1761</v>
      </c>
      <c r="U164">
        <v>6.8326473873526352E-5</v>
      </c>
      <c r="V164" t="s">
        <v>251</v>
      </c>
      <c r="X164">
        <v>1.1415525114155251E-4</v>
      </c>
      <c r="Y164">
        <v>2.2209515285616027E-4</v>
      </c>
      <c r="Z164" t="s">
        <v>1761</v>
      </c>
      <c r="AA164" t="s">
        <v>25</v>
      </c>
      <c r="AC164" t="s">
        <v>22</v>
      </c>
      <c r="AD164" t="s">
        <v>1761</v>
      </c>
      <c r="AE164">
        <v>6.2257368695572984E-5</v>
      </c>
      <c r="AG164" t="s">
        <v>97</v>
      </c>
      <c r="AH164" t="s">
        <v>1761</v>
      </c>
      <c r="AI164">
        <v>0</v>
      </c>
      <c r="AK164">
        <v>2034</v>
      </c>
      <c r="AL164" t="s">
        <v>175</v>
      </c>
      <c r="AM164">
        <v>0.40689999999999998</v>
      </c>
      <c r="AN164" t="s">
        <v>430</v>
      </c>
    </row>
    <row r="165" spans="5:40" x14ac:dyDescent="0.45">
      <c r="E165" t="s">
        <v>1466</v>
      </c>
      <c r="G165" t="s">
        <v>155</v>
      </c>
      <c r="I165" t="s">
        <v>249</v>
      </c>
      <c r="J165" t="s">
        <v>1762</v>
      </c>
      <c r="K165">
        <v>5.4969855153261973E-5</v>
      </c>
      <c r="L165" t="s">
        <v>251</v>
      </c>
      <c r="N165" t="s">
        <v>419</v>
      </c>
      <c r="O165" t="s">
        <v>1762</v>
      </c>
      <c r="P165">
        <v>7.4013620381949382E-5</v>
      </c>
      <c r="Q165" t="s">
        <v>251</v>
      </c>
      <c r="S165" t="s">
        <v>420</v>
      </c>
      <c r="T165" t="s">
        <v>1762</v>
      </c>
      <c r="U165">
        <v>7.1814721618161778E-5</v>
      </c>
      <c r="V165" t="s">
        <v>251</v>
      </c>
      <c r="X165">
        <v>1.1415525114155251E-4</v>
      </c>
      <c r="Y165">
        <v>1.7237235744060203E-4</v>
      </c>
      <c r="Z165" t="s">
        <v>1762</v>
      </c>
      <c r="AA165" t="s">
        <v>25</v>
      </c>
      <c r="AC165" t="s">
        <v>22</v>
      </c>
      <c r="AD165" t="s">
        <v>1762</v>
      </c>
      <c r="AE165">
        <v>3.0781903694950579E-5</v>
      </c>
      <c r="AG165" t="s">
        <v>97</v>
      </c>
      <c r="AH165" t="s">
        <v>1762</v>
      </c>
      <c r="AI165">
        <v>0</v>
      </c>
      <c r="AK165">
        <v>2034</v>
      </c>
      <c r="AL165" t="s">
        <v>166</v>
      </c>
      <c r="AM165">
        <v>0.28749999999999998</v>
      </c>
      <c r="AN165" t="s">
        <v>430</v>
      </c>
    </row>
    <row r="166" spans="5:40" x14ac:dyDescent="0.45">
      <c r="E166" t="s">
        <v>1467</v>
      </c>
      <c r="G166" t="s">
        <v>155</v>
      </c>
      <c r="I166" t="s">
        <v>249</v>
      </c>
      <c r="J166" t="s">
        <v>1763</v>
      </c>
      <c r="K166">
        <v>0</v>
      </c>
      <c r="L166" t="s">
        <v>251</v>
      </c>
      <c r="N166" t="s">
        <v>419</v>
      </c>
      <c r="O166" t="s">
        <v>1763</v>
      </c>
      <c r="P166">
        <v>1.007821236251E-4</v>
      </c>
      <c r="Q166" t="s">
        <v>251</v>
      </c>
      <c r="S166" t="s">
        <v>420</v>
      </c>
      <c r="T166" t="s">
        <v>1763</v>
      </c>
      <c r="U166">
        <v>7.3988205818741306E-5</v>
      </c>
      <c r="V166" t="s">
        <v>251</v>
      </c>
      <c r="X166">
        <v>1.1415525114155251E-4</v>
      </c>
      <c r="Y166">
        <v>1.5579809230208258E-4</v>
      </c>
      <c r="Z166" t="s">
        <v>1763</v>
      </c>
      <c r="AA166" t="s">
        <v>25</v>
      </c>
      <c r="AC166" t="s">
        <v>22</v>
      </c>
      <c r="AD166" t="s">
        <v>1763</v>
      </c>
      <c r="AE166">
        <v>2.5125433629885269E-5</v>
      </c>
      <c r="AG166" t="s">
        <v>97</v>
      </c>
      <c r="AH166" t="s">
        <v>1763</v>
      </c>
      <c r="AI166">
        <v>0</v>
      </c>
      <c r="AK166">
        <v>2034</v>
      </c>
      <c r="AL166" t="s">
        <v>178</v>
      </c>
      <c r="AM166">
        <v>0.27529999999999999</v>
      </c>
      <c r="AN166" t="s">
        <v>430</v>
      </c>
    </row>
    <row r="167" spans="5:40" x14ac:dyDescent="0.45">
      <c r="E167" t="s">
        <v>1468</v>
      </c>
      <c r="G167" t="s">
        <v>155</v>
      </c>
      <c r="I167" t="s">
        <v>249</v>
      </c>
      <c r="J167" t="s">
        <v>1764</v>
      </c>
      <c r="K167">
        <v>0</v>
      </c>
      <c r="L167" t="s">
        <v>251</v>
      </c>
      <c r="N167" t="s">
        <v>419</v>
      </c>
      <c r="O167" t="s">
        <v>1764</v>
      </c>
      <c r="P167">
        <v>1.215057036554E-4</v>
      </c>
      <c r="Q167" t="s">
        <v>251</v>
      </c>
      <c r="S167" t="s">
        <v>420</v>
      </c>
      <c r="T167" t="s">
        <v>1764</v>
      </c>
      <c r="U167">
        <v>7.5188949414619214E-5</v>
      </c>
      <c r="V167" t="s">
        <v>251</v>
      </c>
      <c r="X167">
        <v>1.1415525114155251E-4</v>
      </c>
      <c r="Y167">
        <v>1.093901499142282E-4</v>
      </c>
      <c r="Z167" t="s">
        <v>1764</v>
      </c>
      <c r="AA167" t="s">
        <v>25</v>
      </c>
      <c r="AC167" t="s">
        <v>22</v>
      </c>
      <c r="AD167" t="s">
        <v>1764</v>
      </c>
      <c r="AE167">
        <v>2.5566631610142469E-5</v>
      </c>
      <c r="AG167" t="s">
        <v>97</v>
      </c>
      <c r="AH167" t="s">
        <v>1764</v>
      </c>
      <c r="AI167">
        <v>0</v>
      </c>
      <c r="AK167">
        <v>2035</v>
      </c>
      <c r="AL167" t="s">
        <v>151</v>
      </c>
      <c r="AM167">
        <v>0.26050000000000001</v>
      </c>
      <c r="AN167" t="s">
        <v>430</v>
      </c>
    </row>
    <row r="168" spans="5:40" x14ac:dyDescent="0.45">
      <c r="E168" t="s">
        <v>1469</v>
      </c>
      <c r="G168" t="s">
        <v>155</v>
      </c>
      <c r="I168" t="s">
        <v>249</v>
      </c>
      <c r="J168" t="s">
        <v>1765</v>
      </c>
      <c r="K168">
        <v>0</v>
      </c>
      <c r="L168" t="s">
        <v>251</v>
      </c>
      <c r="N168" t="s">
        <v>419</v>
      </c>
      <c r="O168" t="s">
        <v>1765</v>
      </c>
      <c r="P168">
        <v>1.3647013910300001E-4</v>
      </c>
      <c r="Q168" t="s">
        <v>251</v>
      </c>
      <c r="S168" t="s">
        <v>420</v>
      </c>
      <c r="T168" t="s">
        <v>1765</v>
      </c>
      <c r="U168">
        <v>7.5017887502638238E-5</v>
      </c>
      <c r="V168" t="s">
        <v>251</v>
      </c>
      <c r="X168">
        <v>1.1415525114155251E-4</v>
      </c>
      <c r="Y168">
        <v>7.9556472664893237E-5</v>
      </c>
      <c r="Z168" t="s">
        <v>1765</v>
      </c>
      <c r="AA168" t="s">
        <v>25</v>
      </c>
      <c r="AC168" t="s">
        <v>22</v>
      </c>
      <c r="AD168" t="s">
        <v>1765</v>
      </c>
      <c r="AE168">
        <v>2.5099808494668297E-5</v>
      </c>
      <c r="AG168" t="s">
        <v>97</v>
      </c>
      <c r="AH168" t="s">
        <v>1765</v>
      </c>
      <c r="AI168">
        <v>0</v>
      </c>
      <c r="AK168">
        <v>2035</v>
      </c>
      <c r="AL168" t="s">
        <v>156</v>
      </c>
      <c r="AM168">
        <v>0.2777</v>
      </c>
      <c r="AN168" t="s">
        <v>430</v>
      </c>
    </row>
    <row r="169" spans="5:40" x14ac:dyDescent="0.45">
      <c r="E169" t="s">
        <v>1470</v>
      </c>
      <c r="G169" t="s">
        <v>155</v>
      </c>
      <c r="I169" t="s">
        <v>249</v>
      </c>
      <c r="J169" t="s">
        <v>1766</v>
      </c>
      <c r="K169">
        <v>0</v>
      </c>
      <c r="L169" t="s">
        <v>251</v>
      </c>
      <c r="N169" t="s">
        <v>419</v>
      </c>
      <c r="O169" t="s">
        <v>1766</v>
      </c>
      <c r="P169">
        <v>1.4507360137499999E-4</v>
      </c>
      <c r="Q169" t="s">
        <v>251</v>
      </c>
      <c r="S169" t="s">
        <v>420</v>
      </c>
      <c r="T169" t="s">
        <v>1766</v>
      </c>
      <c r="U169">
        <v>7.3340804211945247E-5</v>
      </c>
      <c r="V169" t="s">
        <v>251</v>
      </c>
      <c r="X169">
        <v>1.1415525114155251E-4</v>
      </c>
      <c r="Y169">
        <v>5.6352501470966035E-5</v>
      </c>
      <c r="Z169" t="s">
        <v>1766</v>
      </c>
      <c r="AA169" t="s">
        <v>25</v>
      </c>
      <c r="AC169" t="s">
        <v>22</v>
      </c>
      <c r="AD169" t="s">
        <v>1766</v>
      </c>
      <c r="AE169">
        <v>2.6161580401701451E-5</v>
      </c>
      <c r="AG169" t="s">
        <v>97</v>
      </c>
      <c r="AH169" t="s">
        <v>1766</v>
      </c>
      <c r="AI169">
        <v>0</v>
      </c>
      <c r="AK169">
        <v>2035</v>
      </c>
      <c r="AL169" t="s">
        <v>159</v>
      </c>
      <c r="AM169">
        <v>0.2737</v>
      </c>
      <c r="AN169" t="s">
        <v>430</v>
      </c>
    </row>
    <row r="170" spans="5:40" x14ac:dyDescent="0.45">
      <c r="E170" t="s">
        <v>1471</v>
      </c>
      <c r="G170" t="s">
        <v>155</v>
      </c>
      <c r="I170" t="s">
        <v>249</v>
      </c>
      <c r="J170" t="s">
        <v>1767</v>
      </c>
      <c r="K170">
        <v>0</v>
      </c>
      <c r="L170" t="s">
        <v>251</v>
      </c>
      <c r="N170" t="s">
        <v>419</v>
      </c>
      <c r="O170" t="s">
        <v>1767</v>
      </c>
      <c r="P170">
        <v>1.416150381064E-4</v>
      </c>
      <c r="Q170" t="s">
        <v>251</v>
      </c>
      <c r="S170" t="s">
        <v>420</v>
      </c>
      <c r="T170" t="s">
        <v>1767</v>
      </c>
      <c r="U170">
        <v>6.8462137399456311E-5</v>
      </c>
      <c r="V170" t="s">
        <v>251</v>
      </c>
      <c r="X170">
        <v>1.1415525114155251E-4</v>
      </c>
      <c r="Y170">
        <v>2.9833677249334962E-5</v>
      </c>
      <c r="Z170" t="s">
        <v>1767</v>
      </c>
      <c r="AA170" t="s">
        <v>25</v>
      </c>
      <c r="AC170" t="s">
        <v>22</v>
      </c>
      <c r="AD170" t="s">
        <v>1767</v>
      </c>
      <c r="AE170">
        <v>4.7609818578296324E-5</v>
      </c>
      <c r="AG170" t="s">
        <v>97</v>
      </c>
      <c r="AH170" t="s">
        <v>1767</v>
      </c>
      <c r="AI170">
        <v>0</v>
      </c>
      <c r="AK170">
        <v>2035</v>
      </c>
      <c r="AL170" t="s">
        <v>163</v>
      </c>
      <c r="AM170">
        <v>0.29349999999999998</v>
      </c>
      <c r="AN170" t="s">
        <v>430</v>
      </c>
    </row>
    <row r="171" spans="5:40" x14ac:dyDescent="0.45">
      <c r="E171" t="s">
        <v>1472</v>
      </c>
      <c r="G171" t="s">
        <v>155</v>
      </c>
      <c r="I171" t="s">
        <v>249</v>
      </c>
      <c r="J171" t="s">
        <v>1768</v>
      </c>
      <c r="K171">
        <v>0</v>
      </c>
      <c r="L171" t="s">
        <v>251</v>
      </c>
      <c r="N171" t="s">
        <v>419</v>
      </c>
      <c r="O171" t="s">
        <v>1768</v>
      </c>
      <c r="P171">
        <v>1.3637067588590001E-4</v>
      </c>
      <c r="Q171" t="s">
        <v>251</v>
      </c>
      <c r="S171" t="s">
        <v>420</v>
      </c>
      <c r="T171" t="s">
        <v>1768</v>
      </c>
      <c r="U171">
        <v>6.3914463685082407E-5</v>
      </c>
      <c r="V171" t="s">
        <v>251</v>
      </c>
      <c r="X171">
        <v>1.1415525114155251E-4</v>
      </c>
      <c r="Y171">
        <v>2.1546544680075254E-5</v>
      </c>
      <c r="Z171" t="s">
        <v>1768</v>
      </c>
      <c r="AA171" t="s">
        <v>25</v>
      </c>
      <c r="AC171" t="s">
        <v>22</v>
      </c>
      <c r="AD171" t="s">
        <v>1768</v>
      </c>
      <c r="AE171">
        <v>5.3017836245388512E-5</v>
      </c>
      <c r="AG171" t="s">
        <v>97</v>
      </c>
      <c r="AH171" t="s">
        <v>1768</v>
      </c>
      <c r="AI171">
        <v>0</v>
      </c>
      <c r="AK171">
        <v>2035</v>
      </c>
      <c r="AL171" t="s">
        <v>167</v>
      </c>
      <c r="AM171">
        <v>0.37319999999999998</v>
      </c>
      <c r="AN171" t="s">
        <v>430</v>
      </c>
    </row>
    <row r="172" spans="5:40" x14ac:dyDescent="0.45">
      <c r="E172" t="s">
        <v>1473</v>
      </c>
      <c r="G172" t="s">
        <v>155</v>
      </c>
      <c r="I172" t="s">
        <v>249</v>
      </c>
      <c r="J172" t="s">
        <v>1769</v>
      </c>
      <c r="K172">
        <v>0</v>
      </c>
      <c r="L172" t="s">
        <v>251</v>
      </c>
      <c r="N172" t="s">
        <v>419</v>
      </c>
      <c r="O172" t="s">
        <v>1769</v>
      </c>
      <c r="P172">
        <v>1.2959138698259999E-4</v>
      </c>
      <c r="Q172" t="s">
        <v>251</v>
      </c>
      <c r="S172" t="s">
        <v>420</v>
      </c>
      <c r="T172" t="s">
        <v>1769</v>
      </c>
      <c r="U172">
        <v>5.9484131135206021E-5</v>
      </c>
      <c r="V172" t="s">
        <v>251</v>
      </c>
      <c r="X172">
        <v>1.1415525114155251E-4</v>
      </c>
      <c r="Y172">
        <v>1.4916838624667481E-5</v>
      </c>
      <c r="Z172" t="s">
        <v>1769</v>
      </c>
      <c r="AA172" t="s">
        <v>25</v>
      </c>
      <c r="AC172" t="s">
        <v>22</v>
      </c>
      <c r="AD172" t="s">
        <v>1769</v>
      </c>
      <c r="AE172">
        <v>7.2432775649333377E-5</v>
      </c>
      <c r="AG172" t="s">
        <v>97</v>
      </c>
      <c r="AH172" t="s">
        <v>1769</v>
      </c>
      <c r="AI172">
        <v>0</v>
      </c>
      <c r="AK172">
        <v>2035</v>
      </c>
      <c r="AL172" t="s">
        <v>169</v>
      </c>
      <c r="AM172">
        <v>0.48170000000000002</v>
      </c>
      <c r="AN172" t="s">
        <v>430</v>
      </c>
    </row>
    <row r="173" spans="5:40" x14ac:dyDescent="0.45">
      <c r="E173" t="s">
        <v>1474</v>
      </c>
      <c r="G173" t="s">
        <v>155</v>
      </c>
      <c r="I173" t="s">
        <v>249</v>
      </c>
      <c r="J173" t="s">
        <v>1770</v>
      </c>
      <c r="K173">
        <v>0</v>
      </c>
      <c r="L173" t="s">
        <v>251</v>
      </c>
      <c r="N173" t="s">
        <v>419</v>
      </c>
      <c r="O173" t="s">
        <v>1770</v>
      </c>
      <c r="P173">
        <v>1.054856049432E-4</v>
      </c>
      <c r="Q173" t="s">
        <v>251</v>
      </c>
      <c r="S173" t="s">
        <v>420</v>
      </c>
      <c r="T173" t="s">
        <v>1770</v>
      </c>
      <c r="U173">
        <v>4.9226482149725038E-5</v>
      </c>
      <c r="V173" t="s">
        <v>251</v>
      </c>
      <c r="X173">
        <v>1.1415525114155251E-4</v>
      </c>
      <c r="Y173">
        <v>1.6574265138519424E-5</v>
      </c>
      <c r="Z173" t="s">
        <v>1770</v>
      </c>
      <c r="AA173" t="s">
        <v>25</v>
      </c>
      <c r="AC173" t="s">
        <v>22</v>
      </c>
      <c r="AD173" t="s">
        <v>1770</v>
      </c>
      <c r="AE173">
        <v>9.0378169255401315E-5</v>
      </c>
      <c r="AG173" t="s">
        <v>97</v>
      </c>
      <c r="AH173" t="s">
        <v>1770</v>
      </c>
      <c r="AI173">
        <v>0</v>
      </c>
      <c r="AK173">
        <v>2035</v>
      </c>
      <c r="AL173" t="s">
        <v>171</v>
      </c>
      <c r="AM173">
        <v>0.50290000000000001</v>
      </c>
      <c r="AN173" t="s">
        <v>430</v>
      </c>
    </row>
    <row r="174" spans="5:40" x14ac:dyDescent="0.45">
      <c r="E174" t="s">
        <v>1475</v>
      </c>
      <c r="G174" t="s">
        <v>155</v>
      </c>
      <c r="I174" t="s">
        <v>249</v>
      </c>
      <c r="J174" t="s">
        <v>1771</v>
      </c>
      <c r="K174">
        <v>0</v>
      </c>
      <c r="L174" t="s">
        <v>251</v>
      </c>
      <c r="N174" t="s">
        <v>419</v>
      </c>
      <c r="O174" t="s">
        <v>1771</v>
      </c>
      <c r="P174">
        <v>8.9972423517074667E-5</v>
      </c>
      <c r="Q174" t="s">
        <v>251</v>
      </c>
      <c r="S174" t="s">
        <v>420</v>
      </c>
      <c r="T174" t="s">
        <v>1771</v>
      </c>
      <c r="U174">
        <v>4.5743034168875282E-5</v>
      </c>
      <c r="V174" t="s">
        <v>251</v>
      </c>
      <c r="X174">
        <v>1.1415525114155251E-4</v>
      </c>
      <c r="Y174">
        <v>1.4585353321897093E-5</v>
      </c>
      <c r="Z174" t="s">
        <v>1771</v>
      </c>
      <c r="AA174" t="s">
        <v>25</v>
      </c>
      <c r="AC174" t="s">
        <v>22</v>
      </c>
      <c r="AD174" t="s">
        <v>1771</v>
      </c>
      <c r="AE174">
        <v>1.0231948226650433E-4</v>
      </c>
      <c r="AG174" t="s">
        <v>97</v>
      </c>
      <c r="AH174" t="s">
        <v>1771</v>
      </c>
      <c r="AI174">
        <v>0</v>
      </c>
      <c r="AK174">
        <v>2035</v>
      </c>
      <c r="AL174" t="s">
        <v>158</v>
      </c>
      <c r="AM174">
        <v>0.66069999999999995</v>
      </c>
      <c r="AN174" t="s">
        <v>430</v>
      </c>
    </row>
    <row r="175" spans="5:40" x14ac:dyDescent="0.45">
      <c r="E175" t="s">
        <v>1476</v>
      </c>
      <c r="G175" t="s">
        <v>155</v>
      </c>
      <c r="I175" t="s">
        <v>249</v>
      </c>
      <c r="J175" t="s">
        <v>1772</v>
      </c>
      <c r="K175">
        <v>0</v>
      </c>
      <c r="L175" t="s">
        <v>251</v>
      </c>
      <c r="N175" t="s">
        <v>419</v>
      </c>
      <c r="O175" t="s">
        <v>1772</v>
      </c>
      <c r="P175">
        <v>8.5340434225548252E-5</v>
      </c>
      <c r="Q175" t="s">
        <v>251</v>
      </c>
      <c r="S175" t="s">
        <v>420</v>
      </c>
      <c r="T175" t="s">
        <v>1772</v>
      </c>
      <c r="U175">
        <v>4.3428407080368693E-5</v>
      </c>
      <c r="V175" t="s">
        <v>251</v>
      </c>
      <c r="X175">
        <v>1.1415525114155251E-4</v>
      </c>
      <c r="Y175">
        <v>2.1215059377304864E-5</v>
      </c>
      <c r="Z175" t="s">
        <v>1772</v>
      </c>
      <c r="AA175" t="s">
        <v>25</v>
      </c>
      <c r="AC175" t="s">
        <v>22</v>
      </c>
      <c r="AD175" t="s">
        <v>1772</v>
      </c>
      <c r="AE175">
        <v>1.0498561046538184E-4</v>
      </c>
      <c r="AG175" t="s">
        <v>97</v>
      </c>
      <c r="AH175" t="s">
        <v>1772</v>
      </c>
      <c r="AI175">
        <v>0</v>
      </c>
      <c r="AK175">
        <v>2035</v>
      </c>
      <c r="AL175" t="s">
        <v>162</v>
      </c>
      <c r="AM175">
        <v>0.60460000000000003</v>
      </c>
      <c r="AN175" t="s">
        <v>430</v>
      </c>
    </row>
    <row r="176" spans="5:40" x14ac:dyDescent="0.45">
      <c r="E176" t="s">
        <v>1477</v>
      </c>
      <c r="G176" t="s">
        <v>155</v>
      </c>
      <c r="I176" t="s">
        <v>249</v>
      </c>
      <c r="J176" t="s">
        <v>1773</v>
      </c>
      <c r="K176">
        <v>0</v>
      </c>
      <c r="L176" t="s">
        <v>251</v>
      </c>
      <c r="N176" t="s">
        <v>419</v>
      </c>
      <c r="O176" t="s">
        <v>1773</v>
      </c>
      <c r="P176">
        <v>8.0971734412182037E-5</v>
      </c>
      <c r="Q176" t="s">
        <v>251</v>
      </c>
      <c r="S176" t="s">
        <v>420</v>
      </c>
      <c r="T176" t="s">
        <v>1773</v>
      </c>
      <c r="U176">
        <v>4.197772274168997E-5</v>
      </c>
      <c r="V176" t="s">
        <v>251</v>
      </c>
      <c r="X176">
        <v>1.1415525114155251E-4</v>
      </c>
      <c r="Y176">
        <v>5.7678442682047593E-5</v>
      </c>
      <c r="Z176" t="s">
        <v>1773</v>
      </c>
      <c r="AA176" t="s">
        <v>25</v>
      </c>
      <c r="AC176" t="s">
        <v>22</v>
      </c>
      <c r="AD176" t="s">
        <v>1773</v>
      </c>
      <c r="AE176">
        <v>1.0824000263793567E-4</v>
      </c>
      <c r="AG176" t="s">
        <v>97</v>
      </c>
      <c r="AH176" t="s">
        <v>1773</v>
      </c>
      <c r="AI176">
        <v>0</v>
      </c>
      <c r="AK176">
        <v>2035</v>
      </c>
      <c r="AL176" t="s">
        <v>175</v>
      </c>
      <c r="AM176">
        <v>0.42499999999999999</v>
      </c>
      <c r="AN176" t="s">
        <v>430</v>
      </c>
    </row>
    <row r="177" spans="5:40" x14ac:dyDescent="0.45">
      <c r="E177" t="s">
        <v>1478</v>
      </c>
      <c r="G177" t="s">
        <v>155</v>
      </c>
      <c r="I177" t="s">
        <v>249</v>
      </c>
      <c r="J177" t="s">
        <v>1774</v>
      </c>
      <c r="K177">
        <v>0</v>
      </c>
      <c r="L177" t="s">
        <v>251</v>
      </c>
      <c r="N177" t="s">
        <v>419</v>
      </c>
      <c r="O177" t="s">
        <v>1774</v>
      </c>
      <c r="P177">
        <v>7.6769465625256474E-5</v>
      </c>
      <c r="Q177" t="s">
        <v>251</v>
      </c>
      <c r="S177" t="s">
        <v>420</v>
      </c>
      <c r="T177" t="s">
        <v>1774</v>
      </c>
      <c r="U177">
        <v>3.973764577600834E-5</v>
      </c>
      <c r="V177" t="s">
        <v>251</v>
      </c>
      <c r="X177">
        <v>1.1415525114155251E-4</v>
      </c>
      <c r="Y177">
        <v>1.6905750441289813E-4</v>
      </c>
      <c r="Z177" t="s">
        <v>1774</v>
      </c>
      <c r="AA177" t="s">
        <v>25</v>
      </c>
      <c r="AC177" t="s">
        <v>22</v>
      </c>
      <c r="AD177" t="s">
        <v>1774</v>
      </c>
      <c r="AE177">
        <v>1.0965941230169245E-4</v>
      </c>
      <c r="AG177" t="s">
        <v>97</v>
      </c>
      <c r="AH177" t="s">
        <v>1774</v>
      </c>
      <c r="AI177">
        <v>0</v>
      </c>
      <c r="AK177">
        <v>2035</v>
      </c>
      <c r="AL177" t="s">
        <v>166</v>
      </c>
      <c r="AM177">
        <v>0.27539999999999998</v>
      </c>
      <c r="AN177" t="s">
        <v>430</v>
      </c>
    </row>
    <row r="178" spans="5:40" x14ac:dyDescent="0.45">
      <c r="E178" t="s">
        <v>1479</v>
      </c>
      <c r="G178" t="s">
        <v>155</v>
      </c>
      <c r="I178" t="s">
        <v>249</v>
      </c>
      <c r="J178" t="s">
        <v>1775</v>
      </c>
      <c r="K178">
        <v>3.2047720759177039E-5</v>
      </c>
      <c r="L178" t="s">
        <v>251</v>
      </c>
      <c r="N178" t="s">
        <v>419</v>
      </c>
      <c r="O178" t="s">
        <v>1775</v>
      </c>
      <c r="P178">
        <v>7.2584233568405822E-5</v>
      </c>
      <c r="Q178" t="s">
        <v>251</v>
      </c>
      <c r="S178" t="s">
        <v>420</v>
      </c>
      <c r="T178" t="s">
        <v>1775</v>
      </c>
      <c r="U178">
        <v>3.7608263343805438E-5</v>
      </c>
      <c r="V178" t="s">
        <v>251</v>
      </c>
      <c r="X178">
        <v>1.1415525114155251E-4</v>
      </c>
      <c r="Y178">
        <v>1.9060404909297337E-4</v>
      </c>
      <c r="Z178" t="s">
        <v>1775</v>
      </c>
      <c r="AA178" t="s">
        <v>25</v>
      </c>
      <c r="AC178" t="s">
        <v>22</v>
      </c>
      <c r="AD178" t="s">
        <v>1775</v>
      </c>
      <c r="AE178">
        <v>1.1135067122601177E-4</v>
      </c>
      <c r="AG178" t="s">
        <v>97</v>
      </c>
      <c r="AH178" t="s">
        <v>1775</v>
      </c>
      <c r="AI178">
        <v>0</v>
      </c>
      <c r="AK178">
        <v>2035</v>
      </c>
      <c r="AL178" t="s">
        <v>178</v>
      </c>
      <c r="AM178">
        <v>0.23300000000000001</v>
      </c>
      <c r="AN178" t="s">
        <v>430</v>
      </c>
    </row>
    <row r="179" spans="5:40" x14ac:dyDescent="0.45">
      <c r="E179" t="s">
        <v>1480</v>
      </c>
      <c r="G179" t="s">
        <v>160</v>
      </c>
      <c r="I179" t="s">
        <v>249</v>
      </c>
      <c r="J179" t="s">
        <v>1776</v>
      </c>
      <c r="K179">
        <v>1.226874864134E-4</v>
      </c>
      <c r="L179" t="s">
        <v>251</v>
      </c>
      <c r="N179" t="s">
        <v>419</v>
      </c>
      <c r="O179" t="s">
        <v>1776</v>
      </c>
      <c r="P179">
        <v>4.6780873892010801E-5</v>
      </c>
      <c r="Q179" t="s">
        <v>251</v>
      </c>
      <c r="S179" t="s">
        <v>420</v>
      </c>
      <c r="T179" t="s">
        <v>1776</v>
      </c>
      <c r="U179">
        <v>3.5626071298763145E-5</v>
      </c>
      <c r="V179" t="s">
        <v>251</v>
      </c>
      <c r="X179">
        <v>1.1415525114155251E-4</v>
      </c>
      <c r="Y179">
        <v>1.4585353321897094E-4</v>
      </c>
      <c r="Z179" t="s">
        <v>1776</v>
      </c>
      <c r="AA179" t="s">
        <v>25</v>
      </c>
      <c r="AC179" t="s">
        <v>22</v>
      </c>
      <c r="AD179" t="s">
        <v>1776</v>
      </c>
      <c r="AE179">
        <v>1.1765222621675617E-4</v>
      </c>
      <c r="AG179" t="s">
        <v>97</v>
      </c>
      <c r="AH179" t="s">
        <v>1776</v>
      </c>
      <c r="AI179">
        <v>0</v>
      </c>
      <c r="AK179">
        <v>2036</v>
      </c>
      <c r="AL179" t="s">
        <v>151</v>
      </c>
      <c r="AM179">
        <v>0.22989999999999999</v>
      </c>
      <c r="AN179" t="s">
        <v>430</v>
      </c>
    </row>
    <row r="180" spans="5:40" x14ac:dyDescent="0.45">
      <c r="E180" t="s">
        <v>1481</v>
      </c>
      <c r="G180" t="s">
        <v>160</v>
      </c>
      <c r="I180" t="s">
        <v>249</v>
      </c>
      <c r="J180" t="s">
        <v>1777</v>
      </c>
      <c r="K180">
        <v>2.0133319667840001E-4</v>
      </c>
      <c r="L180" t="s">
        <v>251</v>
      </c>
      <c r="N180" t="s">
        <v>419</v>
      </c>
      <c r="O180" t="s">
        <v>1777</v>
      </c>
      <c r="P180">
        <v>4.2552133614063649E-5</v>
      </c>
      <c r="Q180" t="s">
        <v>251</v>
      </c>
      <c r="S180" t="s">
        <v>420</v>
      </c>
      <c r="T180" t="s">
        <v>1777</v>
      </c>
      <c r="U180">
        <v>3.3552930891171919E-5</v>
      </c>
      <c r="V180" t="s">
        <v>251</v>
      </c>
      <c r="X180">
        <v>1.1415525114155251E-4</v>
      </c>
      <c r="Y180">
        <v>1.4452759200788939E-4</v>
      </c>
      <c r="Z180" t="s">
        <v>1777</v>
      </c>
      <c r="AA180" t="s">
        <v>25</v>
      </c>
      <c r="AC180" t="s">
        <v>22</v>
      </c>
      <c r="AD180" t="s">
        <v>1777</v>
      </c>
      <c r="AE180">
        <v>1.1900590183799991E-4</v>
      </c>
      <c r="AG180" t="s">
        <v>97</v>
      </c>
      <c r="AH180" t="s">
        <v>1777</v>
      </c>
      <c r="AI180">
        <v>0</v>
      </c>
      <c r="AK180">
        <v>2036</v>
      </c>
      <c r="AL180" t="s">
        <v>156</v>
      </c>
      <c r="AM180">
        <v>0.27160000000000001</v>
      </c>
      <c r="AN180" t="s">
        <v>430</v>
      </c>
    </row>
    <row r="181" spans="5:40" x14ac:dyDescent="0.45">
      <c r="E181" t="s">
        <v>1482</v>
      </c>
      <c r="G181" t="s">
        <v>160</v>
      </c>
      <c r="I181" t="s">
        <v>249</v>
      </c>
      <c r="J181" t="s">
        <v>1778</v>
      </c>
      <c r="K181">
        <v>2.5686442214030002E-4</v>
      </c>
      <c r="L181" t="s">
        <v>251</v>
      </c>
      <c r="N181" t="s">
        <v>419</v>
      </c>
      <c r="O181" t="s">
        <v>1778</v>
      </c>
      <c r="P181">
        <v>4.8735703114342031E-5</v>
      </c>
      <c r="Q181" t="s">
        <v>251</v>
      </c>
      <c r="S181" t="s">
        <v>420</v>
      </c>
      <c r="T181" t="s">
        <v>1778</v>
      </c>
      <c r="U181">
        <v>3.2402657539133723E-5</v>
      </c>
      <c r="V181" t="s">
        <v>251</v>
      </c>
      <c r="X181">
        <v>1.1415525114155251E-4</v>
      </c>
      <c r="Y181">
        <v>1.408812536774151E-4</v>
      </c>
      <c r="Z181" t="s">
        <v>1778</v>
      </c>
      <c r="AA181" t="s">
        <v>25</v>
      </c>
      <c r="AC181" t="s">
        <v>22</v>
      </c>
      <c r="AD181" t="s">
        <v>1778</v>
      </c>
      <c r="AE181">
        <v>1.0963935784804439E-4</v>
      </c>
      <c r="AG181" t="s">
        <v>97</v>
      </c>
      <c r="AH181" t="s">
        <v>1778</v>
      </c>
      <c r="AI181">
        <v>0</v>
      </c>
      <c r="AK181">
        <v>2036</v>
      </c>
      <c r="AL181" t="s">
        <v>159</v>
      </c>
      <c r="AM181">
        <v>0.24759999999999999</v>
      </c>
      <c r="AN181" t="s">
        <v>430</v>
      </c>
    </row>
    <row r="182" spans="5:40" x14ac:dyDescent="0.45">
      <c r="E182" t="s">
        <v>1483</v>
      </c>
      <c r="G182" t="s">
        <v>160</v>
      </c>
      <c r="I182" t="s">
        <v>249</v>
      </c>
      <c r="J182" t="s">
        <v>1779</v>
      </c>
      <c r="K182">
        <v>2.6336264277630002E-4</v>
      </c>
      <c r="L182" t="s">
        <v>251</v>
      </c>
      <c r="N182" t="s">
        <v>419</v>
      </c>
      <c r="O182" t="s">
        <v>1779</v>
      </c>
      <c r="P182">
        <v>5.6174020890056403E-5</v>
      </c>
      <c r="Q182" t="s">
        <v>251</v>
      </c>
      <c r="S182" t="s">
        <v>420</v>
      </c>
      <c r="T182" t="s">
        <v>1779</v>
      </c>
      <c r="U182">
        <v>3.2334243556424614E-5</v>
      </c>
      <c r="V182" t="s">
        <v>251</v>
      </c>
      <c r="X182">
        <v>1.1415525114155251E-4</v>
      </c>
      <c r="Y182">
        <v>1.4054976837464471E-4</v>
      </c>
      <c r="Z182" t="s">
        <v>1779</v>
      </c>
      <c r="AA182" t="s">
        <v>25</v>
      </c>
      <c r="AC182" t="s">
        <v>22</v>
      </c>
      <c r="AD182" t="s">
        <v>1779</v>
      </c>
      <c r="AE182">
        <v>1.1256173739909154E-4</v>
      </c>
      <c r="AG182" t="s">
        <v>97</v>
      </c>
      <c r="AH182" t="s">
        <v>1779</v>
      </c>
      <c r="AI182">
        <v>0</v>
      </c>
      <c r="AK182">
        <v>2036</v>
      </c>
      <c r="AL182" t="s">
        <v>163</v>
      </c>
      <c r="AM182">
        <v>0.28820000000000001</v>
      </c>
      <c r="AN182" t="s">
        <v>430</v>
      </c>
    </row>
    <row r="183" spans="5:40" x14ac:dyDescent="0.45">
      <c r="E183" t="s">
        <v>1484</v>
      </c>
      <c r="G183" t="s">
        <v>160</v>
      </c>
      <c r="I183" t="s">
        <v>249</v>
      </c>
      <c r="J183" t="s">
        <v>1780</v>
      </c>
      <c r="K183">
        <v>2.5149996196069998E-4</v>
      </c>
      <c r="L183" t="s">
        <v>251</v>
      </c>
      <c r="N183" t="s">
        <v>419</v>
      </c>
      <c r="O183" t="s">
        <v>1780</v>
      </c>
      <c r="P183">
        <v>6.6347639393457864E-5</v>
      </c>
      <c r="Q183" t="s">
        <v>251</v>
      </c>
      <c r="S183" t="s">
        <v>420</v>
      </c>
      <c r="T183" t="s">
        <v>1780</v>
      </c>
      <c r="U183">
        <v>3.265714146279382E-5</v>
      </c>
      <c r="V183" t="s">
        <v>251</v>
      </c>
      <c r="X183">
        <v>1.1415525114155251E-4</v>
      </c>
      <c r="Y183">
        <v>1.4253868019126702E-4</v>
      </c>
      <c r="Z183" t="s">
        <v>1780</v>
      </c>
      <c r="AA183" t="s">
        <v>25</v>
      </c>
      <c r="AC183" t="s">
        <v>22</v>
      </c>
      <c r="AD183" t="s">
        <v>1780</v>
      </c>
      <c r="AE183">
        <v>1.2671795340199081E-4</v>
      </c>
      <c r="AG183" t="s">
        <v>97</v>
      </c>
      <c r="AH183" t="s">
        <v>1780</v>
      </c>
      <c r="AI183">
        <v>0</v>
      </c>
      <c r="AK183">
        <v>2036</v>
      </c>
      <c r="AL183" t="s">
        <v>167</v>
      </c>
      <c r="AM183">
        <v>0.37619999999999998</v>
      </c>
      <c r="AN183" t="s">
        <v>430</v>
      </c>
    </row>
    <row r="184" spans="5:40" x14ac:dyDescent="0.45">
      <c r="E184" t="s">
        <v>1485</v>
      </c>
      <c r="G184" t="s">
        <v>160</v>
      </c>
      <c r="I184" t="s">
        <v>249</v>
      </c>
      <c r="J184" t="s">
        <v>1781</v>
      </c>
      <c r="K184">
        <v>2.513022316142E-4</v>
      </c>
      <c r="L184" t="s">
        <v>251</v>
      </c>
      <c r="N184" t="s">
        <v>419</v>
      </c>
      <c r="O184" t="s">
        <v>1781</v>
      </c>
      <c r="P184">
        <v>7.8262800811071674E-5</v>
      </c>
      <c r="Q184" t="s">
        <v>251</v>
      </c>
      <c r="S184" t="s">
        <v>420</v>
      </c>
      <c r="T184" t="s">
        <v>1781</v>
      </c>
      <c r="U184">
        <v>3.6622171243453306E-5</v>
      </c>
      <c r="V184" t="s">
        <v>251</v>
      </c>
      <c r="X184">
        <v>1.1415525114155251E-4</v>
      </c>
      <c r="Y184">
        <v>1.4883690094390442E-4</v>
      </c>
      <c r="Z184" t="s">
        <v>1781</v>
      </c>
      <c r="AA184" t="s">
        <v>25</v>
      </c>
      <c r="AC184" t="s">
        <v>22</v>
      </c>
      <c r="AD184" t="s">
        <v>1781</v>
      </c>
      <c r="AE184">
        <v>1.2753238704736462E-4</v>
      </c>
      <c r="AG184" t="s">
        <v>97</v>
      </c>
      <c r="AH184" t="s">
        <v>1781</v>
      </c>
      <c r="AI184">
        <v>0</v>
      </c>
      <c r="AK184">
        <v>2036</v>
      </c>
      <c r="AL184" t="s">
        <v>169</v>
      </c>
      <c r="AM184">
        <v>0.44330000000000003</v>
      </c>
      <c r="AN184" t="s">
        <v>430</v>
      </c>
    </row>
    <row r="185" spans="5:40" x14ac:dyDescent="0.45">
      <c r="E185" t="s">
        <v>1486</v>
      </c>
      <c r="G185" t="s">
        <v>160</v>
      </c>
      <c r="I185" t="s">
        <v>249</v>
      </c>
      <c r="J185" t="s">
        <v>1782</v>
      </c>
      <c r="K185">
        <v>2.490416645634E-4</v>
      </c>
      <c r="L185" t="s">
        <v>251</v>
      </c>
      <c r="N185" t="s">
        <v>419</v>
      </c>
      <c r="O185" t="s">
        <v>1782</v>
      </c>
      <c r="P185">
        <v>9.7054714322726698E-5</v>
      </c>
      <c r="Q185" t="s">
        <v>251</v>
      </c>
      <c r="S185" t="s">
        <v>420</v>
      </c>
      <c r="T185" t="s">
        <v>1782</v>
      </c>
      <c r="U185">
        <v>4.2984379308466039E-5</v>
      </c>
      <c r="V185" t="s">
        <v>251</v>
      </c>
      <c r="X185">
        <v>1.1415525114155251E-4</v>
      </c>
      <c r="Y185">
        <v>1.5049432745775637E-4</v>
      </c>
      <c r="Z185" t="s">
        <v>1782</v>
      </c>
      <c r="AA185" t="s">
        <v>25</v>
      </c>
      <c r="AC185" t="s">
        <v>22</v>
      </c>
      <c r="AD185" t="s">
        <v>1782</v>
      </c>
      <c r="AE185">
        <v>1.2495984629884465E-4</v>
      </c>
      <c r="AG185" t="s">
        <v>97</v>
      </c>
      <c r="AH185" t="s">
        <v>1782</v>
      </c>
      <c r="AI185">
        <v>0</v>
      </c>
      <c r="AK185">
        <v>2036</v>
      </c>
      <c r="AL185" t="s">
        <v>171</v>
      </c>
      <c r="AM185">
        <v>0.56479999999999997</v>
      </c>
      <c r="AN185" t="s">
        <v>430</v>
      </c>
    </row>
    <row r="186" spans="5:40" x14ac:dyDescent="0.45">
      <c r="E186" t="s">
        <v>1487</v>
      </c>
      <c r="G186" t="s">
        <v>160</v>
      </c>
      <c r="I186" t="s">
        <v>249</v>
      </c>
      <c r="J186" t="s">
        <v>1783</v>
      </c>
      <c r="K186">
        <v>2.291660581489E-4</v>
      </c>
      <c r="L186" t="s">
        <v>251</v>
      </c>
      <c r="N186" t="s">
        <v>419</v>
      </c>
      <c r="O186" t="s">
        <v>1783</v>
      </c>
      <c r="P186">
        <v>9.6247007411737878E-5</v>
      </c>
      <c r="Q186" t="s">
        <v>251</v>
      </c>
      <c r="S186" t="s">
        <v>420</v>
      </c>
      <c r="T186" t="s">
        <v>1783</v>
      </c>
      <c r="U186">
        <v>4.6944457584479303E-5</v>
      </c>
      <c r="V186" t="s">
        <v>251</v>
      </c>
      <c r="X186">
        <v>1.1415525114155251E-4</v>
      </c>
      <c r="Y186">
        <v>1.7237235744060203E-4</v>
      </c>
      <c r="Z186" t="s">
        <v>1783</v>
      </c>
      <c r="AA186" t="s">
        <v>25</v>
      </c>
      <c r="AC186" t="s">
        <v>22</v>
      </c>
      <c r="AD186" t="s">
        <v>1783</v>
      </c>
      <c r="AE186">
        <v>1.1087939156528247E-4</v>
      </c>
      <c r="AG186" t="s">
        <v>97</v>
      </c>
      <c r="AH186" t="s">
        <v>1783</v>
      </c>
      <c r="AI186">
        <v>0</v>
      </c>
      <c r="AK186">
        <v>2036</v>
      </c>
      <c r="AL186" t="s">
        <v>158</v>
      </c>
      <c r="AM186">
        <v>0.6623</v>
      </c>
      <c r="AN186" t="s">
        <v>430</v>
      </c>
    </row>
    <row r="187" spans="5:40" x14ac:dyDescent="0.45">
      <c r="E187" t="s">
        <v>1488</v>
      </c>
      <c r="G187" t="s">
        <v>160</v>
      </c>
      <c r="I187" t="s">
        <v>249</v>
      </c>
      <c r="J187" t="s">
        <v>1784</v>
      </c>
      <c r="K187">
        <v>1.9114413000119999E-4</v>
      </c>
      <c r="L187" t="s">
        <v>251</v>
      </c>
      <c r="N187" t="s">
        <v>419</v>
      </c>
      <c r="O187" t="s">
        <v>1784</v>
      </c>
      <c r="P187">
        <v>9.2769618416245424E-5</v>
      </c>
      <c r="Q187" t="s">
        <v>251</v>
      </c>
      <c r="S187" t="s">
        <v>420</v>
      </c>
      <c r="T187" t="s">
        <v>1784</v>
      </c>
      <c r="U187">
        <v>5.2986614082952129E-5</v>
      </c>
      <c r="V187" t="s">
        <v>251</v>
      </c>
      <c r="X187">
        <v>1.1415525114155251E-4</v>
      </c>
      <c r="Y187">
        <v>2.2209515285616027E-4</v>
      </c>
      <c r="Z187" t="s">
        <v>1784</v>
      </c>
      <c r="AA187" t="s">
        <v>25</v>
      </c>
      <c r="AC187" t="s">
        <v>22</v>
      </c>
      <c r="AD187" t="s">
        <v>1784</v>
      </c>
      <c r="AE187">
        <v>8.5264283575147267E-5</v>
      </c>
      <c r="AG187" t="s">
        <v>97</v>
      </c>
      <c r="AH187" t="s">
        <v>1784</v>
      </c>
      <c r="AI187">
        <v>0</v>
      </c>
      <c r="AK187">
        <v>2036</v>
      </c>
      <c r="AL187" t="s">
        <v>162</v>
      </c>
      <c r="AM187">
        <v>0.56359999999999999</v>
      </c>
      <c r="AN187" t="s">
        <v>430</v>
      </c>
    </row>
    <row r="188" spans="5:40" x14ac:dyDescent="0.45">
      <c r="E188" t="s">
        <v>1489</v>
      </c>
      <c r="G188" t="s">
        <v>160</v>
      </c>
      <c r="I188" t="s">
        <v>249</v>
      </c>
      <c r="J188" t="s">
        <v>1785</v>
      </c>
      <c r="K188">
        <v>1.4006175085969999E-4</v>
      </c>
      <c r="L188" t="s">
        <v>251</v>
      </c>
      <c r="N188" t="s">
        <v>419</v>
      </c>
      <c r="O188" t="s">
        <v>1785</v>
      </c>
      <c r="P188">
        <v>9.0051817719097413E-5</v>
      </c>
      <c r="Q188" t="s">
        <v>251</v>
      </c>
      <c r="S188" t="s">
        <v>420</v>
      </c>
      <c r="T188" t="s">
        <v>1785</v>
      </c>
      <c r="U188">
        <v>6.0662277764767882E-5</v>
      </c>
      <c r="V188" t="s">
        <v>251</v>
      </c>
      <c r="X188">
        <v>1.1415525114155251E-4</v>
      </c>
      <c r="Y188">
        <v>2.2209515285616027E-4</v>
      </c>
      <c r="Z188" t="s">
        <v>1785</v>
      </c>
      <c r="AA188" t="s">
        <v>25</v>
      </c>
      <c r="AC188" t="s">
        <v>22</v>
      </c>
      <c r="AD188" t="s">
        <v>1785</v>
      </c>
      <c r="AE188">
        <v>5.2663540897606206E-5</v>
      </c>
      <c r="AG188" t="s">
        <v>97</v>
      </c>
      <c r="AH188" t="s">
        <v>1785</v>
      </c>
      <c r="AI188">
        <v>0</v>
      </c>
      <c r="AK188">
        <v>2036</v>
      </c>
      <c r="AL188" t="s">
        <v>175</v>
      </c>
      <c r="AM188">
        <v>0.48159999999999997</v>
      </c>
      <c r="AN188" t="s">
        <v>430</v>
      </c>
    </row>
    <row r="189" spans="5:40" x14ac:dyDescent="0.45">
      <c r="E189" t="s">
        <v>1490</v>
      </c>
      <c r="G189" t="s">
        <v>160</v>
      </c>
      <c r="I189" t="s">
        <v>249</v>
      </c>
      <c r="J189" t="s">
        <v>1786</v>
      </c>
      <c r="K189">
        <v>4.6136413229286455E-5</v>
      </c>
      <c r="L189" t="s">
        <v>251</v>
      </c>
      <c r="N189" t="s">
        <v>419</v>
      </c>
      <c r="O189" t="s">
        <v>1786</v>
      </c>
      <c r="P189">
        <v>1.024875111608E-4</v>
      </c>
      <c r="Q189" t="s">
        <v>251</v>
      </c>
      <c r="S189" t="s">
        <v>420</v>
      </c>
      <c r="T189" t="s">
        <v>1786</v>
      </c>
      <c r="U189">
        <v>6.7138044818866019E-5</v>
      </c>
      <c r="V189" t="s">
        <v>251</v>
      </c>
      <c r="X189">
        <v>1.1415525114155251E-4</v>
      </c>
      <c r="Y189">
        <v>1.7237235744060203E-4</v>
      </c>
      <c r="Z189" t="s">
        <v>1786</v>
      </c>
      <c r="AA189" t="s">
        <v>25</v>
      </c>
      <c r="AC189" t="s">
        <v>22</v>
      </c>
      <c r="AD189" t="s">
        <v>1786</v>
      </c>
      <c r="AE189">
        <v>3.1430331029571033E-5</v>
      </c>
      <c r="AG189" t="s">
        <v>97</v>
      </c>
      <c r="AH189" t="s">
        <v>1786</v>
      </c>
      <c r="AI189">
        <v>0</v>
      </c>
      <c r="AK189">
        <v>2036</v>
      </c>
      <c r="AL189" t="s">
        <v>166</v>
      </c>
      <c r="AM189">
        <v>0.26840000000000003</v>
      </c>
      <c r="AN189" t="s">
        <v>430</v>
      </c>
    </row>
    <row r="190" spans="5:40" x14ac:dyDescent="0.45">
      <c r="E190" t="s">
        <v>1491</v>
      </c>
      <c r="G190" t="s">
        <v>160</v>
      </c>
      <c r="I190" t="s">
        <v>249</v>
      </c>
      <c r="J190" t="s">
        <v>1787</v>
      </c>
      <c r="K190">
        <v>0</v>
      </c>
      <c r="L190" t="s">
        <v>251</v>
      </c>
      <c r="N190" t="s">
        <v>419</v>
      </c>
      <c r="O190" t="s">
        <v>1787</v>
      </c>
      <c r="P190">
        <v>1.2406961428639999E-4</v>
      </c>
      <c r="Q190" t="s">
        <v>251</v>
      </c>
      <c r="S190" t="s">
        <v>420</v>
      </c>
      <c r="T190" t="s">
        <v>1787</v>
      </c>
      <c r="U190">
        <v>7.1919125038058196E-5</v>
      </c>
      <c r="V190" t="s">
        <v>251</v>
      </c>
      <c r="X190">
        <v>1.1415525114155251E-4</v>
      </c>
      <c r="Y190">
        <v>1.5579809230208258E-4</v>
      </c>
      <c r="Z190" t="s">
        <v>1787</v>
      </c>
      <c r="AA190" t="s">
        <v>25</v>
      </c>
      <c r="AC190" t="s">
        <v>22</v>
      </c>
      <c r="AD190" t="s">
        <v>1787</v>
      </c>
      <c r="AE190">
        <v>2.5424022161978544E-5</v>
      </c>
      <c r="AG190" t="s">
        <v>97</v>
      </c>
      <c r="AH190" t="s">
        <v>1787</v>
      </c>
      <c r="AI190">
        <v>0</v>
      </c>
      <c r="AK190">
        <v>2036</v>
      </c>
      <c r="AL190" t="s">
        <v>178</v>
      </c>
      <c r="AM190">
        <v>0.23630000000000001</v>
      </c>
      <c r="AN190" t="s">
        <v>430</v>
      </c>
    </row>
    <row r="191" spans="5:40" x14ac:dyDescent="0.45">
      <c r="E191" t="s">
        <v>1492</v>
      </c>
      <c r="G191" t="s">
        <v>160</v>
      </c>
      <c r="I191" t="s">
        <v>249</v>
      </c>
      <c r="J191" t="s">
        <v>1788</v>
      </c>
      <c r="K191">
        <v>0</v>
      </c>
      <c r="L191" t="s">
        <v>251</v>
      </c>
      <c r="N191" t="s">
        <v>419</v>
      </c>
      <c r="O191" t="s">
        <v>1788</v>
      </c>
      <c r="P191">
        <v>1.4820796827279999E-4</v>
      </c>
      <c r="Q191" t="s">
        <v>251</v>
      </c>
      <c r="S191" t="s">
        <v>420</v>
      </c>
      <c r="T191" t="s">
        <v>1788</v>
      </c>
      <c r="U191">
        <v>7.409400340954104E-5</v>
      </c>
      <c r="V191" t="s">
        <v>251</v>
      </c>
      <c r="X191">
        <v>1.1415525114155251E-4</v>
      </c>
      <c r="Y191">
        <v>1.093901499142282E-4</v>
      </c>
      <c r="Z191" t="s">
        <v>1788</v>
      </c>
      <c r="AA191" t="s">
        <v>25</v>
      </c>
      <c r="AC191" t="s">
        <v>22</v>
      </c>
      <c r="AD191" t="s">
        <v>1788</v>
      </c>
      <c r="AE191">
        <v>2.4727686965865499E-5</v>
      </c>
      <c r="AG191" t="s">
        <v>97</v>
      </c>
      <c r="AH191" t="s">
        <v>1788</v>
      </c>
      <c r="AI191">
        <v>0</v>
      </c>
      <c r="AK191">
        <v>2037</v>
      </c>
      <c r="AL191" t="s">
        <v>151</v>
      </c>
      <c r="AM191">
        <v>0.25280000000000002</v>
      </c>
      <c r="AN191" t="s">
        <v>430</v>
      </c>
    </row>
    <row r="192" spans="5:40" x14ac:dyDescent="0.45">
      <c r="E192" t="s">
        <v>1493</v>
      </c>
      <c r="G192" t="s">
        <v>160</v>
      </c>
      <c r="I192" t="s">
        <v>249</v>
      </c>
      <c r="J192" t="s">
        <v>1789</v>
      </c>
      <c r="K192">
        <v>0</v>
      </c>
      <c r="L192" t="s">
        <v>251</v>
      </c>
      <c r="N192" t="s">
        <v>419</v>
      </c>
      <c r="O192" t="s">
        <v>1789</v>
      </c>
      <c r="P192">
        <v>1.6226337318430001E-4</v>
      </c>
      <c r="Q192" t="s">
        <v>251</v>
      </c>
      <c r="S192" t="s">
        <v>420</v>
      </c>
      <c r="T192" t="s">
        <v>1789</v>
      </c>
      <c r="U192">
        <v>7.3873067585297441E-5</v>
      </c>
      <c r="V192" t="s">
        <v>251</v>
      </c>
      <c r="X192">
        <v>1.1415525114155251E-4</v>
      </c>
      <c r="Y192">
        <v>7.9556472664893237E-5</v>
      </c>
      <c r="Z192" t="s">
        <v>1789</v>
      </c>
      <c r="AA192" t="s">
        <v>25</v>
      </c>
      <c r="AC192" t="s">
        <v>22</v>
      </c>
      <c r="AD192" t="s">
        <v>1789</v>
      </c>
      <c r="AE192">
        <v>2.4811247189399053E-5</v>
      </c>
      <c r="AG192" t="s">
        <v>97</v>
      </c>
      <c r="AH192" t="s">
        <v>1789</v>
      </c>
      <c r="AI192">
        <v>0</v>
      </c>
      <c r="AK192">
        <v>2037</v>
      </c>
      <c r="AL192" t="s">
        <v>156</v>
      </c>
      <c r="AM192">
        <v>0.27289999999999998</v>
      </c>
      <c r="AN192" t="s">
        <v>430</v>
      </c>
    </row>
    <row r="193" spans="5:40" x14ac:dyDescent="0.45">
      <c r="E193" t="s">
        <v>1494</v>
      </c>
      <c r="G193" t="s">
        <v>160</v>
      </c>
      <c r="I193" t="s">
        <v>249</v>
      </c>
      <c r="J193" t="s">
        <v>1790</v>
      </c>
      <c r="K193">
        <v>0</v>
      </c>
      <c r="L193" t="s">
        <v>251</v>
      </c>
      <c r="N193" t="s">
        <v>419</v>
      </c>
      <c r="O193" t="s">
        <v>1790</v>
      </c>
      <c r="P193">
        <v>1.6085845038680001E-4</v>
      </c>
      <c r="Q193" t="s">
        <v>251</v>
      </c>
      <c r="S193" t="s">
        <v>420</v>
      </c>
      <c r="T193" t="s">
        <v>1790</v>
      </c>
      <c r="U193">
        <v>7.1748423650904957E-5</v>
      </c>
      <c r="V193" t="s">
        <v>251</v>
      </c>
      <c r="X193">
        <v>1.1415525114155251E-4</v>
      </c>
      <c r="Y193">
        <v>5.6352501470966035E-5</v>
      </c>
      <c r="Z193" t="s">
        <v>1790</v>
      </c>
      <c r="AA193" t="s">
        <v>25</v>
      </c>
      <c r="AC193" t="s">
        <v>22</v>
      </c>
      <c r="AD193" t="s">
        <v>1790</v>
      </c>
      <c r="AE193">
        <v>2.6258510261000392E-5</v>
      </c>
      <c r="AG193" t="s">
        <v>97</v>
      </c>
      <c r="AH193" t="s">
        <v>1790</v>
      </c>
      <c r="AI193">
        <v>0</v>
      </c>
      <c r="AK193">
        <v>2037</v>
      </c>
      <c r="AL193" t="s">
        <v>159</v>
      </c>
      <c r="AM193">
        <v>0.28689999999999999</v>
      </c>
      <c r="AN193" t="s">
        <v>430</v>
      </c>
    </row>
    <row r="194" spans="5:40" x14ac:dyDescent="0.45">
      <c r="E194" t="s">
        <v>1495</v>
      </c>
      <c r="G194" t="s">
        <v>160</v>
      </c>
      <c r="I194" t="s">
        <v>249</v>
      </c>
      <c r="J194" t="s">
        <v>1791</v>
      </c>
      <c r="K194">
        <v>0</v>
      </c>
      <c r="L194" t="s">
        <v>251</v>
      </c>
      <c r="N194" t="s">
        <v>419</v>
      </c>
      <c r="O194" t="s">
        <v>1791</v>
      </c>
      <c r="P194">
        <v>1.5052724463439999E-4</v>
      </c>
      <c r="Q194" t="s">
        <v>251</v>
      </c>
      <c r="S194" t="s">
        <v>420</v>
      </c>
      <c r="T194" t="s">
        <v>1791</v>
      </c>
      <c r="U194">
        <v>6.9823751997285594E-5</v>
      </c>
      <c r="V194" t="s">
        <v>251</v>
      </c>
      <c r="X194">
        <v>1.1415525114155251E-4</v>
      </c>
      <c r="Y194">
        <v>2.9833677249334962E-5</v>
      </c>
      <c r="Z194" t="s">
        <v>1791</v>
      </c>
      <c r="AA194" t="s">
        <v>25</v>
      </c>
      <c r="AC194" t="s">
        <v>22</v>
      </c>
      <c r="AD194" t="s">
        <v>1791</v>
      </c>
      <c r="AE194">
        <v>4.7609818578296338E-5</v>
      </c>
      <c r="AG194" t="s">
        <v>97</v>
      </c>
      <c r="AH194" t="s">
        <v>1791</v>
      </c>
      <c r="AI194">
        <v>0</v>
      </c>
      <c r="AK194">
        <v>2037</v>
      </c>
      <c r="AL194" t="s">
        <v>163</v>
      </c>
      <c r="AM194">
        <v>0.33589999999999998</v>
      </c>
      <c r="AN194" t="s">
        <v>430</v>
      </c>
    </row>
    <row r="195" spans="5:40" x14ac:dyDescent="0.45">
      <c r="E195" t="s">
        <v>1496</v>
      </c>
      <c r="G195" t="s">
        <v>160</v>
      </c>
      <c r="I195" t="s">
        <v>249</v>
      </c>
      <c r="J195" t="s">
        <v>267</v>
      </c>
      <c r="K195">
        <v>2.9312646605838719E-4</v>
      </c>
      <c r="L195" t="s">
        <v>251</v>
      </c>
      <c r="N195" t="s">
        <v>419</v>
      </c>
      <c r="O195" t="s">
        <v>267</v>
      </c>
      <c r="P195">
        <v>1.9345563279855673E-2</v>
      </c>
      <c r="Q195" t="s">
        <v>251</v>
      </c>
      <c r="S195" t="s">
        <v>420</v>
      </c>
      <c r="T195" t="s">
        <v>267</v>
      </c>
      <c r="U195">
        <v>1.6143224990212101E-2</v>
      </c>
      <c r="V195" t="s">
        <v>251</v>
      </c>
      <c r="X195">
        <v>2.4771689497716895E-2</v>
      </c>
      <c r="Y195">
        <v>9.7827942553597048E-3</v>
      </c>
      <c r="Z195" t="s">
        <v>267</v>
      </c>
      <c r="AA195" t="s">
        <v>25</v>
      </c>
      <c r="AC195" t="s">
        <v>22</v>
      </c>
      <c r="AD195" t="s">
        <v>267</v>
      </c>
      <c r="AE195">
        <v>2.4302320859487976E-2</v>
      </c>
      <c r="AG195" t="s">
        <v>97</v>
      </c>
      <c r="AH195" t="s">
        <v>267</v>
      </c>
      <c r="AI195">
        <v>0.14526265579127196</v>
      </c>
      <c r="AK195">
        <v>2037</v>
      </c>
      <c r="AL195" t="s">
        <v>167</v>
      </c>
      <c r="AM195">
        <v>0.35089999999999999</v>
      </c>
      <c r="AN195" t="s">
        <v>430</v>
      </c>
    </row>
    <row r="196" spans="5:40" x14ac:dyDescent="0.45">
      <c r="E196" t="s">
        <v>1497</v>
      </c>
      <c r="G196" t="s">
        <v>160</v>
      </c>
      <c r="I196" t="s">
        <v>249</v>
      </c>
      <c r="J196" t="s">
        <v>268</v>
      </c>
      <c r="K196">
        <v>3.4677654736681939E-3</v>
      </c>
      <c r="L196" t="s">
        <v>251</v>
      </c>
      <c r="N196" t="s">
        <v>419</v>
      </c>
      <c r="O196" t="s">
        <v>268</v>
      </c>
      <c r="P196">
        <v>1.6352365781032144E-3</v>
      </c>
      <c r="Q196" t="s">
        <v>251</v>
      </c>
      <c r="S196" t="s">
        <v>420</v>
      </c>
      <c r="T196" t="s">
        <v>268</v>
      </c>
      <c r="U196">
        <v>2.0041009813787599E-3</v>
      </c>
      <c r="V196" t="s">
        <v>251</v>
      </c>
      <c r="X196">
        <v>3.5388127853881279E-3</v>
      </c>
      <c r="Y196">
        <v>5.9087255218821738E-3</v>
      </c>
      <c r="Z196" t="s">
        <v>268</v>
      </c>
      <c r="AA196" t="s">
        <v>25</v>
      </c>
      <c r="AC196" t="s">
        <v>22</v>
      </c>
      <c r="AD196" t="s">
        <v>268</v>
      </c>
      <c r="AE196">
        <v>4.2282817583791125E-3</v>
      </c>
      <c r="AG196" t="s">
        <v>97</v>
      </c>
      <c r="AH196" t="s">
        <v>268</v>
      </c>
      <c r="AI196">
        <v>4.2218000759207452E-2</v>
      </c>
      <c r="AK196">
        <v>2037</v>
      </c>
      <c r="AL196" t="s">
        <v>169</v>
      </c>
      <c r="AM196">
        <v>0.48730000000000001</v>
      </c>
      <c r="AN196" t="s">
        <v>430</v>
      </c>
    </row>
    <row r="197" spans="5:40" x14ac:dyDescent="0.45">
      <c r="E197" t="s">
        <v>1498</v>
      </c>
      <c r="G197" t="s">
        <v>160</v>
      </c>
      <c r="I197" t="s">
        <v>249</v>
      </c>
      <c r="J197" t="s">
        <v>269</v>
      </c>
      <c r="K197">
        <v>7.2857682322527845E-3</v>
      </c>
      <c r="L197" t="s">
        <v>251</v>
      </c>
      <c r="N197" t="s">
        <v>419</v>
      </c>
      <c r="O197" t="s">
        <v>269</v>
      </c>
      <c r="P197">
        <v>1.1202547024485481E-3</v>
      </c>
      <c r="Q197" t="s">
        <v>251</v>
      </c>
      <c r="S197" t="s">
        <v>420</v>
      </c>
      <c r="T197" t="s">
        <v>269</v>
      </c>
      <c r="U197">
        <v>1.8781287612856272E-3</v>
      </c>
      <c r="V197" t="s">
        <v>251</v>
      </c>
      <c r="X197">
        <v>3.5388127853881279E-3</v>
      </c>
      <c r="Y197">
        <v>4.521459529788099E-3</v>
      </c>
      <c r="Z197" t="s">
        <v>269</v>
      </c>
      <c r="AA197" t="s">
        <v>25</v>
      </c>
      <c r="AC197" t="s">
        <v>22</v>
      </c>
      <c r="AD197" t="s">
        <v>269</v>
      </c>
      <c r="AE197">
        <v>4.485965889848227E-3</v>
      </c>
      <c r="AG197" t="s">
        <v>97</v>
      </c>
      <c r="AH197" t="s">
        <v>269</v>
      </c>
      <c r="AI197">
        <v>3.3345104619624921E-2</v>
      </c>
      <c r="AK197">
        <v>2037</v>
      </c>
      <c r="AL197" t="s">
        <v>171</v>
      </c>
      <c r="AM197">
        <v>0.49869999999999998</v>
      </c>
      <c r="AN197" t="s">
        <v>430</v>
      </c>
    </row>
    <row r="198" spans="5:40" x14ac:dyDescent="0.45">
      <c r="E198" t="s">
        <v>1499</v>
      </c>
      <c r="G198" t="s">
        <v>160</v>
      </c>
      <c r="I198" t="s">
        <v>249</v>
      </c>
      <c r="J198" t="s">
        <v>270</v>
      </c>
      <c r="K198">
        <v>9.4148614109767995E-3</v>
      </c>
      <c r="L198" t="s">
        <v>251</v>
      </c>
      <c r="N198" t="s">
        <v>419</v>
      </c>
      <c r="O198" t="s">
        <v>270</v>
      </c>
      <c r="P198">
        <v>1.0053230087414301E-3</v>
      </c>
      <c r="Q198" t="s">
        <v>251</v>
      </c>
      <c r="S198" t="s">
        <v>420</v>
      </c>
      <c r="T198" t="s">
        <v>270</v>
      </c>
      <c r="U198">
        <v>1.7552643939331876E-3</v>
      </c>
      <c r="V198" t="s">
        <v>251</v>
      </c>
      <c r="X198">
        <v>3.5388127853881279E-3</v>
      </c>
      <c r="Y198">
        <v>4.4803553522445696E-3</v>
      </c>
      <c r="Z198" t="s">
        <v>270</v>
      </c>
      <c r="AA198" t="s">
        <v>25</v>
      </c>
      <c r="AC198" t="s">
        <v>22</v>
      </c>
      <c r="AD198" t="s">
        <v>270</v>
      </c>
      <c r="AE198">
        <v>4.6045679287228247E-3</v>
      </c>
      <c r="AG198" t="s">
        <v>97</v>
      </c>
      <c r="AH198" t="s">
        <v>270</v>
      </c>
      <c r="AI198">
        <v>2.2564439224357358E-2</v>
      </c>
      <c r="AK198">
        <v>2037</v>
      </c>
      <c r="AL198" t="s">
        <v>158</v>
      </c>
      <c r="AM198">
        <v>0.6482</v>
      </c>
      <c r="AN198" t="s">
        <v>430</v>
      </c>
    </row>
    <row r="199" spans="5:40" x14ac:dyDescent="0.45">
      <c r="E199" t="s">
        <v>1500</v>
      </c>
      <c r="G199" t="s">
        <v>160</v>
      </c>
      <c r="I199" t="s">
        <v>249</v>
      </c>
      <c r="J199" t="s">
        <v>271</v>
      </c>
      <c r="K199">
        <v>7.16507697908111E-2</v>
      </c>
      <c r="L199" t="s">
        <v>251</v>
      </c>
      <c r="N199" t="s">
        <v>419</v>
      </c>
      <c r="O199" t="s">
        <v>271</v>
      </c>
      <c r="P199">
        <v>7.846475582240317E-3</v>
      </c>
      <c r="Q199" t="s">
        <v>251</v>
      </c>
      <c r="S199" t="s">
        <v>420</v>
      </c>
      <c r="T199" t="s">
        <v>271</v>
      </c>
      <c r="U199">
        <v>1.1697585227563988E-2</v>
      </c>
      <c r="V199" t="s">
        <v>251</v>
      </c>
      <c r="X199">
        <v>2.4771689497716895E-2</v>
      </c>
      <c r="Y199">
        <v>3.4650821669194247E-2</v>
      </c>
      <c r="Z199" t="s">
        <v>271</v>
      </c>
      <c r="AA199" t="s">
        <v>25</v>
      </c>
      <c r="AC199" t="s">
        <v>22</v>
      </c>
      <c r="AD199" t="s">
        <v>271</v>
      </c>
      <c r="AE199">
        <v>3.1498985220223361E-2</v>
      </c>
      <c r="AG199" t="s">
        <v>97</v>
      </c>
      <c r="AH199" t="s">
        <v>271</v>
      </c>
      <c r="AI199">
        <v>0.15398274646096599</v>
      </c>
      <c r="AK199">
        <v>2037</v>
      </c>
      <c r="AL199" t="s">
        <v>162</v>
      </c>
      <c r="AM199">
        <v>0.5504</v>
      </c>
      <c r="AN199" t="s">
        <v>430</v>
      </c>
    </row>
    <row r="200" spans="5:40" x14ac:dyDescent="0.45">
      <c r="E200" t="s">
        <v>1501</v>
      </c>
      <c r="G200" t="s">
        <v>160</v>
      </c>
      <c r="I200" t="s">
        <v>249</v>
      </c>
      <c r="J200" t="s">
        <v>272</v>
      </c>
      <c r="K200">
        <v>7.0094705433080004E-3</v>
      </c>
      <c r="L200" t="s">
        <v>251</v>
      </c>
      <c r="N200" t="s">
        <v>419</v>
      </c>
      <c r="O200" t="s">
        <v>272</v>
      </c>
      <c r="P200">
        <v>1.7617574108067997E-3</v>
      </c>
      <c r="Q200" t="s">
        <v>251</v>
      </c>
      <c r="S200" t="s">
        <v>420</v>
      </c>
      <c r="T200" t="s">
        <v>272</v>
      </c>
      <c r="U200">
        <v>2.1600429705377054E-3</v>
      </c>
      <c r="V200" t="s">
        <v>251</v>
      </c>
      <c r="X200">
        <v>3.5388127853881279E-3</v>
      </c>
      <c r="Y200">
        <v>6.8849497385409693E-3</v>
      </c>
      <c r="Z200" t="s">
        <v>272</v>
      </c>
      <c r="AA200" t="s">
        <v>25</v>
      </c>
      <c r="AC200" t="s">
        <v>22</v>
      </c>
      <c r="AD200" t="s">
        <v>272</v>
      </c>
      <c r="AE200">
        <v>1.8909129029720201E-3</v>
      </c>
      <c r="AG200" t="s">
        <v>97</v>
      </c>
      <c r="AH200" t="s">
        <v>272</v>
      </c>
      <c r="AI200">
        <v>9.3662396235574263E-3</v>
      </c>
      <c r="AK200">
        <v>2037</v>
      </c>
      <c r="AL200" t="s">
        <v>175</v>
      </c>
      <c r="AM200">
        <v>0.46239999999999998</v>
      </c>
      <c r="AN200" t="s">
        <v>430</v>
      </c>
    </row>
    <row r="201" spans="5:40" x14ac:dyDescent="0.45">
      <c r="E201" t="s">
        <v>1502</v>
      </c>
      <c r="G201" t="s">
        <v>160</v>
      </c>
      <c r="I201" t="s">
        <v>249</v>
      </c>
      <c r="J201" t="s">
        <v>273</v>
      </c>
      <c r="K201">
        <v>3.2517568683463165E-3</v>
      </c>
      <c r="L201" t="s">
        <v>251</v>
      </c>
      <c r="N201" t="s">
        <v>419</v>
      </c>
      <c r="O201" t="s">
        <v>273</v>
      </c>
      <c r="P201">
        <v>2.3440424715298353E-3</v>
      </c>
      <c r="Q201" t="s">
        <v>251</v>
      </c>
      <c r="S201" t="s">
        <v>420</v>
      </c>
      <c r="T201" t="s">
        <v>273</v>
      </c>
      <c r="U201">
        <v>2.2669641357076502E-3</v>
      </c>
      <c r="V201" t="s">
        <v>251</v>
      </c>
      <c r="X201">
        <v>3.5388127853881279E-3</v>
      </c>
      <c r="Y201">
        <v>5.3435430806586613E-3</v>
      </c>
      <c r="Z201" t="s">
        <v>273</v>
      </c>
      <c r="AA201" t="s">
        <v>25</v>
      </c>
      <c r="AC201" t="s">
        <v>22</v>
      </c>
      <c r="AD201" t="s">
        <v>273</v>
      </c>
      <c r="AE201">
        <v>1.3568416337343522E-3</v>
      </c>
      <c r="AG201" t="s">
        <v>97</v>
      </c>
      <c r="AH201" t="s">
        <v>273</v>
      </c>
      <c r="AI201">
        <v>0.20468904606086746</v>
      </c>
      <c r="AK201">
        <v>2037</v>
      </c>
      <c r="AL201" t="s">
        <v>166</v>
      </c>
      <c r="AM201">
        <v>0.31819999999999998</v>
      </c>
      <c r="AN201" t="s">
        <v>430</v>
      </c>
    </row>
    <row r="202" spans="5:40" x14ac:dyDescent="0.45">
      <c r="E202" t="s">
        <v>1503</v>
      </c>
      <c r="G202" t="s">
        <v>160</v>
      </c>
      <c r="I202" t="s">
        <v>249</v>
      </c>
      <c r="J202" t="s">
        <v>274</v>
      </c>
      <c r="K202">
        <v>0</v>
      </c>
      <c r="L202" t="s">
        <v>251</v>
      </c>
      <c r="N202" t="s">
        <v>419</v>
      </c>
      <c r="O202" t="s">
        <v>274</v>
      </c>
      <c r="P202">
        <v>1.9002466882048097E-2</v>
      </c>
      <c r="Q202" t="s">
        <v>251</v>
      </c>
      <c r="S202" t="s">
        <v>420</v>
      </c>
      <c r="T202" t="s">
        <v>274</v>
      </c>
      <c r="U202">
        <v>1.1863639741341246E-2</v>
      </c>
      <c r="V202" t="s">
        <v>251</v>
      </c>
      <c r="X202">
        <v>1.7694063926940638E-2</v>
      </c>
      <c r="Y202">
        <v>1.3358857701646654E-2</v>
      </c>
      <c r="Z202" t="s">
        <v>274</v>
      </c>
      <c r="AA202" t="s">
        <v>25</v>
      </c>
      <c r="AC202" t="s">
        <v>22</v>
      </c>
      <c r="AD202" t="s">
        <v>274</v>
      </c>
      <c r="AE202">
        <v>7.0952003803463459E-3</v>
      </c>
      <c r="AG202" t="s">
        <v>97</v>
      </c>
      <c r="AH202" t="s">
        <v>274</v>
      </c>
      <c r="AI202">
        <v>0.24030876524921596</v>
      </c>
      <c r="AK202">
        <v>2037</v>
      </c>
      <c r="AL202" t="s">
        <v>178</v>
      </c>
      <c r="AM202">
        <v>0.24579999999999999</v>
      </c>
      <c r="AN202" t="s">
        <v>430</v>
      </c>
    </row>
    <row r="203" spans="5:40" x14ac:dyDescent="0.45">
      <c r="E203" t="s">
        <v>1504</v>
      </c>
      <c r="G203" t="s">
        <v>160</v>
      </c>
      <c r="I203" t="s">
        <v>249</v>
      </c>
      <c r="J203" t="s">
        <v>275</v>
      </c>
      <c r="K203">
        <v>1.0360373361579407E-3</v>
      </c>
      <c r="L203" t="s">
        <v>251</v>
      </c>
      <c r="N203" t="s">
        <v>419</v>
      </c>
      <c r="O203" t="s">
        <v>275</v>
      </c>
      <c r="P203">
        <v>1.9485233150436806E-2</v>
      </c>
      <c r="Q203" t="s">
        <v>251</v>
      </c>
      <c r="S203" t="s">
        <v>420</v>
      </c>
      <c r="T203" t="s">
        <v>275</v>
      </c>
      <c r="U203">
        <v>1.7777663579304985E-2</v>
      </c>
      <c r="V203" t="s">
        <v>251</v>
      </c>
      <c r="X203">
        <v>2.3972602739726026E-2</v>
      </c>
      <c r="Y203">
        <v>9.4672202471222967E-3</v>
      </c>
      <c r="Z203" t="s">
        <v>275</v>
      </c>
      <c r="AA203" t="s">
        <v>25</v>
      </c>
      <c r="AC203" t="s">
        <v>22</v>
      </c>
      <c r="AD203" t="s">
        <v>275</v>
      </c>
      <c r="AE203">
        <v>2.9518305559343878E-2</v>
      </c>
      <c r="AG203" t="s">
        <v>97</v>
      </c>
      <c r="AH203" t="s">
        <v>275</v>
      </c>
      <c r="AI203">
        <v>0.16334421103227581</v>
      </c>
      <c r="AK203">
        <v>2038</v>
      </c>
      <c r="AL203" t="s">
        <v>151</v>
      </c>
      <c r="AM203">
        <v>0.25800000000000001</v>
      </c>
      <c r="AN203" t="s">
        <v>430</v>
      </c>
    </row>
    <row r="204" spans="5:40" x14ac:dyDescent="0.45">
      <c r="E204" t="s">
        <v>1505</v>
      </c>
      <c r="G204" t="s">
        <v>160</v>
      </c>
      <c r="I204" t="s">
        <v>249</v>
      </c>
      <c r="J204" t="s">
        <v>276</v>
      </c>
      <c r="K204">
        <v>4.7521279065798E-3</v>
      </c>
      <c r="L204" t="s">
        <v>251</v>
      </c>
      <c r="N204" t="s">
        <v>419</v>
      </c>
      <c r="O204" t="s">
        <v>276</v>
      </c>
      <c r="P204">
        <v>1.3223677969484721E-3</v>
      </c>
      <c r="Q204" t="s">
        <v>251</v>
      </c>
      <c r="S204" t="s">
        <v>420</v>
      </c>
      <c r="T204" t="s">
        <v>276</v>
      </c>
      <c r="U204">
        <v>1.960563960703049E-3</v>
      </c>
      <c r="V204" t="s">
        <v>251</v>
      </c>
      <c r="X204">
        <v>3.4246575342465752E-3</v>
      </c>
      <c r="Y204">
        <v>5.7181214727892006E-3</v>
      </c>
      <c r="Z204" t="s">
        <v>276</v>
      </c>
      <c r="AA204" t="s">
        <v>25</v>
      </c>
      <c r="AC204" t="s">
        <v>22</v>
      </c>
      <c r="AD204" t="s">
        <v>276</v>
      </c>
      <c r="AE204">
        <v>5.1934961842249223E-3</v>
      </c>
      <c r="AG204" t="s">
        <v>97</v>
      </c>
      <c r="AH204" t="s">
        <v>276</v>
      </c>
      <c r="AI204">
        <v>3.5216654126259295E-2</v>
      </c>
      <c r="AK204">
        <v>2038</v>
      </c>
      <c r="AL204" t="s">
        <v>156</v>
      </c>
      <c r="AM204">
        <v>0.2656</v>
      </c>
      <c r="AN204" t="s">
        <v>430</v>
      </c>
    </row>
    <row r="205" spans="5:40" x14ac:dyDescent="0.45">
      <c r="E205" t="s">
        <v>1506</v>
      </c>
      <c r="G205" t="s">
        <v>160</v>
      </c>
      <c r="I205" t="s">
        <v>249</v>
      </c>
      <c r="J205" t="s">
        <v>277</v>
      </c>
      <c r="K205">
        <v>7.4743577824974003E-3</v>
      </c>
      <c r="L205" t="s">
        <v>251</v>
      </c>
      <c r="N205" t="s">
        <v>419</v>
      </c>
      <c r="O205" t="s">
        <v>277</v>
      </c>
      <c r="P205">
        <v>1.1012807675443903E-3</v>
      </c>
      <c r="Q205" t="s">
        <v>251</v>
      </c>
      <c r="S205" t="s">
        <v>420</v>
      </c>
      <c r="T205" t="s">
        <v>277</v>
      </c>
      <c r="U205">
        <v>1.8117095019118666E-3</v>
      </c>
      <c r="V205" t="s">
        <v>251</v>
      </c>
      <c r="X205">
        <v>3.4246575342465752E-3</v>
      </c>
      <c r="Y205">
        <v>4.3756059965691279E-3</v>
      </c>
      <c r="Z205" t="s">
        <v>277</v>
      </c>
      <c r="AA205" t="s">
        <v>25</v>
      </c>
      <c r="AC205" t="s">
        <v>22</v>
      </c>
      <c r="AD205" t="s">
        <v>277</v>
      </c>
      <c r="AE205">
        <v>5.3258221542126722E-3</v>
      </c>
      <c r="AG205" t="s">
        <v>97</v>
      </c>
      <c r="AH205" t="s">
        <v>277</v>
      </c>
      <c r="AI205">
        <v>3.0311797291973974E-2</v>
      </c>
      <c r="AK205">
        <v>2038</v>
      </c>
      <c r="AL205" t="s">
        <v>159</v>
      </c>
      <c r="AM205">
        <v>0.29360000000000003</v>
      </c>
      <c r="AN205" t="s">
        <v>430</v>
      </c>
    </row>
    <row r="206" spans="5:40" x14ac:dyDescent="0.45">
      <c r="E206" t="s">
        <v>1507</v>
      </c>
      <c r="G206" t="s">
        <v>160</v>
      </c>
      <c r="I206" t="s">
        <v>249</v>
      </c>
      <c r="J206" t="s">
        <v>278</v>
      </c>
      <c r="K206">
        <v>9.0619381609644001E-3</v>
      </c>
      <c r="L206" t="s">
        <v>251</v>
      </c>
      <c r="N206" t="s">
        <v>419</v>
      </c>
      <c r="O206" t="s">
        <v>278</v>
      </c>
      <c r="P206">
        <v>9.9556642823737593E-4</v>
      </c>
      <c r="Q206" t="s">
        <v>251</v>
      </c>
      <c r="S206" t="s">
        <v>420</v>
      </c>
      <c r="T206" t="s">
        <v>278</v>
      </c>
      <c r="U206">
        <v>1.6715865529542569E-3</v>
      </c>
      <c r="V206" t="s">
        <v>251</v>
      </c>
      <c r="X206">
        <v>3.4246575342465752E-3</v>
      </c>
      <c r="Y206">
        <v>4.3358277602366805E-3</v>
      </c>
      <c r="Z206" t="s">
        <v>278</v>
      </c>
      <c r="AA206" t="s">
        <v>25</v>
      </c>
      <c r="AC206" t="s">
        <v>22</v>
      </c>
      <c r="AD206" t="s">
        <v>278</v>
      </c>
      <c r="AE206">
        <v>5.3672123182696308E-3</v>
      </c>
      <c r="AG206" t="s">
        <v>97</v>
      </c>
      <c r="AH206" t="s">
        <v>278</v>
      </c>
      <c r="AI206">
        <v>2.5632939012395717E-2</v>
      </c>
      <c r="AK206">
        <v>2038</v>
      </c>
      <c r="AL206" t="s">
        <v>163</v>
      </c>
      <c r="AM206">
        <v>0.32190000000000002</v>
      </c>
      <c r="AN206" t="s">
        <v>430</v>
      </c>
    </row>
    <row r="207" spans="5:40" x14ac:dyDescent="0.45">
      <c r="E207" t="s">
        <v>1508</v>
      </c>
      <c r="G207" t="s">
        <v>160</v>
      </c>
      <c r="I207" t="s">
        <v>249</v>
      </c>
      <c r="J207" t="s">
        <v>279</v>
      </c>
      <c r="K207">
        <v>6.8036515685839002E-2</v>
      </c>
      <c r="L207" t="s">
        <v>251</v>
      </c>
      <c r="N207" t="s">
        <v>419</v>
      </c>
      <c r="O207" t="s">
        <v>279</v>
      </c>
      <c r="P207">
        <v>9.4407612288413979E-3</v>
      </c>
      <c r="Q207" t="s">
        <v>251</v>
      </c>
      <c r="S207" t="s">
        <v>420</v>
      </c>
      <c r="T207" t="s">
        <v>279</v>
      </c>
      <c r="U207">
        <v>1.4296790910960555E-2</v>
      </c>
      <c r="V207" t="s">
        <v>251</v>
      </c>
      <c r="X207">
        <v>2.3972602739726026E-2</v>
      </c>
      <c r="Y207">
        <v>3.3533053228252493E-2</v>
      </c>
      <c r="Z207" t="s">
        <v>279</v>
      </c>
      <c r="AA207" t="s">
        <v>25</v>
      </c>
      <c r="AC207" t="s">
        <v>22</v>
      </c>
      <c r="AD207" t="s">
        <v>279</v>
      </c>
      <c r="AE207">
        <v>3.6374035294971817E-2</v>
      </c>
      <c r="AG207" t="s">
        <v>97</v>
      </c>
      <c r="AH207" t="s">
        <v>279</v>
      </c>
      <c r="AI207">
        <v>0.12107479110399866</v>
      </c>
      <c r="AK207">
        <v>2038</v>
      </c>
      <c r="AL207" t="s">
        <v>167</v>
      </c>
      <c r="AM207">
        <v>0.37019999999999997</v>
      </c>
      <c r="AN207" t="s">
        <v>430</v>
      </c>
    </row>
    <row r="208" spans="5:40" x14ac:dyDescent="0.45">
      <c r="E208" t="s">
        <v>1509</v>
      </c>
      <c r="G208" t="s">
        <v>160</v>
      </c>
      <c r="I208" t="s">
        <v>249</v>
      </c>
      <c r="J208" t="s">
        <v>280</v>
      </c>
      <c r="K208">
        <v>6.2620054594643999E-3</v>
      </c>
      <c r="L208" t="s">
        <v>251</v>
      </c>
      <c r="N208" t="s">
        <v>419</v>
      </c>
      <c r="O208" t="s">
        <v>280</v>
      </c>
      <c r="P208">
        <v>2.7097780121235144E-3</v>
      </c>
      <c r="Q208" t="s">
        <v>251</v>
      </c>
      <c r="S208" t="s">
        <v>420</v>
      </c>
      <c r="T208" t="s">
        <v>280</v>
      </c>
      <c r="U208">
        <v>2.9540873951373016E-3</v>
      </c>
      <c r="V208" t="s">
        <v>251</v>
      </c>
      <c r="X208">
        <v>3.4246575342465752E-3</v>
      </c>
      <c r="Y208">
        <v>6.662854585684809E-3</v>
      </c>
      <c r="Z208" t="s">
        <v>280</v>
      </c>
      <c r="AA208" t="s">
        <v>25</v>
      </c>
      <c r="AC208" t="s">
        <v>22</v>
      </c>
      <c r="AD208" t="s">
        <v>280</v>
      </c>
      <c r="AE208">
        <v>2.7678320259506982E-3</v>
      </c>
      <c r="AG208" t="s">
        <v>97</v>
      </c>
      <c r="AH208" t="s">
        <v>280</v>
      </c>
      <c r="AI208">
        <v>8.6761717202879396E-2</v>
      </c>
      <c r="AK208">
        <v>2038</v>
      </c>
      <c r="AL208" t="s">
        <v>169</v>
      </c>
      <c r="AM208">
        <v>0.50539999999999996</v>
      </c>
      <c r="AN208" t="s">
        <v>430</v>
      </c>
    </row>
    <row r="209" spans="5:40" x14ac:dyDescent="0.45">
      <c r="E209" t="s">
        <v>1510</v>
      </c>
      <c r="G209" t="s">
        <v>160</v>
      </c>
      <c r="I209" t="s">
        <v>249</v>
      </c>
      <c r="J209" t="s">
        <v>281</v>
      </c>
      <c r="K209">
        <v>3.5888896639685057E-3</v>
      </c>
      <c r="L209" t="s">
        <v>251</v>
      </c>
      <c r="N209" t="s">
        <v>419</v>
      </c>
      <c r="O209" t="s">
        <v>281</v>
      </c>
      <c r="P209">
        <v>3.2681817578805012E-3</v>
      </c>
      <c r="Q209" t="s">
        <v>251</v>
      </c>
      <c r="S209" t="s">
        <v>420</v>
      </c>
      <c r="T209" t="s">
        <v>281</v>
      </c>
      <c r="U209">
        <v>3.0913498080904936E-3</v>
      </c>
      <c r="V209" t="s">
        <v>251</v>
      </c>
      <c r="X209">
        <v>3.4246575342465752E-3</v>
      </c>
      <c r="Y209">
        <v>5.1711707232180593E-3</v>
      </c>
      <c r="Z209" t="s">
        <v>281</v>
      </c>
      <c r="AA209" t="s">
        <v>25</v>
      </c>
      <c r="AC209" t="s">
        <v>22</v>
      </c>
      <c r="AD209" t="s">
        <v>281</v>
      </c>
      <c r="AE209">
        <v>3.3043699929870768E-3</v>
      </c>
      <c r="AG209" t="s">
        <v>97</v>
      </c>
      <c r="AH209" t="s">
        <v>281</v>
      </c>
      <c r="AI209">
        <v>0.11709209908661999</v>
      </c>
      <c r="AK209">
        <v>2038</v>
      </c>
      <c r="AL209" t="s">
        <v>171</v>
      </c>
      <c r="AM209">
        <v>0.6018</v>
      </c>
      <c r="AN209" t="s">
        <v>430</v>
      </c>
    </row>
    <row r="210" spans="5:40" x14ac:dyDescent="0.45">
      <c r="E210" t="s">
        <v>1511</v>
      </c>
      <c r="G210" t="s">
        <v>160</v>
      </c>
      <c r="I210" t="s">
        <v>249</v>
      </c>
      <c r="J210" t="s">
        <v>282</v>
      </c>
      <c r="K210">
        <v>2.4148579671858214E-4</v>
      </c>
      <c r="L210" t="s">
        <v>251</v>
      </c>
      <c r="N210" t="s">
        <v>419</v>
      </c>
      <c r="O210" t="s">
        <v>282</v>
      </c>
      <c r="P210">
        <v>2.094799313478261E-2</v>
      </c>
      <c r="Q210" t="s">
        <v>251</v>
      </c>
      <c r="S210" t="s">
        <v>420</v>
      </c>
      <c r="T210" t="s">
        <v>282</v>
      </c>
      <c r="U210">
        <v>1.53525731100944E-2</v>
      </c>
      <c r="V210" t="s">
        <v>251</v>
      </c>
      <c r="X210">
        <v>1.7123287671232876E-2</v>
      </c>
      <c r="Y210">
        <v>1.2927926808045149E-2</v>
      </c>
      <c r="Z210" t="s">
        <v>282</v>
      </c>
      <c r="AA210" t="s">
        <v>25</v>
      </c>
      <c r="AC210" t="s">
        <v>22</v>
      </c>
      <c r="AD210" t="s">
        <v>282</v>
      </c>
      <c r="AE210">
        <v>1.3764633323452066E-2</v>
      </c>
      <c r="AG210" t="s">
        <v>97</v>
      </c>
      <c r="AH210" t="s">
        <v>282</v>
      </c>
      <c r="AI210">
        <v>0.17218577644945188</v>
      </c>
      <c r="AK210">
        <v>2038</v>
      </c>
      <c r="AL210" t="s">
        <v>158</v>
      </c>
      <c r="AM210">
        <v>0.68220000000000003</v>
      </c>
      <c r="AN210" t="s">
        <v>430</v>
      </c>
    </row>
    <row r="211" spans="5:40" x14ac:dyDescent="0.45">
      <c r="E211" t="s">
        <v>1512</v>
      </c>
      <c r="G211" t="s">
        <v>160</v>
      </c>
      <c r="I211" t="s">
        <v>249</v>
      </c>
      <c r="J211" t="s">
        <v>283</v>
      </c>
      <c r="K211">
        <v>1.7670272179208782E-3</v>
      </c>
      <c r="L211" t="s">
        <v>251</v>
      </c>
      <c r="N211" t="s">
        <v>419</v>
      </c>
      <c r="O211" t="s">
        <v>283</v>
      </c>
      <c r="P211">
        <v>3.7236251817725795E-2</v>
      </c>
      <c r="Q211" t="s">
        <v>251</v>
      </c>
      <c r="S211" t="s">
        <v>420</v>
      </c>
      <c r="T211" t="s">
        <v>283</v>
      </c>
      <c r="U211">
        <v>2.9348632349428468E-2</v>
      </c>
      <c r="V211" t="s">
        <v>251</v>
      </c>
      <c r="X211">
        <v>2.4771689497716895E-2</v>
      </c>
      <c r="Y211">
        <v>9.7827942553597048E-3</v>
      </c>
      <c r="Z211" t="s">
        <v>283</v>
      </c>
      <c r="AA211" t="s">
        <v>25</v>
      </c>
      <c r="AC211" t="s">
        <v>22</v>
      </c>
      <c r="AD211" t="s">
        <v>283</v>
      </c>
      <c r="AE211">
        <v>3.3825157257624083E-2</v>
      </c>
      <c r="AG211" t="s">
        <v>97</v>
      </c>
      <c r="AH211" t="s">
        <v>283</v>
      </c>
      <c r="AI211">
        <v>0.1040152179592515</v>
      </c>
      <c r="AK211">
        <v>2038</v>
      </c>
      <c r="AL211" t="s">
        <v>162</v>
      </c>
      <c r="AM211">
        <v>0.6694</v>
      </c>
      <c r="AN211" t="s">
        <v>430</v>
      </c>
    </row>
    <row r="212" spans="5:40" x14ac:dyDescent="0.45">
      <c r="E212" t="s">
        <v>1513</v>
      </c>
      <c r="G212" t="s">
        <v>160</v>
      </c>
      <c r="I212" t="s">
        <v>249</v>
      </c>
      <c r="J212" t="s">
        <v>284</v>
      </c>
      <c r="K212">
        <v>5.2458382221451999E-3</v>
      </c>
      <c r="L212" t="s">
        <v>251</v>
      </c>
      <c r="N212" t="s">
        <v>419</v>
      </c>
      <c r="O212" t="s">
        <v>284</v>
      </c>
      <c r="P212">
        <v>4.2387441648916542E-3</v>
      </c>
      <c r="Q212" t="s">
        <v>251</v>
      </c>
      <c r="S212" t="s">
        <v>420</v>
      </c>
      <c r="T212" t="s">
        <v>284</v>
      </c>
      <c r="U212">
        <v>3.4891517956613686E-3</v>
      </c>
      <c r="V212" t="s">
        <v>251</v>
      </c>
      <c r="X212">
        <v>3.5388127853881279E-3</v>
      </c>
      <c r="Y212">
        <v>5.9087255218821738E-3</v>
      </c>
      <c r="Z212" t="s">
        <v>284</v>
      </c>
      <c r="AA212" t="s">
        <v>25</v>
      </c>
      <c r="AC212" t="s">
        <v>22</v>
      </c>
      <c r="AD212" t="s">
        <v>284</v>
      </c>
      <c r="AE212">
        <v>5.5871952887510202E-3</v>
      </c>
      <c r="AG212" t="s">
        <v>97</v>
      </c>
      <c r="AH212" t="s">
        <v>284</v>
      </c>
      <c r="AI212">
        <v>1.4636729188804765E-2</v>
      </c>
      <c r="AK212">
        <v>2038</v>
      </c>
      <c r="AL212" t="s">
        <v>175</v>
      </c>
      <c r="AM212">
        <v>0.47549999999999998</v>
      </c>
      <c r="AN212" t="s">
        <v>430</v>
      </c>
    </row>
    <row r="213" spans="5:40" x14ac:dyDescent="0.45">
      <c r="E213" t="s">
        <v>1514</v>
      </c>
      <c r="G213" t="s">
        <v>160</v>
      </c>
      <c r="I213" t="s">
        <v>249</v>
      </c>
      <c r="J213" t="s">
        <v>285</v>
      </c>
      <c r="K213">
        <v>7.5897915349617999E-3</v>
      </c>
      <c r="L213" t="s">
        <v>251</v>
      </c>
      <c r="N213" t="s">
        <v>419</v>
      </c>
      <c r="O213" t="s">
        <v>285</v>
      </c>
      <c r="P213">
        <v>4.0921748354808231E-3</v>
      </c>
      <c r="Q213" t="s">
        <v>251</v>
      </c>
      <c r="S213" t="s">
        <v>420</v>
      </c>
      <c r="T213" t="s">
        <v>285</v>
      </c>
      <c r="U213">
        <v>3.3611029397469078E-3</v>
      </c>
      <c r="V213" t="s">
        <v>251</v>
      </c>
      <c r="X213">
        <v>3.5388127853881279E-3</v>
      </c>
      <c r="Y213">
        <v>4.521459529788099E-3</v>
      </c>
      <c r="Z213" t="s">
        <v>285</v>
      </c>
      <c r="AA213" t="s">
        <v>25</v>
      </c>
      <c r="AC213" t="s">
        <v>22</v>
      </c>
      <c r="AD213" t="s">
        <v>285</v>
      </c>
      <c r="AE213">
        <v>5.6468327773550814E-3</v>
      </c>
      <c r="AG213" t="s">
        <v>97</v>
      </c>
      <c r="AH213" t="s">
        <v>285</v>
      </c>
      <c r="AI213">
        <v>2.0453277369397727E-2</v>
      </c>
      <c r="AK213">
        <v>2038</v>
      </c>
      <c r="AL213" t="s">
        <v>166</v>
      </c>
      <c r="AM213">
        <v>0.2802</v>
      </c>
      <c r="AN213" t="s">
        <v>430</v>
      </c>
    </row>
    <row r="214" spans="5:40" x14ac:dyDescent="0.45">
      <c r="E214" t="s">
        <v>1515</v>
      </c>
      <c r="G214" t="s">
        <v>160</v>
      </c>
      <c r="I214" t="s">
        <v>249</v>
      </c>
      <c r="J214" t="s">
        <v>286</v>
      </c>
      <c r="K214">
        <v>9.0460724211776991E-3</v>
      </c>
      <c r="L214" t="s">
        <v>251</v>
      </c>
      <c r="N214" t="s">
        <v>419</v>
      </c>
      <c r="O214" t="s">
        <v>286</v>
      </c>
      <c r="P214">
        <v>3.8324308091180056E-3</v>
      </c>
      <c r="Q214" t="s">
        <v>251</v>
      </c>
      <c r="S214" t="s">
        <v>420</v>
      </c>
      <c r="T214" t="s">
        <v>286</v>
      </c>
      <c r="U214">
        <v>3.2647690971758453E-3</v>
      </c>
      <c r="V214" t="s">
        <v>251</v>
      </c>
      <c r="X214">
        <v>3.5388127853881279E-3</v>
      </c>
      <c r="Y214">
        <v>4.4803553522445696E-3</v>
      </c>
      <c r="Z214" t="s">
        <v>286</v>
      </c>
      <c r="AA214" t="s">
        <v>25</v>
      </c>
      <c r="AC214" t="s">
        <v>22</v>
      </c>
      <c r="AD214" t="s">
        <v>286</v>
      </c>
      <c r="AE214">
        <v>5.6501261642986165E-3</v>
      </c>
      <c r="AG214" t="s">
        <v>97</v>
      </c>
      <c r="AH214" t="s">
        <v>286</v>
      </c>
      <c r="AI214">
        <v>2.0099445039484021E-2</v>
      </c>
      <c r="AK214">
        <v>2038</v>
      </c>
      <c r="AL214" t="s">
        <v>178</v>
      </c>
      <c r="AM214">
        <v>0.23430000000000001</v>
      </c>
      <c r="AN214" t="s">
        <v>430</v>
      </c>
    </row>
    <row r="215" spans="5:40" x14ac:dyDescent="0.45">
      <c r="E215" t="s">
        <v>1516</v>
      </c>
      <c r="G215" t="s">
        <v>160</v>
      </c>
      <c r="I215" t="s">
        <v>249</v>
      </c>
      <c r="J215" t="s">
        <v>287</v>
      </c>
      <c r="K215">
        <v>6.9126430957336601E-2</v>
      </c>
      <c r="L215" t="s">
        <v>251</v>
      </c>
      <c r="N215" t="s">
        <v>419</v>
      </c>
      <c r="O215" t="s">
        <v>287</v>
      </c>
      <c r="P215">
        <v>2.6125279419162487E-2</v>
      </c>
      <c r="Q215" t="s">
        <v>251</v>
      </c>
      <c r="S215" t="s">
        <v>420</v>
      </c>
      <c r="T215" t="s">
        <v>287</v>
      </c>
      <c r="U215">
        <v>2.5254302203101108E-2</v>
      </c>
      <c r="V215" t="s">
        <v>251</v>
      </c>
      <c r="X215">
        <v>2.4771689497716895E-2</v>
      </c>
      <c r="Y215">
        <v>3.4650821669194247E-2</v>
      </c>
      <c r="Z215" t="s">
        <v>287</v>
      </c>
      <c r="AA215" t="s">
        <v>25</v>
      </c>
      <c r="AC215" t="s">
        <v>22</v>
      </c>
      <c r="AD215" t="s">
        <v>287</v>
      </c>
      <c r="AE215">
        <v>3.9399790668033244E-2</v>
      </c>
      <c r="AG215" t="s">
        <v>97</v>
      </c>
      <c r="AH215" t="s">
        <v>287</v>
      </c>
      <c r="AI215">
        <v>0.10001642084856233</v>
      </c>
      <c r="AK215">
        <v>2039</v>
      </c>
      <c r="AL215" t="s">
        <v>151</v>
      </c>
      <c r="AM215">
        <v>0.26140000000000002</v>
      </c>
      <c r="AN215" t="s">
        <v>430</v>
      </c>
    </row>
    <row r="216" spans="5:40" x14ac:dyDescent="0.45">
      <c r="E216" t="s">
        <v>1517</v>
      </c>
      <c r="G216" t="s">
        <v>160</v>
      </c>
      <c r="I216" t="s">
        <v>249</v>
      </c>
      <c r="J216" t="s">
        <v>288</v>
      </c>
      <c r="K216">
        <v>6.5701923297423002E-3</v>
      </c>
      <c r="L216" t="s">
        <v>251</v>
      </c>
      <c r="N216" t="s">
        <v>419</v>
      </c>
      <c r="O216" t="s">
        <v>288</v>
      </c>
      <c r="P216">
        <v>4.8149886541700802E-3</v>
      </c>
      <c r="Q216" t="s">
        <v>251</v>
      </c>
      <c r="S216" t="s">
        <v>420</v>
      </c>
      <c r="T216" t="s">
        <v>288</v>
      </c>
      <c r="U216">
        <v>4.2979088187685942E-3</v>
      </c>
      <c r="V216" t="s">
        <v>251</v>
      </c>
      <c r="X216">
        <v>3.5388127853881279E-3</v>
      </c>
      <c r="Y216">
        <v>6.8849497385409693E-3</v>
      </c>
      <c r="Z216" t="s">
        <v>288</v>
      </c>
      <c r="AA216" t="s">
        <v>25</v>
      </c>
      <c r="AC216" t="s">
        <v>22</v>
      </c>
      <c r="AD216" t="s">
        <v>288</v>
      </c>
      <c r="AE216">
        <v>3.3592112224946164E-3</v>
      </c>
      <c r="AG216" t="s">
        <v>97</v>
      </c>
      <c r="AH216" t="s">
        <v>288</v>
      </c>
      <c r="AI216">
        <v>6.6396748992021193E-2</v>
      </c>
      <c r="AK216">
        <v>2039</v>
      </c>
      <c r="AL216" t="s">
        <v>156</v>
      </c>
      <c r="AM216">
        <v>0.27189999999999998</v>
      </c>
      <c r="AN216" t="s">
        <v>430</v>
      </c>
    </row>
    <row r="217" spans="5:40" x14ac:dyDescent="0.45">
      <c r="E217" t="s">
        <v>1518</v>
      </c>
      <c r="G217" t="s">
        <v>160</v>
      </c>
      <c r="I217" t="s">
        <v>249</v>
      </c>
      <c r="J217" t="s">
        <v>289</v>
      </c>
      <c r="K217">
        <v>4.1435965591736E-3</v>
      </c>
      <c r="L217" t="s">
        <v>251</v>
      </c>
      <c r="N217" t="s">
        <v>419</v>
      </c>
      <c r="O217" t="s">
        <v>289</v>
      </c>
      <c r="P217">
        <v>5.3617249337066892E-3</v>
      </c>
      <c r="Q217" t="s">
        <v>251</v>
      </c>
      <c r="S217" t="s">
        <v>420</v>
      </c>
      <c r="T217" t="s">
        <v>289</v>
      </c>
      <c r="U217">
        <v>4.4146090696289371E-3</v>
      </c>
      <c r="V217" t="s">
        <v>251</v>
      </c>
      <c r="X217">
        <v>3.5388127853881279E-3</v>
      </c>
      <c r="Y217">
        <v>5.3435430806586613E-3</v>
      </c>
      <c r="Z217" t="s">
        <v>289</v>
      </c>
      <c r="AA217" t="s">
        <v>25</v>
      </c>
      <c r="AC217" t="s">
        <v>22</v>
      </c>
      <c r="AD217" t="s">
        <v>289</v>
      </c>
      <c r="AE217">
        <v>4.2578200946471779E-3</v>
      </c>
      <c r="AG217" t="s">
        <v>97</v>
      </c>
      <c r="AH217" t="s">
        <v>289</v>
      </c>
      <c r="AI217">
        <v>1.1548995400689321E-2</v>
      </c>
      <c r="AK217">
        <v>2039</v>
      </c>
      <c r="AL217" t="s">
        <v>159</v>
      </c>
      <c r="AM217">
        <v>0.26619999999999999</v>
      </c>
      <c r="AN217" t="s">
        <v>430</v>
      </c>
    </row>
    <row r="218" spans="5:40" x14ac:dyDescent="0.45">
      <c r="E218" t="s">
        <v>1519</v>
      </c>
      <c r="G218" t="s">
        <v>160</v>
      </c>
      <c r="I218" t="s">
        <v>249</v>
      </c>
      <c r="J218" t="s">
        <v>290</v>
      </c>
      <c r="K218">
        <v>1.3839106225692888E-3</v>
      </c>
      <c r="L218" t="s">
        <v>251</v>
      </c>
      <c r="N218" t="s">
        <v>419</v>
      </c>
      <c r="O218" t="s">
        <v>290</v>
      </c>
      <c r="P218">
        <v>3.2494265535174399E-2</v>
      </c>
      <c r="Q218" t="s">
        <v>251</v>
      </c>
      <c r="S218" t="s">
        <v>420</v>
      </c>
      <c r="T218" t="s">
        <v>290</v>
      </c>
      <c r="U218">
        <v>2.2685903009714705E-2</v>
      </c>
      <c r="V218" t="s">
        <v>251</v>
      </c>
      <c r="X218">
        <v>1.7694063926940638E-2</v>
      </c>
      <c r="Y218">
        <v>1.3358857701646654E-2</v>
      </c>
      <c r="Z218" t="s">
        <v>290</v>
      </c>
      <c r="AA218" t="s">
        <v>25</v>
      </c>
      <c r="AC218" t="s">
        <v>22</v>
      </c>
      <c r="AD218" t="s">
        <v>290</v>
      </c>
      <c r="AE218">
        <v>1.8839022245917787E-2</v>
      </c>
      <c r="AG218" t="s">
        <v>97</v>
      </c>
      <c r="AH218" t="s">
        <v>290</v>
      </c>
      <c r="AI218">
        <v>5.7926789216266483E-2</v>
      </c>
      <c r="AK218">
        <v>2039</v>
      </c>
      <c r="AL218" t="s">
        <v>163</v>
      </c>
      <c r="AM218">
        <v>0.29189999999999999</v>
      </c>
      <c r="AN218" t="s">
        <v>430</v>
      </c>
    </row>
    <row r="219" spans="5:40" x14ac:dyDescent="0.45">
      <c r="E219" t="s">
        <v>1520</v>
      </c>
      <c r="G219" t="s">
        <v>160</v>
      </c>
      <c r="I219" t="s">
        <v>249</v>
      </c>
      <c r="J219" t="s">
        <v>291</v>
      </c>
      <c r="K219">
        <v>1.0436857710503405E-3</v>
      </c>
      <c r="L219" t="s">
        <v>251</v>
      </c>
      <c r="N219" t="s">
        <v>419</v>
      </c>
      <c r="O219" t="s">
        <v>291</v>
      </c>
      <c r="P219">
        <v>3.944773700764715E-2</v>
      </c>
      <c r="Q219" t="s">
        <v>251</v>
      </c>
      <c r="S219" t="s">
        <v>420</v>
      </c>
      <c r="T219" t="s">
        <v>291</v>
      </c>
      <c r="U219">
        <v>3.9975692726160098E-2</v>
      </c>
      <c r="V219" t="s">
        <v>251</v>
      </c>
      <c r="X219">
        <v>2.3972602739726026E-2</v>
      </c>
      <c r="Y219">
        <v>9.4672202471222967E-3</v>
      </c>
      <c r="Z219" t="s">
        <v>291</v>
      </c>
      <c r="AA219" t="s">
        <v>25</v>
      </c>
      <c r="AC219" t="s">
        <v>22</v>
      </c>
      <c r="AD219" t="s">
        <v>291</v>
      </c>
      <c r="AE219">
        <v>3.1367388069247076E-2</v>
      </c>
      <c r="AG219" t="s">
        <v>97</v>
      </c>
      <c r="AH219" t="s">
        <v>291</v>
      </c>
      <c r="AI219">
        <v>0.12654517842613111</v>
      </c>
      <c r="AK219">
        <v>2039</v>
      </c>
      <c r="AL219" t="s">
        <v>167</v>
      </c>
      <c r="AM219">
        <v>0.41860000000000003</v>
      </c>
      <c r="AN219" t="s">
        <v>430</v>
      </c>
    </row>
    <row r="220" spans="5:40" x14ac:dyDescent="0.45">
      <c r="E220" t="s">
        <v>1521</v>
      </c>
      <c r="G220" t="s">
        <v>160</v>
      </c>
      <c r="I220" t="s">
        <v>249</v>
      </c>
      <c r="J220" t="s">
        <v>292</v>
      </c>
      <c r="K220">
        <v>3.1266623424225292E-3</v>
      </c>
      <c r="L220" t="s">
        <v>251</v>
      </c>
      <c r="N220" t="s">
        <v>419</v>
      </c>
      <c r="O220" t="s">
        <v>292</v>
      </c>
      <c r="P220">
        <v>5.278470963195548E-3</v>
      </c>
      <c r="Q220" t="s">
        <v>251</v>
      </c>
      <c r="S220" t="s">
        <v>420</v>
      </c>
      <c r="T220" t="s">
        <v>292</v>
      </c>
      <c r="U220">
        <v>5.1765481631041842E-3</v>
      </c>
      <c r="V220" t="s">
        <v>251</v>
      </c>
      <c r="X220">
        <v>3.4246575342465752E-3</v>
      </c>
      <c r="Y220">
        <v>5.7181214727892006E-3</v>
      </c>
      <c r="Z220" t="s">
        <v>292</v>
      </c>
      <c r="AA220" t="s">
        <v>25</v>
      </c>
      <c r="AC220" t="s">
        <v>22</v>
      </c>
      <c r="AD220" t="s">
        <v>292</v>
      </c>
      <c r="AE220">
        <v>5.0324410226670127E-3</v>
      </c>
      <c r="AG220" t="s">
        <v>97</v>
      </c>
      <c r="AH220" t="s">
        <v>292</v>
      </c>
      <c r="AI220">
        <v>5.4623288193452524E-2</v>
      </c>
      <c r="AK220">
        <v>2039</v>
      </c>
      <c r="AL220" t="s">
        <v>169</v>
      </c>
      <c r="AM220">
        <v>0.44879999999999998</v>
      </c>
      <c r="AN220" t="s">
        <v>430</v>
      </c>
    </row>
    <row r="221" spans="5:40" x14ac:dyDescent="0.45">
      <c r="E221" t="s">
        <v>1522</v>
      </c>
      <c r="G221" t="s">
        <v>160</v>
      </c>
      <c r="I221" t="s">
        <v>249</v>
      </c>
      <c r="J221" t="s">
        <v>293</v>
      </c>
      <c r="K221">
        <v>5.0750441322154997E-3</v>
      </c>
      <c r="L221" t="s">
        <v>251</v>
      </c>
      <c r="N221" t="s">
        <v>419</v>
      </c>
      <c r="O221" t="s">
        <v>293</v>
      </c>
      <c r="P221">
        <v>6.1018272305427643E-3</v>
      </c>
      <c r="Q221" t="s">
        <v>251</v>
      </c>
      <c r="S221" t="s">
        <v>420</v>
      </c>
      <c r="T221" t="s">
        <v>293</v>
      </c>
      <c r="U221">
        <v>5.1174221310656444E-3</v>
      </c>
      <c r="V221" t="s">
        <v>251</v>
      </c>
      <c r="X221">
        <v>3.4246575342465752E-3</v>
      </c>
      <c r="Y221">
        <v>4.3756059965691279E-3</v>
      </c>
      <c r="Z221" t="s">
        <v>293</v>
      </c>
      <c r="AA221" t="s">
        <v>25</v>
      </c>
      <c r="AC221" t="s">
        <v>22</v>
      </c>
      <c r="AD221" t="s">
        <v>293</v>
      </c>
      <c r="AE221">
        <v>5.0825125368809503E-3</v>
      </c>
      <c r="AG221" t="s">
        <v>97</v>
      </c>
      <c r="AH221" t="s">
        <v>293</v>
      </c>
      <c r="AI221">
        <v>4.8634603784541763E-2</v>
      </c>
      <c r="AK221">
        <v>2039</v>
      </c>
      <c r="AL221" t="s">
        <v>171</v>
      </c>
      <c r="AM221">
        <v>0.50519999999999998</v>
      </c>
      <c r="AN221" t="s">
        <v>430</v>
      </c>
    </row>
    <row r="222" spans="5:40" x14ac:dyDescent="0.45">
      <c r="E222" t="s">
        <v>1523</v>
      </c>
      <c r="G222" t="s">
        <v>160</v>
      </c>
      <c r="I222" t="s">
        <v>249</v>
      </c>
      <c r="J222" t="s">
        <v>294</v>
      </c>
      <c r="K222">
        <v>6.5019753804751003E-3</v>
      </c>
      <c r="L222" t="s">
        <v>251</v>
      </c>
      <c r="N222" t="s">
        <v>419</v>
      </c>
      <c r="O222" t="s">
        <v>294</v>
      </c>
      <c r="P222">
        <v>6.3253143755274271E-3</v>
      </c>
      <c r="Q222" t="s">
        <v>251</v>
      </c>
      <c r="S222" t="s">
        <v>420</v>
      </c>
      <c r="T222" t="s">
        <v>294</v>
      </c>
      <c r="U222">
        <v>5.1175180867328723E-3</v>
      </c>
      <c r="V222" t="s">
        <v>251</v>
      </c>
      <c r="X222">
        <v>3.4246575342465752E-3</v>
      </c>
      <c r="Y222">
        <v>4.3358277602366805E-3</v>
      </c>
      <c r="Z222" t="s">
        <v>294</v>
      </c>
      <c r="AA222" t="s">
        <v>25</v>
      </c>
      <c r="AC222" t="s">
        <v>22</v>
      </c>
      <c r="AD222" t="s">
        <v>294</v>
      </c>
      <c r="AE222">
        <v>5.0888608855968742E-3</v>
      </c>
      <c r="AG222" t="s">
        <v>97</v>
      </c>
      <c r="AH222" t="s">
        <v>294</v>
      </c>
      <c r="AI222">
        <v>4.7880179351180274E-2</v>
      </c>
      <c r="AK222">
        <v>2039</v>
      </c>
      <c r="AL222" t="s">
        <v>158</v>
      </c>
      <c r="AM222">
        <v>0.62219999999999998</v>
      </c>
      <c r="AN222" t="s">
        <v>430</v>
      </c>
    </row>
    <row r="223" spans="5:40" x14ac:dyDescent="0.45">
      <c r="E223" t="s">
        <v>1524</v>
      </c>
      <c r="G223" t="s">
        <v>160</v>
      </c>
      <c r="I223" t="s">
        <v>249</v>
      </c>
      <c r="J223" t="s">
        <v>295</v>
      </c>
      <c r="K223">
        <v>5.2408395071258398E-2</v>
      </c>
      <c r="L223" t="s">
        <v>251</v>
      </c>
      <c r="N223" t="s">
        <v>419</v>
      </c>
      <c r="O223" t="s">
        <v>295</v>
      </c>
      <c r="P223">
        <v>4.4149492272705773E-2</v>
      </c>
      <c r="Q223" t="s">
        <v>251</v>
      </c>
      <c r="S223" t="s">
        <v>420</v>
      </c>
      <c r="T223" t="s">
        <v>295</v>
      </c>
      <c r="U223">
        <v>3.8365477548783382E-2</v>
      </c>
      <c r="V223" t="s">
        <v>251</v>
      </c>
      <c r="X223">
        <v>2.3972602739726026E-2</v>
      </c>
      <c r="Y223">
        <v>3.3533053228252493E-2</v>
      </c>
      <c r="Z223" t="s">
        <v>295</v>
      </c>
      <c r="AA223" t="s">
        <v>25</v>
      </c>
      <c r="AC223" t="s">
        <v>22</v>
      </c>
      <c r="AD223" t="s">
        <v>295</v>
      </c>
      <c r="AE223">
        <v>3.6083706461427875E-2</v>
      </c>
      <c r="AG223" t="s">
        <v>97</v>
      </c>
      <c r="AH223" t="s">
        <v>295</v>
      </c>
      <c r="AI223">
        <v>0.12780921466955442</v>
      </c>
      <c r="AK223">
        <v>2039</v>
      </c>
      <c r="AL223" t="s">
        <v>162</v>
      </c>
      <c r="AM223">
        <v>0.55089999999999995</v>
      </c>
      <c r="AN223" t="s">
        <v>430</v>
      </c>
    </row>
    <row r="224" spans="5:40" x14ac:dyDescent="0.45">
      <c r="E224" t="s">
        <v>1525</v>
      </c>
      <c r="G224" t="s">
        <v>160</v>
      </c>
      <c r="I224" t="s">
        <v>249</v>
      </c>
      <c r="J224" t="s">
        <v>296</v>
      </c>
      <c r="K224">
        <v>4.2724821694190831E-3</v>
      </c>
      <c r="L224" t="s">
        <v>251</v>
      </c>
      <c r="N224" t="s">
        <v>419</v>
      </c>
      <c r="O224" t="s">
        <v>296</v>
      </c>
      <c r="P224">
        <v>6.3009483613797098E-3</v>
      </c>
      <c r="Q224" t="s">
        <v>251</v>
      </c>
      <c r="S224" t="s">
        <v>420</v>
      </c>
      <c r="T224" t="s">
        <v>296</v>
      </c>
      <c r="U224">
        <v>5.8747546722316092E-3</v>
      </c>
      <c r="V224" t="s">
        <v>251</v>
      </c>
      <c r="X224">
        <v>3.4246575342465752E-3</v>
      </c>
      <c r="Y224">
        <v>6.662854585684809E-3</v>
      </c>
      <c r="Z224" t="s">
        <v>296</v>
      </c>
      <c r="AA224" t="s">
        <v>25</v>
      </c>
      <c r="AC224" t="s">
        <v>22</v>
      </c>
      <c r="AD224" t="s">
        <v>296</v>
      </c>
      <c r="AE224">
        <v>3.1423811851982193E-3</v>
      </c>
      <c r="AG224" t="s">
        <v>97</v>
      </c>
      <c r="AH224" t="s">
        <v>296</v>
      </c>
      <c r="AI224">
        <v>8.9423036891613572E-2</v>
      </c>
      <c r="AK224">
        <v>2039</v>
      </c>
      <c r="AL224" t="s">
        <v>175</v>
      </c>
      <c r="AM224">
        <v>0.43419999999999997</v>
      </c>
      <c r="AN224" t="s">
        <v>430</v>
      </c>
    </row>
    <row r="225" spans="5:40" x14ac:dyDescent="0.45">
      <c r="E225" t="s">
        <v>1526</v>
      </c>
      <c r="G225" t="s">
        <v>160</v>
      </c>
      <c r="I225" t="s">
        <v>249</v>
      </c>
      <c r="J225" t="s">
        <v>297</v>
      </c>
      <c r="K225">
        <v>2.380249128749159E-3</v>
      </c>
      <c r="L225" t="s">
        <v>251</v>
      </c>
      <c r="N225" t="s">
        <v>419</v>
      </c>
      <c r="O225" t="s">
        <v>297</v>
      </c>
      <c r="P225">
        <v>6.4942321030568998E-3</v>
      </c>
      <c r="Q225" t="s">
        <v>251</v>
      </c>
      <c r="S225" t="s">
        <v>420</v>
      </c>
      <c r="T225" t="s">
        <v>297</v>
      </c>
      <c r="U225">
        <v>6.0119750941272799E-3</v>
      </c>
      <c r="V225" t="s">
        <v>251</v>
      </c>
      <c r="X225">
        <v>3.4246575342465752E-3</v>
      </c>
      <c r="Y225">
        <v>5.1711707232180593E-3</v>
      </c>
      <c r="Z225" t="s">
        <v>297</v>
      </c>
      <c r="AA225" t="s">
        <v>25</v>
      </c>
      <c r="AC225" t="s">
        <v>22</v>
      </c>
      <c r="AD225" t="s">
        <v>297</v>
      </c>
      <c r="AE225">
        <v>3.8905794267177396E-3</v>
      </c>
      <c r="AG225" t="s">
        <v>97</v>
      </c>
      <c r="AH225" t="s">
        <v>297</v>
      </c>
      <c r="AI225">
        <v>1.6280183193151831E-2</v>
      </c>
      <c r="AK225">
        <v>2039</v>
      </c>
      <c r="AL225" t="s">
        <v>166</v>
      </c>
      <c r="AM225">
        <v>0.30220000000000002</v>
      </c>
      <c r="AN225" t="s">
        <v>430</v>
      </c>
    </row>
    <row r="226" spans="5:40" x14ac:dyDescent="0.45">
      <c r="E226" t="s">
        <v>1527</v>
      </c>
      <c r="G226" t="s">
        <v>160</v>
      </c>
      <c r="I226" t="s">
        <v>249</v>
      </c>
      <c r="J226" t="s">
        <v>298</v>
      </c>
      <c r="K226">
        <v>6.5942701400987245E-4</v>
      </c>
      <c r="L226" t="s">
        <v>251</v>
      </c>
      <c r="N226" t="s">
        <v>419</v>
      </c>
      <c r="O226" t="s">
        <v>298</v>
      </c>
      <c r="P226">
        <v>3.4052871775288797E-2</v>
      </c>
      <c r="Q226" t="s">
        <v>251</v>
      </c>
      <c r="S226" t="s">
        <v>420</v>
      </c>
      <c r="T226" t="s">
        <v>298</v>
      </c>
      <c r="U226">
        <v>3.0989048617552705E-2</v>
      </c>
      <c r="V226" t="s">
        <v>251</v>
      </c>
      <c r="X226">
        <v>1.7123287671232876E-2</v>
      </c>
      <c r="Y226">
        <v>1.2927926808045149E-2</v>
      </c>
      <c r="Z226" t="s">
        <v>298</v>
      </c>
      <c r="AA226" t="s">
        <v>25</v>
      </c>
      <c r="AC226" t="s">
        <v>22</v>
      </c>
      <c r="AD226" t="s">
        <v>298</v>
      </c>
      <c r="AE226">
        <v>1.7665221966811109E-2</v>
      </c>
      <c r="AG226" t="s">
        <v>97</v>
      </c>
      <c r="AH226" t="s">
        <v>298</v>
      </c>
      <c r="AI226">
        <v>5.6224292849093915E-2</v>
      </c>
      <c r="AK226">
        <v>2039</v>
      </c>
      <c r="AL226" t="s">
        <v>178</v>
      </c>
      <c r="AM226">
        <v>0.24940000000000001</v>
      </c>
      <c r="AN226" t="s">
        <v>430</v>
      </c>
    </row>
    <row r="227" spans="5:40" x14ac:dyDescent="0.45">
      <c r="E227" t="s">
        <v>1528</v>
      </c>
      <c r="G227" t="s">
        <v>160</v>
      </c>
      <c r="I227" t="s">
        <v>249</v>
      </c>
      <c r="J227" t="s">
        <v>299</v>
      </c>
      <c r="K227">
        <v>3.9949852694818087E-4</v>
      </c>
      <c r="L227" t="s">
        <v>251</v>
      </c>
      <c r="N227" t="s">
        <v>419</v>
      </c>
      <c r="O227" t="s">
        <v>299</v>
      </c>
      <c r="P227">
        <v>5.21461902063994E-2</v>
      </c>
      <c r="Q227" t="s">
        <v>251</v>
      </c>
      <c r="S227" t="s">
        <v>420</v>
      </c>
      <c r="T227" t="s">
        <v>299</v>
      </c>
      <c r="U227">
        <v>5.8266126603190097E-2</v>
      </c>
      <c r="V227" t="s">
        <v>251</v>
      </c>
      <c r="X227">
        <v>2.4771689497716895E-2</v>
      </c>
      <c r="Y227">
        <v>9.7827942553597048E-3</v>
      </c>
      <c r="Z227" t="s">
        <v>299</v>
      </c>
      <c r="AA227" t="s">
        <v>25</v>
      </c>
      <c r="AC227" t="s">
        <v>22</v>
      </c>
      <c r="AD227" t="s">
        <v>299</v>
      </c>
      <c r="AE227">
        <v>3.1290129919684682E-2</v>
      </c>
      <c r="AG227" t="s">
        <v>97</v>
      </c>
      <c r="AH227" t="s">
        <v>299</v>
      </c>
      <c r="AI227">
        <v>9.0557243741560711E-2</v>
      </c>
      <c r="AK227">
        <v>2040</v>
      </c>
      <c r="AL227" t="s">
        <v>151</v>
      </c>
      <c r="AM227">
        <v>0.25440000000000002</v>
      </c>
      <c r="AN227" t="s">
        <v>430</v>
      </c>
    </row>
    <row r="228" spans="5:40" x14ac:dyDescent="0.45">
      <c r="E228" t="s">
        <v>1529</v>
      </c>
      <c r="G228" t="s">
        <v>160</v>
      </c>
      <c r="I228" t="s">
        <v>249</v>
      </c>
      <c r="J228" t="s">
        <v>300</v>
      </c>
      <c r="K228">
        <v>1.5950621698403843E-3</v>
      </c>
      <c r="L228" t="s">
        <v>251</v>
      </c>
      <c r="N228" t="s">
        <v>419</v>
      </c>
      <c r="O228" t="s">
        <v>300</v>
      </c>
      <c r="P228">
        <v>6.9797535869503E-3</v>
      </c>
      <c r="Q228" t="s">
        <v>251</v>
      </c>
      <c r="S228" t="s">
        <v>420</v>
      </c>
      <c r="T228" t="s">
        <v>300</v>
      </c>
      <c r="U228">
        <v>7.9219619050836E-3</v>
      </c>
      <c r="V228" t="s">
        <v>251</v>
      </c>
      <c r="X228">
        <v>3.5388127853881279E-3</v>
      </c>
      <c r="Y228">
        <v>5.9087255218821738E-3</v>
      </c>
      <c r="Z228" t="s">
        <v>300</v>
      </c>
      <c r="AA228" t="s">
        <v>25</v>
      </c>
      <c r="AC228" t="s">
        <v>22</v>
      </c>
      <c r="AD228" t="s">
        <v>300</v>
      </c>
      <c r="AE228">
        <v>4.878510750396468E-3</v>
      </c>
      <c r="AG228" t="s">
        <v>97</v>
      </c>
      <c r="AH228" t="s">
        <v>300</v>
      </c>
      <c r="AI228">
        <v>3.8525592846895274E-2</v>
      </c>
      <c r="AK228">
        <v>2040</v>
      </c>
      <c r="AL228" t="s">
        <v>156</v>
      </c>
      <c r="AM228">
        <v>0.2412</v>
      </c>
      <c r="AN228" t="s">
        <v>430</v>
      </c>
    </row>
    <row r="229" spans="5:40" x14ac:dyDescent="0.45">
      <c r="E229" t="s">
        <v>1530</v>
      </c>
      <c r="G229" t="s">
        <v>160</v>
      </c>
      <c r="I229" t="s">
        <v>249</v>
      </c>
      <c r="J229" t="s">
        <v>301</v>
      </c>
      <c r="K229">
        <v>3.0283477756202618E-3</v>
      </c>
      <c r="L229" t="s">
        <v>251</v>
      </c>
      <c r="N229" t="s">
        <v>419</v>
      </c>
      <c r="O229" t="s">
        <v>301</v>
      </c>
      <c r="P229">
        <v>7.7421033792447001E-3</v>
      </c>
      <c r="Q229" t="s">
        <v>251</v>
      </c>
      <c r="S229" t="s">
        <v>420</v>
      </c>
      <c r="T229" t="s">
        <v>301</v>
      </c>
      <c r="U229">
        <v>7.8743154094812005E-3</v>
      </c>
      <c r="V229" t="s">
        <v>251</v>
      </c>
      <c r="X229">
        <v>3.5388127853881279E-3</v>
      </c>
      <c r="Y229">
        <v>4.521459529788099E-3</v>
      </c>
      <c r="Z229" t="s">
        <v>301</v>
      </c>
      <c r="AA229" t="s">
        <v>25</v>
      </c>
      <c r="AC229" t="s">
        <v>22</v>
      </c>
      <c r="AD229" t="s">
        <v>301</v>
      </c>
      <c r="AE229">
        <v>4.9283984321186322E-3</v>
      </c>
      <c r="AG229" t="s">
        <v>97</v>
      </c>
      <c r="AH229" t="s">
        <v>301</v>
      </c>
      <c r="AI229">
        <v>6.5790488331782804E-2</v>
      </c>
      <c r="AK229">
        <v>2040</v>
      </c>
      <c r="AL229" t="s">
        <v>159</v>
      </c>
      <c r="AM229">
        <v>0.27050000000000002</v>
      </c>
      <c r="AN229" t="s">
        <v>430</v>
      </c>
    </row>
    <row r="230" spans="5:40" x14ac:dyDescent="0.45">
      <c r="E230" t="s">
        <v>1531</v>
      </c>
      <c r="G230" t="s">
        <v>160</v>
      </c>
      <c r="I230" t="s">
        <v>249</v>
      </c>
      <c r="J230" t="s">
        <v>302</v>
      </c>
      <c r="K230">
        <v>4.2983747799500358E-3</v>
      </c>
      <c r="L230" t="s">
        <v>251</v>
      </c>
      <c r="N230" t="s">
        <v>419</v>
      </c>
      <c r="O230" t="s">
        <v>302</v>
      </c>
      <c r="P230">
        <v>8.1553262393319007E-3</v>
      </c>
      <c r="Q230" t="s">
        <v>251</v>
      </c>
      <c r="S230" t="s">
        <v>420</v>
      </c>
      <c r="T230" t="s">
        <v>302</v>
      </c>
      <c r="U230">
        <v>7.8451054959140995E-3</v>
      </c>
      <c r="V230" t="s">
        <v>251</v>
      </c>
      <c r="X230">
        <v>3.5388127853881279E-3</v>
      </c>
      <c r="Y230">
        <v>4.4803553522445696E-3</v>
      </c>
      <c r="Z230" t="s">
        <v>302</v>
      </c>
      <c r="AA230" t="s">
        <v>25</v>
      </c>
      <c r="AC230" t="s">
        <v>22</v>
      </c>
      <c r="AD230" t="s">
        <v>302</v>
      </c>
      <c r="AE230">
        <v>4.937018504778355E-3</v>
      </c>
      <c r="AG230" t="s">
        <v>97</v>
      </c>
      <c r="AH230" t="s">
        <v>302</v>
      </c>
      <c r="AI230">
        <v>5.5477041993539533E-2</v>
      </c>
      <c r="AK230">
        <v>2040</v>
      </c>
      <c r="AL230" t="s">
        <v>163</v>
      </c>
      <c r="AM230">
        <v>0.28489999999999999</v>
      </c>
      <c r="AN230" t="s">
        <v>430</v>
      </c>
    </row>
    <row r="231" spans="5:40" x14ac:dyDescent="0.45">
      <c r="E231" t="s">
        <v>1532</v>
      </c>
      <c r="G231" t="s">
        <v>160</v>
      </c>
      <c r="I231" t="s">
        <v>249</v>
      </c>
      <c r="J231" t="s">
        <v>303</v>
      </c>
      <c r="K231">
        <v>3.8843648177558546E-2</v>
      </c>
      <c r="L231" t="s">
        <v>251</v>
      </c>
      <c r="N231" t="s">
        <v>419</v>
      </c>
      <c r="O231" t="s">
        <v>303</v>
      </c>
      <c r="P231">
        <v>5.84657992409887E-2</v>
      </c>
      <c r="Q231" t="s">
        <v>251</v>
      </c>
      <c r="S231" t="s">
        <v>420</v>
      </c>
      <c r="T231" t="s">
        <v>303</v>
      </c>
      <c r="U231">
        <v>5.5983631985480599E-2</v>
      </c>
      <c r="V231" t="s">
        <v>251</v>
      </c>
      <c r="X231">
        <v>2.4771689497716895E-2</v>
      </c>
      <c r="Y231">
        <v>3.4650821669194247E-2</v>
      </c>
      <c r="Z231" t="s">
        <v>303</v>
      </c>
      <c r="AA231" t="s">
        <v>25</v>
      </c>
      <c r="AC231" t="s">
        <v>22</v>
      </c>
      <c r="AD231" t="s">
        <v>303</v>
      </c>
      <c r="AE231">
        <v>3.5605578723758191E-2</v>
      </c>
      <c r="AG231" t="s">
        <v>97</v>
      </c>
      <c r="AH231" t="s">
        <v>303</v>
      </c>
      <c r="AI231">
        <v>0.11764578777160528</v>
      </c>
      <c r="AK231">
        <v>2040</v>
      </c>
      <c r="AL231" t="s">
        <v>167</v>
      </c>
      <c r="AM231">
        <v>0.3493</v>
      </c>
      <c r="AN231" t="s">
        <v>430</v>
      </c>
    </row>
    <row r="232" spans="5:40" x14ac:dyDescent="0.45">
      <c r="E232" t="s">
        <v>1533</v>
      </c>
      <c r="G232" t="s">
        <v>160</v>
      </c>
      <c r="I232" t="s">
        <v>249</v>
      </c>
      <c r="J232" t="s">
        <v>304</v>
      </c>
      <c r="K232">
        <v>2.7779154947420817E-3</v>
      </c>
      <c r="L232" t="s">
        <v>251</v>
      </c>
      <c r="N232" t="s">
        <v>419</v>
      </c>
      <c r="O232" t="s">
        <v>304</v>
      </c>
      <c r="P232">
        <v>8.3100494361197999E-3</v>
      </c>
      <c r="Q232" t="s">
        <v>251</v>
      </c>
      <c r="S232" t="s">
        <v>420</v>
      </c>
      <c r="T232" t="s">
        <v>304</v>
      </c>
      <c r="U232">
        <v>8.3495263949457006E-3</v>
      </c>
      <c r="V232" t="s">
        <v>251</v>
      </c>
      <c r="X232">
        <v>3.5388127853881279E-3</v>
      </c>
      <c r="Y232">
        <v>6.8849497385409693E-3</v>
      </c>
      <c r="Z232" t="s">
        <v>304</v>
      </c>
      <c r="AA232" t="s">
        <v>25</v>
      </c>
      <c r="AC232" t="s">
        <v>22</v>
      </c>
      <c r="AD232" t="s">
        <v>304</v>
      </c>
      <c r="AE232">
        <v>3.0673261932617898E-3</v>
      </c>
      <c r="AG232" t="s">
        <v>97</v>
      </c>
      <c r="AH232" t="s">
        <v>304</v>
      </c>
      <c r="AI232">
        <v>4.169317729613109E-2</v>
      </c>
      <c r="AK232">
        <v>2040</v>
      </c>
      <c r="AL232" t="s">
        <v>169</v>
      </c>
      <c r="AM232">
        <v>0.45989999999999998</v>
      </c>
      <c r="AN232" t="s">
        <v>430</v>
      </c>
    </row>
    <row r="233" spans="5:40" x14ac:dyDescent="0.45">
      <c r="E233" t="s">
        <v>1534</v>
      </c>
      <c r="G233" t="s">
        <v>160</v>
      </c>
      <c r="I233" t="s">
        <v>249</v>
      </c>
      <c r="J233" t="s">
        <v>305</v>
      </c>
      <c r="K233">
        <v>1.4128730063523956E-3</v>
      </c>
      <c r="L233" t="s">
        <v>251</v>
      </c>
      <c r="N233" t="s">
        <v>419</v>
      </c>
      <c r="O233" t="s">
        <v>305</v>
      </c>
      <c r="P233">
        <v>8.4304595037270995E-3</v>
      </c>
      <c r="Q233" t="s">
        <v>251</v>
      </c>
      <c r="S233" t="s">
        <v>420</v>
      </c>
      <c r="T233" t="s">
        <v>305</v>
      </c>
      <c r="U233">
        <v>8.4649161656644E-3</v>
      </c>
      <c r="V233" t="s">
        <v>251</v>
      </c>
      <c r="X233">
        <v>3.5388127853881279E-3</v>
      </c>
      <c r="Y233">
        <v>5.3435430806586613E-3</v>
      </c>
      <c r="Z233" t="s">
        <v>305</v>
      </c>
      <c r="AA233" t="s">
        <v>25</v>
      </c>
      <c r="AC233" t="s">
        <v>22</v>
      </c>
      <c r="AD233" t="s">
        <v>305</v>
      </c>
      <c r="AE233">
        <v>3.7456547182714863E-3</v>
      </c>
      <c r="AG233" t="s">
        <v>97</v>
      </c>
      <c r="AH233" t="s">
        <v>305</v>
      </c>
      <c r="AI233">
        <v>1.8929036410713973E-2</v>
      </c>
      <c r="AK233">
        <v>2040</v>
      </c>
      <c r="AL233" t="s">
        <v>171</v>
      </c>
      <c r="AM233">
        <v>0.56399999999999995</v>
      </c>
      <c r="AN233" t="s">
        <v>430</v>
      </c>
    </row>
    <row r="234" spans="5:40" x14ac:dyDescent="0.45">
      <c r="E234" t="s">
        <v>1535</v>
      </c>
      <c r="G234" t="s">
        <v>160</v>
      </c>
      <c r="I234" t="s">
        <v>249</v>
      </c>
      <c r="J234" t="s">
        <v>306</v>
      </c>
      <c r="K234">
        <v>3.1655616640138384E-4</v>
      </c>
      <c r="L234" t="s">
        <v>251</v>
      </c>
      <c r="N234" t="s">
        <v>419</v>
      </c>
      <c r="O234" t="s">
        <v>306</v>
      </c>
      <c r="P234">
        <v>4.2188424357887597E-2</v>
      </c>
      <c r="Q234" t="s">
        <v>251</v>
      </c>
      <c r="S234" t="s">
        <v>420</v>
      </c>
      <c r="T234" t="s">
        <v>306</v>
      </c>
      <c r="U234">
        <v>4.2296696757634797E-2</v>
      </c>
      <c r="V234" t="s">
        <v>251</v>
      </c>
      <c r="X234">
        <v>1.7694063926940638E-2</v>
      </c>
      <c r="Y234">
        <v>1.3358857701646654E-2</v>
      </c>
      <c r="Z234" t="s">
        <v>306</v>
      </c>
      <c r="AA234" t="s">
        <v>25</v>
      </c>
      <c r="AC234" t="s">
        <v>22</v>
      </c>
      <c r="AD234" t="s">
        <v>306</v>
      </c>
      <c r="AE234">
        <v>1.7309067814546067E-2</v>
      </c>
      <c r="AG234" t="s">
        <v>97</v>
      </c>
      <c r="AH234" t="s">
        <v>306</v>
      </c>
      <c r="AI234">
        <v>7.3955067275157216E-2</v>
      </c>
      <c r="AK234">
        <v>2040</v>
      </c>
      <c r="AL234" t="s">
        <v>158</v>
      </c>
      <c r="AM234">
        <v>0.65269999999999995</v>
      </c>
      <c r="AN234" t="s">
        <v>430</v>
      </c>
    </row>
    <row r="235" spans="5:40" x14ac:dyDescent="0.45">
      <c r="E235" t="s">
        <v>1536</v>
      </c>
      <c r="G235" t="s">
        <v>160</v>
      </c>
      <c r="I235" t="s">
        <v>249</v>
      </c>
      <c r="J235" t="s">
        <v>307</v>
      </c>
      <c r="K235">
        <v>2.345608298787312E-4</v>
      </c>
      <c r="L235" t="s">
        <v>251</v>
      </c>
      <c r="N235" t="s">
        <v>419</v>
      </c>
      <c r="O235" t="s">
        <v>307</v>
      </c>
      <c r="P235">
        <v>2.7783449009631592E-2</v>
      </c>
      <c r="Q235" t="s">
        <v>251</v>
      </c>
      <c r="S235" t="s">
        <v>420</v>
      </c>
      <c r="T235" t="s">
        <v>307</v>
      </c>
      <c r="U235">
        <v>3.030650736309513E-2</v>
      </c>
      <c r="V235" t="s">
        <v>251</v>
      </c>
      <c r="X235">
        <v>1.9178082191780823E-2</v>
      </c>
      <c r="Y235">
        <v>7.5737761976978363E-3</v>
      </c>
      <c r="Z235" t="s">
        <v>307</v>
      </c>
      <c r="AA235" t="s">
        <v>25</v>
      </c>
      <c r="AC235" t="s">
        <v>22</v>
      </c>
      <c r="AD235" t="s">
        <v>307</v>
      </c>
      <c r="AE235">
        <v>2.1601638224028673E-2</v>
      </c>
      <c r="AG235" t="s">
        <v>97</v>
      </c>
      <c r="AH235" t="s">
        <v>307</v>
      </c>
      <c r="AI235">
        <v>0.12705003756545818</v>
      </c>
      <c r="AK235">
        <v>2040</v>
      </c>
      <c r="AL235" t="s">
        <v>162</v>
      </c>
      <c r="AM235">
        <v>0.61629999999999996</v>
      </c>
      <c r="AN235" t="s">
        <v>430</v>
      </c>
    </row>
    <row r="236" spans="5:40" x14ac:dyDescent="0.45">
      <c r="E236" t="s">
        <v>1537</v>
      </c>
      <c r="G236" t="s">
        <v>160</v>
      </c>
      <c r="I236" t="s">
        <v>249</v>
      </c>
      <c r="J236" t="s">
        <v>308</v>
      </c>
      <c r="K236">
        <v>1.2864897374672373E-3</v>
      </c>
      <c r="L236" t="s">
        <v>251</v>
      </c>
      <c r="N236" t="s">
        <v>419</v>
      </c>
      <c r="O236" t="s">
        <v>308</v>
      </c>
      <c r="P236">
        <v>3.6759656327908356E-3</v>
      </c>
      <c r="Q236" t="s">
        <v>251</v>
      </c>
      <c r="S236" t="s">
        <v>420</v>
      </c>
      <c r="T236" t="s">
        <v>308</v>
      </c>
      <c r="U236">
        <v>3.9772652590315139E-3</v>
      </c>
      <c r="V236" t="s">
        <v>251</v>
      </c>
      <c r="X236">
        <v>2.7397260273972603E-3</v>
      </c>
      <c r="Y236">
        <v>4.5744971782313605E-3</v>
      </c>
      <c r="Z236" t="s">
        <v>308</v>
      </c>
      <c r="AA236" t="s">
        <v>25</v>
      </c>
      <c r="AC236" t="s">
        <v>22</v>
      </c>
      <c r="AD236" t="s">
        <v>308</v>
      </c>
      <c r="AE236">
        <v>3.5868410850186487E-3</v>
      </c>
      <c r="AG236" t="s">
        <v>97</v>
      </c>
      <c r="AH236" t="s">
        <v>308</v>
      </c>
      <c r="AI236">
        <v>4.0499748844516237E-2</v>
      </c>
      <c r="AK236">
        <v>2040</v>
      </c>
      <c r="AL236" t="s">
        <v>175</v>
      </c>
      <c r="AM236">
        <v>0.45469999999999999</v>
      </c>
      <c r="AN236" t="s">
        <v>430</v>
      </c>
    </row>
    <row r="237" spans="5:40" x14ac:dyDescent="0.45">
      <c r="E237" t="s">
        <v>1538</v>
      </c>
      <c r="G237" t="s">
        <v>160</v>
      </c>
      <c r="I237" t="s">
        <v>249</v>
      </c>
      <c r="J237" t="s">
        <v>309</v>
      </c>
      <c r="K237">
        <v>2.6493433612332726E-3</v>
      </c>
      <c r="L237" t="s">
        <v>251</v>
      </c>
      <c r="N237" t="s">
        <v>419</v>
      </c>
      <c r="O237" t="s">
        <v>309</v>
      </c>
      <c r="P237">
        <v>4.321956930206902E-3</v>
      </c>
      <c r="Q237" t="s">
        <v>251</v>
      </c>
      <c r="S237" t="s">
        <v>420</v>
      </c>
      <c r="T237" t="s">
        <v>309</v>
      </c>
      <c r="U237">
        <v>3.9210109221248677E-3</v>
      </c>
      <c r="V237" t="s">
        <v>251</v>
      </c>
      <c r="X237">
        <v>2.7397260273972603E-3</v>
      </c>
      <c r="Y237">
        <v>3.5004847972553029E-3</v>
      </c>
      <c r="Z237" t="s">
        <v>309</v>
      </c>
      <c r="AA237" t="s">
        <v>25</v>
      </c>
      <c r="AC237" t="s">
        <v>22</v>
      </c>
      <c r="AD237" t="s">
        <v>309</v>
      </c>
      <c r="AE237">
        <v>3.6254882454710784E-3</v>
      </c>
      <c r="AG237" t="s">
        <v>97</v>
      </c>
      <c r="AH237" t="s">
        <v>309</v>
      </c>
      <c r="AI237">
        <v>3.6542685865625701E-2</v>
      </c>
      <c r="AK237">
        <v>2040</v>
      </c>
      <c r="AL237" t="s">
        <v>166</v>
      </c>
      <c r="AM237">
        <v>0.29720000000000002</v>
      </c>
      <c r="AN237" t="s">
        <v>430</v>
      </c>
    </row>
    <row r="238" spans="5:40" x14ac:dyDescent="0.45">
      <c r="E238" t="s">
        <v>1539</v>
      </c>
      <c r="G238" t="s">
        <v>160</v>
      </c>
      <c r="I238" t="s">
        <v>249</v>
      </c>
      <c r="J238" t="s">
        <v>310</v>
      </c>
      <c r="K238">
        <v>3.7993109222380916E-3</v>
      </c>
      <c r="L238" t="s">
        <v>251</v>
      </c>
      <c r="N238" t="s">
        <v>419</v>
      </c>
      <c r="O238" t="s">
        <v>310</v>
      </c>
      <c r="P238">
        <v>4.3628424448937698E-3</v>
      </c>
      <c r="Q238" t="s">
        <v>251</v>
      </c>
      <c r="S238" t="s">
        <v>420</v>
      </c>
      <c r="T238" t="s">
        <v>310</v>
      </c>
      <c r="U238">
        <v>3.8669589660673283E-3</v>
      </c>
      <c r="V238" t="s">
        <v>251</v>
      </c>
      <c r="X238">
        <v>2.7397260273972603E-3</v>
      </c>
      <c r="Y238">
        <v>3.4686622081893455E-3</v>
      </c>
      <c r="Z238" t="s">
        <v>310</v>
      </c>
      <c r="AA238" t="s">
        <v>25</v>
      </c>
      <c r="AC238" t="s">
        <v>22</v>
      </c>
      <c r="AD238" t="s">
        <v>310</v>
      </c>
      <c r="AE238">
        <v>3.6221057276224393E-3</v>
      </c>
      <c r="AG238" t="s">
        <v>97</v>
      </c>
      <c r="AH238" t="s">
        <v>310</v>
      </c>
      <c r="AI238">
        <v>3.7066297890491207E-2</v>
      </c>
      <c r="AK238">
        <v>2040</v>
      </c>
      <c r="AL238" t="s">
        <v>178</v>
      </c>
      <c r="AM238">
        <v>0.26290000000000002</v>
      </c>
      <c r="AN238" t="s">
        <v>430</v>
      </c>
    </row>
    <row r="239" spans="5:40" x14ac:dyDescent="0.45">
      <c r="E239" t="s">
        <v>1540</v>
      </c>
      <c r="G239" t="s">
        <v>160</v>
      </c>
      <c r="I239" t="s">
        <v>249</v>
      </c>
      <c r="J239" t="s">
        <v>311</v>
      </c>
      <c r="K239">
        <v>3.3130693649687015E-2</v>
      </c>
      <c r="L239" t="s">
        <v>251</v>
      </c>
      <c r="N239" t="s">
        <v>419</v>
      </c>
      <c r="O239" t="s">
        <v>311</v>
      </c>
      <c r="P239">
        <v>3.1270664461066744E-2</v>
      </c>
      <c r="Q239" t="s">
        <v>251</v>
      </c>
      <c r="S239" t="s">
        <v>420</v>
      </c>
      <c r="T239" t="s">
        <v>311</v>
      </c>
      <c r="U239">
        <v>2.7984436428761698E-2</v>
      </c>
      <c r="V239" t="s">
        <v>251</v>
      </c>
      <c r="X239">
        <v>1.9178082191780823E-2</v>
      </c>
      <c r="Y239">
        <v>2.6826442582601997E-2</v>
      </c>
      <c r="Z239" t="s">
        <v>311</v>
      </c>
      <c r="AA239" t="s">
        <v>25</v>
      </c>
      <c r="AC239" t="s">
        <v>22</v>
      </c>
      <c r="AD239" t="s">
        <v>311</v>
      </c>
      <c r="AE239">
        <v>2.6410278407714607E-2</v>
      </c>
      <c r="AG239" t="s">
        <v>97</v>
      </c>
      <c r="AH239" t="s">
        <v>311</v>
      </c>
      <c r="AI239">
        <v>0.14857827695692838</v>
      </c>
      <c r="AK239">
        <v>2041</v>
      </c>
      <c r="AL239" t="s">
        <v>151</v>
      </c>
      <c r="AM239">
        <v>0.1925</v>
      </c>
      <c r="AN239" t="s">
        <v>430</v>
      </c>
    </row>
    <row r="240" spans="5:40" x14ac:dyDescent="0.45">
      <c r="E240" t="s">
        <v>1541</v>
      </c>
      <c r="G240" t="s">
        <v>160</v>
      </c>
      <c r="I240" t="s">
        <v>249</v>
      </c>
      <c r="J240" t="s">
        <v>312</v>
      </c>
      <c r="K240">
        <v>2.4787397261528342E-3</v>
      </c>
      <c r="L240" t="s">
        <v>251</v>
      </c>
      <c r="N240" t="s">
        <v>419</v>
      </c>
      <c r="O240" t="s">
        <v>312</v>
      </c>
      <c r="P240">
        <v>4.2171655850625983E-3</v>
      </c>
      <c r="Q240" t="s">
        <v>251</v>
      </c>
      <c r="S240" t="s">
        <v>420</v>
      </c>
      <c r="T240" t="s">
        <v>312</v>
      </c>
      <c r="U240">
        <v>4.0771595536333808E-3</v>
      </c>
      <c r="V240" t="s">
        <v>251</v>
      </c>
      <c r="X240">
        <v>2.7397260273972603E-3</v>
      </c>
      <c r="Y240">
        <v>5.3302836685478472E-3</v>
      </c>
      <c r="Z240" t="s">
        <v>312</v>
      </c>
      <c r="AA240" t="s">
        <v>25</v>
      </c>
      <c r="AC240" t="s">
        <v>22</v>
      </c>
      <c r="AD240" t="s">
        <v>312</v>
      </c>
      <c r="AE240">
        <v>2.0770849934410611E-3</v>
      </c>
      <c r="AG240" t="s">
        <v>97</v>
      </c>
      <c r="AH240" t="s">
        <v>312</v>
      </c>
      <c r="AI240">
        <v>3.6697630513148116E-2</v>
      </c>
      <c r="AK240">
        <v>2041</v>
      </c>
      <c r="AL240" t="s">
        <v>156</v>
      </c>
      <c r="AM240">
        <v>0.21129999999999999</v>
      </c>
      <c r="AN240" t="s">
        <v>430</v>
      </c>
    </row>
    <row r="241" spans="5:40" x14ac:dyDescent="0.45">
      <c r="E241" t="s">
        <v>1542</v>
      </c>
      <c r="G241" t="s">
        <v>160</v>
      </c>
      <c r="I241" t="s">
        <v>249</v>
      </c>
      <c r="J241" t="s">
        <v>313</v>
      </c>
      <c r="K241">
        <v>1.1423082621705269E-3</v>
      </c>
      <c r="L241" t="s">
        <v>251</v>
      </c>
      <c r="N241" t="s">
        <v>419</v>
      </c>
      <c r="O241" t="s">
        <v>313</v>
      </c>
      <c r="P241">
        <v>4.2969407917129452E-3</v>
      </c>
      <c r="Q241" t="s">
        <v>251</v>
      </c>
      <c r="S241" t="s">
        <v>420</v>
      </c>
      <c r="T241" t="s">
        <v>313</v>
      </c>
      <c r="U241">
        <v>4.1000351295337094E-3</v>
      </c>
      <c r="V241" t="s">
        <v>251</v>
      </c>
      <c r="X241">
        <v>2.7397260273972603E-3</v>
      </c>
      <c r="Y241">
        <v>4.1369365785744487E-3</v>
      </c>
      <c r="Z241" t="s">
        <v>313</v>
      </c>
      <c r="AA241" t="s">
        <v>25</v>
      </c>
      <c r="AC241" t="s">
        <v>22</v>
      </c>
      <c r="AD241" t="s">
        <v>313</v>
      </c>
      <c r="AE241">
        <v>1.3697087064584701E-3</v>
      </c>
      <c r="AG241" t="s">
        <v>97</v>
      </c>
      <c r="AH241" t="s">
        <v>313</v>
      </c>
      <c r="AI241">
        <v>3.6115699901003939E-2</v>
      </c>
      <c r="AK241">
        <v>2041</v>
      </c>
      <c r="AL241" t="s">
        <v>159</v>
      </c>
      <c r="AM241">
        <v>0.2382</v>
      </c>
      <c r="AN241" t="s">
        <v>430</v>
      </c>
    </row>
    <row r="242" spans="5:40" x14ac:dyDescent="0.45">
      <c r="E242" t="s">
        <v>1543</v>
      </c>
      <c r="G242" t="s">
        <v>160</v>
      </c>
      <c r="I242" t="s">
        <v>249</v>
      </c>
      <c r="J242" t="s">
        <v>314</v>
      </c>
      <c r="K242">
        <v>1.4480253980180268E-4</v>
      </c>
      <c r="L242" t="s">
        <v>251</v>
      </c>
      <c r="N242" t="s">
        <v>419</v>
      </c>
      <c r="O242" t="s">
        <v>314</v>
      </c>
      <c r="P242">
        <v>2.1348809947923583E-2</v>
      </c>
      <c r="Q242" t="s">
        <v>251</v>
      </c>
      <c r="S242" t="s">
        <v>420</v>
      </c>
      <c r="T242" t="s">
        <v>314</v>
      </c>
      <c r="U242">
        <v>2.0586351128152557E-2</v>
      </c>
      <c r="V242" t="s">
        <v>251</v>
      </c>
      <c r="X242">
        <v>1.3698630136986301E-2</v>
      </c>
      <c r="Y242">
        <v>1.0342341446436119E-2</v>
      </c>
      <c r="Z242" t="s">
        <v>314</v>
      </c>
      <c r="AA242" t="s">
        <v>25</v>
      </c>
      <c r="AC242" t="s">
        <v>22</v>
      </c>
      <c r="AD242" t="s">
        <v>314</v>
      </c>
      <c r="AE242">
        <v>7.0797691545817984E-3</v>
      </c>
      <c r="AG242" t="s">
        <v>97</v>
      </c>
      <c r="AH242" t="s">
        <v>314</v>
      </c>
      <c r="AI242">
        <v>0.16233618014226892</v>
      </c>
      <c r="AK242">
        <v>2041</v>
      </c>
      <c r="AL242" t="s">
        <v>163</v>
      </c>
      <c r="AM242">
        <v>0.2394</v>
      </c>
      <c r="AN242" t="s">
        <v>430</v>
      </c>
    </row>
    <row r="243" spans="5:40" x14ac:dyDescent="0.45">
      <c r="E243" t="s">
        <v>1544</v>
      </c>
      <c r="G243" t="s">
        <v>160</v>
      </c>
      <c r="I243" t="s">
        <v>249</v>
      </c>
      <c r="J243" t="s">
        <v>1792</v>
      </c>
      <c r="K243">
        <v>0</v>
      </c>
      <c r="L243" t="s">
        <v>251</v>
      </c>
      <c r="N243" t="s">
        <v>419</v>
      </c>
      <c r="O243" t="s">
        <v>1792</v>
      </c>
      <c r="P243">
        <v>1.7923652230619999E-4</v>
      </c>
      <c r="Q243" t="s">
        <v>251</v>
      </c>
      <c r="S243" t="s">
        <v>420</v>
      </c>
      <c r="T243" t="s">
        <v>1792</v>
      </c>
      <c r="U243">
        <v>2.374432254704E-4</v>
      </c>
      <c r="V243" t="s">
        <v>251</v>
      </c>
      <c r="X243">
        <v>1.1415525114155251E-4</v>
      </c>
      <c r="Y243">
        <v>2.1546544680075254E-5</v>
      </c>
      <c r="Z243" t="s">
        <v>1792</v>
      </c>
      <c r="AA243" t="s">
        <v>25</v>
      </c>
      <c r="AC243" t="s">
        <v>22</v>
      </c>
      <c r="AD243" t="s">
        <v>1792</v>
      </c>
      <c r="AE243">
        <v>8.1969775175771189E-5</v>
      </c>
      <c r="AG243" t="s">
        <v>97</v>
      </c>
      <c r="AH243" t="s">
        <v>1792</v>
      </c>
      <c r="AI243">
        <v>0</v>
      </c>
      <c r="AK243">
        <v>2041</v>
      </c>
      <c r="AL243" t="s">
        <v>167</v>
      </c>
      <c r="AM243">
        <v>0.34799999999999998</v>
      </c>
      <c r="AN243" t="s">
        <v>430</v>
      </c>
    </row>
    <row r="244" spans="5:40" x14ac:dyDescent="0.45">
      <c r="E244" t="s">
        <v>1545</v>
      </c>
      <c r="G244" t="s">
        <v>160</v>
      </c>
      <c r="I244" t="s">
        <v>249</v>
      </c>
      <c r="J244" t="s">
        <v>1793</v>
      </c>
      <c r="K244">
        <v>0</v>
      </c>
      <c r="L244" t="s">
        <v>251</v>
      </c>
      <c r="N244" t="s">
        <v>419</v>
      </c>
      <c r="O244" t="s">
        <v>1793</v>
      </c>
      <c r="P244">
        <v>1.861554270312E-4</v>
      </c>
      <c r="Q244" t="s">
        <v>251</v>
      </c>
      <c r="S244" t="s">
        <v>420</v>
      </c>
      <c r="T244" t="s">
        <v>1793</v>
      </c>
      <c r="U244">
        <v>2.2698882045650001E-4</v>
      </c>
      <c r="V244" t="s">
        <v>251</v>
      </c>
      <c r="X244">
        <v>1.1415525114155251E-4</v>
      </c>
      <c r="Y244">
        <v>1.4916838624667481E-5</v>
      </c>
      <c r="Z244" t="s">
        <v>1793</v>
      </c>
      <c r="AA244" t="s">
        <v>25</v>
      </c>
      <c r="AC244" t="s">
        <v>22</v>
      </c>
      <c r="AD244" t="s">
        <v>1793</v>
      </c>
      <c r="AE244">
        <v>9.805121872888376E-5</v>
      </c>
      <c r="AG244" t="s">
        <v>97</v>
      </c>
      <c r="AH244" t="s">
        <v>1793</v>
      </c>
      <c r="AI244">
        <v>0</v>
      </c>
      <c r="AK244">
        <v>2041</v>
      </c>
      <c r="AL244" t="s">
        <v>169</v>
      </c>
      <c r="AM244">
        <v>0.39019999999999999</v>
      </c>
      <c r="AN244" t="s">
        <v>430</v>
      </c>
    </row>
    <row r="245" spans="5:40" x14ac:dyDescent="0.45">
      <c r="E245" t="s">
        <v>1546</v>
      </c>
      <c r="G245" t="s">
        <v>160</v>
      </c>
      <c r="I245" t="s">
        <v>249</v>
      </c>
      <c r="J245" t="s">
        <v>1794</v>
      </c>
      <c r="K245">
        <v>0</v>
      </c>
      <c r="L245" t="s">
        <v>251</v>
      </c>
      <c r="N245" t="s">
        <v>419</v>
      </c>
      <c r="O245" t="s">
        <v>1794</v>
      </c>
      <c r="P245">
        <v>1.7599430962510001E-4</v>
      </c>
      <c r="Q245" t="s">
        <v>251</v>
      </c>
      <c r="S245" t="s">
        <v>420</v>
      </c>
      <c r="T245" t="s">
        <v>1794</v>
      </c>
      <c r="U245">
        <v>2.0290596865560001E-4</v>
      </c>
      <c r="V245" t="s">
        <v>251</v>
      </c>
      <c r="X245">
        <v>1.1415525114155251E-4</v>
      </c>
      <c r="Y245">
        <v>1.6574265138519424E-5</v>
      </c>
      <c r="Z245" t="s">
        <v>1794</v>
      </c>
      <c r="AA245" t="s">
        <v>25</v>
      </c>
      <c r="AC245" t="s">
        <v>22</v>
      </c>
      <c r="AD245" t="s">
        <v>1794</v>
      </c>
      <c r="AE245">
        <v>1.2163748449162407E-4</v>
      </c>
      <c r="AG245" t="s">
        <v>97</v>
      </c>
      <c r="AH245" t="s">
        <v>1794</v>
      </c>
      <c r="AI245">
        <v>0</v>
      </c>
      <c r="AK245">
        <v>2041</v>
      </c>
      <c r="AL245" t="s">
        <v>171</v>
      </c>
      <c r="AM245">
        <v>0.47620000000000001</v>
      </c>
      <c r="AN245" t="s">
        <v>430</v>
      </c>
    </row>
    <row r="246" spans="5:40" x14ac:dyDescent="0.45">
      <c r="E246" t="s">
        <v>1547</v>
      </c>
      <c r="G246" t="s">
        <v>160</v>
      </c>
      <c r="I246" t="s">
        <v>249</v>
      </c>
      <c r="J246" t="s">
        <v>1795</v>
      </c>
      <c r="K246">
        <v>0</v>
      </c>
      <c r="L246" t="s">
        <v>251</v>
      </c>
      <c r="N246" t="s">
        <v>419</v>
      </c>
      <c r="O246" t="s">
        <v>1795</v>
      </c>
      <c r="P246">
        <v>1.382728338707E-4</v>
      </c>
      <c r="Q246" t="s">
        <v>251</v>
      </c>
      <c r="S246" t="s">
        <v>420</v>
      </c>
      <c r="T246" t="s">
        <v>1795</v>
      </c>
      <c r="U246">
        <v>1.909981717405E-4</v>
      </c>
      <c r="V246" t="s">
        <v>251</v>
      </c>
      <c r="X246">
        <v>1.1415525114155251E-4</v>
      </c>
      <c r="Y246">
        <v>1.4585353321897093E-5</v>
      </c>
      <c r="Z246" t="s">
        <v>1795</v>
      </c>
      <c r="AA246" t="s">
        <v>25</v>
      </c>
      <c r="AC246" t="s">
        <v>22</v>
      </c>
      <c r="AD246" t="s">
        <v>1795</v>
      </c>
      <c r="AE246">
        <v>1.3624603983791841E-4</v>
      </c>
      <c r="AG246" t="s">
        <v>97</v>
      </c>
      <c r="AH246" t="s">
        <v>1795</v>
      </c>
      <c r="AI246">
        <v>0</v>
      </c>
      <c r="AK246">
        <v>2041</v>
      </c>
      <c r="AL246" t="s">
        <v>158</v>
      </c>
      <c r="AM246">
        <v>0.53459999999999996</v>
      </c>
      <c r="AN246" t="s">
        <v>430</v>
      </c>
    </row>
    <row r="247" spans="5:40" x14ac:dyDescent="0.45">
      <c r="E247" t="s">
        <v>1548</v>
      </c>
      <c r="G247" t="s">
        <v>160</v>
      </c>
      <c r="I247" t="s">
        <v>249</v>
      </c>
      <c r="J247" t="s">
        <v>1796</v>
      </c>
      <c r="K247">
        <v>0</v>
      </c>
      <c r="L247" t="s">
        <v>251</v>
      </c>
      <c r="N247" t="s">
        <v>419</v>
      </c>
      <c r="O247" t="s">
        <v>1796</v>
      </c>
      <c r="P247">
        <v>1.3459554155709999E-4</v>
      </c>
      <c r="Q247" t="s">
        <v>251</v>
      </c>
      <c r="S247" t="s">
        <v>420</v>
      </c>
      <c r="T247" t="s">
        <v>1796</v>
      </c>
      <c r="U247">
        <v>1.9111787741579999E-4</v>
      </c>
      <c r="V247" t="s">
        <v>251</v>
      </c>
      <c r="X247">
        <v>1.1415525114155251E-4</v>
      </c>
      <c r="Y247">
        <v>2.1215059377304864E-5</v>
      </c>
      <c r="Z247" t="s">
        <v>1796</v>
      </c>
      <c r="AA247" t="s">
        <v>25</v>
      </c>
      <c r="AC247" t="s">
        <v>22</v>
      </c>
      <c r="AD247" t="s">
        <v>1796</v>
      </c>
      <c r="AE247">
        <v>1.4302221689833344E-4</v>
      </c>
      <c r="AG247" t="s">
        <v>97</v>
      </c>
      <c r="AH247" t="s">
        <v>1796</v>
      </c>
      <c r="AI247">
        <v>0</v>
      </c>
      <c r="AK247">
        <v>2041</v>
      </c>
      <c r="AL247" t="s">
        <v>162</v>
      </c>
      <c r="AM247">
        <v>0.5333</v>
      </c>
      <c r="AN247" t="s">
        <v>430</v>
      </c>
    </row>
    <row r="248" spans="5:40" x14ac:dyDescent="0.45">
      <c r="E248" t="s">
        <v>1549</v>
      </c>
      <c r="G248" t="s">
        <v>160</v>
      </c>
      <c r="I248" t="s">
        <v>249</v>
      </c>
      <c r="J248" t="s">
        <v>1797</v>
      </c>
      <c r="K248">
        <v>0</v>
      </c>
      <c r="L248" t="s">
        <v>251</v>
      </c>
      <c r="N248" t="s">
        <v>419</v>
      </c>
      <c r="O248" t="s">
        <v>1797</v>
      </c>
      <c r="P248">
        <v>1.2586777144419999E-4</v>
      </c>
      <c r="Q248" t="s">
        <v>251</v>
      </c>
      <c r="S248" t="s">
        <v>420</v>
      </c>
      <c r="T248" t="s">
        <v>1797</v>
      </c>
      <c r="U248">
        <v>1.907269926203E-4</v>
      </c>
      <c r="V248" t="s">
        <v>251</v>
      </c>
      <c r="X248">
        <v>1.1415525114155251E-4</v>
      </c>
      <c r="Y248">
        <v>5.7678442682047593E-5</v>
      </c>
      <c r="Z248" t="s">
        <v>1797</v>
      </c>
      <c r="AA248" t="s">
        <v>25</v>
      </c>
      <c r="AC248" t="s">
        <v>22</v>
      </c>
      <c r="AD248" t="s">
        <v>1797</v>
      </c>
      <c r="AE248">
        <v>1.4324058761583451E-4</v>
      </c>
      <c r="AG248" t="s">
        <v>97</v>
      </c>
      <c r="AH248" t="s">
        <v>1797</v>
      </c>
      <c r="AI248">
        <v>0</v>
      </c>
      <c r="AK248">
        <v>2041</v>
      </c>
      <c r="AL248" t="s">
        <v>175</v>
      </c>
      <c r="AM248">
        <v>0.35160000000000002</v>
      </c>
      <c r="AN248" t="s">
        <v>430</v>
      </c>
    </row>
    <row r="249" spans="5:40" x14ac:dyDescent="0.45">
      <c r="E249" t="s">
        <v>1550</v>
      </c>
      <c r="G249" t="s">
        <v>160</v>
      </c>
      <c r="I249" t="s">
        <v>249</v>
      </c>
      <c r="J249" t="s">
        <v>1798</v>
      </c>
      <c r="K249">
        <v>7.6941842165149514E-6</v>
      </c>
      <c r="L249" t="s">
        <v>251</v>
      </c>
      <c r="N249" t="s">
        <v>419</v>
      </c>
      <c r="O249" t="s">
        <v>1798</v>
      </c>
      <c r="P249">
        <v>1.15430426109E-4</v>
      </c>
      <c r="Q249" t="s">
        <v>251</v>
      </c>
      <c r="S249" t="s">
        <v>420</v>
      </c>
      <c r="T249" t="s">
        <v>1798</v>
      </c>
      <c r="U249">
        <v>1.8372586427880001E-4</v>
      </c>
      <c r="V249" t="s">
        <v>251</v>
      </c>
      <c r="X249">
        <v>1.1415525114155251E-4</v>
      </c>
      <c r="Y249">
        <v>1.6905750441289813E-4</v>
      </c>
      <c r="Z249" t="s">
        <v>1798</v>
      </c>
      <c r="AA249" t="s">
        <v>25</v>
      </c>
      <c r="AC249" t="s">
        <v>22</v>
      </c>
      <c r="AD249" t="s">
        <v>1798</v>
      </c>
      <c r="AE249">
        <v>1.4324058761583451E-4</v>
      </c>
      <c r="AG249" t="s">
        <v>97</v>
      </c>
      <c r="AH249" t="s">
        <v>1798</v>
      </c>
      <c r="AI249">
        <v>0</v>
      </c>
      <c r="AK249">
        <v>2041</v>
      </c>
      <c r="AL249" t="s">
        <v>166</v>
      </c>
      <c r="AM249">
        <v>0.2631</v>
      </c>
      <c r="AN249" t="s">
        <v>430</v>
      </c>
    </row>
    <row r="250" spans="5:40" x14ac:dyDescent="0.45">
      <c r="E250" t="s">
        <v>1551</v>
      </c>
      <c r="G250" t="s">
        <v>160</v>
      </c>
      <c r="I250" t="s">
        <v>249</v>
      </c>
      <c r="J250" t="s">
        <v>1799</v>
      </c>
      <c r="K250">
        <v>4.8462916668641686E-5</v>
      </c>
      <c r="L250" t="s">
        <v>251</v>
      </c>
      <c r="N250" t="s">
        <v>419</v>
      </c>
      <c r="O250" t="s">
        <v>1799</v>
      </c>
      <c r="P250">
        <v>1.2328904419190001E-4</v>
      </c>
      <c r="Q250" t="s">
        <v>251</v>
      </c>
      <c r="S250" t="s">
        <v>420</v>
      </c>
      <c r="T250" t="s">
        <v>1799</v>
      </c>
      <c r="U250">
        <v>1.79241098783E-4</v>
      </c>
      <c r="V250" t="s">
        <v>251</v>
      </c>
      <c r="X250">
        <v>1.1415525114155251E-4</v>
      </c>
      <c r="Y250">
        <v>1.9060404909297337E-4</v>
      </c>
      <c r="Z250" t="s">
        <v>1799</v>
      </c>
      <c r="AA250" t="s">
        <v>25</v>
      </c>
      <c r="AC250" t="s">
        <v>22</v>
      </c>
      <c r="AD250" t="s">
        <v>1799</v>
      </c>
      <c r="AE250">
        <v>1.4366395941507122E-4</v>
      </c>
      <c r="AG250" t="s">
        <v>97</v>
      </c>
      <c r="AH250" t="s">
        <v>1799</v>
      </c>
      <c r="AI250">
        <v>0</v>
      </c>
      <c r="AK250">
        <v>2041</v>
      </c>
      <c r="AL250" t="s">
        <v>178</v>
      </c>
      <c r="AM250">
        <v>0.20330000000000001</v>
      </c>
      <c r="AN250" t="s">
        <v>430</v>
      </c>
    </row>
    <row r="251" spans="5:40" x14ac:dyDescent="0.45">
      <c r="E251" t="s">
        <v>1552</v>
      </c>
      <c r="G251" t="s">
        <v>160</v>
      </c>
      <c r="I251" t="s">
        <v>249</v>
      </c>
      <c r="J251" t="s">
        <v>1800</v>
      </c>
      <c r="K251">
        <v>1.157451421909E-4</v>
      </c>
      <c r="L251" t="s">
        <v>251</v>
      </c>
      <c r="N251" t="s">
        <v>419</v>
      </c>
      <c r="O251" t="s">
        <v>1800</v>
      </c>
      <c r="P251">
        <v>1.3673349203060001E-4</v>
      </c>
      <c r="Q251" t="s">
        <v>251</v>
      </c>
      <c r="S251" t="s">
        <v>420</v>
      </c>
      <c r="T251" t="s">
        <v>1800</v>
      </c>
      <c r="U251">
        <v>1.7134553842569999E-4</v>
      </c>
      <c r="V251" t="s">
        <v>251</v>
      </c>
      <c r="X251">
        <v>1.1415525114155251E-4</v>
      </c>
      <c r="Y251">
        <v>1.4585353321897094E-4</v>
      </c>
      <c r="Z251" t="s">
        <v>1800</v>
      </c>
      <c r="AA251" t="s">
        <v>25</v>
      </c>
      <c r="AC251" t="s">
        <v>22</v>
      </c>
      <c r="AD251" t="s">
        <v>1800</v>
      </c>
      <c r="AE251">
        <v>1.4369961177711221E-4</v>
      </c>
      <c r="AG251" t="s">
        <v>97</v>
      </c>
      <c r="AH251" t="s">
        <v>1800</v>
      </c>
      <c r="AI251">
        <v>0</v>
      </c>
      <c r="AK251">
        <v>2042</v>
      </c>
      <c r="AL251" t="s">
        <v>151</v>
      </c>
      <c r="AM251">
        <v>0.19800000000000001</v>
      </c>
      <c r="AN251" t="s">
        <v>430</v>
      </c>
    </row>
    <row r="252" spans="5:40" x14ac:dyDescent="0.45">
      <c r="E252" t="s">
        <v>1553</v>
      </c>
      <c r="G252" t="s">
        <v>160</v>
      </c>
      <c r="I252" t="s">
        <v>249</v>
      </c>
      <c r="J252" t="s">
        <v>1801</v>
      </c>
      <c r="K252">
        <v>1.7576066581080001E-4</v>
      </c>
      <c r="L252" t="s">
        <v>251</v>
      </c>
      <c r="N252" t="s">
        <v>419</v>
      </c>
      <c r="O252" t="s">
        <v>1801</v>
      </c>
      <c r="P252">
        <v>1.3905219837609999E-4</v>
      </c>
      <c r="Q252" t="s">
        <v>251</v>
      </c>
      <c r="S252" t="s">
        <v>420</v>
      </c>
      <c r="T252" t="s">
        <v>1801</v>
      </c>
      <c r="U252">
        <v>1.6633248822630001E-4</v>
      </c>
      <c r="V252" t="s">
        <v>251</v>
      </c>
      <c r="X252">
        <v>1.1415525114155251E-4</v>
      </c>
      <c r="Y252">
        <v>1.4452759200788939E-4</v>
      </c>
      <c r="Z252" t="s">
        <v>1801</v>
      </c>
      <c r="AA252" t="s">
        <v>25</v>
      </c>
      <c r="AC252" t="s">
        <v>22</v>
      </c>
      <c r="AD252" t="s">
        <v>1801</v>
      </c>
      <c r="AE252">
        <v>1.4369961177711219E-4</v>
      </c>
      <c r="AG252" t="s">
        <v>97</v>
      </c>
      <c r="AH252" t="s">
        <v>1801</v>
      </c>
      <c r="AI252">
        <v>0</v>
      </c>
      <c r="AK252">
        <v>2042</v>
      </c>
      <c r="AL252" t="s">
        <v>156</v>
      </c>
      <c r="AM252">
        <v>0.21360000000000001</v>
      </c>
      <c r="AN252" t="s">
        <v>430</v>
      </c>
    </row>
    <row r="253" spans="5:40" x14ac:dyDescent="0.45">
      <c r="E253" t="s">
        <v>1554</v>
      </c>
      <c r="G253" t="s">
        <v>160</v>
      </c>
      <c r="I253" t="s">
        <v>249</v>
      </c>
      <c r="J253" t="s">
        <v>1802</v>
      </c>
      <c r="K253">
        <v>2.0574515940039999E-4</v>
      </c>
      <c r="L253" t="s">
        <v>251</v>
      </c>
      <c r="N253" t="s">
        <v>419</v>
      </c>
      <c r="O253" t="s">
        <v>1802</v>
      </c>
      <c r="P253">
        <v>1.3598655272609999E-4</v>
      </c>
      <c r="Q253" t="s">
        <v>251</v>
      </c>
      <c r="S253" t="s">
        <v>420</v>
      </c>
      <c r="T253" t="s">
        <v>1802</v>
      </c>
      <c r="U253">
        <v>1.6447476522879999E-4</v>
      </c>
      <c r="V253" t="s">
        <v>251</v>
      </c>
      <c r="X253">
        <v>1.1415525114155251E-4</v>
      </c>
      <c r="Y253">
        <v>1.408812536774151E-4</v>
      </c>
      <c r="Z253" t="s">
        <v>1802</v>
      </c>
      <c r="AA253" t="s">
        <v>25</v>
      </c>
      <c r="AC253" t="s">
        <v>22</v>
      </c>
      <c r="AD253" t="s">
        <v>1802</v>
      </c>
      <c r="AE253">
        <v>1.4350909446745569E-4</v>
      </c>
      <c r="AG253" t="s">
        <v>97</v>
      </c>
      <c r="AH253" t="s">
        <v>1802</v>
      </c>
      <c r="AI253">
        <v>0</v>
      </c>
      <c r="AK253">
        <v>2042</v>
      </c>
      <c r="AL253" t="s">
        <v>159</v>
      </c>
      <c r="AM253">
        <v>0.2429</v>
      </c>
      <c r="AN253" t="s">
        <v>430</v>
      </c>
    </row>
    <row r="254" spans="5:40" x14ac:dyDescent="0.45">
      <c r="E254" t="s">
        <v>1555</v>
      </c>
      <c r="G254" t="s">
        <v>160</v>
      </c>
      <c r="I254" t="s">
        <v>249</v>
      </c>
      <c r="J254" t="s">
        <v>1803</v>
      </c>
      <c r="K254">
        <v>2.2812189025410001E-4</v>
      </c>
      <c r="L254" t="s">
        <v>251</v>
      </c>
      <c r="N254" t="s">
        <v>419</v>
      </c>
      <c r="O254" t="s">
        <v>1803</v>
      </c>
      <c r="P254">
        <v>1.3067842538600001E-4</v>
      </c>
      <c r="Q254" t="s">
        <v>251</v>
      </c>
      <c r="S254" t="s">
        <v>420</v>
      </c>
      <c r="T254" t="s">
        <v>1803</v>
      </c>
      <c r="U254">
        <v>1.6382172927549999E-4</v>
      </c>
      <c r="V254" t="s">
        <v>251</v>
      </c>
      <c r="X254">
        <v>1.1415525114155251E-4</v>
      </c>
      <c r="Y254">
        <v>1.4054976837464471E-4</v>
      </c>
      <c r="Z254" t="s">
        <v>1803</v>
      </c>
      <c r="AA254" t="s">
        <v>25</v>
      </c>
      <c r="AC254" t="s">
        <v>22</v>
      </c>
      <c r="AD254" t="s">
        <v>1803</v>
      </c>
      <c r="AE254">
        <v>1.4380656886323515E-4</v>
      </c>
      <c r="AG254" t="s">
        <v>97</v>
      </c>
      <c r="AH254" t="s">
        <v>1803</v>
      </c>
      <c r="AI254">
        <v>0</v>
      </c>
      <c r="AK254">
        <v>2042</v>
      </c>
      <c r="AL254" t="s">
        <v>163</v>
      </c>
      <c r="AM254">
        <v>0.25829999999999997</v>
      </c>
      <c r="AN254" t="s">
        <v>430</v>
      </c>
    </row>
    <row r="255" spans="5:40" x14ac:dyDescent="0.45">
      <c r="E255" t="s">
        <v>1556</v>
      </c>
      <c r="G255" t="s">
        <v>160</v>
      </c>
      <c r="I255" t="s">
        <v>249</v>
      </c>
      <c r="J255" t="s">
        <v>1804</v>
      </c>
      <c r="K255">
        <v>2.233027183536E-4</v>
      </c>
      <c r="L255" t="s">
        <v>251</v>
      </c>
      <c r="N255" t="s">
        <v>419</v>
      </c>
      <c r="O255" t="s">
        <v>1804</v>
      </c>
      <c r="P255">
        <v>1.2659755342479999E-4</v>
      </c>
      <c r="Q255" t="s">
        <v>251</v>
      </c>
      <c r="S255" t="s">
        <v>420</v>
      </c>
      <c r="T255" t="s">
        <v>1804</v>
      </c>
      <c r="U255">
        <v>1.615724809569E-4</v>
      </c>
      <c r="V255" t="s">
        <v>251</v>
      </c>
      <c r="X255">
        <v>1.1415525114155251E-4</v>
      </c>
      <c r="Y255">
        <v>1.4253868019126702E-4</v>
      </c>
      <c r="Z255" t="s">
        <v>1804</v>
      </c>
      <c r="AA255" t="s">
        <v>25</v>
      </c>
      <c r="AC255" t="s">
        <v>22</v>
      </c>
      <c r="AD255" t="s">
        <v>1804</v>
      </c>
      <c r="AE255">
        <v>1.6982945074421415E-4</v>
      </c>
      <c r="AG255" t="s">
        <v>97</v>
      </c>
      <c r="AH255" t="s">
        <v>1804</v>
      </c>
      <c r="AI255">
        <v>0</v>
      </c>
      <c r="AK255">
        <v>2042</v>
      </c>
      <c r="AL255" t="s">
        <v>167</v>
      </c>
      <c r="AM255">
        <v>0.30969999999999998</v>
      </c>
      <c r="AN255" t="s">
        <v>430</v>
      </c>
    </row>
    <row r="256" spans="5:40" x14ac:dyDescent="0.45">
      <c r="E256" t="s">
        <v>1557</v>
      </c>
      <c r="G256" t="s">
        <v>160</v>
      </c>
      <c r="I256" t="s">
        <v>249</v>
      </c>
      <c r="J256" t="s">
        <v>1805</v>
      </c>
      <c r="K256">
        <v>2.2758536565989999E-4</v>
      </c>
      <c r="L256" t="s">
        <v>251</v>
      </c>
      <c r="N256" t="s">
        <v>419</v>
      </c>
      <c r="O256" t="s">
        <v>1805</v>
      </c>
      <c r="P256">
        <v>1.2838508101090001E-4</v>
      </c>
      <c r="Q256" t="s">
        <v>251</v>
      </c>
      <c r="S256" t="s">
        <v>420</v>
      </c>
      <c r="T256" t="s">
        <v>1805</v>
      </c>
      <c r="U256">
        <v>1.5768725535090001E-4</v>
      </c>
      <c r="V256" t="s">
        <v>251</v>
      </c>
      <c r="X256">
        <v>1.1415525114155251E-4</v>
      </c>
      <c r="Y256">
        <v>1.4883690094390442E-4</v>
      </c>
      <c r="Z256" t="s">
        <v>1805</v>
      </c>
      <c r="AA256" t="s">
        <v>25</v>
      </c>
      <c r="AC256" t="s">
        <v>22</v>
      </c>
      <c r="AD256" t="s">
        <v>1805</v>
      </c>
      <c r="AE256">
        <v>1.715875578473603E-4</v>
      </c>
      <c r="AG256" t="s">
        <v>97</v>
      </c>
      <c r="AH256" t="s">
        <v>1805</v>
      </c>
      <c r="AI256">
        <v>0</v>
      </c>
      <c r="AK256">
        <v>2042</v>
      </c>
      <c r="AL256" t="s">
        <v>169</v>
      </c>
      <c r="AM256">
        <v>0.4103</v>
      </c>
      <c r="AN256" t="s">
        <v>430</v>
      </c>
    </row>
    <row r="257" spans="5:40" x14ac:dyDescent="0.45">
      <c r="E257" t="s">
        <v>1558</v>
      </c>
      <c r="G257" t="s">
        <v>160</v>
      </c>
      <c r="I257" t="s">
        <v>249</v>
      </c>
      <c r="J257" t="s">
        <v>1806</v>
      </c>
      <c r="K257">
        <v>2.114815834053E-4</v>
      </c>
      <c r="L257" t="s">
        <v>251</v>
      </c>
      <c r="N257" t="s">
        <v>419</v>
      </c>
      <c r="O257" t="s">
        <v>1806</v>
      </c>
      <c r="P257">
        <v>1.4605702132960001E-4</v>
      </c>
      <c r="Q257" t="s">
        <v>251</v>
      </c>
      <c r="S257" t="s">
        <v>420</v>
      </c>
      <c r="T257" t="s">
        <v>1806</v>
      </c>
      <c r="U257">
        <v>1.5976102157449999E-4</v>
      </c>
      <c r="V257" t="s">
        <v>251</v>
      </c>
      <c r="X257">
        <v>1.1415525114155251E-4</v>
      </c>
      <c r="Y257">
        <v>1.5049432745775637E-4</v>
      </c>
      <c r="Z257" t="s">
        <v>1806</v>
      </c>
      <c r="AA257" t="s">
        <v>25</v>
      </c>
      <c r="AC257" t="s">
        <v>22</v>
      </c>
      <c r="AD257" t="s">
        <v>1806</v>
      </c>
      <c r="AE257">
        <v>1.6485037555792761E-4</v>
      </c>
      <c r="AG257" t="s">
        <v>97</v>
      </c>
      <c r="AH257" t="s">
        <v>1806</v>
      </c>
      <c r="AI257">
        <v>0</v>
      </c>
      <c r="AK257">
        <v>2042</v>
      </c>
      <c r="AL257" t="s">
        <v>171</v>
      </c>
      <c r="AM257">
        <v>0.41949999999999998</v>
      </c>
      <c r="AN257" t="s">
        <v>430</v>
      </c>
    </row>
    <row r="258" spans="5:40" x14ac:dyDescent="0.45">
      <c r="E258" t="s">
        <v>1559</v>
      </c>
      <c r="G258" t="s">
        <v>160</v>
      </c>
      <c r="I258" t="s">
        <v>249</v>
      </c>
      <c r="J258" t="s">
        <v>1807</v>
      </c>
      <c r="K258">
        <v>1.762300015236E-4</v>
      </c>
      <c r="L258" t="s">
        <v>251</v>
      </c>
      <c r="N258" t="s">
        <v>419</v>
      </c>
      <c r="O258" t="s">
        <v>1807</v>
      </c>
      <c r="P258">
        <v>1.477749990098E-4</v>
      </c>
      <c r="Q258" t="s">
        <v>251</v>
      </c>
      <c r="S258" t="s">
        <v>420</v>
      </c>
      <c r="T258" t="s">
        <v>1807</v>
      </c>
      <c r="U258">
        <v>1.5319553874949999E-4</v>
      </c>
      <c r="V258" t="s">
        <v>251</v>
      </c>
      <c r="X258">
        <v>1.1415525114155251E-4</v>
      </c>
      <c r="Y258">
        <v>1.7237235744060203E-4</v>
      </c>
      <c r="Z258" t="s">
        <v>1807</v>
      </c>
      <c r="AA258" t="s">
        <v>25</v>
      </c>
      <c r="AC258" t="s">
        <v>22</v>
      </c>
      <c r="AD258" t="s">
        <v>1807</v>
      </c>
      <c r="AE258">
        <v>1.4595239540357704E-4</v>
      </c>
      <c r="AG258" t="s">
        <v>97</v>
      </c>
      <c r="AH258" t="s">
        <v>1807</v>
      </c>
      <c r="AI258">
        <v>0</v>
      </c>
      <c r="AK258">
        <v>2042</v>
      </c>
      <c r="AL258" t="s">
        <v>158</v>
      </c>
      <c r="AM258">
        <v>0.52310000000000001</v>
      </c>
      <c r="AN258" t="s">
        <v>430</v>
      </c>
    </row>
    <row r="259" spans="5:40" x14ac:dyDescent="0.45">
      <c r="E259" t="s">
        <v>1560</v>
      </c>
      <c r="G259" t="s">
        <v>160</v>
      </c>
      <c r="I259" t="s">
        <v>249</v>
      </c>
      <c r="J259" t="s">
        <v>1808</v>
      </c>
      <c r="K259">
        <v>1.332023649509E-4</v>
      </c>
      <c r="L259" t="s">
        <v>251</v>
      </c>
      <c r="N259" t="s">
        <v>419</v>
      </c>
      <c r="O259" t="s">
        <v>1808</v>
      </c>
      <c r="P259">
        <v>1.4961388750489999E-4</v>
      </c>
      <c r="Q259" t="s">
        <v>251</v>
      </c>
      <c r="S259" t="s">
        <v>420</v>
      </c>
      <c r="T259" t="s">
        <v>1808</v>
      </c>
      <c r="U259">
        <v>1.5777762385909999E-4</v>
      </c>
      <c r="V259" t="s">
        <v>251</v>
      </c>
      <c r="X259">
        <v>1.1415525114155251E-4</v>
      </c>
      <c r="Y259">
        <v>2.2209515285616027E-4</v>
      </c>
      <c r="Z259" t="s">
        <v>1808</v>
      </c>
      <c r="AA259" t="s">
        <v>25</v>
      </c>
      <c r="AC259" t="s">
        <v>22</v>
      </c>
      <c r="AD259" t="s">
        <v>1808</v>
      </c>
      <c r="AE259">
        <v>1.1774469221127382E-4</v>
      </c>
      <c r="AG259" t="s">
        <v>97</v>
      </c>
      <c r="AH259" t="s">
        <v>1808</v>
      </c>
      <c r="AI259">
        <v>0</v>
      </c>
      <c r="AK259">
        <v>2042</v>
      </c>
      <c r="AL259" t="s">
        <v>162</v>
      </c>
      <c r="AM259">
        <v>0.50209999999999999</v>
      </c>
      <c r="AN259" t="s">
        <v>430</v>
      </c>
    </row>
    <row r="260" spans="5:40" x14ac:dyDescent="0.45">
      <c r="E260" t="s">
        <v>1561</v>
      </c>
      <c r="G260" t="s">
        <v>160</v>
      </c>
      <c r="I260" t="s">
        <v>249</v>
      </c>
      <c r="J260" t="s">
        <v>1809</v>
      </c>
      <c r="K260">
        <v>9.5538518295605563E-5</v>
      </c>
      <c r="L260" t="s">
        <v>251</v>
      </c>
      <c r="N260" t="s">
        <v>419</v>
      </c>
      <c r="O260" t="s">
        <v>1809</v>
      </c>
      <c r="P260">
        <v>1.3694590424780001E-4</v>
      </c>
      <c r="Q260" t="s">
        <v>251</v>
      </c>
      <c r="S260" t="s">
        <v>420</v>
      </c>
      <c r="T260" t="s">
        <v>1809</v>
      </c>
      <c r="U260">
        <v>1.678274364739E-4</v>
      </c>
      <c r="V260" t="s">
        <v>251</v>
      </c>
      <c r="X260">
        <v>1.1415525114155251E-4</v>
      </c>
      <c r="Y260">
        <v>2.2209515285616027E-4</v>
      </c>
      <c r="Z260" t="s">
        <v>1809</v>
      </c>
      <c r="AA260" t="s">
        <v>25</v>
      </c>
      <c r="AC260" t="s">
        <v>22</v>
      </c>
      <c r="AD260" t="s">
        <v>1809</v>
      </c>
      <c r="AE260">
        <v>8.1030558263253932E-5</v>
      </c>
      <c r="AG260" t="s">
        <v>97</v>
      </c>
      <c r="AH260" t="s">
        <v>1809</v>
      </c>
      <c r="AI260">
        <v>0</v>
      </c>
      <c r="AK260">
        <v>2042</v>
      </c>
      <c r="AL260" t="s">
        <v>175</v>
      </c>
      <c r="AM260">
        <v>0.35870000000000002</v>
      </c>
      <c r="AN260" t="s">
        <v>430</v>
      </c>
    </row>
    <row r="261" spans="5:40" x14ac:dyDescent="0.45">
      <c r="E261" t="s">
        <v>1562</v>
      </c>
      <c r="G261" t="s">
        <v>160</v>
      </c>
      <c r="I261" t="s">
        <v>249</v>
      </c>
      <c r="J261" t="s">
        <v>1810</v>
      </c>
      <c r="K261">
        <v>4.2867217999408518E-5</v>
      </c>
      <c r="L261" t="s">
        <v>251</v>
      </c>
      <c r="N261" t="s">
        <v>419</v>
      </c>
      <c r="O261" t="s">
        <v>1810</v>
      </c>
      <c r="P261">
        <v>1.412931734702E-4</v>
      </c>
      <c r="Q261" t="s">
        <v>251</v>
      </c>
      <c r="S261" t="s">
        <v>420</v>
      </c>
      <c r="T261" t="s">
        <v>1810</v>
      </c>
      <c r="U261">
        <v>1.717412935497E-4</v>
      </c>
      <c r="V261" t="s">
        <v>251</v>
      </c>
      <c r="X261">
        <v>1.1415525114155251E-4</v>
      </c>
      <c r="Y261">
        <v>1.7237235744060203E-4</v>
      </c>
      <c r="Z261" t="s">
        <v>1810</v>
      </c>
      <c r="AA261" t="s">
        <v>25</v>
      </c>
      <c r="AC261" t="s">
        <v>22</v>
      </c>
      <c r="AD261" t="s">
        <v>1810</v>
      </c>
      <c r="AE261">
        <v>4.8877698383852776E-5</v>
      </c>
      <c r="AG261" t="s">
        <v>97</v>
      </c>
      <c r="AH261" t="s">
        <v>1810</v>
      </c>
      <c r="AI261">
        <v>0</v>
      </c>
      <c r="AK261">
        <v>2042</v>
      </c>
      <c r="AL261" t="s">
        <v>166</v>
      </c>
      <c r="AM261">
        <v>0.24540000000000001</v>
      </c>
      <c r="AN261" t="s">
        <v>430</v>
      </c>
    </row>
    <row r="262" spans="5:40" x14ac:dyDescent="0.45">
      <c r="E262" t="s">
        <v>1563</v>
      </c>
      <c r="G262" t="s">
        <v>160</v>
      </c>
      <c r="I262" t="s">
        <v>249</v>
      </c>
      <c r="J262" t="s">
        <v>1811</v>
      </c>
      <c r="K262">
        <v>9.0365994749497437E-6</v>
      </c>
      <c r="L262" t="s">
        <v>251</v>
      </c>
      <c r="N262" t="s">
        <v>419</v>
      </c>
      <c r="O262" t="s">
        <v>1811</v>
      </c>
      <c r="P262">
        <v>1.421518524144E-4</v>
      </c>
      <c r="Q262" t="s">
        <v>251</v>
      </c>
      <c r="S262" t="s">
        <v>420</v>
      </c>
      <c r="T262" t="s">
        <v>1811</v>
      </c>
      <c r="U262">
        <v>1.718179057349E-4</v>
      </c>
      <c r="V262" t="s">
        <v>251</v>
      </c>
      <c r="X262">
        <v>1.1415525114155251E-4</v>
      </c>
      <c r="Y262">
        <v>1.5579809230208258E-4</v>
      </c>
      <c r="Z262" t="s">
        <v>1811</v>
      </c>
      <c r="AA262" t="s">
        <v>25</v>
      </c>
      <c r="AC262" t="s">
        <v>22</v>
      </c>
      <c r="AD262" t="s">
        <v>1811</v>
      </c>
      <c r="AE262">
        <v>4.3181119411491355E-5</v>
      </c>
      <c r="AG262" t="s">
        <v>97</v>
      </c>
      <c r="AH262" t="s">
        <v>1811</v>
      </c>
      <c r="AI262">
        <v>0</v>
      </c>
      <c r="AK262">
        <v>2042</v>
      </c>
      <c r="AL262" t="s">
        <v>178</v>
      </c>
      <c r="AM262">
        <v>0.19450000000000001</v>
      </c>
      <c r="AN262" t="s">
        <v>430</v>
      </c>
    </row>
    <row r="263" spans="5:40" x14ac:dyDescent="0.45">
      <c r="E263" t="s">
        <v>1564</v>
      </c>
      <c r="G263" t="s">
        <v>160</v>
      </c>
      <c r="I263" t="s">
        <v>249</v>
      </c>
      <c r="J263" t="s">
        <v>1812</v>
      </c>
      <c r="K263">
        <v>0</v>
      </c>
      <c r="L263" t="s">
        <v>251</v>
      </c>
      <c r="N263" t="s">
        <v>419</v>
      </c>
      <c r="O263" t="s">
        <v>1812</v>
      </c>
      <c r="P263">
        <v>1.4340214747629999E-4</v>
      </c>
      <c r="Q263" t="s">
        <v>251</v>
      </c>
      <c r="S263" t="s">
        <v>420</v>
      </c>
      <c r="T263" t="s">
        <v>1812</v>
      </c>
      <c r="U263">
        <v>1.7317136874790001E-4</v>
      </c>
      <c r="V263" t="s">
        <v>251</v>
      </c>
      <c r="X263">
        <v>1.1415525114155251E-4</v>
      </c>
      <c r="Y263">
        <v>1.093901499142282E-4</v>
      </c>
      <c r="Z263" t="s">
        <v>1812</v>
      </c>
      <c r="AA263" t="s">
        <v>25</v>
      </c>
      <c r="AC263" t="s">
        <v>22</v>
      </c>
      <c r="AD263" t="s">
        <v>1812</v>
      </c>
      <c r="AE263">
        <v>4.4738681978156941E-5</v>
      </c>
      <c r="AG263" t="s">
        <v>97</v>
      </c>
      <c r="AH263" t="s">
        <v>1812</v>
      </c>
      <c r="AI263">
        <v>0</v>
      </c>
      <c r="AK263">
        <v>2043</v>
      </c>
      <c r="AL263" t="s">
        <v>151</v>
      </c>
      <c r="AM263">
        <v>0.2208</v>
      </c>
      <c r="AN263" t="s">
        <v>430</v>
      </c>
    </row>
    <row r="264" spans="5:40" x14ac:dyDescent="0.45">
      <c r="E264" t="s">
        <v>1565</v>
      </c>
      <c r="G264" t="s">
        <v>160</v>
      </c>
      <c r="I264" t="s">
        <v>249</v>
      </c>
      <c r="J264" t="s">
        <v>1813</v>
      </c>
      <c r="K264">
        <v>0</v>
      </c>
      <c r="L264" t="s">
        <v>251</v>
      </c>
      <c r="N264" t="s">
        <v>419</v>
      </c>
      <c r="O264" t="s">
        <v>1813</v>
      </c>
      <c r="P264">
        <v>1.4466634454580001E-4</v>
      </c>
      <c r="Q264" t="s">
        <v>251</v>
      </c>
      <c r="S264" t="s">
        <v>420</v>
      </c>
      <c r="T264" t="s">
        <v>1813</v>
      </c>
      <c r="U264">
        <v>1.7352890643999999E-4</v>
      </c>
      <c r="V264" t="s">
        <v>251</v>
      </c>
      <c r="X264">
        <v>1.1415525114155251E-4</v>
      </c>
      <c r="Y264">
        <v>7.9556472664893237E-5</v>
      </c>
      <c r="Z264" t="s">
        <v>1813</v>
      </c>
      <c r="AA264" t="s">
        <v>25</v>
      </c>
      <c r="AC264" t="s">
        <v>22</v>
      </c>
      <c r="AD264" t="s">
        <v>1813</v>
      </c>
      <c r="AE264">
        <v>4.4179385548638966E-5</v>
      </c>
      <c r="AG264" t="s">
        <v>97</v>
      </c>
      <c r="AH264" t="s">
        <v>1813</v>
      </c>
      <c r="AI264">
        <v>0</v>
      </c>
      <c r="AK264">
        <v>2043</v>
      </c>
      <c r="AL264" t="s">
        <v>156</v>
      </c>
      <c r="AM264">
        <v>0.2298</v>
      </c>
      <c r="AN264" t="s">
        <v>430</v>
      </c>
    </row>
    <row r="265" spans="5:40" x14ac:dyDescent="0.45">
      <c r="E265" t="s">
        <v>1566</v>
      </c>
      <c r="G265" t="s">
        <v>160</v>
      </c>
      <c r="I265" t="s">
        <v>249</v>
      </c>
      <c r="J265" t="s">
        <v>1814</v>
      </c>
      <c r="K265">
        <v>0</v>
      </c>
      <c r="L265" t="s">
        <v>251</v>
      </c>
      <c r="N265" t="s">
        <v>419</v>
      </c>
      <c r="O265" t="s">
        <v>1814</v>
      </c>
      <c r="P265">
        <v>1.503765807811E-4</v>
      </c>
      <c r="Q265" t="s">
        <v>251</v>
      </c>
      <c r="S265" t="s">
        <v>420</v>
      </c>
      <c r="T265" t="s">
        <v>1814</v>
      </c>
      <c r="U265">
        <v>1.781548055311E-4</v>
      </c>
      <c r="V265" t="s">
        <v>251</v>
      </c>
      <c r="X265">
        <v>1.1415525114155251E-4</v>
      </c>
      <c r="Y265">
        <v>5.6352501470966035E-5</v>
      </c>
      <c r="Z265" t="s">
        <v>1814</v>
      </c>
      <c r="AA265" t="s">
        <v>25</v>
      </c>
      <c r="AC265" t="s">
        <v>22</v>
      </c>
      <c r="AD265" t="s">
        <v>1814</v>
      </c>
      <c r="AE265">
        <v>5.4516342267897588E-5</v>
      </c>
      <c r="AG265" t="s">
        <v>97</v>
      </c>
      <c r="AH265" t="s">
        <v>1814</v>
      </c>
      <c r="AI265">
        <v>0</v>
      </c>
      <c r="AK265">
        <v>2043</v>
      </c>
      <c r="AL265" t="s">
        <v>159</v>
      </c>
      <c r="AM265">
        <v>0.2472</v>
      </c>
      <c r="AN265" t="s">
        <v>430</v>
      </c>
    </row>
    <row r="266" spans="5:40" x14ac:dyDescent="0.45">
      <c r="E266" t="s">
        <v>1567</v>
      </c>
      <c r="G266" t="s">
        <v>160</v>
      </c>
      <c r="I266" t="s">
        <v>249</v>
      </c>
      <c r="J266" t="s">
        <v>1815</v>
      </c>
      <c r="K266">
        <v>0</v>
      </c>
      <c r="L266" t="s">
        <v>251</v>
      </c>
      <c r="N266" t="s">
        <v>419</v>
      </c>
      <c r="O266" t="s">
        <v>1815</v>
      </c>
      <c r="P266">
        <v>1.5992501362679999E-4</v>
      </c>
      <c r="Q266" t="s">
        <v>251</v>
      </c>
      <c r="S266" t="s">
        <v>420</v>
      </c>
      <c r="T266" t="s">
        <v>1815</v>
      </c>
      <c r="U266">
        <v>1.8018442584350001E-4</v>
      </c>
      <c r="V266" t="s">
        <v>251</v>
      </c>
      <c r="X266">
        <v>1.1415525114155251E-4</v>
      </c>
      <c r="Y266">
        <v>2.9833677249334962E-5</v>
      </c>
      <c r="Z266" t="s">
        <v>1815</v>
      </c>
      <c r="AA266" t="s">
        <v>25</v>
      </c>
      <c r="AC266" t="s">
        <v>22</v>
      </c>
      <c r="AD266" t="s">
        <v>1815</v>
      </c>
      <c r="AE266">
        <v>7.8268614341391239E-5</v>
      </c>
      <c r="AG266" t="s">
        <v>97</v>
      </c>
      <c r="AH266" t="s">
        <v>1815</v>
      </c>
      <c r="AI266">
        <v>0</v>
      </c>
      <c r="AK266">
        <v>2043</v>
      </c>
      <c r="AL266" t="s">
        <v>163</v>
      </c>
      <c r="AM266">
        <v>0.25059999999999999</v>
      </c>
      <c r="AN266" t="s">
        <v>430</v>
      </c>
    </row>
    <row r="267" spans="5:40" x14ac:dyDescent="0.45">
      <c r="E267" t="s">
        <v>1568</v>
      </c>
      <c r="G267" t="s">
        <v>160</v>
      </c>
      <c r="I267" t="s">
        <v>249</v>
      </c>
      <c r="J267" t="s">
        <v>1816</v>
      </c>
      <c r="K267">
        <v>0</v>
      </c>
      <c r="L267" t="s">
        <v>251</v>
      </c>
      <c r="N267" t="s">
        <v>419</v>
      </c>
      <c r="O267" t="s">
        <v>1816</v>
      </c>
      <c r="P267">
        <v>1.6352081505810001E-4</v>
      </c>
      <c r="Q267" t="s">
        <v>251</v>
      </c>
      <c r="S267" t="s">
        <v>420</v>
      </c>
      <c r="T267" t="s">
        <v>1816</v>
      </c>
      <c r="U267">
        <v>1.8201060943060001E-4</v>
      </c>
      <c r="V267" t="s">
        <v>251</v>
      </c>
      <c r="X267">
        <v>1.1415525114155251E-4</v>
      </c>
      <c r="Y267">
        <v>2.1546544680075254E-5</v>
      </c>
      <c r="Z267" t="s">
        <v>1816</v>
      </c>
      <c r="AA267" t="s">
        <v>25</v>
      </c>
      <c r="AC267" t="s">
        <v>22</v>
      </c>
      <c r="AD267" t="s">
        <v>1816</v>
      </c>
      <c r="AE267">
        <v>8.1600996055909713E-5</v>
      </c>
      <c r="AG267" t="s">
        <v>97</v>
      </c>
      <c r="AH267" t="s">
        <v>1816</v>
      </c>
      <c r="AI267">
        <v>0</v>
      </c>
      <c r="AK267">
        <v>2043</v>
      </c>
      <c r="AL267" t="s">
        <v>167</v>
      </c>
      <c r="AM267">
        <v>0.31540000000000001</v>
      </c>
      <c r="AN267" t="s">
        <v>430</v>
      </c>
    </row>
    <row r="268" spans="5:40" x14ac:dyDescent="0.45">
      <c r="E268" t="s">
        <v>1569</v>
      </c>
      <c r="G268" t="s">
        <v>160</v>
      </c>
      <c r="I268" t="s">
        <v>249</v>
      </c>
      <c r="J268" t="s">
        <v>1817</v>
      </c>
      <c r="K268">
        <v>0</v>
      </c>
      <c r="L268" t="s">
        <v>251</v>
      </c>
      <c r="N268" t="s">
        <v>419</v>
      </c>
      <c r="O268" t="s">
        <v>1817</v>
      </c>
      <c r="P268">
        <v>1.6072881861779999E-4</v>
      </c>
      <c r="Q268" t="s">
        <v>251</v>
      </c>
      <c r="S268" t="s">
        <v>420</v>
      </c>
      <c r="T268" t="s">
        <v>1817</v>
      </c>
      <c r="U268">
        <v>1.843567366727E-4</v>
      </c>
      <c r="V268" t="s">
        <v>251</v>
      </c>
      <c r="X268">
        <v>1.1415525114155251E-4</v>
      </c>
      <c r="Y268">
        <v>1.4916838624667481E-5</v>
      </c>
      <c r="Z268" t="s">
        <v>1817</v>
      </c>
      <c r="AA268" t="s">
        <v>25</v>
      </c>
      <c r="AC268" t="s">
        <v>22</v>
      </c>
      <c r="AD268" t="s">
        <v>1817</v>
      </c>
      <c r="AE268">
        <v>9.805121872888376E-5</v>
      </c>
      <c r="AG268" t="s">
        <v>97</v>
      </c>
      <c r="AH268" t="s">
        <v>1817</v>
      </c>
      <c r="AI268">
        <v>0</v>
      </c>
      <c r="AK268">
        <v>2043</v>
      </c>
      <c r="AL268" t="s">
        <v>169</v>
      </c>
      <c r="AM268">
        <v>0.36009999999999998</v>
      </c>
      <c r="AN268" t="s">
        <v>430</v>
      </c>
    </row>
    <row r="269" spans="5:40" x14ac:dyDescent="0.45">
      <c r="E269" t="s">
        <v>1570</v>
      </c>
      <c r="G269" t="s">
        <v>160</v>
      </c>
      <c r="I269" t="s">
        <v>249</v>
      </c>
      <c r="J269" t="s">
        <v>1818</v>
      </c>
      <c r="K269">
        <v>0</v>
      </c>
      <c r="L269" t="s">
        <v>251</v>
      </c>
      <c r="N269" t="s">
        <v>419</v>
      </c>
      <c r="O269" t="s">
        <v>1818</v>
      </c>
      <c r="P269">
        <v>1.4160392788999999E-4</v>
      </c>
      <c r="Q269" t="s">
        <v>251</v>
      </c>
      <c r="S269" t="s">
        <v>420</v>
      </c>
      <c r="T269" t="s">
        <v>1818</v>
      </c>
      <c r="U269">
        <v>1.776684389261E-4</v>
      </c>
      <c r="V269" t="s">
        <v>251</v>
      </c>
      <c r="X269">
        <v>1.1415525114155251E-4</v>
      </c>
      <c r="Y269">
        <v>1.6574265138519424E-5</v>
      </c>
      <c r="Z269" t="s">
        <v>1818</v>
      </c>
      <c r="AA269" t="s">
        <v>25</v>
      </c>
      <c r="AC269" t="s">
        <v>22</v>
      </c>
      <c r="AD269" t="s">
        <v>1818</v>
      </c>
      <c r="AE269">
        <v>1.2149933158871525E-4</v>
      </c>
      <c r="AG269" t="s">
        <v>97</v>
      </c>
      <c r="AH269" t="s">
        <v>1818</v>
      </c>
      <c r="AI269">
        <v>0</v>
      </c>
      <c r="AK269">
        <v>2043</v>
      </c>
      <c r="AL269" t="s">
        <v>171</v>
      </c>
      <c r="AM269">
        <v>0.46500000000000002</v>
      </c>
      <c r="AN269" t="s">
        <v>430</v>
      </c>
    </row>
    <row r="270" spans="5:40" x14ac:dyDescent="0.45">
      <c r="E270" t="s">
        <v>1571</v>
      </c>
      <c r="G270" t="s">
        <v>160</v>
      </c>
      <c r="I270" t="s">
        <v>249</v>
      </c>
      <c r="J270" t="s">
        <v>1819</v>
      </c>
      <c r="K270">
        <v>0</v>
      </c>
      <c r="L270" t="s">
        <v>251</v>
      </c>
      <c r="N270" t="s">
        <v>419</v>
      </c>
      <c r="O270" t="s">
        <v>1819</v>
      </c>
      <c r="P270">
        <v>1.085328650444E-4</v>
      </c>
      <c r="Q270" t="s">
        <v>251</v>
      </c>
      <c r="S270" t="s">
        <v>420</v>
      </c>
      <c r="T270" t="s">
        <v>1819</v>
      </c>
      <c r="U270">
        <v>1.7301423728659999E-4</v>
      </c>
      <c r="V270" t="s">
        <v>251</v>
      </c>
      <c r="X270">
        <v>1.1415525114155251E-4</v>
      </c>
      <c r="Y270">
        <v>1.4585353321897093E-5</v>
      </c>
      <c r="Z270" t="s">
        <v>1819</v>
      </c>
      <c r="AA270" t="s">
        <v>25</v>
      </c>
      <c r="AC270" t="s">
        <v>22</v>
      </c>
      <c r="AD270" t="s">
        <v>1819</v>
      </c>
      <c r="AE270">
        <v>1.3827933861056843E-4</v>
      </c>
      <c r="AG270" t="s">
        <v>97</v>
      </c>
      <c r="AH270" t="s">
        <v>1819</v>
      </c>
      <c r="AI270">
        <v>0</v>
      </c>
      <c r="AK270">
        <v>2043</v>
      </c>
      <c r="AL270" t="s">
        <v>158</v>
      </c>
      <c r="AM270">
        <v>0.58960000000000001</v>
      </c>
      <c r="AN270" t="s">
        <v>430</v>
      </c>
    </row>
    <row r="271" spans="5:40" x14ac:dyDescent="0.45">
      <c r="E271" t="s">
        <v>1572</v>
      </c>
      <c r="G271" t="s">
        <v>160</v>
      </c>
      <c r="I271" t="s">
        <v>249</v>
      </c>
      <c r="J271" t="s">
        <v>1820</v>
      </c>
      <c r="K271">
        <v>0</v>
      </c>
      <c r="L271" t="s">
        <v>251</v>
      </c>
      <c r="N271" t="s">
        <v>419</v>
      </c>
      <c r="O271" t="s">
        <v>1820</v>
      </c>
      <c r="P271">
        <v>1.076690416982E-4</v>
      </c>
      <c r="Q271" t="s">
        <v>251</v>
      </c>
      <c r="S271" t="s">
        <v>420</v>
      </c>
      <c r="T271" t="s">
        <v>1820</v>
      </c>
      <c r="U271">
        <v>1.724090268669E-4</v>
      </c>
      <c r="V271" t="s">
        <v>251</v>
      </c>
      <c r="X271">
        <v>1.1415525114155251E-4</v>
      </c>
      <c r="Y271">
        <v>2.1215059377304864E-5</v>
      </c>
      <c r="Z271" t="s">
        <v>1820</v>
      </c>
      <c r="AA271" t="s">
        <v>25</v>
      </c>
      <c r="AC271" t="s">
        <v>22</v>
      </c>
      <c r="AD271" t="s">
        <v>1820</v>
      </c>
      <c r="AE271">
        <v>1.4317596770963519E-4</v>
      </c>
      <c r="AG271" t="s">
        <v>97</v>
      </c>
      <c r="AH271" t="s">
        <v>1820</v>
      </c>
      <c r="AI271">
        <v>0</v>
      </c>
      <c r="AK271">
        <v>2043</v>
      </c>
      <c r="AL271" t="s">
        <v>162</v>
      </c>
      <c r="AM271">
        <v>0.51419999999999999</v>
      </c>
      <c r="AN271" t="s">
        <v>430</v>
      </c>
    </row>
    <row r="272" spans="5:40" x14ac:dyDescent="0.45">
      <c r="E272" t="s">
        <v>1573</v>
      </c>
      <c r="G272" t="s">
        <v>160</v>
      </c>
      <c r="I272" t="s">
        <v>249</v>
      </c>
      <c r="J272" t="s">
        <v>1821</v>
      </c>
      <c r="K272">
        <v>0</v>
      </c>
      <c r="L272" t="s">
        <v>251</v>
      </c>
      <c r="N272" t="s">
        <v>419</v>
      </c>
      <c r="O272" t="s">
        <v>1821</v>
      </c>
      <c r="P272">
        <v>1.0413281405510001E-4</v>
      </c>
      <c r="Q272" t="s">
        <v>251</v>
      </c>
      <c r="S272" t="s">
        <v>420</v>
      </c>
      <c r="T272" t="s">
        <v>1821</v>
      </c>
      <c r="U272">
        <v>1.6708258461090001E-4</v>
      </c>
      <c r="V272" t="s">
        <v>251</v>
      </c>
      <c r="X272">
        <v>1.1415525114155251E-4</v>
      </c>
      <c r="Y272">
        <v>5.7678442682047593E-5</v>
      </c>
      <c r="Z272" t="s">
        <v>1821</v>
      </c>
      <c r="AA272" t="s">
        <v>25</v>
      </c>
      <c r="AC272" t="s">
        <v>22</v>
      </c>
      <c r="AD272" t="s">
        <v>1821</v>
      </c>
      <c r="AE272">
        <v>1.4344001801600126E-4</v>
      </c>
      <c r="AG272" t="s">
        <v>97</v>
      </c>
      <c r="AH272" t="s">
        <v>1821</v>
      </c>
      <c r="AI272">
        <v>0</v>
      </c>
      <c r="AK272">
        <v>2043</v>
      </c>
      <c r="AL272" t="s">
        <v>175</v>
      </c>
      <c r="AM272">
        <v>0.39229999999999998</v>
      </c>
      <c r="AN272" t="s">
        <v>430</v>
      </c>
    </row>
    <row r="273" spans="5:40" x14ac:dyDescent="0.45">
      <c r="E273" t="s">
        <v>1574</v>
      </c>
      <c r="G273" t="s">
        <v>160</v>
      </c>
      <c r="I273" t="s">
        <v>249</v>
      </c>
      <c r="J273" t="s">
        <v>1822</v>
      </c>
      <c r="K273">
        <v>8.1787624421925571E-6</v>
      </c>
      <c r="L273" t="s">
        <v>251</v>
      </c>
      <c r="N273" t="s">
        <v>419</v>
      </c>
      <c r="O273" t="s">
        <v>1822</v>
      </c>
      <c r="P273">
        <v>1.012016738511E-4</v>
      </c>
      <c r="Q273" t="s">
        <v>251</v>
      </c>
      <c r="S273" t="s">
        <v>420</v>
      </c>
      <c r="T273" t="s">
        <v>1822</v>
      </c>
      <c r="U273">
        <v>1.6541719099699999E-4</v>
      </c>
      <c r="V273" t="s">
        <v>251</v>
      </c>
      <c r="X273">
        <v>1.1415525114155251E-4</v>
      </c>
      <c r="Y273">
        <v>1.6905750441289813E-4</v>
      </c>
      <c r="Z273" t="s">
        <v>1822</v>
      </c>
      <c r="AA273" t="s">
        <v>25</v>
      </c>
      <c r="AC273" t="s">
        <v>22</v>
      </c>
      <c r="AD273" t="s">
        <v>1822</v>
      </c>
      <c r="AE273">
        <v>1.4344001801600126E-4</v>
      </c>
      <c r="AG273" t="s">
        <v>97</v>
      </c>
      <c r="AH273" t="s">
        <v>1822</v>
      </c>
      <c r="AI273">
        <v>0</v>
      </c>
      <c r="AK273">
        <v>2043</v>
      </c>
      <c r="AL273" t="s">
        <v>166</v>
      </c>
      <c r="AM273">
        <v>0.26550000000000001</v>
      </c>
      <c r="AN273" t="s">
        <v>430</v>
      </c>
    </row>
    <row r="274" spans="5:40" x14ac:dyDescent="0.45">
      <c r="E274" t="s">
        <v>1575</v>
      </c>
      <c r="G274" t="s">
        <v>160</v>
      </c>
      <c r="I274" t="s">
        <v>249</v>
      </c>
      <c r="J274" t="s">
        <v>1823</v>
      </c>
      <c r="K274">
        <v>4.277725098528466E-5</v>
      </c>
      <c r="L274" t="s">
        <v>251</v>
      </c>
      <c r="N274" t="s">
        <v>419</v>
      </c>
      <c r="O274" t="s">
        <v>1823</v>
      </c>
      <c r="P274">
        <v>1.247963201085E-4</v>
      </c>
      <c r="Q274" t="s">
        <v>251</v>
      </c>
      <c r="S274" t="s">
        <v>420</v>
      </c>
      <c r="T274" t="s">
        <v>1823</v>
      </c>
      <c r="U274">
        <v>1.6082137082780001E-4</v>
      </c>
      <c r="V274" t="s">
        <v>251</v>
      </c>
      <c r="X274">
        <v>1.1415525114155251E-4</v>
      </c>
      <c r="Y274">
        <v>1.9060404909297337E-4</v>
      </c>
      <c r="Z274" t="s">
        <v>1823</v>
      </c>
      <c r="AA274" t="s">
        <v>25</v>
      </c>
      <c r="AC274" t="s">
        <v>22</v>
      </c>
      <c r="AD274" t="s">
        <v>1823</v>
      </c>
      <c r="AE274">
        <v>1.4304672789723662E-4</v>
      </c>
      <c r="AG274" t="s">
        <v>97</v>
      </c>
      <c r="AH274" t="s">
        <v>1823</v>
      </c>
      <c r="AI274">
        <v>0</v>
      </c>
      <c r="AK274">
        <v>2043</v>
      </c>
      <c r="AL274" t="s">
        <v>178</v>
      </c>
      <c r="AM274">
        <v>0.22359999999999999</v>
      </c>
      <c r="AN274" t="s">
        <v>430</v>
      </c>
    </row>
    <row r="275" spans="5:40" x14ac:dyDescent="0.45">
      <c r="E275" t="s">
        <v>1576</v>
      </c>
      <c r="G275" t="s">
        <v>160</v>
      </c>
      <c r="I275" t="s">
        <v>249</v>
      </c>
      <c r="J275" t="s">
        <v>1824</v>
      </c>
      <c r="K275">
        <v>8.7468101922011192E-5</v>
      </c>
      <c r="L275" t="s">
        <v>251</v>
      </c>
      <c r="N275" t="s">
        <v>419</v>
      </c>
      <c r="O275" t="s">
        <v>1824</v>
      </c>
      <c r="P275">
        <v>1.4826351957149999E-4</v>
      </c>
      <c r="Q275" t="s">
        <v>251</v>
      </c>
      <c r="S275" t="s">
        <v>420</v>
      </c>
      <c r="T275" t="s">
        <v>1824</v>
      </c>
      <c r="U275">
        <v>1.504270075437E-4</v>
      </c>
      <c r="V275" t="s">
        <v>251</v>
      </c>
      <c r="X275">
        <v>1.1415525114155251E-4</v>
      </c>
      <c r="Y275">
        <v>1.4585353321897094E-4</v>
      </c>
      <c r="Z275" t="s">
        <v>1824</v>
      </c>
      <c r="AA275" t="s">
        <v>25</v>
      </c>
      <c r="AC275" t="s">
        <v>22</v>
      </c>
      <c r="AD275" t="s">
        <v>1824</v>
      </c>
      <c r="AE275">
        <v>1.4387564531468958E-4</v>
      </c>
      <c r="AG275" t="s">
        <v>97</v>
      </c>
      <c r="AH275" t="s">
        <v>1824</v>
      </c>
      <c r="AI275">
        <v>0</v>
      </c>
      <c r="AK275">
        <v>2044</v>
      </c>
      <c r="AL275" t="s">
        <v>151</v>
      </c>
      <c r="AM275">
        <v>0.21429999999999999</v>
      </c>
      <c r="AN275" t="s">
        <v>430</v>
      </c>
    </row>
    <row r="276" spans="5:40" x14ac:dyDescent="0.45">
      <c r="E276" t="s">
        <v>1577</v>
      </c>
      <c r="G276" t="s">
        <v>160</v>
      </c>
      <c r="I276" t="s">
        <v>249</v>
      </c>
      <c r="J276" t="s">
        <v>1825</v>
      </c>
      <c r="K276">
        <v>1.3549670322329999E-4</v>
      </c>
      <c r="L276" t="s">
        <v>251</v>
      </c>
      <c r="N276" t="s">
        <v>419</v>
      </c>
      <c r="O276" t="s">
        <v>1825</v>
      </c>
      <c r="P276">
        <v>1.3241653222189999E-4</v>
      </c>
      <c r="Q276" t="s">
        <v>251</v>
      </c>
      <c r="S276" t="s">
        <v>420</v>
      </c>
      <c r="T276" t="s">
        <v>1825</v>
      </c>
      <c r="U276">
        <v>1.408573777995E-4</v>
      </c>
      <c r="V276" t="s">
        <v>251</v>
      </c>
      <c r="X276">
        <v>1.1415525114155251E-4</v>
      </c>
      <c r="Y276">
        <v>1.4452759200788939E-4</v>
      </c>
      <c r="Z276" t="s">
        <v>1825</v>
      </c>
      <c r="AA276" t="s">
        <v>25</v>
      </c>
      <c r="AC276" t="s">
        <v>22</v>
      </c>
      <c r="AD276" t="s">
        <v>1825</v>
      </c>
      <c r="AE276">
        <v>1.4386338981523799E-4</v>
      </c>
      <c r="AG276" t="s">
        <v>97</v>
      </c>
      <c r="AH276" t="s">
        <v>1825</v>
      </c>
      <c r="AI276">
        <v>0</v>
      </c>
      <c r="AK276">
        <v>2044</v>
      </c>
      <c r="AL276" t="s">
        <v>156</v>
      </c>
      <c r="AM276">
        <v>0.1986</v>
      </c>
      <c r="AN276" t="s">
        <v>430</v>
      </c>
    </row>
    <row r="277" spans="5:40" x14ac:dyDescent="0.45">
      <c r="E277" t="s">
        <v>1578</v>
      </c>
      <c r="G277" t="s">
        <v>160</v>
      </c>
      <c r="I277" t="s">
        <v>249</v>
      </c>
      <c r="J277" t="s">
        <v>1826</v>
      </c>
      <c r="K277">
        <v>1.8400661407990001E-4</v>
      </c>
      <c r="L277" t="s">
        <v>251</v>
      </c>
      <c r="N277" t="s">
        <v>419</v>
      </c>
      <c r="O277" t="s">
        <v>1826</v>
      </c>
      <c r="P277">
        <v>1.2680883522809999E-4</v>
      </c>
      <c r="Q277" t="s">
        <v>251</v>
      </c>
      <c r="S277" t="s">
        <v>420</v>
      </c>
      <c r="T277" t="s">
        <v>1826</v>
      </c>
      <c r="U277">
        <v>1.4056708169699999E-4</v>
      </c>
      <c r="V277" t="s">
        <v>251</v>
      </c>
      <c r="X277">
        <v>1.1415525114155251E-4</v>
      </c>
      <c r="Y277">
        <v>1.408812536774151E-4</v>
      </c>
      <c r="Z277" t="s">
        <v>1826</v>
      </c>
      <c r="AA277" t="s">
        <v>25</v>
      </c>
      <c r="AC277" t="s">
        <v>22</v>
      </c>
      <c r="AD277" t="s">
        <v>1826</v>
      </c>
      <c r="AE277">
        <v>1.4366395941507122E-4</v>
      </c>
      <c r="AG277" t="s">
        <v>97</v>
      </c>
      <c r="AH277" t="s">
        <v>1826</v>
      </c>
      <c r="AI277">
        <v>0</v>
      </c>
      <c r="AK277">
        <v>2044</v>
      </c>
      <c r="AL277" t="s">
        <v>159</v>
      </c>
      <c r="AM277">
        <v>0.21909999999999999</v>
      </c>
      <c r="AN277" t="s">
        <v>430</v>
      </c>
    </row>
    <row r="278" spans="5:40" x14ac:dyDescent="0.45">
      <c r="E278" t="s">
        <v>1579</v>
      </c>
      <c r="G278" t="s">
        <v>160</v>
      </c>
      <c r="I278" t="s">
        <v>249</v>
      </c>
      <c r="J278" t="s">
        <v>1827</v>
      </c>
      <c r="K278">
        <v>2.1370833804549999E-4</v>
      </c>
      <c r="L278" t="s">
        <v>251</v>
      </c>
      <c r="N278" t="s">
        <v>419</v>
      </c>
      <c r="O278" t="s">
        <v>1827</v>
      </c>
      <c r="P278">
        <v>1.2899811441720001E-4</v>
      </c>
      <c r="Q278" t="s">
        <v>251</v>
      </c>
      <c r="S278" t="s">
        <v>420</v>
      </c>
      <c r="T278" t="s">
        <v>1827</v>
      </c>
      <c r="U278">
        <v>1.396293885472E-4</v>
      </c>
      <c r="V278" t="s">
        <v>251</v>
      </c>
      <c r="X278">
        <v>1.1415525114155251E-4</v>
      </c>
      <c r="Y278">
        <v>1.4054976837464471E-4</v>
      </c>
      <c r="Z278" t="s">
        <v>1827</v>
      </c>
      <c r="AA278" t="s">
        <v>25</v>
      </c>
      <c r="AC278" t="s">
        <v>22</v>
      </c>
      <c r="AD278" t="s">
        <v>1827</v>
      </c>
      <c r="AE278">
        <v>1.4396031967453692E-4</v>
      </c>
      <c r="AG278" t="s">
        <v>97</v>
      </c>
      <c r="AH278" t="s">
        <v>1827</v>
      </c>
      <c r="AI278">
        <v>0</v>
      </c>
      <c r="AK278">
        <v>2044</v>
      </c>
      <c r="AL278" t="s">
        <v>163</v>
      </c>
      <c r="AM278">
        <v>0.28100000000000003</v>
      </c>
      <c r="AN278" t="s">
        <v>430</v>
      </c>
    </row>
    <row r="279" spans="5:40" x14ac:dyDescent="0.45">
      <c r="E279" t="s">
        <v>1580</v>
      </c>
      <c r="G279" t="s">
        <v>160</v>
      </c>
      <c r="I279" t="s">
        <v>249</v>
      </c>
      <c r="J279" t="s">
        <v>1828</v>
      </c>
      <c r="K279">
        <v>2.0950492778840001E-4</v>
      </c>
      <c r="L279" t="s">
        <v>251</v>
      </c>
      <c r="N279" t="s">
        <v>419</v>
      </c>
      <c r="O279" t="s">
        <v>1828</v>
      </c>
      <c r="P279">
        <v>1.367958902702E-4</v>
      </c>
      <c r="Q279" t="s">
        <v>251</v>
      </c>
      <c r="S279" t="s">
        <v>420</v>
      </c>
      <c r="T279" t="s">
        <v>1828</v>
      </c>
      <c r="U279">
        <v>1.3665094056109999E-4</v>
      </c>
      <c r="V279" t="s">
        <v>251</v>
      </c>
      <c r="X279">
        <v>1.1415525114155251E-4</v>
      </c>
      <c r="Y279">
        <v>1.4253868019126702E-4</v>
      </c>
      <c r="Z279" t="s">
        <v>1828</v>
      </c>
      <c r="AA279" t="s">
        <v>25</v>
      </c>
      <c r="AC279" t="s">
        <v>22</v>
      </c>
      <c r="AD279" t="s">
        <v>1828</v>
      </c>
      <c r="AE279">
        <v>1.7197527728455601E-4</v>
      </c>
      <c r="AG279" t="s">
        <v>97</v>
      </c>
      <c r="AH279" t="s">
        <v>1828</v>
      </c>
      <c r="AI279">
        <v>0</v>
      </c>
      <c r="AK279">
        <v>2044</v>
      </c>
      <c r="AL279" t="s">
        <v>167</v>
      </c>
      <c r="AM279">
        <v>0.3448</v>
      </c>
      <c r="AN279" t="s">
        <v>430</v>
      </c>
    </row>
    <row r="280" spans="5:40" x14ac:dyDescent="0.45">
      <c r="E280" t="s">
        <v>1581</v>
      </c>
      <c r="G280" t="s">
        <v>160</v>
      </c>
      <c r="I280" t="s">
        <v>249</v>
      </c>
      <c r="J280" t="s">
        <v>1829</v>
      </c>
      <c r="K280">
        <v>1.9207126622930001E-4</v>
      </c>
      <c r="L280" t="s">
        <v>251</v>
      </c>
      <c r="N280" t="s">
        <v>419</v>
      </c>
      <c r="O280" t="s">
        <v>1829</v>
      </c>
      <c r="P280">
        <v>1.4304811654649999E-4</v>
      </c>
      <c r="Q280" t="s">
        <v>251</v>
      </c>
      <c r="S280" t="s">
        <v>420</v>
      </c>
      <c r="T280" t="s">
        <v>1829</v>
      </c>
      <c r="U280">
        <v>1.3805834339780001E-4</v>
      </c>
      <c r="V280" t="s">
        <v>251</v>
      </c>
      <c r="X280">
        <v>1.1415525114155251E-4</v>
      </c>
      <c r="Y280">
        <v>1.4883690094390442E-4</v>
      </c>
      <c r="Z280" t="s">
        <v>1829</v>
      </c>
      <c r="AA280" t="s">
        <v>25</v>
      </c>
      <c r="AC280" t="s">
        <v>22</v>
      </c>
      <c r="AD280" t="s">
        <v>1829</v>
      </c>
      <c r="AE280">
        <v>1.7509708723576997E-4</v>
      </c>
      <c r="AG280" t="s">
        <v>97</v>
      </c>
      <c r="AH280" t="s">
        <v>1829</v>
      </c>
      <c r="AI280">
        <v>0</v>
      </c>
      <c r="AK280">
        <v>2044</v>
      </c>
      <c r="AL280" t="s">
        <v>169</v>
      </c>
      <c r="AM280">
        <v>0.43690000000000001</v>
      </c>
      <c r="AN280" t="s">
        <v>430</v>
      </c>
    </row>
    <row r="281" spans="5:40" x14ac:dyDescent="0.45">
      <c r="E281" t="s">
        <v>1582</v>
      </c>
      <c r="G281" t="s">
        <v>160</v>
      </c>
      <c r="I281" t="s">
        <v>249</v>
      </c>
      <c r="J281" t="s">
        <v>1830</v>
      </c>
      <c r="K281">
        <v>1.6635057440049999E-4</v>
      </c>
      <c r="L281" t="s">
        <v>251</v>
      </c>
      <c r="N281" t="s">
        <v>419</v>
      </c>
      <c r="O281" t="s">
        <v>1830</v>
      </c>
      <c r="P281">
        <v>1.4919489381370001E-4</v>
      </c>
      <c r="Q281" t="s">
        <v>251</v>
      </c>
      <c r="S281" t="s">
        <v>420</v>
      </c>
      <c r="T281" t="s">
        <v>1830</v>
      </c>
      <c r="U281">
        <v>1.4321246697080001E-4</v>
      </c>
      <c r="V281" t="s">
        <v>251</v>
      </c>
      <c r="X281">
        <v>1.1415525114155251E-4</v>
      </c>
      <c r="Y281">
        <v>1.5049432745775637E-4</v>
      </c>
      <c r="Z281" t="s">
        <v>1830</v>
      </c>
      <c r="AA281" t="s">
        <v>25</v>
      </c>
      <c r="AC281" t="s">
        <v>22</v>
      </c>
      <c r="AD281" t="s">
        <v>1830</v>
      </c>
      <c r="AE281">
        <v>1.6688367433057759E-4</v>
      </c>
      <c r="AG281" t="s">
        <v>97</v>
      </c>
      <c r="AH281" t="s">
        <v>1830</v>
      </c>
      <c r="AI281">
        <v>0</v>
      </c>
      <c r="AK281">
        <v>2044</v>
      </c>
      <c r="AL281" t="s">
        <v>171</v>
      </c>
      <c r="AM281">
        <v>0.43090000000000001</v>
      </c>
      <c r="AN281" t="s">
        <v>430</v>
      </c>
    </row>
    <row r="282" spans="5:40" x14ac:dyDescent="0.45">
      <c r="E282" t="s">
        <v>1583</v>
      </c>
      <c r="G282" t="s">
        <v>160</v>
      </c>
      <c r="I282" t="s">
        <v>249</v>
      </c>
      <c r="J282" t="s">
        <v>1831</v>
      </c>
      <c r="K282">
        <v>1.399969909934E-4</v>
      </c>
      <c r="L282" t="s">
        <v>251</v>
      </c>
      <c r="N282" t="s">
        <v>419</v>
      </c>
      <c r="O282" t="s">
        <v>1831</v>
      </c>
      <c r="P282">
        <v>1.3910259639519999E-4</v>
      </c>
      <c r="Q282" t="s">
        <v>251</v>
      </c>
      <c r="S282" t="s">
        <v>420</v>
      </c>
      <c r="T282" t="s">
        <v>1831</v>
      </c>
      <c r="U282">
        <v>1.4538871588380001E-4</v>
      </c>
      <c r="V282" t="s">
        <v>251</v>
      </c>
      <c r="X282">
        <v>1.1415525114155251E-4</v>
      </c>
      <c r="Y282">
        <v>1.7237235744060203E-4</v>
      </c>
      <c r="Z282" t="s">
        <v>1831</v>
      </c>
      <c r="AA282" t="s">
        <v>25</v>
      </c>
      <c r="AC282" t="s">
        <v>22</v>
      </c>
      <c r="AD282" t="s">
        <v>1831</v>
      </c>
      <c r="AE282">
        <v>1.4700302594747238E-4</v>
      </c>
      <c r="AG282" t="s">
        <v>97</v>
      </c>
      <c r="AH282" t="s">
        <v>1831</v>
      </c>
      <c r="AI282">
        <v>0</v>
      </c>
      <c r="AK282">
        <v>2044</v>
      </c>
      <c r="AL282" t="s">
        <v>158</v>
      </c>
      <c r="AM282">
        <v>0.52339999999999998</v>
      </c>
      <c r="AN282" t="s">
        <v>430</v>
      </c>
    </row>
    <row r="283" spans="5:40" x14ac:dyDescent="0.45">
      <c r="E283" t="s">
        <v>1584</v>
      </c>
      <c r="G283" t="s">
        <v>160</v>
      </c>
      <c r="I283" t="s">
        <v>249</v>
      </c>
      <c r="J283" t="s">
        <v>1832</v>
      </c>
      <c r="K283">
        <v>1.2213520886709999E-4</v>
      </c>
      <c r="L283" t="s">
        <v>251</v>
      </c>
      <c r="N283" t="s">
        <v>419</v>
      </c>
      <c r="O283" t="s">
        <v>1832</v>
      </c>
      <c r="P283">
        <v>1.4897281480990001E-4</v>
      </c>
      <c r="Q283" t="s">
        <v>251</v>
      </c>
      <c r="S283" t="s">
        <v>420</v>
      </c>
      <c r="T283" t="s">
        <v>1832</v>
      </c>
      <c r="U283">
        <v>1.466644354654E-4</v>
      </c>
      <c r="V283" t="s">
        <v>251</v>
      </c>
      <c r="X283">
        <v>1.1415525114155251E-4</v>
      </c>
      <c r="Y283">
        <v>2.2209515285616027E-4</v>
      </c>
      <c r="Z283" t="s">
        <v>1832</v>
      </c>
      <c r="AA283" t="s">
        <v>25</v>
      </c>
      <c r="AC283" t="s">
        <v>22</v>
      </c>
      <c r="AD283" t="s">
        <v>1832</v>
      </c>
      <c r="AE283">
        <v>1.2107150324422339E-4</v>
      </c>
      <c r="AG283" t="s">
        <v>97</v>
      </c>
      <c r="AH283" t="s">
        <v>1832</v>
      </c>
      <c r="AI283">
        <v>0</v>
      </c>
      <c r="AK283">
        <v>2044</v>
      </c>
      <c r="AL283" t="s">
        <v>162</v>
      </c>
      <c r="AM283">
        <v>0.50490000000000002</v>
      </c>
      <c r="AN283" t="s">
        <v>430</v>
      </c>
    </row>
    <row r="284" spans="5:40" x14ac:dyDescent="0.45">
      <c r="E284" t="s">
        <v>1585</v>
      </c>
      <c r="G284" t="s">
        <v>160</v>
      </c>
      <c r="I284" t="s">
        <v>249</v>
      </c>
      <c r="J284" t="s">
        <v>1833</v>
      </c>
      <c r="K284">
        <v>8.1457754790699604E-5</v>
      </c>
      <c r="L284" t="s">
        <v>251</v>
      </c>
      <c r="N284" t="s">
        <v>419</v>
      </c>
      <c r="O284" t="s">
        <v>1833</v>
      </c>
      <c r="P284">
        <v>1.4382999678849999E-4</v>
      </c>
      <c r="Q284" t="s">
        <v>251</v>
      </c>
      <c r="S284" t="s">
        <v>420</v>
      </c>
      <c r="T284" t="s">
        <v>1833</v>
      </c>
      <c r="U284">
        <v>1.5239326566079999E-4</v>
      </c>
      <c r="V284" t="s">
        <v>251</v>
      </c>
      <c r="X284">
        <v>1.1415525114155251E-4</v>
      </c>
      <c r="Y284">
        <v>2.2209515285616027E-4</v>
      </c>
      <c r="Z284" t="s">
        <v>1833</v>
      </c>
      <c r="AA284" t="s">
        <v>25</v>
      </c>
      <c r="AC284" t="s">
        <v>22</v>
      </c>
      <c r="AD284" t="s">
        <v>1833</v>
      </c>
      <c r="AE284">
        <v>8.9962589090834873E-5</v>
      </c>
      <c r="AG284" t="s">
        <v>97</v>
      </c>
      <c r="AH284" t="s">
        <v>1833</v>
      </c>
      <c r="AI284">
        <v>0</v>
      </c>
      <c r="AK284">
        <v>2044</v>
      </c>
      <c r="AL284" t="s">
        <v>175</v>
      </c>
      <c r="AM284">
        <v>0.37859999999999999</v>
      </c>
      <c r="AN284" t="s">
        <v>430</v>
      </c>
    </row>
    <row r="285" spans="5:40" x14ac:dyDescent="0.45">
      <c r="E285" t="s">
        <v>1586</v>
      </c>
      <c r="G285" t="s">
        <v>160</v>
      </c>
      <c r="I285" t="s">
        <v>249</v>
      </c>
      <c r="J285" t="s">
        <v>1834</v>
      </c>
      <c r="K285">
        <v>3.4415721585389668E-5</v>
      </c>
      <c r="L285" t="s">
        <v>251</v>
      </c>
      <c r="N285" t="s">
        <v>419</v>
      </c>
      <c r="O285" t="s">
        <v>1834</v>
      </c>
      <c r="P285">
        <v>1.3331461177010001E-4</v>
      </c>
      <c r="Q285" t="s">
        <v>251</v>
      </c>
      <c r="S285" t="s">
        <v>420</v>
      </c>
      <c r="T285" t="s">
        <v>1834</v>
      </c>
      <c r="U285">
        <v>1.5253608555840001E-4</v>
      </c>
      <c r="V285" t="s">
        <v>251</v>
      </c>
      <c r="X285">
        <v>1.1415525114155251E-4</v>
      </c>
      <c r="Y285">
        <v>1.7237235744060203E-4</v>
      </c>
      <c r="Z285" t="s">
        <v>1834</v>
      </c>
      <c r="AA285" t="s">
        <v>25</v>
      </c>
      <c r="AC285" t="s">
        <v>22</v>
      </c>
      <c r="AD285" t="s">
        <v>1834</v>
      </c>
      <c r="AE285">
        <v>5.5787571801921499E-5</v>
      </c>
      <c r="AG285" t="s">
        <v>97</v>
      </c>
      <c r="AH285" t="s">
        <v>1834</v>
      </c>
      <c r="AI285">
        <v>0</v>
      </c>
      <c r="AK285">
        <v>2044</v>
      </c>
      <c r="AL285" t="s">
        <v>166</v>
      </c>
      <c r="AM285">
        <v>0.2319</v>
      </c>
      <c r="AN285" t="s">
        <v>430</v>
      </c>
    </row>
    <row r="286" spans="5:40" x14ac:dyDescent="0.45">
      <c r="E286" t="s">
        <v>1587</v>
      </c>
      <c r="G286" t="s">
        <v>160</v>
      </c>
      <c r="I286" t="s">
        <v>249</v>
      </c>
      <c r="J286" t="s">
        <v>1835</v>
      </c>
      <c r="K286">
        <v>5.992928324512912E-6</v>
      </c>
      <c r="L286" t="s">
        <v>251</v>
      </c>
      <c r="N286" t="s">
        <v>419</v>
      </c>
      <c r="O286" t="s">
        <v>1835</v>
      </c>
      <c r="P286">
        <v>1.2960892616660001E-4</v>
      </c>
      <c r="Q286" t="s">
        <v>251</v>
      </c>
      <c r="S286" t="s">
        <v>420</v>
      </c>
      <c r="T286" t="s">
        <v>1835</v>
      </c>
      <c r="U286">
        <v>1.5150908950620001E-4</v>
      </c>
      <c r="V286" t="s">
        <v>251</v>
      </c>
      <c r="X286">
        <v>1.1415525114155251E-4</v>
      </c>
      <c r="Y286">
        <v>1.5579809230208258E-4</v>
      </c>
      <c r="Z286" t="s">
        <v>1835</v>
      </c>
      <c r="AA286" t="s">
        <v>25</v>
      </c>
      <c r="AC286" t="s">
        <v>22</v>
      </c>
      <c r="AD286" t="s">
        <v>1835</v>
      </c>
      <c r="AE286">
        <v>5.0162297553642057E-5</v>
      </c>
      <c r="AG286" t="s">
        <v>97</v>
      </c>
      <c r="AH286" t="s">
        <v>1835</v>
      </c>
      <c r="AI286">
        <v>0</v>
      </c>
      <c r="AK286">
        <v>2044</v>
      </c>
      <c r="AL286" t="s">
        <v>178</v>
      </c>
      <c r="AM286">
        <v>0.22439999999999999</v>
      </c>
      <c r="AN286" t="s">
        <v>430</v>
      </c>
    </row>
    <row r="287" spans="5:40" x14ac:dyDescent="0.45">
      <c r="E287" t="s">
        <v>1588</v>
      </c>
      <c r="G287" t="s">
        <v>160</v>
      </c>
      <c r="I287" t="s">
        <v>249</v>
      </c>
      <c r="J287" t="s">
        <v>1836</v>
      </c>
      <c r="K287">
        <v>0</v>
      </c>
      <c r="L287" t="s">
        <v>251</v>
      </c>
      <c r="N287" t="s">
        <v>419</v>
      </c>
      <c r="O287" t="s">
        <v>1836</v>
      </c>
      <c r="P287">
        <v>1.3375446418269999E-4</v>
      </c>
      <c r="Q287" t="s">
        <v>251</v>
      </c>
      <c r="S287" t="s">
        <v>420</v>
      </c>
      <c r="T287" t="s">
        <v>1836</v>
      </c>
      <c r="U287">
        <v>1.5162498322969999E-4</v>
      </c>
      <c r="V287" t="s">
        <v>251</v>
      </c>
      <c r="X287">
        <v>1.1415525114155251E-4</v>
      </c>
      <c r="Y287">
        <v>1.093901499142282E-4</v>
      </c>
      <c r="Z287" t="s">
        <v>1836</v>
      </c>
      <c r="AA287" t="s">
        <v>25</v>
      </c>
      <c r="AC287" t="s">
        <v>22</v>
      </c>
      <c r="AD287" t="s">
        <v>1836</v>
      </c>
      <c r="AE287">
        <v>4.7815926476819622E-5</v>
      </c>
      <c r="AG287" t="s">
        <v>97</v>
      </c>
      <c r="AH287" t="s">
        <v>1836</v>
      </c>
      <c r="AI287">
        <v>0</v>
      </c>
      <c r="AK287">
        <v>2045</v>
      </c>
      <c r="AL287" t="s">
        <v>151</v>
      </c>
      <c r="AM287">
        <v>0.25879999999999997</v>
      </c>
      <c r="AN287" t="s">
        <v>430</v>
      </c>
    </row>
    <row r="288" spans="5:40" x14ac:dyDescent="0.45">
      <c r="E288" t="s">
        <v>1589</v>
      </c>
      <c r="G288" t="s">
        <v>160</v>
      </c>
      <c r="I288" t="s">
        <v>249</v>
      </c>
      <c r="J288" t="s">
        <v>1837</v>
      </c>
      <c r="K288">
        <v>0</v>
      </c>
      <c r="L288" t="s">
        <v>251</v>
      </c>
      <c r="N288" t="s">
        <v>419</v>
      </c>
      <c r="O288" t="s">
        <v>1837</v>
      </c>
      <c r="P288">
        <v>1.382681011464E-4</v>
      </c>
      <c r="Q288" t="s">
        <v>251</v>
      </c>
      <c r="S288" t="s">
        <v>420</v>
      </c>
      <c r="T288" t="s">
        <v>1837</v>
      </c>
      <c r="U288">
        <v>1.5413548166599999E-4</v>
      </c>
      <c r="V288" t="s">
        <v>251</v>
      </c>
      <c r="X288">
        <v>1.1415525114155251E-4</v>
      </c>
      <c r="Y288">
        <v>7.9556472664893237E-5</v>
      </c>
      <c r="Z288" t="s">
        <v>1837</v>
      </c>
      <c r="AA288" t="s">
        <v>25</v>
      </c>
      <c r="AC288" t="s">
        <v>22</v>
      </c>
      <c r="AD288" t="s">
        <v>1837</v>
      </c>
      <c r="AE288">
        <v>4.8739545480943925E-5</v>
      </c>
      <c r="AG288" t="s">
        <v>97</v>
      </c>
      <c r="AH288" t="s">
        <v>1837</v>
      </c>
      <c r="AI288">
        <v>0</v>
      </c>
      <c r="AK288">
        <v>2045</v>
      </c>
      <c r="AL288" t="s">
        <v>156</v>
      </c>
      <c r="AM288">
        <v>0.28189999999999998</v>
      </c>
      <c r="AN288" t="s">
        <v>430</v>
      </c>
    </row>
    <row r="289" spans="5:40" x14ac:dyDescent="0.45">
      <c r="E289" t="s">
        <v>1590</v>
      </c>
      <c r="G289" t="s">
        <v>160</v>
      </c>
      <c r="I289" t="s">
        <v>249</v>
      </c>
      <c r="J289" t="s">
        <v>1838</v>
      </c>
      <c r="K289">
        <v>0</v>
      </c>
      <c r="L289" t="s">
        <v>251</v>
      </c>
      <c r="N289" t="s">
        <v>419</v>
      </c>
      <c r="O289" t="s">
        <v>1838</v>
      </c>
      <c r="P289">
        <v>1.4226479699570001E-4</v>
      </c>
      <c r="Q289" t="s">
        <v>251</v>
      </c>
      <c r="S289" t="s">
        <v>420</v>
      </c>
      <c r="T289" t="s">
        <v>1838</v>
      </c>
      <c r="U289">
        <v>1.638698910369E-4</v>
      </c>
      <c r="V289" t="s">
        <v>251</v>
      </c>
      <c r="X289">
        <v>1.1415525114155251E-4</v>
      </c>
      <c r="Y289">
        <v>5.6352501470966035E-5</v>
      </c>
      <c r="Z289" t="s">
        <v>1838</v>
      </c>
      <c r="AA289" t="s">
        <v>25</v>
      </c>
      <c r="AC289" t="s">
        <v>22</v>
      </c>
      <c r="AD289" t="s">
        <v>1838</v>
      </c>
      <c r="AE289">
        <v>6.0099279336253349E-5</v>
      </c>
      <c r="AG289" t="s">
        <v>97</v>
      </c>
      <c r="AH289" t="s">
        <v>1838</v>
      </c>
      <c r="AI289">
        <v>0</v>
      </c>
      <c r="AK289">
        <v>2045</v>
      </c>
      <c r="AL289" t="s">
        <v>159</v>
      </c>
      <c r="AM289">
        <v>0.24890000000000001</v>
      </c>
      <c r="AN289" t="s">
        <v>430</v>
      </c>
    </row>
    <row r="290" spans="5:40" x14ac:dyDescent="0.45">
      <c r="E290" t="s">
        <v>1591</v>
      </c>
      <c r="G290" t="s">
        <v>160</v>
      </c>
      <c r="I290" t="s">
        <v>249</v>
      </c>
      <c r="J290" t="s">
        <v>1839</v>
      </c>
      <c r="K290">
        <v>0</v>
      </c>
      <c r="L290" t="s">
        <v>251</v>
      </c>
      <c r="N290" t="s">
        <v>419</v>
      </c>
      <c r="O290" t="s">
        <v>1839</v>
      </c>
      <c r="P290">
        <v>1.4189241141360001E-4</v>
      </c>
      <c r="Q290" t="s">
        <v>251</v>
      </c>
      <c r="S290" t="s">
        <v>420</v>
      </c>
      <c r="T290" t="s">
        <v>1839</v>
      </c>
      <c r="U290">
        <v>1.7743671385239999E-4</v>
      </c>
      <c r="V290" t="s">
        <v>251</v>
      </c>
      <c r="X290">
        <v>1.1415525114155251E-4</v>
      </c>
      <c r="Y290">
        <v>2.9833677249334962E-5</v>
      </c>
      <c r="Z290" t="s">
        <v>1839</v>
      </c>
      <c r="AA290" t="s">
        <v>25</v>
      </c>
      <c r="AC290" t="s">
        <v>22</v>
      </c>
      <c r="AD290" t="s">
        <v>1839</v>
      </c>
      <c r="AE290">
        <v>8.1643333235833395E-5</v>
      </c>
      <c r="AG290" t="s">
        <v>97</v>
      </c>
      <c r="AH290" t="s">
        <v>1839</v>
      </c>
      <c r="AI290">
        <v>0</v>
      </c>
      <c r="AK290">
        <v>2045</v>
      </c>
      <c r="AL290" t="s">
        <v>163</v>
      </c>
      <c r="AM290">
        <v>0.31330000000000002</v>
      </c>
      <c r="AN290" t="s">
        <v>430</v>
      </c>
    </row>
    <row r="291" spans="5:40" x14ac:dyDescent="0.45">
      <c r="E291" t="s">
        <v>1592</v>
      </c>
      <c r="G291" t="s">
        <v>160</v>
      </c>
      <c r="I291" t="s">
        <v>249</v>
      </c>
      <c r="J291" t="s">
        <v>1840</v>
      </c>
      <c r="K291">
        <v>0</v>
      </c>
      <c r="L291" t="s">
        <v>251</v>
      </c>
      <c r="N291" t="s">
        <v>419</v>
      </c>
      <c r="O291" t="s">
        <v>1840</v>
      </c>
      <c r="P291">
        <v>1.403050349543E-4</v>
      </c>
      <c r="Q291" t="s">
        <v>251</v>
      </c>
      <c r="S291" t="s">
        <v>420</v>
      </c>
      <c r="T291" t="s">
        <v>1840</v>
      </c>
      <c r="U291">
        <v>1.861124147855E-4</v>
      </c>
      <c r="V291" t="s">
        <v>251</v>
      </c>
      <c r="X291">
        <v>1.1415525114155251E-4</v>
      </c>
      <c r="Y291">
        <v>2.1546544680075254E-5</v>
      </c>
      <c r="Z291" t="s">
        <v>1840</v>
      </c>
      <c r="AA291" t="s">
        <v>25</v>
      </c>
      <c r="AC291" t="s">
        <v>22</v>
      </c>
      <c r="AD291" t="s">
        <v>1840</v>
      </c>
      <c r="AE291">
        <v>8.3562990104477759E-5</v>
      </c>
      <c r="AG291" t="s">
        <v>97</v>
      </c>
      <c r="AH291" t="s">
        <v>1840</v>
      </c>
      <c r="AI291">
        <v>0</v>
      </c>
      <c r="AK291">
        <v>2045</v>
      </c>
      <c r="AL291" t="s">
        <v>167</v>
      </c>
      <c r="AM291">
        <v>0.36870000000000003</v>
      </c>
      <c r="AN291" t="s">
        <v>430</v>
      </c>
    </row>
    <row r="292" spans="5:40" x14ac:dyDescent="0.45">
      <c r="E292" t="s">
        <v>1593</v>
      </c>
      <c r="G292" t="s">
        <v>160</v>
      </c>
      <c r="I292" t="s">
        <v>249</v>
      </c>
      <c r="J292" t="s">
        <v>1841</v>
      </c>
      <c r="K292">
        <v>0</v>
      </c>
      <c r="L292" t="s">
        <v>251</v>
      </c>
      <c r="N292" t="s">
        <v>419</v>
      </c>
      <c r="O292" t="s">
        <v>1841</v>
      </c>
      <c r="P292">
        <v>1.3933240787620001E-4</v>
      </c>
      <c r="Q292" t="s">
        <v>251</v>
      </c>
      <c r="S292" t="s">
        <v>420</v>
      </c>
      <c r="T292" t="s">
        <v>1841</v>
      </c>
      <c r="U292">
        <v>1.8975426256339999E-4</v>
      </c>
      <c r="V292" t="s">
        <v>251</v>
      </c>
      <c r="X292">
        <v>1.1415525114155251E-4</v>
      </c>
      <c r="Y292">
        <v>1.4916838624667481E-5</v>
      </c>
      <c r="Z292" t="s">
        <v>1841</v>
      </c>
      <c r="AA292" t="s">
        <v>25</v>
      </c>
      <c r="AC292" t="s">
        <v>22</v>
      </c>
      <c r="AD292" t="s">
        <v>1841</v>
      </c>
      <c r="AE292">
        <v>9.805121872888376E-5</v>
      </c>
      <c r="AG292" t="s">
        <v>97</v>
      </c>
      <c r="AH292" t="s">
        <v>1841</v>
      </c>
      <c r="AI292">
        <v>0</v>
      </c>
      <c r="AK292">
        <v>2045</v>
      </c>
      <c r="AL292" t="s">
        <v>169</v>
      </c>
      <c r="AM292">
        <v>0.45660000000000001</v>
      </c>
      <c r="AN292" t="s">
        <v>430</v>
      </c>
    </row>
    <row r="293" spans="5:40" x14ac:dyDescent="0.45">
      <c r="E293" t="s">
        <v>1594</v>
      </c>
      <c r="G293" t="s">
        <v>160</v>
      </c>
      <c r="I293" t="s">
        <v>249</v>
      </c>
      <c r="J293" t="s">
        <v>1842</v>
      </c>
      <c r="K293">
        <v>0</v>
      </c>
      <c r="L293" t="s">
        <v>251</v>
      </c>
      <c r="N293" t="s">
        <v>419</v>
      </c>
      <c r="O293" t="s">
        <v>1842</v>
      </c>
      <c r="P293">
        <v>1.3338186333819999E-4</v>
      </c>
      <c r="Q293" t="s">
        <v>251</v>
      </c>
      <c r="S293" t="s">
        <v>420</v>
      </c>
      <c r="T293" t="s">
        <v>1842</v>
      </c>
      <c r="U293">
        <v>1.801454694431E-4</v>
      </c>
      <c r="V293" t="s">
        <v>251</v>
      </c>
      <c r="X293">
        <v>1.1415525114155251E-4</v>
      </c>
      <c r="Y293">
        <v>1.6574265138519424E-5</v>
      </c>
      <c r="Z293" t="s">
        <v>1842</v>
      </c>
      <c r="AA293" t="s">
        <v>25</v>
      </c>
      <c r="AC293" t="s">
        <v>22</v>
      </c>
      <c r="AD293" t="s">
        <v>1842</v>
      </c>
      <c r="AE293">
        <v>1.2149933158871525E-4</v>
      </c>
      <c r="AG293" t="s">
        <v>97</v>
      </c>
      <c r="AH293" t="s">
        <v>1842</v>
      </c>
      <c r="AI293">
        <v>0</v>
      </c>
      <c r="AK293">
        <v>2045</v>
      </c>
      <c r="AL293" t="s">
        <v>171</v>
      </c>
      <c r="AM293">
        <v>0.54279999999999995</v>
      </c>
      <c r="AN293" t="s">
        <v>430</v>
      </c>
    </row>
    <row r="294" spans="5:40" x14ac:dyDescent="0.45">
      <c r="E294" t="s">
        <v>1595</v>
      </c>
      <c r="G294" t="s">
        <v>160</v>
      </c>
      <c r="I294" t="s">
        <v>249</v>
      </c>
      <c r="J294" t="s">
        <v>1843</v>
      </c>
      <c r="K294">
        <v>0</v>
      </c>
      <c r="L294" t="s">
        <v>251</v>
      </c>
      <c r="N294" t="s">
        <v>419</v>
      </c>
      <c r="O294" t="s">
        <v>1843</v>
      </c>
      <c r="P294">
        <v>1.184243295664E-4</v>
      </c>
      <c r="Q294" t="s">
        <v>251</v>
      </c>
      <c r="S294" t="s">
        <v>420</v>
      </c>
      <c r="T294" t="s">
        <v>1843</v>
      </c>
      <c r="U294">
        <v>1.7445179332360001E-4</v>
      </c>
      <c r="V294" t="s">
        <v>251</v>
      </c>
      <c r="X294">
        <v>1.1415525114155251E-4</v>
      </c>
      <c r="Y294">
        <v>1.4585353321897093E-5</v>
      </c>
      <c r="Z294" t="s">
        <v>1843</v>
      </c>
      <c r="AA294" t="s">
        <v>25</v>
      </c>
      <c r="AC294" t="s">
        <v>22</v>
      </c>
      <c r="AD294" t="s">
        <v>1843</v>
      </c>
      <c r="AE294">
        <v>1.3827933861056843E-4</v>
      </c>
      <c r="AG294" t="s">
        <v>97</v>
      </c>
      <c r="AH294" t="s">
        <v>1843</v>
      </c>
      <c r="AI294">
        <v>0</v>
      </c>
      <c r="AK294">
        <v>2045</v>
      </c>
      <c r="AL294" t="s">
        <v>158</v>
      </c>
      <c r="AM294">
        <v>0.61919999999999997</v>
      </c>
      <c r="AN294" t="s">
        <v>430</v>
      </c>
    </row>
    <row r="295" spans="5:40" x14ac:dyDescent="0.45">
      <c r="E295" t="s">
        <v>1596</v>
      </c>
      <c r="G295" t="s">
        <v>160</v>
      </c>
      <c r="I295" t="s">
        <v>249</v>
      </c>
      <c r="J295" t="s">
        <v>1844</v>
      </c>
      <c r="K295">
        <v>0</v>
      </c>
      <c r="L295" t="s">
        <v>251</v>
      </c>
      <c r="N295" t="s">
        <v>419</v>
      </c>
      <c r="O295" t="s">
        <v>1844</v>
      </c>
      <c r="P295">
        <v>1.0914365836209999E-4</v>
      </c>
      <c r="Q295" t="s">
        <v>251</v>
      </c>
      <c r="S295" t="s">
        <v>420</v>
      </c>
      <c r="T295" t="s">
        <v>1844</v>
      </c>
      <c r="U295">
        <v>1.700492715929E-4</v>
      </c>
      <c r="V295" t="s">
        <v>251</v>
      </c>
      <c r="X295">
        <v>1.1415525114155251E-4</v>
      </c>
      <c r="Y295">
        <v>2.1215059377304864E-5</v>
      </c>
      <c r="Z295" t="s">
        <v>1844</v>
      </c>
      <c r="AA295" t="s">
        <v>25</v>
      </c>
      <c r="AC295" t="s">
        <v>22</v>
      </c>
      <c r="AD295" t="s">
        <v>1844</v>
      </c>
      <c r="AE295">
        <v>1.4295091217425148E-4</v>
      </c>
      <c r="AG295" t="s">
        <v>97</v>
      </c>
      <c r="AH295" t="s">
        <v>1844</v>
      </c>
      <c r="AI295">
        <v>0</v>
      </c>
      <c r="AK295">
        <v>2045</v>
      </c>
      <c r="AL295" t="s">
        <v>162</v>
      </c>
      <c r="AM295">
        <v>0.60170000000000001</v>
      </c>
      <c r="AN295" t="s">
        <v>430</v>
      </c>
    </row>
    <row r="296" spans="5:40" x14ac:dyDescent="0.45">
      <c r="E296" t="s">
        <v>1597</v>
      </c>
      <c r="G296" t="s">
        <v>160</v>
      </c>
      <c r="I296" t="s">
        <v>249</v>
      </c>
      <c r="J296" t="s">
        <v>1845</v>
      </c>
      <c r="K296">
        <v>0</v>
      </c>
      <c r="L296" t="s">
        <v>251</v>
      </c>
      <c r="N296" t="s">
        <v>419</v>
      </c>
      <c r="O296" t="s">
        <v>1845</v>
      </c>
      <c r="P296">
        <v>1.0477437270889999E-4</v>
      </c>
      <c r="Q296" t="s">
        <v>251</v>
      </c>
      <c r="S296" t="s">
        <v>420</v>
      </c>
      <c r="T296" t="s">
        <v>1845</v>
      </c>
      <c r="U296">
        <v>1.5974078094659999E-4</v>
      </c>
      <c r="V296" t="s">
        <v>251</v>
      </c>
      <c r="X296">
        <v>1.1415525114155251E-4</v>
      </c>
      <c r="Y296">
        <v>5.7678442682047593E-5</v>
      </c>
      <c r="Z296" t="s">
        <v>1845</v>
      </c>
      <c r="AA296" t="s">
        <v>25</v>
      </c>
      <c r="AC296" t="s">
        <v>22</v>
      </c>
      <c r="AD296" t="s">
        <v>1845</v>
      </c>
      <c r="AE296">
        <v>1.4330632165834758E-4</v>
      </c>
      <c r="AG296" t="s">
        <v>97</v>
      </c>
      <c r="AH296" t="s">
        <v>1845</v>
      </c>
      <c r="AI296">
        <v>0</v>
      </c>
      <c r="AK296">
        <v>2045</v>
      </c>
      <c r="AL296" t="s">
        <v>175</v>
      </c>
      <c r="AM296">
        <v>0.46889999999999998</v>
      </c>
      <c r="AN296" t="s">
        <v>430</v>
      </c>
    </row>
    <row r="297" spans="5:40" x14ac:dyDescent="0.45">
      <c r="E297" t="s">
        <v>1598</v>
      </c>
      <c r="G297" t="s">
        <v>160</v>
      </c>
      <c r="I297" t="s">
        <v>249</v>
      </c>
      <c r="J297" t="s">
        <v>1846</v>
      </c>
      <c r="K297">
        <v>1.1063249828038256E-5</v>
      </c>
      <c r="L297" t="s">
        <v>251</v>
      </c>
      <c r="N297" t="s">
        <v>419</v>
      </c>
      <c r="O297" t="s">
        <v>1846</v>
      </c>
      <c r="P297">
        <v>1.0269473519479999E-4</v>
      </c>
      <c r="Q297" t="s">
        <v>251</v>
      </c>
      <c r="S297" t="s">
        <v>420</v>
      </c>
      <c r="T297" t="s">
        <v>1846</v>
      </c>
      <c r="U297">
        <v>1.5159475144899999E-4</v>
      </c>
      <c r="V297" t="s">
        <v>251</v>
      </c>
      <c r="X297">
        <v>1.1415525114155251E-4</v>
      </c>
      <c r="Y297">
        <v>1.6905750441289813E-4</v>
      </c>
      <c r="Z297" t="s">
        <v>1846</v>
      </c>
      <c r="AA297" t="s">
        <v>25</v>
      </c>
      <c r="AC297" t="s">
        <v>22</v>
      </c>
      <c r="AD297" t="s">
        <v>1846</v>
      </c>
      <c r="AE297">
        <v>1.4345227351545288E-4</v>
      </c>
      <c r="AG297" t="s">
        <v>97</v>
      </c>
      <c r="AH297" t="s">
        <v>1846</v>
      </c>
      <c r="AI297">
        <v>0</v>
      </c>
      <c r="AK297">
        <v>2045</v>
      </c>
      <c r="AL297" t="s">
        <v>166</v>
      </c>
      <c r="AM297">
        <v>0.29749999999999999</v>
      </c>
      <c r="AN297" t="s">
        <v>430</v>
      </c>
    </row>
    <row r="298" spans="5:40" x14ac:dyDescent="0.45">
      <c r="E298" t="s">
        <v>1599</v>
      </c>
      <c r="G298" t="s">
        <v>160</v>
      </c>
      <c r="I298" t="s">
        <v>249</v>
      </c>
      <c r="J298" t="s">
        <v>1847</v>
      </c>
      <c r="K298">
        <v>5.3700423523498977E-5</v>
      </c>
      <c r="L298" t="s">
        <v>251</v>
      </c>
      <c r="N298" t="s">
        <v>419</v>
      </c>
      <c r="O298" t="s">
        <v>1847</v>
      </c>
      <c r="P298">
        <v>1.201809306059E-4</v>
      </c>
      <c r="Q298" t="s">
        <v>251</v>
      </c>
      <c r="S298" t="s">
        <v>420</v>
      </c>
      <c r="T298" t="s">
        <v>1847</v>
      </c>
      <c r="U298">
        <v>1.4764681171620001E-4</v>
      </c>
      <c r="V298" t="s">
        <v>251</v>
      </c>
      <c r="X298">
        <v>1.1415525114155251E-4</v>
      </c>
      <c r="Y298">
        <v>1.9060404909297337E-4</v>
      </c>
      <c r="Z298" t="s">
        <v>1847</v>
      </c>
      <c r="AA298" t="s">
        <v>25</v>
      </c>
      <c r="AC298" t="s">
        <v>22</v>
      </c>
      <c r="AD298" t="s">
        <v>1847</v>
      </c>
      <c r="AE298">
        <v>1.4369961177711219E-4</v>
      </c>
      <c r="AG298" t="s">
        <v>97</v>
      </c>
      <c r="AH298" t="s">
        <v>1847</v>
      </c>
      <c r="AI298">
        <v>0</v>
      </c>
      <c r="AK298">
        <v>2045</v>
      </c>
      <c r="AL298" t="s">
        <v>178</v>
      </c>
      <c r="AM298">
        <v>0.25069999999999998</v>
      </c>
      <c r="AN298" t="s">
        <v>430</v>
      </c>
    </row>
    <row r="299" spans="5:40" x14ac:dyDescent="0.45">
      <c r="E299" t="s">
        <v>1600</v>
      </c>
      <c r="G299" t="s">
        <v>160</v>
      </c>
      <c r="I299" t="s">
        <v>249</v>
      </c>
      <c r="J299" t="s">
        <v>1848</v>
      </c>
      <c r="K299">
        <v>1.097252327579E-4</v>
      </c>
      <c r="L299" t="s">
        <v>251</v>
      </c>
      <c r="N299" t="s">
        <v>419</v>
      </c>
      <c r="O299" t="s">
        <v>1848</v>
      </c>
      <c r="P299">
        <v>1.4448392299950001E-4</v>
      </c>
      <c r="Q299" t="s">
        <v>251</v>
      </c>
      <c r="S299" t="s">
        <v>420</v>
      </c>
      <c r="T299" t="s">
        <v>1848</v>
      </c>
      <c r="U299">
        <v>1.4862260862919999E-4</v>
      </c>
      <c r="V299" t="s">
        <v>251</v>
      </c>
      <c r="X299">
        <v>1.1415525114155251E-4</v>
      </c>
      <c r="Y299">
        <v>1.4585353321897094E-4</v>
      </c>
      <c r="Z299" t="s">
        <v>1848</v>
      </c>
      <c r="AA299" t="s">
        <v>25</v>
      </c>
      <c r="AC299" t="s">
        <v>22</v>
      </c>
      <c r="AD299" t="s">
        <v>1848</v>
      </c>
      <c r="AE299">
        <v>1.4369961177711221E-4</v>
      </c>
      <c r="AG299" t="s">
        <v>97</v>
      </c>
      <c r="AH299" t="s">
        <v>1848</v>
      </c>
      <c r="AI299">
        <v>0</v>
      </c>
      <c r="AK299">
        <v>2046</v>
      </c>
      <c r="AL299" t="s">
        <v>151</v>
      </c>
      <c r="AM299">
        <v>0.29070000000000001</v>
      </c>
      <c r="AN299" t="s">
        <v>430</v>
      </c>
    </row>
    <row r="300" spans="5:40" x14ac:dyDescent="0.45">
      <c r="E300" t="s">
        <v>1601</v>
      </c>
      <c r="G300" t="s">
        <v>160</v>
      </c>
      <c r="I300" t="s">
        <v>249</v>
      </c>
      <c r="J300" t="s">
        <v>1849</v>
      </c>
      <c r="K300">
        <v>1.5479927716600001E-4</v>
      </c>
      <c r="L300" t="s">
        <v>251</v>
      </c>
      <c r="N300" t="s">
        <v>419</v>
      </c>
      <c r="O300" t="s">
        <v>1849</v>
      </c>
      <c r="P300">
        <v>1.3556429015659999E-4</v>
      </c>
      <c r="Q300" t="s">
        <v>251</v>
      </c>
      <c r="S300" t="s">
        <v>420</v>
      </c>
      <c r="T300" t="s">
        <v>1849</v>
      </c>
      <c r="U300">
        <v>1.5079398009760001E-4</v>
      </c>
      <c r="V300" t="s">
        <v>251</v>
      </c>
      <c r="X300">
        <v>1.1415525114155251E-4</v>
      </c>
      <c r="Y300">
        <v>1.4452759200788939E-4</v>
      </c>
      <c r="Z300" t="s">
        <v>1849</v>
      </c>
      <c r="AA300" t="s">
        <v>25</v>
      </c>
      <c r="AC300" t="s">
        <v>22</v>
      </c>
      <c r="AD300" t="s">
        <v>1849</v>
      </c>
      <c r="AE300">
        <v>1.4366395941507119E-4</v>
      </c>
      <c r="AG300" t="s">
        <v>97</v>
      </c>
      <c r="AH300" t="s">
        <v>1849</v>
      </c>
      <c r="AI300">
        <v>0</v>
      </c>
      <c r="AK300">
        <v>2046</v>
      </c>
      <c r="AL300" t="s">
        <v>156</v>
      </c>
      <c r="AM300">
        <v>0.31330000000000002</v>
      </c>
      <c r="AN300" t="s">
        <v>430</v>
      </c>
    </row>
    <row r="301" spans="5:40" x14ac:dyDescent="0.45">
      <c r="E301" t="s">
        <v>1602</v>
      </c>
      <c r="G301" t="s">
        <v>160</v>
      </c>
      <c r="I301" t="s">
        <v>249</v>
      </c>
      <c r="J301" t="s">
        <v>1850</v>
      </c>
      <c r="K301">
        <v>1.9527410022130001E-4</v>
      </c>
      <c r="L301" t="s">
        <v>251</v>
      </c>
      <c r="N301" t="s">
        <v>419</v>
      </c>
      <c r="O301" t="s">
        <v>1850</v>
      </c>
      <c r="P301">
        <v>1.278150558951E-4</v>
      </c>
      <c r="Q301" t="s">
        <v>251</v>
      </c>
      <c r="S301" t="s">
        <v>420</v>
      </c>
      <c r="T301" t="s">
        <v>1850</v>
      </c>
      <c r="U301">
        <v>1.5170763709819999E-4</v>
      </c>
      <c r="V301" t="s">
        <v>251</v>
      </c>
      <c r="X301">
        <v>1.1415525114155251E-4</v>
      </c>
      <c r="Y301">
        <v>1.408812536774151E-4</v>
      </c>
      <c r="Z301" t="s">
        <v>1850</v>
      </c>
      <c r="AA301" t="s">
        <v>25</v>
      </c>
      <c r="AC301" t="s">
        <v>22</v>
      </c>
      <c r="AD301" t="s">
        <v>1850</v>
      </c>
      <c r="AE301">
        <v>1.4369961177711221E-4</v>
      </c>
      <c r="AG301" t="s">
        <v>97</v>
      </c>
      <c r="AH301" t="s">
        <v>1850</v>
      </c>
      <c r="AI301">
        <v>0</v>
      </c>
      <c r="AK301">
        <v>2046</v>
      </c>
      <c r="AL301" t="s">
        <v>159</v>
      </c>
      <c r="AM301">
        <v>0.33829999999999999</v>
      </c>
      <c r="AN301" t="s">
        <v>430</v>
      </c>
    </row>
    <row r="302" spans="5:40" x14ac:dyDescent="0.45">
      <c r="E302" t="s">
        <v>1603</v>
      </c>
      <c r="G302" t="s">
        <v>160</v>
      </c>
      <c r="I302" t="s">
        <v>249</v>
      </c>
      <c r="J302" t="s">
        <v>1851</v>
      </c>
      <c r="K302">
        <v>2.211799706875E-4</v>
      </c>
      <c r="L302" t="s">
        <v>251</v>
      </c>
      <c r="N302" t="s">
        <v>419</v>
      </c>
      <c r="O302" t="s">
        <v>1851</v>
      </c>
      <c r="P302">
        <v>1.307117593548E-4</v>
      </c>
      <c r="Q302" t="s">
        <v>251</v>
      </c>
      <c r="S302" t="s">
        <v>420</v>
      </c>
      <c r="T302" t="s">
        <v>1851</v>
      </c>
      <c r="U302">
        <v>1.5211881674219999E-4</v>
      </c>
      <c r="V302" t="s">
        <v>251</v>
      </c>
      <c r="X302">
        <v>1.1415525114155251E-4</v>
      </c>
      <c r="Y302">
        <v>1.4054976837464471E-4</v>
      </c>
      <c r="Z302" t="s">
        <v>1851</v>
      </c>
      <c r="AA302" t="s">
        <v>25</v>
      </c>
      <c r="AC302" t="s">
        <v>22</v>
      </c>
      <c r="AD302" t="s">
        <v>1851</v>
      </c>
      <c r="AE302">
        <v>1.4396031967453692E-4</v>
      </c>
      <c r="AG302" t="s">
        <v>97</v>
      </c>
      <c r="AH302" t="s">
        <v>1851</v>
      </c>
      <c r="AI302">
        <v>0</v>
      </c>
      <c r="AK302">
        <v>2046</v>
      </c>
      <c r="AL302" t="s">
        <v>163</v>
      </c>
      <c r="AM302">
        <v>0.34289999999999998</v>
      </c>
      <c r="AN302" t="s">
        <v>430</v>
      </c>
    </row>
    <row r="303" spans="5:40" x14ac:dyDescent="0.45">
      <c r="E303" t="s">
        <v>1604</v>
      </c>
      <c r="G303" t="s">
        <v>160</v>
      </c>
      <c r="I303" t="s">
        <v>249</v>
      </c>
      <c r="J303" t="s">
        <v>1852</v>
      </c>
      <c r="K303">
        <v>1.908215272396E-4</v>
      </c>
      <c r="L303" t="s">
        <v>251</v>
      </c>
      <c r="N303" t="s">
        <v>419</v>
      </c>
      <c r="O303" t="s">
        <v>1852</v>
      </c>
      <c r="P303">
        <v>1.3783416991910001E-4</v>
      </c>
      <c r="Q303" t="s">
        <v>251</v>
      </c>
      <c r="S303" t="s">
        <v>420</v>
      </c>
      <c r="T303" t="s">
        <v>1852</v>
      </c>
      <c r="U303">
        <v>1.5629497467420001E-4</v>
      </c>
      <c r="V303" t="s">
        <v>251</v>
      </c>
      <c r="X303">
        <v>1.1415525114155251E-4</v>
      </c>
      <c r="Y303">
        <v>1.4253868019126702E-4</v>
      </c>
      <c r="Z303" t="s">
        <v>1852</v>
      </c>
      <c r="AA303" t="s">
        <v>25</v>
      </c>
      <c r="AC303" t="s">
        <v>22</v>
      </c>
      <c r="AD303" t="s">
        <v>1852</v>
      </c>
      <c r="AE303">
        <v>1.7210674536958216E-4</v>
      </c>
      <c r="AG303" t="s">
        <v>97</v>
      </c>
      <c r="AH303" t="s">
        <v>1852</v>
      </c>
      <c r="AI303">
        <v>0</v>
      </c>
      <c r="AK303">
        <v>2046</v>
      </c>
      <c r="AL303" t="s">
        <v>167</v>
      </c>
      <c r="AM303">
        <v>0.45979999999999999</v>
      </c>
      <c r="AN303" t="s">
        <v>430</v>
      </c>
    </row>
    <row r="304" spans="5:40" x14ac:dyDescent="0.45">
      <c r="E304" t="s">
        <v>1605</v>
      </c>
      <c r="G304" t="s">
        <v>160</v>
      </c>
      <c r="I304" t="s">
        <v>249</v>
      </c>
      <c r="J304" t="s">
        <v>1853</v>
      </c>
      <c r="K304">
        <v>1.892494324485E-4</v>
      </c>
      <c r="L304" t="s">
        <v>251</v>
      </c>
      <c r="N304" t="s">
        <v>419</v>
      </c>
      <c r="O304" t="s">
        <v>1853</v>
      </c>
      <c r="P304">
        <v>1.4750398272779999E-4</v>
      </c>
      <c r="Q304" t="s">
        <v>251</v>
      </c>
      <c r="S304" t="s">
        <v>420</v>
      </c>
      <c r="T304" t="s">
        <v>1853</v>
      </c>
      <c r="U304">
        <v>1.5740190733669999E-4</v>
      </c>
      <c r="V304" t="s">
        <v>251</v>
      </c>
      <c r="X304">
        <v>1.1415525114155251E-4</v>
      </c>
      <c r="Y304">
        <v>1.4883690094390442E-4</v>
      </c>
      <c r="Z304" t="s">
        <v>1853</v>
      </c>
      <c r="AA304" t="s">
        <v>25</v>
      </c>
      <c r="AC304" t="s">
        <v>22</v>
      </c>
      <c r="AD304" t="s">
        <v>1853</v>
      </c>
      <c r="AE304">
        <v>1.7386373833641456E-4</v>
      </c>
      <c r="AG304" t="s">
        <v>97</v>
      </c>
      <c r="AH304" t="s">
        <v>1853</v>
      </c>
      <c r="AI304">
        <v>0</v>
      </c>
      <c r="AK304">
        <v>2046</v>
      </c>
      <c r="AL304" t="s">
        <v>169</v>
      </c>
      <c r="AM304">
        <v>0.58220000000000005</v>
      </c>
      <c r="AN304" t="s">
        <v>430</v>
      </c>
    </row>
    <row r="305" spans="5:40" x14ac:dyDescent="0.45">
      <c r="E305" t="s">
        <v>1606</v>
      </c>
      <c r="G305" t="s">
        <v>160</v>
      </c>
      <c r="I305" t="s">
        <v>249</v>
      </c>
      <c r="J305" t="s">
        <v>1854</v>
      </c>
      <c r="K305">
        <v>1.9313831022650001E-4</v>
      </c>
      <c r="L305" t="s">
        <v>251</v>
      </c>
      <c r="N305" t="s">
        <v>419</v>
      </c>
      <c r="O305" t="s">
        <v>1854</v>
      </c>
      <c r="P305">
        <v>1.4952908232429999E-4</v>
      </c>
      <c r="Q305" t="s">
        <v>251</v>
      </c>
      <c r="S305" t="s">
        <v>420</v>
      </c>
      <c r="T305" t="s">
        <v>1854</v>
      </c>
      <c r="U305">
        <v>1.4591385114539999E-4</v>
      </c>
      <c r="V305" t="s">
        <v>251</v>
      </c>
      <c r="X305">
        <v>1.1415525114155251E-4</v>
      </c>
      <c r="Y305">
        <v>1.5049432745775637E-4</v>
      </c>
      <c r="Z305" t="s">
        <v>1854</v>
      </c>
      <c r="AA305" t="s">
        <v>25</v>
      </c>
      <c r="AC305" t="s">
        <v>22</v>
      </c>
      <c r="AD305" t="s">
        <v>1854</v>
      </c>
      <c r="AE305">
        <v>1.6688367433057762E-4</v>
      </c>
      <c r="AG305" t="s">
        <v>97</v>
      </c>
      <c r="AH305" t="s">
        <v>1854</v>
      </c>
      <c r="AI305">
        <v>0</v>
      </c>
      <c r="AK305">
        <v>2046</v>
      </c>
      <c r="AL305" t="s">
        <v>171</v>
      </c>
      <c r="AM305">
        <v>0.58489999999999998</v>
      </c>
      <c r="AN305" t="s">
        <v>430</v>
      </c>
    </row>
    <row r="306" spans="5:40" x14ac:dyDescent="0.45">
      <c r="E306" t="s">
        <v>1607</v>
      </c>
      <c r="G306" t="s">
        <v>160</v>
      </c>
      <c r="I306" t="s">
        <v>249</v>
      </c>
      <c r="J306" t="s">
        <v>1855</v>
      </c>
      <c r="K306">
        <v>1.685830486961E-4</v>
      </c>
      <c r="L306" t="s">
        <v>251</v>
      </c>
      <c r="N306" t="s">
        <v>419</v>
      </c>
      <c r="O306" t="s">
        <v>1855</v>
      </c>
      <c r="P306">
        <v>1.7511654563980001E-4</v>
      </c>
      <c r="Q306" t="s">
        <v>251</v>
      </c>
      <c r="S306" t="s">
        <v>420</v>
      </c>
      <c r="T306" t="s">
        <v>1855</v>
      </c>
      <c r="U306">
        <v>1.406201117277E-4</v>
      </c>
      <c r="V306" t="s">
        <v>251</v>
      </c>
      <c r="X306">
        <v>1.1415525114155251E-4</v>
      </c>
      <c r="Y306">
        <v>1.7237235744060203E-4</v>
      </c>
      <c r="Z306" t="s">
        <v>1855</v>
      </c>
      <c r="AA306" t="s">
        <v>25</v>
      </c>
      <c r="AC306" t="s">
        <v>22</v>
      </c>
      <c r="AD306" t="s">
        <v>1855</v>
      </c>
      <c r="AE306">
        <v>1.4592454199573252E-4</v>
      </c>
      <c r="AG306" t="s">
        <v>97</v>
      </c>
      <c r="AH306" t="s">
        <v>1855</v>
      </c>
      <c r="AI306">
        <v>0</v>
      </c>
      <c r="AK306">
        <v>2046</v>
      </c>
      <c r="AL306" t="s">
        <v>158</v>
      </c>
      <c r="AM306">
        <v>0.77249999999999996</v>
      </c>
      <c r="AN306" t="s">
        <v>430</v>
      </c>
    </row>
    <row r="307" spans="5:40" x14ac:dyDescent="0.45">
      <c r="E307" t="s">
        <v>1608</v>
      </c>
      <c r="G307" t="s">
        <v>160</v>
      </c>
      <c r="I307" t="s">
        <v>249</v>
      </c>
      <c r="J307" t="s">
        <v>1856</v>
      </c>
      <c r="K307">
        <v>1.2262536053519999E-4</v>
      </c>
      <c r="L307" t="s">
        <v>251</v>
      </c>
      <c r="N307" t="s">
        <v>419</v>
      </c>
      <c r="O307" t="s">
        <v>1856</v>
      </c>
      <c r="P307">
        <v>1.9455853231490001E-4</v>
      </c>
      <c r="Q307" t="s">
        <v>251</v>
      </c>
      <c r="S307" t="s">
        <v>420</v>
      </c>
      <c r="T307" t="s">
        <v>1856</v>
      </c>
      <c r="U307">
        <v>1.4302179449740001E-4</v>
      </c>
      <c r="V307" t="s">
        <v>251</v>
      </c>
      <c r="X307">
        <v>1.1415525114155251E-4</v>
      </c>
      <c r="Y307">
        <v>2.2209515285616027E-4</v>
      </c>
      <c r="Z307" t="s">
        <v>1856</v>
      </c>
      <c r="AA307" t="s">
        <v>25</v>
      </c>
      <c r="AC307" t="s">
        <v>22</v>
      </c>
      <c r="AD307" t="s">
        <v>1856</v>
      </c>
      <c r="AE307">
        <v>1.2107150324422339E-4</v>
      </c>
      <c r="AG307" t="s">
        <v>97</v>
      </c>
      <c r="AH307" t="s">
        <v>1856</v>
      </c>
      <c r="AI307">
        <v>0</v>
      </c>
      <c r="AK307">
        <v>2046</v>
      </c>
      <c r="AL307" t="s">
        <v>162</v>
      </c>
      <c r="AM307">
        <v>0.67989999999999995</v>
      </c>
      <c r="AN307" t="s">
        <v>430</v>
      </c>
    </row>
    <row r="308" spans="5:40" x14ac:dyDescent="0.45">
      <c r="E308" t="s">
        <v>1609</v>
      </c>
      <c r="G308" t="s">
        <v>160</v>
      </c>
      <c r="I308" t="s">
        <v>249</v>
      </c>
      <c r="J308" t="s">
        <v>1857</v>
      </c>
      <c r="K308">
        <v>9.0842139995842279E-5</v>
      </c>
      <c r="L308" t="s">
        <v>251</v>
      </c>
      <c r="N308" t="s">
        <v>419</v>
      </c>
      <c r="O308" t="s">
        <v>1857</v>
      </c>
      <c r="P308">
        <v>1.9176172325599999E-4</v>
      </c>
      <c r="Q308" t="s">
        <v>251</v>
      </c>
      <c r="S308" t="s">
        <v>420</v>
      </c>
      <c r="T308" t="s">
        <v>1857</v>
      </c>
      <c r="U308">
        <v>1.4733413260750001E-4</v>
      </c>
      <c r="V308" t="s">
        <v>251</v>
      </c>
      <c r="X308">
        <v>1.1415525114155251E-4</v>
      </c>
      <c r="Y308">
        <v>2.2209515285616027E-4</v>
      </c>
      <c r="Z308" t="s">
        <v>1857</v>
      </c>
      <c r="AA308" t="s">
        <v>25</v>
      </c>
      <c r="AC308" t="s">
        <v>22</v>
      </c>
      <c r="AD308" t="s">
        <v>1857</v>
      </c>
      <c r="AE308">
        <v>8.4985742177175904E-5</v>
      </c>
      <c r="AG308" t="s">
        <v>97</v>
      </c>
      <c r="AH308" t="s">
        <v>1857</v>
      </c>
      <c r="AI308">
        <v>0</v>
      </c>
      <c r="AK308">
        <v>2046</v>
      </c>
      <c r="AL308" t="s">
        <v>175</v>
      </c>
      <c r="AM308">
        <v>0.45319999999999999</v>
      </c>
      <c r="AN308" t="s">
        <v>430</v>
      </c>
    </row>
    <row r="309" spans="5:40" x14ac:dyDescent="0.45">
      <c r="E309" t="s">
        <v>1610</v>
      </c>
      <c r="G309" t="s">
        <v>160</v>
      </c>
      <c r="I309" t="s">
        <v>249</v>
      </c>
      <c r="J309" t="s">
        <v>1858</v>
      </c>
      <c r="K309">
        <v>4.2341354167926703E-5</v>
      </c>
      <c r="L309" t="s">
        <v>251</v>
      </c>
      <c r="N309" t="s">
        <v>419</v>
      </c>
      <c r="O309" t="s">
        <v>1858</v>
      </c>
      <c r="P309">
        <v>1.9243427262079999E-4</v>
      </c>
      <c r="Q309" t="s">
        <v>251</v>
      </c>
      <c r="S309" t="s">
        <v>420</v>
      </c>
      <c r="T309" t="s">
        <v>1858</v>
      </c>
      <c r="U309">
        <v>1.584123223462E-4</v>
      </c>
      <c r="V309" t="s">
        <v>251</v>
      </c>
      <c r="X309">
        <v>1.1415525114155251E-4</v>
      </c>
      <c r="Y309">
        <v>1.7237235744060203E-4</v>
      </c>
      <c r="Z309" t="s">
        <v>1858</v>
      </c>
      <c r="AA309" t="s">
        <v>25</v>
      </c>
      <c r="AC309" t="s">
        <v>22</v>
      </c>
      <c r="AD309" t="s">
        <v>1858</v>
      </c>
      <c r="AE309">
        <v>4.8877698383852762E-5</v>
      </c>
      <c r="AG309" t="s">
        <v>97</v>
      </c>
      <c r="AH309" t="s">
        <v>1858</v>
      </c>
      <c r="AI309">
        <v>0</v>
      </c>
      <c r="AK309">
        <v>2046</v>
      </c>
      <c r="AL309" t="s">
        <v>166</v>
      </c>
      <c r="AM309">
        <v>0.36359999999999998</v>
      </c>
      <c r="AN309" t="s">
        <v>430</v>
      </c>
    </row>
    <row r="310" spans="5:40" x14ac:dyDescent="0.45">
      <c r="E310" t="s">
        <v>1611</v>
      </c>
      <c r="G310" t="s">
        <v>160</v>
      </c>
      <c r="I310" t="s">
        <v>249</v>
      </c>
      <c r="J310" t="s">
        <v>1859</v>
      </c>
      <c r="K310">
        <v>7.5442736086913677E-6</v>
      </c>
      <c r="L310" t="s">
        <v>251</v>
      </c>
      <c r="N310" t="s">
        <v>419</v>
      </c>
      <c r="O310" t="s">
        <v>1859</v>
      </c>
      <c r="P310">
        <v>1.9038542938849999E-4</v>
      </c>
      <c r="Q310" t="s">
        <v>251</v>
      </c>
      <c r="S310" t="s">
        <v>420</v>
      </c>
      <c r="T310" t="s">
        <v>1859</v>
      </c>
      <c r="U310">
        <v>1.7128777815080001E-4</v>
      </c>
      <c r="V310" t="s">
        <v>251</v>
      </c>
      <c r="X310">
        <v>1.1415525114155251E-4</v>
      </c>
      <c r="Y310">
        <v>1.5579809230208258E-4</v>
      </c>
      <c r="Z310" t="s">
        <v>1859</v>
      </c>
      <c r="AA310" t="s">
        <v>25</v>
      </c>
      <c r="AC310" t="s">
        <v>22</v>
      </c>
      <c r="AD310" t="s">
        <v>1859</v>
      </c>
      <c r="AE310">
        <v>4.4913601379420554E-5</v>
      </c>
      <c r="AG310" t="s">
        <v>97</v>
      </c>
      <c r="AH310" t="s">
        <v>1859</v>
      </c>
      <c r="AI310">
        <v>0</v>
      </c>
      <c r="AK310">
        <v>2046</v>
      </c>
      <c r="AL310" t="s">
        <v>178</v>
      </c>
      <c r="AM310">
        <v>0.27500000000000002</v>
      </c>
      <c r="AN310" t="s">
        <v>430</v>
      </c>
    </row>
    <row r="311" spans="5:40" x14ac:dyDescent="0.45">
      <c r="E311" t="s">
        <v>1612</v>
      </c>
      <c r="G311" t="s">
        <v>160</v>
      </c>
      <c r="I311" t="s">
        <v>249</v>
      </c>
      <c r="J311" t="s">
        <v>1860</v>
      </c>
      <c r="K311">
        <v>0</v>
      </c>
      <c r="L311" t="s">
        <v>251</v>
      </c>
      <c r="N311" t="s">
        <v>419</v>
      </c>
      <c r="O311" t="s">
        <v>1860</v>
      </c>
      <c r="P311">
        <v>1.9118023735620001E-4</v>
      </c>
      <c r="Q311" t="s">
        <v>251</v>
      </c>
      <c r="S311" t="s">
        <v>420</v>
      </c>
      <c r="T311" t="s">
        <v>1860</v>
      </c>
      <c r="U311">
        <v>1.7893459321219999E-4</v>
      </c>
      <c r="V311" t="s">
        <v>251</v>
      </c>
      <c r="X311">
        <v>1.1415525114155251E-4</v>
      </c>
      <c r="Y311">
        <v>1.093901499142282E-4</v>
      </c>
      <c r="Z311" t="s">
        <v>1860</v>
      </c>
      <c r="AA311" t="s">
        <v>25</v>
      </c>
      <c r="AC311" t="s">
        <v>22</v>
      </c>
      <c r="AD311" t="s">
        <v>1860</v>
      </c>
      <c r="AE311">
        <v>4.4738681978156941E-5</v>
      </c>
      <c r="AG311" t="s">
        <v>97</v>
      </c>
      <c r="AH311" t="s">
        <v>1860</v>
      </c>
      <c r="AI311">
        <v>0</v>
      </c>
      <c r="AK311">
        <v>2047</v>
      </c>
      <c r="AL311" t="s">
        <v>151</v>
      </c>
      <c r="AM311">
        <v>0.25740000000000002</v>
      </c>
      <c r="AN311" t="s">
        <v>430</v>
      </c>
    </row>
    <row r="312" spans="5:40" x14ac:dyDescent="0.45">
      <c r="E312" t="s">
        <v>1613</v>
      </c>
      <c r="G312" t="s">
        <v>160</v>
      </c>
      <c r="I312" t="s">
        <v>249</v>
      </c>
      <c r="J312" t="s">
        <v>1861</v>
      </c>
      <c r="K312">
        <v>0</v>
      </c>
      <c r="L312" t="s">
        <v>251</v>
      </c>
      <c r="N312" t="s">
        <v>419</v>
      </c>
      <c r="O312" t="s">
        <v>1861</v>
      </c>
      <c r="P312">
        <v>1.903641200069E-4</v>
      </c>
      <c r="Q312" t="s">
        <v>251</v>
      </c>
      <c r="S312" t="s">
        <v>420</v>
      </c>
      <c r="T312" t="s">
        <v>1861</v>
      </c>
      <c r="U312">
        <v>1.8457655473509999E-4</v>
      </c>
      <c r="V312" t="s">
        <v>251</v>
      </c>
      <c r="X312">
        <v>1.1415525114155251E-4</v>
      </c>
      <c r="Y312">
        <v>7.9556472664893237E-5</v>
      </c>
      <c r="Z312" t="s">
        <v>1861</v>
      </c>
      <c r="AA312" t="s">
        <v>25</v>
      </c>
      <c r="AC312" t="s">
        <v>22</v>
      </c>
      <c r="AD312" t="s">
        <v>1861</v>
      </c>
      <c r="AE312">
        <v>4.3319272314400179E-5</v>
      </c>
      <c r="AG312" t="s">
        <v>97</v>
      </c>
      <c r="AH312" t="s">
        <v>1861</v>
      </c>
      <c r="AI312">
        <v>0</v>
      </c>
      <c r="AK312">
        <v>2047</v>
      </c>
      <c r="AL312" t="s">
        <v>156</v>
      </c>
      <c r="AM312">
        <v>0.27950000000000003</v>
      </c>
      <c r="AN312" t="s">
        <v>430</v>
      </c>
    </row>
    <row r="313" spans="5:40" x14ac:dyDescent="0.45">
      <c r="E313" t="s">
        <v>1614</v>
      </c>
      <c r="G313" t="s">
        <v>160</v>
      </c>
      <c r="I313" t="s">
        <v>249</v>
      </c>
      <c r="J313" t="s">
        <v>1862</v>
      </c>
      <c r="K313">
        <v>0</v>
      </c>
      <c r="L313" t="s">
        <v>251</v>
      </c>
      <c r="N313" t="s">
        <v>419</v>
      </c>
      <c r="O313" t="s">
        <v>1862</v>
      </c>
      <c r="P313">
        <v>1.838018657517E-4</v>
      </c>
      <c r="Q313" t="s">
        <v>251</v>
      </c>
      <c r="S313" t="s">
        <v>420</v>
      </c>
      <c r="T313" t="s">
        <v>1862</v>
      </c>
      <c r="U313">
        <v>1.90842614758E-4</v>
      </c>
      <c r="V313" t="s">
        <v>251</v>
      </c>
      <c r="X313">
        <v>1.1415525114155251E-4</v>
      </c>
      <c r="Y313">
        <v>5.6352501470966035E-5</v>
      </c>
      <c r="Z313" t="s">
        <v>1862</v>
      </c>
      <c r="AA313" t="s">
        <v>25</v>
      </c>
      <c r="AC313" t="s">
        <v>22</v>
      </c>
      <c r="AD313" t="s">
        <v>1862</v>
      </c>
      <c r="AE313">
        <v>6.0099279336253349E-5</v>
      </c>
      <c r="AG313" t="s">
        <v>97</v>
      </c>
      <c r="AH313" t="s">
        <v>1862</v>
      </c>
      <c r="AI313">
        <v>0</v>
      </c>
      <c r="AK313">
        <v>2047</v>
      </c>
      <c r="AL313" t="s">
        <v>159</v>
      </c>
      <c r="AM313">
        <v>0.2944</v>
      </c>
      <c r="AN313" t="s">
        <v>430</v>
      </c>
    </row>
    <row r="314" spans="5:40" x14ac:dyDescent="0.45">
      <c r="E314" t="s">
        <v>1615</v>
      </c>
      <c r="G314" t="s">
        <v>160</v>
      </c>
      <c r="I314" t="s">
        <v>249</v>
      </c>
      <c r="J314" t="s">
        <v>1863</v>
      </c>
      <c r="K314">
        <v>0</v>
      </c>
      <c r="L314" t="s">
        <v>251</v>
      </c>
      <c r="N314" t="s">
        <v>419</v>
      </c>
      <c r="O314" t="s">
        <v>1863</v>
      </c>
      <c r="P314">
        <v>1.834528707785E-4</v>
      </c>
      <c r="Q314" t="s">
        <v>251</v>
      </c>
      <c r="S314" t="s">
        <v>420</v>
      </c>
      <c r="T314" t="s">
        <v>1863</v>
      </c>
      <c r="U314">
        <v>1.992455160742E-4</v>
      </c>
      <c r="V314" t="s">
        <v>251</v>
      </c>
      <c r="X314">
        <v>1.1415525114155251E-4</v>
      </c>
      <c r="Y314">
        <v>2.9833677249334962E-5</v>
      </c>
      <c r="Z314" t="s">
        <v>1863</v>
      </c>
      <c r="AA314" t="s">
        <v>25</v>
      </c>
      <c r="AC314" t="s">
        <v>22</v>
      </c>
      <c r="AD314" t="s">
        <v>1863</v>
      </c>
      <c r="AE314">
        <v>8.1274554115971919E-5</v>
      </c>
      <c r="AG314" t="s">
        <v>97</v>
      </c>
      <c r="AH314" t="s">
        <v>1863</v>
      </c>
      <c r="AI314">
        <v>0</v>
      </c>
      <c r="AK314">
        <v>2047</v>
      </c>
      <c r="AL314" t="s">
        <v>163</v>
      </c>
      <c r="AM314">
        <v>0.33589999999999998</v>
      </c>
      <c r="AN314" t="s">
        <v>430</v>
      </c>
    </row>
    <row r="315" spans="5:40" x14ac:dyDescent="0.45">
      <c r="E315" t="s">
        <v>1616</v>
      </c>
      <c r="G315" t="s">
        <v>160</v>
      </c>
      <c r="I315" t="s">
        <v>249</v>
      </c>
      <c r="J315" t="s">
        <v>1864</v>
      </c>
      <c r="K315">
        <v>0</v>
      </c>
      <c r="L315" t="s">
        <v>251</v>
      </c>
      <c r="N315" t="s">
        <v>419</v>
      </c>
      <c r="O315" t="s">
        <v>1864</v>
      </c>
      <c r="P315">
        <v>1.8031729385539999E-4</v>
      </c>
      <c r="Q315" t="s">
        <v>251</v>
      </c>
      <c r="S315" t="s">
        <v>420</v>
      </c>
      <c r="T315" t="s">
        <v>1864</v>
      </c>
      <c r="U315">
        <v>2.0663610266530001E-4</v>
      </c>
      <c r="V315" t="s">
        <v>251</v>
      </c>
      <c r="X315">
        <v>1.1415525114155251E-4</v>
      </c>
      <c r="Y315">
        <v>2.1546544680075254E-5</v>
      </c>
      <c r="Z315" t="s">
        <v>1864</v>
      </c>
      <c r="AA315" t="s">
        <v>25</v>
      </c>
      <c r="AC315" t="s">
        <v>22</v>
      </c>
      <c r="AD315" t="s">
        <v>1864</v>
      </c>
      <c r="AE315">
        <v>8.3562990104477759E-5</v>
      </c>
      <c r="AG315" t="s">
        <v>97</v>
      </c>
      <c r="AH315" t="s">
        <v>1864</v>
      </c>
      <c r="AI315">
        <v>0</v>
      </c>
      <c r="AK315">
        <v>2047</v>
      </c>
      <c r="AL315" t="s">
        <v>167</v>
      </c>
      <c r="AM315">
        <v>0.36180000000000001</v>
      </c>
      <c r="AN315" t="s">
        <v>430</v>
      </c>
    </row>
    <row r="316" spans="5:40" x14ac:dyDescent="0.45">
      <c r="E316" t="s">
        <v>1617</v>
      </c>
      <c r="G316" t="s">
        <v>160</v>
      </c>
      <c r="I316" t="s">
        <v>249</v>
      </c>
      <c r="J316" t="s">
        <v>1865</v>
      </c>
      <c r="K316">
        <v>0</v>
      </c>
      <c r="L316" t="s">
        <v>251</v>
      </c>
      <c r="N316" t="s">
        <v>419</v>
      </c>
      <c r="O316" t="s">
        <v>1865</v>
      </c>
      <c r="P316">
        <v>1.7807660603270001E-4</v>
      </c>
      <c r="Q316" t="s">
        <v>251</v>
      </c>
      <c r="S316" t="s">
        <v>420</v>
      </c>
      <c r="T316" t="s">
        <v>1865</v>
      </c>
      <c r="U316">
        <v>2.1322937123329999E-4</v>
      </c>
      <c r="V316" t="s">
        <v>251</v>
      </c>
      <c r="X316">
        <v>1.1415525114155251E-4</v>
      </c>
      <c r="Y316">
        <v>1.4916838624667481E-5</v>
      </c>
      <c r="Z316" t="s">
        <v>1865</v>
      </c>
      <c r="AA316" t="s">
        <v>25</v>
      </c>
      <c r="AC316" t="s">
        <v>22</v>
      </c>
      <c r="AD316" t="s">
        <v>1865</v>
      </c>
      <c r="AE316">
        <v>9.805121872888376E-5</v>
      </c>
      <c r="AG316" t="s">
        <v>97</v>
      </c>
      <c r="AH316" t="s">
        <v>1865</v>
      </c>
      <c r="AI316">
        <v>0</v>
      </c>
      <c r="AK316">
        <v>2047</v>
      </c>
      <c r="AL316" t="s">
        <v>169</v>
      </c>
      <c r="AM316">
        <v>0.50639999999999996</v>
      </c>
      <c r="AN316" t="s">
        <v>430</v>
      </c>
    </row>
    <row r="317" spans="5:40" x14ac:dyDescent="0.45">
      <c r="E317" t="s">
        <v>1618</v>
      </c>
      <c r="G317" t="s">
        <v>160</v>
      </c>
      <c r="I317" t="s">
        <v>249</v>
      </c>
      <c r="J317" t="s">
        <v>1866</v>
      </c>
      <c r="K317">
        <v>0</v>
      </c>
      <c r="L317" t="s">
        <v>251</v>
      </c>
      <c r="N317" t="s">
        <v>419</v>
      </c>
      <c r="O317" t="s">
        <v>1866</v>
      </c>
      <c r="P317">
        <v>1.5964713057779999E-4</v>
      </c>
      <c r="Q317" t="s">
        <v>251</v>
      </c>
      <c r="S317" t="s">
        <v>420</v>
      </c>
      <c r="T317" t="s">
        <v>1866</v>
      </c>
      <c r="U317">
        <v>2.1369015131340001E-4</v>
      </c>
      <c r="V317" t="s">
        <v>251</v>
      </c>
      <c r="X317">
        <v>1.1415525114155251E-4</v>
      </c>
      <c r="Y317">
        <v>1.6574265138519424E-5</v>
      </c>
      <c r="Z317" t="s">
        <v>1866</v>
      </c>
      <c r="AA317" t="s">
        <v>25</v>
      </c>
      <c r="AC317" t="s">
        <v>22</v>
      </c>
      <c r="AD317" t="s">
        <v>1866</v>
      </c>
      <c r="AE317">
        <v>1.2149933158871524E-4</v>
      </c>
      <c r="AG317" t="s">
        <v>97</v>
      </c>
      <c r="AH317" t="s">
        <v>1866</v>
      </c>
      <c r="AI317">
        <v>0</v>
      </c>
      <c r="AK317">
        <v>2047</v>
      </c>
      <c r="AL317" t="s">
        <v>171</v>
      </c>
      <c r="AM317">
        <v>0.51149999999999995</v>
      </c>
      <c r="AN317" t="s">
        <v>430</v>
      </c>
    </row>
    <row r="318" spans="5:40" x14ac:dyDescent="0.45">
      <c r="E318" t="s">
        <v>1619</v>
      </c>
      <c r="G318" t="s">
        <v>160</v>
      </c>
      <c r="I318" t="s">
        <v>249</v>
      </c>
      <c r="J318" t="s">
        <v>1867</v>
      </c>
      <c r="K318">
        <v>0</v>
      </c>
      <c r="L318" t="s">
        <v>251</v>
      </c>
      <c r="N318" t="s">
        <v>419</v>
      </c>
      <c r="O318" t="s">
        <v>1867</v>
      </c>
      <c r="P318">
        <v>1.5595101638709999E-4</v>
      </c>
      <c r="Q318" t="s">
        <v>251</v>
      </c>
      <c r="S318" t="s">
        <v>420</v>
      </c>
      <c r="T318" t="s">
        <v>1867</v>
      </c>
      <c r="U318">
        <v>2.0330689452129999E-4</v>
      </c>
      <c r="V318" t="s">
        <v>251</v>
      </c>
      <c r="X318">
        <v>1.1415525114155251E-4</v>
      </c>
      <c r="Y318">
        <v>1.4585353321897093E-5</v>
      </c>
      <c r="Z318" t="s">
        <v>1867</v>
      </c>
      <c r="AA318" t="s">
        <v>25</v>
      </c>
      <c r="AC318" t="s">
        <v>22</v>
      </c>
      <c r="AD318" t="s">
        <v>1867</v>
      </c>
      <c r="AE318">
        <v>1.3827933861056843E-4</v>
      </c>
      <c r="AG318" t="s">
        <v>97</v>
      </c>
      <c r="AH318" t="s">
        <v>1867</v>
      </c>
      <c r="AI318">
        <v>0</v>
      </c>
      <c r="AK318">
        <v>2047</v>
      </c>
      <c r="AL318" t="s">
        <v>158</v>
      </c>
      <c r="AM318">
        <v>0.62080000000000002</v>
      </c>
      <c r="AN318" t="s">
        <v>430</v>
      </c>
    </row>
    <row r="319" spans="5:40" x14ac:dyDescent="0.45">
      <c r="E319" t="s">
        <v>1620</v>
      </c>
      <c r="G319" t="s">
        <v>160</v>
      </c>
      <c r="I319" t="s">
        <v>249</v>
      </c>
      <c r="J319" t="s">
        <v>1868</v>
      </c>
      <c r="K319">
        <v>0</v>
      </c>
      <c r="L319" t="s">
        <v>251</v>
      </c>
      <c r="N319" t="s">
        <v>419</v>
      </c>
      <c r="O319" t="s">
        <v>1868</v>
      </c>
      <c r="P319">
        <v>1.517742625749E-4</v>
      </c>
      <c r="Q319" t="s">
        <v>251</v>
      </c>
      <c r="S319" t="s">
        <v>420</v>
      </c>
      <c r="T319" t="s">
        <v>1868</v>
      </c>
      <c r="U319">
        <v>1.9888599523859999E-4</v>
      </c>
      <c r="V319" t="s">
        <v>251</v>
      </c>
      <c r="X319">
        <v>1.1415525114155251E-4</v>
      </c>
      <c r="Y319">
        <v>2.1215059377304864E-5</v>
      </c>
      <c r="Z319" t="s">
        <v>1868</v>
      </c>
      <c r="AA319" t="s">
        <v>25</v>
      </c>
      <c r="AC319" t="s">
        <v>22</v>
      </c>
      <c r="AD319" t="s">
        <v>1868</v>
      </c>
      <c r="AE319">
        <v>1.4302221689833341E-4</v>
      </c>
      <c r="AG319" t="s">
        <v>97</v>
      </c>
      <c r="AH319" t="s">
        <v>1868</v>
      </c>
      <c r="AI319">
        <v>0</v>
      </c>
      <c r="AK319">
        <v>2047</v>
      </c>
      <c r="AL319" t="s">
        <v>162</v>
      </c>
      <c r="AM319">
        <v>0.61750000000000005</v>
      </c>
      <c r="AN319" t="s">
        <v>430</v>
      </c>
    </row>
    <row r="320" spans="5:40" x14ac:dyDescent="0.45">
      <c r="E320" t="s">
        <v>1621</v>
      </c>
      <c r="G320" t="s">
        <v>160</v>
      </c>
      <c r="I320" t="s">
        <v>249</v>
      </c>
      <c r="J320" t="s">
        <v>1869</v>
      </c>
      <c r="K320">
        <v>0</v>
      </c>
      <c r="L320" t="s">
        <v>251</v>
      </c>
      <c r="N320" t="s">
        <v>419</v>
      </c>
      <c r="O320" t="s">
        <v>1869</v>
      </c>
      <c r="P320">
        <v>1.43090847237E-4</v>
      </c>
      <c r="Q320" t="s">
        <v>251</v>
      </c>
      <c r="S320" t="s">
        <v>420</v>
      </c>
      <c r="T320" t="s">
        <v>1869</v>
      </c>
      <c r="U320">
        <v>1.999096558271E-4</v>
      </c>
      <c r="V320" t="s">
        <v>251</v>
      </c>
      <c r="X320">
        <v>1.1415525114155251E-4</v>
      </c>
      <c r="Y320">
        <v>5.7678442682047593E-5</v>
      </c>
      <c r="Z320" t="s">
        <v>1869</v>
      </c>
      <c r="AA320" t="s">
        <v>25</v>
      </c>
      <c r="AC320" t="s">
        <v>22</v>
      </c>
      <c r="AD320" t="s">
        <v>1869</v>
      </c>
      <c r="AE320">
        <v>1.4327512584156167E-4</v>
      </c>
      <c r="AG320" t="s">
        <v>97</v>
      </c>
      <c r="AH320" t="s">
        <v>1869</v>
      </c>
      <c r="AI320">
        <v>0</v>
      </c>
      <c r="AK320">
        <v>2047</v>
      </c>
      <c r="AL320" t="s">
        <v>175</v>
      </c>
      <c r="AM320">
        <v>0.44309999999999999</v>
      </c>
      <c r="AN320" t="s">
        <v>430</v>
      </c>
    </row>
    <row r="321" spans="5:40" x14ac:dyDescent="0.45">
      <c r="E321" t="s">
        <v>1622</v>
      </c>
      <c r="G321" t="s">
        <v>160</v>
      </c>
      <c r="I321" t="s">
        <v>249</v>
      </c>
      <c r="J321" t="s">
        <v>1870</v>
      </c>
      <c r="K321">
        <v>1.0737675149134269E-5</v>
      </c>
      <c r="L321" t="s">
        <v>251</v>
      </c>
      <c r="N321" t="s">
        <v>419</v>
      </c>
      <c r="O321" t="s">
        <v>1870</v>
      </c>
      <c r="P321">
        <v>1.3621775335499999E-4</v>
      </c>
      <c r="Q321" t="s">
        <v>251</v>
      </c>
      <c r="S321" t="s">
        <v>420</v>
      </c>
      <c r="T321" t="s">
        <v>1870</v>
      </c>
      <c r="U321">
        <v>2.0286503895690001E-4</v>
      </c>
      <c r="V321" t="s">
        <v>251</v>
      </c>
      <c r="X321">
        <v>1.1415525114155251E-4</v>
      </c>
      <c r="Y321">
        <v>1.6905750441289813E-4</v>
      </c>
      <c r="Z321" t="s">
        <v>1870</v>
      </c>
      <c r="AA321" t="s">
        <v>25</v>
      </c>
      <c r="AC321" t="s">
        <v>22</v>
      </c>
      <c r="AD321" t="s">
        <v>1870</v>
      </c>
      <c r="AE321">
        <v>1.4308572266821896E-4</v>
      </c>
      <c r="AG321" t="s">
        <v>97</v>
      </c>
      <c r="AH321" t="s">
        <v>1870</v>
      </c>
      <c r="AI321">
        <v>0</v>
      </c>
      <c r="AK321">
        <v>2047</v>
      </c>
      <c r="AL321" t="s">
        <v>166</v>
      </c>
      <c r="AM321">
        <v>0.31790000000000002</v>
      </c>
      <c r="AN321" t="s">
        <v>430</v>
      </c>
    </row>
    <row r="322" spans="5:40" x14ac:dyDescent="0.45">
      <c r="E322" t="s">
        <v>1623</v>
      </c>
      <c r="G322" t="s">
        <v>160</v>
      </c>
      <c r="I322" t="s">
        <v>249</v>
      </c>
      <c r="J322" t="s">
        <v>1871</v>
      </c>
      <c r="K322">
        <v>4.8457822583000508E-5</v>
      </c>
      <c r="L322" t="s">
        <v>251</v>
      </c>
      <c r="N322" t="s">
        <v>419</v>
      </c>
      <c r="O322" t="s">
        <v>1871</v>
      </c>
      <c r="P322">
        <v>1.6498623835790001E-4</v>
      </c>
      <c r="Q322" t="s">
        <v>251</v>
      </c>
      <c r="S322" t="s">
        <v>420</v>
      </c>
      <c r="T322" t="s">
        <v>1871</v>
      </c>
      <c r="U322">
        <v>2.0341436238659999E-4</v>
      </c>
      <c r="V322" t="s">
        <v>251</v>
      </c>
      <c r="X322">
        <v>1.1415525114155251E-4</v>
      </c>
      <c r="Y322">
        <v>1.9060404909297337E-4</v>
      </c>
      <c r="Z322" t="s">
        <v>1871</v>
      </c>
      <c r="AA322" t="s">
        <v>25</v>
      </c>
      <c r="AC322" t="s">
        <v>22</v>
      </c>
      <c r="AD322" t="s">
        <v>1871</v>
      </c>
      <c r="AE322">
        <v>1.4366395941507122E-4</v>
      </c>
      <c r="AG322" t="s">
        <v>97</v>
      </c>
      <c r="AH322" t="s">
        <v>1871</v>
      </c>
      <c r="AI322">
        <v>0</v>
      </c>
      <c r="AK322">
        <v>2047</v>
      </c>
      <c r="AL322" t="s">
        <v>178</v>
      </c>
      <c r="AM322">
        <v>0.24079999999999999</v>
      </c>
      <c r="AN322" t="s">
        <v>430</v>
      </c>
    </row>
    <row r="323" spans="5:40" x14ac:dyDescent="0.45">
      <c r="E323" t="s">
        <v>431</v>
      </c>
      <c r="G323" t="s">
        <v>160</v>
      </c>
      <c r="I323" t="s">
        <v>249</v>
      </c>
      <c r="J323" t="s">
        <v>1872</v>
      </c>
      <c r="K323">
        <v>9.6683013531325565E-5</v>
      </c>
      <c r="L323" t="s">
        <v>251</v>
      </c>
      <c r="N323" t="s">
        <v>419</v>
      </c>
      <c r="O323" t="s">
        <v>1872</v>
      </c>
      <c r="P323">
        <v>1.933133914725E-4</v>
      </c>
      <c r="Q323" t="s">
        <v>251</v>
      </c>
      <c r="S323" t="s">
        <v>420</v>
      </c>
      <c r="T323" t="s">
        <v>1872</v>
      </c>
      <c r="U323">
        <v>2.0689590134360001E-4</v>
      </c>
      <c r="V323" t="s">
        <v>251</v>
      </c>
      <c r="X323">
        <v>1.1415525114155251E-4</v>
      </c>
      <c r="Y323">
        <v>1.4585353321897094E-4</v>
      </c>
      <c r="Z323" t="s">
        <v>1872</v>
      </c>
      <c r="AA323" t="s">
        <v>25</v>
      </c>
      <c r="AC323" t="s">
        <v>22</v>
      </c>
      <c r="AD323" t="s">
        <v>1872</v>
      </c>
      <c r="AE323">
        <v>1.4387564531468956E-4</v>
      </c>
      <c r="AG323" t="s">
        <v>97</v>
      </c>
      <c r="AH323" t="s">
        <v>1872</v>
      </c>
      <c r="AI323">
        <v>0</v>
      </c>
      <c r="AK323">
        <v>2048</v>
      </c>
      <c r="AL323" t="s">
        <v>151</v>
      </c>
      <c r="AM323">
        <v>0.2341</v>
      </c>
      <c r="AN323" t="s">
        <v>430</v>
      </c>
    </row>
    <row r="324" spans="5:40" x14ac:dyDescent="0.45">
      <c r="E324" t="s">
        <v>432</v>
      </c>
      <c r="G324" t="s">
        <v>160</v>
      </c>
      <c r="I324" t="s">
        <v>249</v>
      </c>
      <c r="J324" t="s">
        <v>1873</v>
      </c>
      <c r="K324">
        <v>1.4242419527190001E-4</v>
      </c>
      <c r="L324" t="s">
        <v>251</v>
      </c>
      <c r="N324" t="s">
        <v>419</v>
      </c>
      <c r="O324" t="s">
        <v>1873</v>
      </c>
      <c r="P324">
        <v>1.9339537813720001E-4</v>
      </c>
      <c r="Q324" t="s">
        <v>251</v>
      </c>
      <c r="S324" t="s">
        <v>420</v>
      </c>
      <c r="T324" t="s">
        <v>1873</v>
      </c>
      <c r="U324">
        <v>2.101767254678E-4</v>
      </c>
      <c r="V324" t="s">
        <v>251</v>
      </c>
      <c r="X324">
        <v>1.1415525114155251E-4</v>
      </c>
      <c r="Y324">
        <v>1.4452759200788939E-4</v>
      </c>
      <c r="Z324" t="s">
        <v>1873</v>
      </c>
      <c r="AA324" t="s">
        <v>25</v>
      </c>
      <c r="AC324" t="s">
        <v>22</v>
      </c>
      <c r="AD324" t="s">
        <v>1873</v>
      </c>
      <c r="AE324">
        <v>1.4386338981523799E-4</v>
      </c>
      <c r="AG324" t="s">
        <v>97</v>
      </c>
      <c r="AH324" t="s">
        <v>1873</v>
      </c>
      <c r="AI324">
        <v>0</v>
      </c>
      <c r="AK324">
        <v>2048</v>
      </c>
      <c r="AL324" t="s">
        <v>156</v>
      </c>
      <c r="AM324">
        <v>0.2361</v>
      </c>
      <c r="AN324" t="s">
        <v>430</v>
      </c>
    </row>
    <row r="325" spans="5:40" x14ac:dyDescent="0.45">
      <c r="E325" t="s">
        <v>433</v>
      </c>
      <c r="G325" t="s">
        <v>160</v>
      </c>
      <c r="I325" t="s">
        <v>249</v>
      </c>
      <c r="J325" t="s">
        <v>1874</v>
      </c>
      <c r="K325">
        <v>1.790672713978E-4</v>
      </c>
      <c r="L325" t="s">
        <v>251</v>
      </c>
      <c r="N325" t="s">
        <v>419</v>
      </c>
      <c r="O325" t="s">
        <v>1874</v>
      </c>
      <c r="P325">
        <v>1.9542269312800001E-4</v>
      </c>
      <c r="Q325" t="s">
        <v>251</v>
      </c>
      <c r="S325" t="s">
        <v>420</v>
      </c>
      <c r="T325" t="s">
        <v>1874</v>
      </c>
      <c r="U325">
        <v>2.083478734582E-4</v>
      </c>
      <c r="V325" t="s">
        <v>251</v>
      </c>
      <c r="X325">
        <v>1.1415525114155251E-4</v>
      </c>
      <c r="Y325">
        <v>1.408812536774151E-4</v>
      </c>
      <c r="Z325" t="s">
        <v>1874</v>
      </c>
      <c r="AA325" t="s">
        <v>25</v>
      </c>
      <c r="AC325" t="s">
        <v>22</v>
      </c>
      <c r="AD325" t="s">
        <v>1874</v>
      </c>
      <c r="AE325">
        <v>1.4366395941507119E-4</v>
      </c>
      <c r="AG325" t="s">
        <v>97</v>
      </c>
      <c r="AH325" t="s">
        <v>1874</v>
      </c>
      <c r="AI325">
        <v>0</v>
      </c>
      <c r="AK325">
        <v>2048</v>
      </c>
      <c r="AL325" t="s">
        <v>159</v>
      </c>
      <c r="AM325">
        <v>0.2873</v>
      </c>
      <c r="AN325" t="s">
        <v>430</v>
      </c>
    </row>
    <row r="326" spans="5:40" x14ac:dyDescent="0.45">
      <c r="E326" t="s">
        <v>434</v>
      </c>
      <c r="G326" t="s">
        <v>160</v>
      </c>
      <c r="I326" t="s">
        <v>249</v>
      </c>
      <c r="J326" t="s">
        <v>1875</v>
      </c>
      <c r="K326">
        <v>1.9326056293679999E-4</v>
      </c>
      <c r="L326" t="s">
        <v>251</v>
      </c>
      <c r="N326" t="s">
        <v>419</v>
      </c>
      <c r="O326" t="s">
        <v>1875</v>
      </c>
      <c r="P326">
        <v>2.0720309770169999E-4</v>
      </c>
      <c r="Q326" t="s">
        <v>251</v>
      </c>
      <c r="S326" t="s">
        <v>420</v>
      </c>
      <c r="T326" t="s">
        <v>1875</v>
      </c>
      <c r="U326">
        <v>2.0618104334659999E-4</v>
      </c>
      <c r="V326" t="s">
        <v>251</v>
      </c>
      <c r="X326">
        <v>1.1415525114155251E-4</v>
      </c>
      <c r="Y326">
        <v>1.4054976837464471E-4</v>
      </c>
      <c r="Z326" t="s">
        <v>1875</v>
      </c>
      <c r="AA326" t="s">
        <v>25</v>
      </c>
      <c r="AC326" t="s">
        <v>22</v>
      </c>
      <c r="AD326" t="s">
        <v>1875</v>
      </c>
      <c r="AE326">
        <v>1.4396031967453687E-4</v>
      </c>
      <c r="AG326" t="s">
        <v>97</v>
      </c>
      <c r="AH326" t="s">
        <v>1875</v>
      </c>
      <c r="AI326">
        <v>0</v>
      </c>
      <c r="AK326">
        <v>2048</v>
      </c>
      <c r="AL326" t="s">
        <v>163</v>
      </c>
      <c r="AM326">
        <v>0.3155</v>
      </c>
      <c r="AN326" t="s">
        <v>430</v>
      </c>
    </row>
    <row r="327" spans="5:40" x14ac:dyDescent="0.45">
      <c r="E327" t="s">
        <v>436</v>
      </c>
      <c r="G327" t="s">
        <v>160</v>
      </c>
      <c r="I327" t="s">
        <v>249</v>
      </c>
      <c r="J327" t="s">
        <v>1876</v>
      </c>
      <c r="K327">
        <v>1.9077595439709999E-4</v>
      </c>
      <c r="L327" t="s">
        <v>251</v>
      </c>
      <c r="N327" t="s">
        <v>419</v>
      </c>
      <c r="O327" t="s">
        <v>1876</v>
      </c>
      <c r="P327">
        <v>2.1954726931389999E-4</v>
      </c>
      <c r="Q327" t="s">
        <v>251</v>
      </c>
      <c r="S327" t="s">
        <v>420</v>
      </c>
      <c r="T327" t="s">
        <v>1876</v>
      </c>
      <c r="U327">
        <v>2.0623459943090001E-4</v>
      </c>
      <c r="V327" t="s">
        <v>251</v>
      </c>
      <c r="X327">
        <v>1.1415525114155251E-4</v>
      </c>
      <c r="Y327">
        <v>1.4253868019126702E-4</v>
      </c>
      <c r="Z327" t="s">
        <v>1876</v>
      </c>
      <c r="AA327" t="s">
        <v>25</v>
      </c>
      <c r="AC327" t="s">
        <v>22</v>
      </c>
      <c r="AD327" t="s">
        <v>1876</v>
      </c>
      <c r="AE327">
        <v>1.7210674536958216E-4</v>
      </c>
      <c r="AG327" t="s">
        <v>97</v>
      </c>
      <c r="AH327" t="s">
        <v>1876</v>
      </c>
      <c r="AI327">
        <v>0</v>
      </c>
      <c r="AK327">
        <v>2048</v>
      </c>
      <c r="AL327" t="s">
        <v>167</v>
      </c>
      <c r="AM327">
        <v>0.41060000000000002</v>
      </c>
      <c r="AN327" t="s">
        <v>430</v>
      </c>
    </row>
    <row r="328" spans="5:40" x14ac:dyDescent="0.45">
      <c r="E328" t="s">
        <v>438</v>
      </c>
      <c r="G328" t="s">
        <v>160</v>
      </c>
      <c r="I328" t="s">
        <v>249</v>
      </c>
      <c r="J328" t="s">
        <v>1877</v>
      </c>
      <c r="K328">
        <v>1.8567579754070001E-4</v>
      </c>
      <c r="L328" t="s">
        <v>251</v>
      </c>
      <c r="N328" t="s">
        <v>419</v>
      </c>
      <c r="O328" t="s">
        <v>1877</v>
      </c>
      <c r="P328">
        <v>2.2826400932510001E-4</v>
      </c>
      <c r="Q328" t="s">
        <v>251</v>
      </c>
      <c r="S328" t="s">
        <v>420</v>
      </c>
      <c r="T328" t="s">
        <v>1877</v>
      </c>
      <c r="U328">
        <v>2.0760107783299999E-4</v>
      </c>
      <c r="V328" t="s">
        <v>251</v>
      </c>
      <c r="X328">
        <v>1.1415525114155251E-4</v>
      </c>
      <c r="Y328">
        <v>1.4883690094390442E-4</v>
      </c>
      <c r="Z328" t="s">
        <v>1877</v>
      </c>
      <c r="AA328" t="s">
        <v>25</v>
      </c>
      <c r="AC328" t="s">
        <v>22</v>
      </c>
      <c r="AD328" t="s">
        <v>1877</v>
      </c>
      <c r="AE328">
        <v>1.7386373833641453E-4</v>
      </c>
      <c r="AG328" t="s">
        <v>97</v>
      </c>
      <c r="AH328" t="s">
        <v>1877</v>
      </c>
      <c r="AI328">
        <v>0</v>
      </c>
      <c r="AK328">
        <v>2048</v>
      </c>
      <c r="AL328" t="s">
        <v>169</v>
      </c>
      <c r="AM328">
        <v>0.46820000000000001</v>
      </c>
      <c r="AN328" t="s">
        <v>430</v>
      </c>
    </row>
    <row r="329" spans="5:40" x14ac:dyDescent="0.45">
      <c r="E329" t="s">
        <v>440</v>
      </c>
      <c r="G329" t="s">
        <v>160</v>
      </c>
      <c r="I329" t="s">
        <v>249</v>
      </c>
      <c r="J329" t="s">
        <v>1878</v>
      </c>
      <c r="K329">
        <v>1.6905672192350001E-4</v>
      </c>
      <c r="L329" t="s">
        <v>251</v>
      </c>
      <c r="N329" t="s">
        <v>419</v>
      </c>
      <c r="O329" t="s">
        <v>1878</v>
      </c>
      <c r="P329">
        <v>2.369388345672E-4</v>
      </c>
      <c r="Q329" t="s">
        <v>251</v>
      </c>
      <c r="S329" t="s">
        <v>420</v>
      </c>
      <c r="T329" t="s">
        <v>1878</v>
      </c>
      <c r="U329">
        <v>2.093538843937E-4</v>
      </c>
      <c r="V329" t="s">
        <v>251</v>
      </c>
      <c r="X329">
        <v>1.1415525114155251E-4</v>
      </c>
      <c r="Y329">
        <v>1.5049432745775637E-4</v>
      </c>
      <c r="Z329" t="s">
        <v>1878</v>
      </c>
      <c r="AA329" t="s">
        <v>25</v>
      </c>
      <c r="AC329" t="s">
        <v>22</v>
      </c>
      <c r="AD329" t="s">
        <v>1878</v>
      </c>
      <c r="AE329">
        <v>1.6688367433057759E-4</v>
      </c>
      <c r="AG329" t="s">
        <v>97</v>
      </c>
      <c r="AH329" t="s">
        <v>1878</v>
      </c>
      <c r="AI329">
        <v>0</v>
      </c>
      <c r="AK329">
        <v>2048</v>
      </c>
      <c r="AL329" t="s">
        <v>171</v>
      </c>
      <c r="AM329">
        <v>0.53469999999999995</v>
      </c>
      <c r="AN329" t="s">
        <v>430</v>
      </c>
    </row>
    <row r="330" spans="5:40" x14ac:dyDescent="0.45">
      <c r="E330" t="s">
        <v>442</v>
      </c>
      <c r="G330" t="s">
        <v>160</v>
      </c>
      <c r="I330" t="s">
        <v>249</v>
      </c>
      <c r="J330" t="s">
        <v>1879</v>
      </c>
      <c r="K330">
        <v>1.484320407479E-4</v>
      </c>
      <c r="L330" t="s">
        <v>251</v>
      </c>
      <c r="N330" t="s">
        <v>419</v>
      </c>
      <c r="O330" t="s">
        <v>1879</v>
      </c>
      <c r="P330">
        <v>2.130137576849E-4</v>
      </c>
      <c r="Q330" t="s">
        <v>251</v>
      </c>
      <c r="S330" t="s">
        <v>420</v>
      </c>
      <c r="T330" t="s">
        <v>1879</v>
      </c>
      <c r="U330">
        <v>2.0037622912769999E-4</v>
      </c>
      <c r="V330" t="s">
        <v>251</v>
      </c>
      <c r="X330">
        <v>1.1415525114155251E-4</v>
      </c>
      <c r="Y330">
        <v>1.7237235744060203E-4</v>
      </c>
      <c r="Z330" t="s">
        <v>1879</v>
      </c>
      <c r="AA330" t="s">
        <v>25</v>
      </c>
      <c r="AC330" t="s">
        <v>22</v>
      </c>
      <c r="AD330" t="s">
        <v>1879</v>
      </c>
      <c r="AE330">
        <v>1.4592454199573252E-4</v>
      </c>
      <c r="AG330" t="s">
        <v>97</v>
      </c>
      <c r="AH330" t="s">
        <v>1879</v>
      </c>
      <c r="AI330">
        <v>0</v>
      </c>
      <c r="AK330">
        <v>2048</v>
      </c>
      <c r="AL330" t="s">
        <v>158</v>
      </c>
      <c r="AM330">
        <v>0.68959999999999999</v>
      </c>
      <c r="AN330" t="s">
        <v>430</v>
      </c>
    </row>
    <row r="331" spans="5:40" x14ac:dyDescent="0.45">
      <c r="E331" t="s">
        <v>444</v>
      </c>
      <c r="G331" t="s">
        <v>160</v>
      </c>
      <c r="I331" t="s">
        <v>249</v>
      </c>
      <c r="J331" t="s">
        <v>1880</v>
      </c>
      <c r="K331">
        <v>1.250053252557E-4</v>
      </c>
      <c r="L331" t="s">
        <v>251</v>
      </c>
      <c r="N331" t="s">
        <v>419</v>
      </c>
      <c r="O331" t="s">
        <v>1880</v>
      </c>
      <c r="P331">
        <v>2.2092942296480001E-4</v>
      </c>
      <c r="Q331" t="s">
        <v>251</v>
      </c>
      <c r="S331" t="s">
        <v>420</v>
      </c>
      <c r="T331" t="s">
        <v>1880</v>
      </c>
      <c r="U331">
        <v>1.976511834033E-4</v>
      </c>
      <c r="V331" t="s">
        <v>251</v>
      </c>
      <c r="X331">
        <v>1.1415525114155251E-4</v>
      </c>
      <c r="Y331">
        <v>2.2209515285616027E-4</v>
      </c>
      <c r="Z331" t="s">
        <v>1880</v>
      </c>
      <c r="AA331" t="s">
        <v>25</v>
      </c>
      <c r="AC331" t="s">
        <v>22</v>
      </c>
      <c r="AD331" t="s">
        <v>1880</v>
      </c>
      <c r="AE331">
        <v>1.210715032442234E-4</v>
      </c>
      <c r="AG331" t="s">
        <v>97</v>
      </c>
      <c r="AH331" t="s">
        <v>1880</v>
      </c>
      <c r="AI331">
        <v>0</v>
      </c>
      <c r="AK331">
        <v>2048</v>
      </c>
      <c r="AL331" t="s">
        <v>162</v>
      </c>
      <c r="AM331">
        <v>0.58379999999999999</v>
      </c>
      <c r="AN331" t="s">
        <v>430</v>
      </c>
    </row>
    <row r="332" spans="5:40" x14ac:dyDescent="0.45">
      <c r="E332" t="s">
        <v>446</v>
      </c>
      <c r="G332" t="s">
        <v>160</v>
      </c>
      <c r="I332" t="s">
        <v>249</v>
      </c>
      <c r="J332" t="s">
        <v>1881</v>
      </c>
      <c r="K332">
        <v>7.5115173316010823E-5</v>
      </c>
      <c r="L332" t="s">
        <v>251</v>
      </c>
      <c r="N332" t="s">
        <v>419</v>
      </c>
      <c r="O332" t="s">
        <v>1881</v>
      </c>
      <c r="P332">
        <v>2.069616805868E-4</v>
      </c>
      <c r="Q332" t="s">
        <v>251</v>
      </c>
      <c r="S332" t="s">
        <v>420</v>
      </c>
      <c r="T332" t="s">
        <v>1881</v>
      </c>
      <c r="U332">
        <v>1.9335670095839999E-4</v>
      </c>
      <c r="V332" t="s">
        <v>251</v>
      </c>
      <c r="X332">
        <v>1.1415525114155251E-4</v>
      </c>
      <c r="Y332">
        <v>2.2209515285616027E-4</v>
      </c>
      <c r="Z332" t="s">
        <v>1881</v>
      </c>
      <c r="AA332" t="s">
        <v>25</v>
      </c>
      <c r="AC332" t="s">
        <v>22</v>
      </c>
      <c r="AD332" t="s">
        <v>1881</v>
      </c>
      <c r="AE332">
        <v>8.9962589090834873E-5</v>
      </c>
      <c r="AG332" t="s">
        <v>97</v>
      </c>
      <c r="AH332" t="s">
        <v>1881</v>
      </c>
      <c r="AI332">
        <v>0</v>
      </c>
      <c r="AK332">
        <v>2048</v>
      </c>
      <c r="AL332" t="s">
        <v>175</v>
      </c>
      <c r="AM332">
        <v>0.4778</v>
      </c>
      <c r="AN332" t="s">
        <v>430</v>
      </c>
    </row>
    <row r="333" spans="5:40" x14ac:dyDescent="0.45">
      <c r="E333" t="s">
        <v>447</v>
      </c>
      <c r="G333" t="s">
        <v>160</v>
      </c>
      <c r="I333" t="s">
        <v>249</v>
      </c>
      <c r="J333" t="s">
        <v>1882</v>
      </c>
      <c r="K333">
        <v>3.3285991608229174E-5</v>
      </c>
      <c r="L333" t="s">
        <v>251</v>
      </c>
      <c r="N333" t="s">
        <v>419</v>
      </c>
      <c r="O333" t="s">
        <v>1882</v>
      </c>
      <c r="P333">
        <v>2.0404928472280001E-4</v>
      </c>
      <c r="Q333" t="s">
        <v>251</v>
      </c>
      <c r="S333" t="s">
        <v>420</v>
      </c>
      <c r="T333" t="s">
        <v>1882</v>
      </c>
      <c r="U333">
        <v>1.902746589973E-4</v>
      </c>
      <c r="V333" t="s">
        <v>251</v>
      </c>
      <c r="X333">
        <v>1.1415525114155251E-4</v>
      </c>
      <c r="Y333">
        <v>1.7237235744060203E-4</v>
      </c>
      <c r="Z333" t="s">
        <v>1882</v>
      </c>
      <c r="AA333" t="s">
        <v>25</v>
      </c>
      <c r="AC333" t="s">
        <v>22</v>
      </c>
      <c r="AD333" t="s">
        <v>1882</v>
      </c>
      <c r="AE333">
        <v>5.614632369495894E-5</v>
      </c>
      <c r="AG333" t="s">
        <v>97</v>
      </c>
      <c r="AH333" t="s">
        <v>1882</v>
      </c>
      <c r="AI333">
        <v>0</v>
      </c>
      <c r="AK333">
        <v>2048</v>
      </c>
      <c r="AL333" t="s">
        <v>166</v>
      </c>
      <c r="AM333">
        <v>0.28249999999999997</v>
      </c>
      <c r="AN333" t="s">
        <v>430</v>
      </c>
    </row>
    <row r="334" spans="5:40" x14ac:dyDescent="0.45">
      <c r="E334" t="s">
        <v>448</v>
      </c>
      <c r="G334" t="s">
        <v>160</v>
      </c>
      <c r="I334" t="s">
        <v>249</v>
      </c>
      <c r="J334" t="s">
        <v>1883</v>
      </c>
      <c r="K334">
        <v>6.4349656098659466E-6</v>
      </c>
      <c r="L334" t="s">
        <v>251</v>
      </c>
      <c r="N334" t="s">
        <v>419</v>
      </c>
      <c r="O334" t="s">
        <v>1883</v>
      </c>
      <c r="P334">
        <v>1.950402643401E-4</v>
      </c>
      <c r="Q334" t="s">
        <v>251</v>
      </c>
      <c r="S334" t="s">
        <v>420</v>
      </c>
      <c r="T334" t="s">
        <v>1883</v>
      </c>
      <c r="U334">
        <v>1.91443661127E-4</v>
      </c>
      <c r="V334" t="s">
        <v>251</v>
      </c>
      <c r="X334">
        <v>1.1415525114155251E-4</v>
      </c>
      <c r="Y334">
        <v>1.5579809230208258E-4</v>
      </c>
      <c r="Z334" t="s">
        <v>1883</v>
      </c>
      <c r="AA334" t="s">
        <v>25</v>
      </c>
      <c r="AC334" t="s">
        <v>22</v>
      </c>
      <c r="AD334" t="s">
        <v>1883</v>
      </c>
      <c r="AE334">
        <v>4.9972894380299302E-5</v>
      </c>
      <c r="AG334" t="s">
        <v>97</v>
      </c>
      <c r="AH334" t="s">
        <v>1883</v>
      </c>
      <c r="AI334">
        <v>0</v>
      </c>
      <c r="AK334">
        <v>2048</v>
      </c>
      <c r="AL334" t="s">
        <v>178</v>
      </c>
      <c r="AM334">
        <v>0.25080000000000002</v>
      </c>
      <c r="AN334" t="s">
        <v>430</v>
      </c>
    </row>
    <row r="335" spans="5:40" x14ac:dyDescent="0.45">
      <c r="E335" t="s">
        <v>449</v>
      </c>
      <c r="G335" t="s">
        <v>160</v>
      </c>
      <c r="I335" t="s">
        <v>249</v>
      </c>
      <c r="J335" t="s">
        <v>1884</v>
      </c>
      <c r="K335">
        <v>0</v>
      </c>
      <c r="L335" t="s">
        <v>251</v>
      </c>
      <c r="N335" t="s">
        <v>419</v>
      </c>
      <c r="O335" t="s">
        <v>1884</v>
      </c>
      <c r="P335">
        <v>1.882576233068E-4</v>
      </c>
      <c r="Q335" t="s">
        <v>251</v>
      </c>
      <c r="S335" t="s">
        <v>420</v>
      </c>
      <c r="T335" t="s">
        <v>1884</v>
      </c>
      <c r="U335">
        <v>1.9738254190249999E-4</v>
      </c>
      <c r="V335" t="s">
        <v>251</v>
      </c>
      <c r="X335">
        <v>1.1415525114155251E-4</v>
      </c>
      <c r="Y335">
        <v>1.093901499142282E-4</v>
      </c>
      <c r="Z335" t="s">
        <v>1884</v>
      </c>
      <c r="AA335" t="s">
        <v>25</v>
      </c>
      <c r="AC335" t="s">
        <v>22</v>
      </c>
      <c r="AD335" t="s">
        <v>1884</v>
      </c>
      <c r="AE335">
        <v>4.9447022040194752E-5</v>
      </c>
      <c r="AG335" t="s">
        <v>97</v>
      </c>
      <c r="AH335" t="s">
        <v>1884</v>
      </c>
      <c r="AI335">
        <v>0</v>
      </c>
      <c r="AK335">
        <v>2049</v>
      </c>
      <c r="AL335" t="s">
        <v>151</v>
      </c>
      <c r="AM335">
        <v>0.23300000000000001</v>
      </c>
      <c r="AN335" t="s">
        <v>430</v>
      </c>
    </row>
    <row r="336" spans="5:40" x14ac:dyDescent="0.45">
      <c r="E336" t="s">
        <v>450</v>
      </c>
      <c r="G336" t="s">
        <v>160</v>
      </c>
      <c r="I336" t="s">
        <v>249</v>
      </c>
      <c r="J336" t="s">
        <v>1885</v>
      </c>
      <c r="K336">
        <v>0</v>
      </c>
      <c r="L336" t="s">
        <v>251</v>
      </c>
      <c r="N336" t="s">
        <v>419</v>
      </c>
      <c r="O336" t="s">
        <v>1885</v>
      </c>
      <c r="P336">
        <v>1.7927306726359999E-4</v>
      </c>
      <c r="Q336" t="s">
        <v>251</v>
      </c>
      <c r="S336" t="s">
        <v>420</v>
      </c>
      <c r="T336" t="s">
        <v>1885</v>
      </c>
      <c r="U336">
        <v>2.0282794789769999E-4</v>
      </c>
      <c r="V336" t="s">
        <v>251</v>
      </c>
      <c r="X336">
        <v>1.1415525114155251E-4</v>
      </c>
      <c r="Y336">
        <v>7.9556472664893237E-5</v>
      </c>
      <c r="Z336" t="s">
        <v>1885</v>
      </c>
      <c r="AA336" t="s">
        <v>25</v>
      </c>
      <c r="AC336" t="s">
        <v>22</v>
      </c>
      <c r="AD336" t="s">
        <v>1885</v>
      </c>
      <c r="AE336">
        <v>5.2526494811485004E-5</v>
      </c>
      <c r="AG336" t="s">
        <v>97</v>
      </c>
      <c r="AH336" t="s">
        <v>1885</v>
      </c>
      <c r="AI336">
        <v>0</v>
      </c>
      <c r="AK336">
        <v>2049</v>
      </c>
      <c r="AL336" t="s">
        <v>156</v>
      </c>
      <c r="AM336">
        <v>0.25209999999999999</v>
      </c>
      <c r="AN336" t="s">
        <v>430</v>
      </c>
    </row>
    <row r="337" spans="5:40" x14ac:dyDescent="0.45">
      <c r="E337" t="s">
        <v>451</v>
      </c>
      <c r="G337" t="s">
        <v>160</v>
      </c>
      <c r="I337" t="s">
        <v>249</v>
      </c>
      <c r="J337" t="s">
        <v>1886</v>
      </c>
      <c r="K337">
        <v>0</v>
      </c>
      <c r="L337" t="s">
        <v>251</v>
      </c>
      <c r="N337" t="s">
        <v>419</v>
      </c>
      <c r="O337" t="s">
        <v>1886</v>
      </c>
      <c r="P337">
        <v>1.6820696216449999E-4</v>
      </c>
      <c r="Q337" t="s">
        <v>251</v>
      </c>
      <c r="S337" t="s">
        <v>420</v>
      </c>
      <c r="T337" t="s">
        <v>1886</v>
      </c>
      <c r="U337">
        <v>2.0368442483749999E-4</v>
      </c>
      <c r="V337" t="s">
        <v>251</v>
      </c>
      <c r="X337">
        <v>1.1415525114155251E-4</v>
      </c>
      <c r="Y337">
        <v>5.6352501470966035E-5</v>
      </c>
      <c r="Z337" t="s">
        <v>1886</v>
      </c>
      <c r="AA337" t="s">
        <v>25</v>
      </c>
      <c r="AC337" t="s">
        <v>22</v>
      </c>
      <c r="AD337" t="s">
        <v>1886</v>
      </c>
      <c r="AE337">
        <v>7.2546410233812841E-5</v>
      </c>
      <c r="AG337" t="s">
        <v>97</v>
      </c>
      <c r="AH337" t="s">
        <v>1886</v>
      </c>
      <c r="AI337">
        <v>0</v>
      </c>
      <c r="AK337">
        <v>2049</v>
      </c>
      <c r="AL337" t="s">
        <v>159</v>
      </c>
      <c r="AM337">
        <v>0.27529999999999999</v>
      </c>
      <c r="AN337" t="s">
        <v>430</v>
      </c>
    </row>
    <row r="338" spans="5:40" x14ac:dyDescent="0.45">
      <c r="E338" t="s">
        <v>452</v>
      </c>
      <c r="G338" t="s">
        <v>160</v>
      </c>
      <c r="I338" t="s">
        <v>249</v>
      </c>
      <c r="J338" t="s">
        <v>1887</v>
      </c>
      <c r="K338">
        <v>0</v>
      </c>
      <c r="L338" t="s">
        <v>251</v>
      </c>
      <c r="N338" t="s">
        <v>419</v>
      </c>
      <c r="O338" t="s">
        <v>1887</v>
      </c>
      <c r="P338">
        <v>1.6713782935559999E-4</v>
      </c>
      <c r="Q338" t="s">
        <v>251</v>
      </c>
      <c r="S338" t="s">
        <v>420</v>
      </c>
      <c r="T338" t="s">
        <v>1887</v>
      </c>
      <c r="U338">
        <v>2.0332819525300001E-4</v>
      </c>
      <c r="V338" t="s">
        <v>251</v>
      </c>
      <c r="X338">
        <v>1.1415525114155251E-4</v>
      </c>
      <c r="Y338">
        <v>2.9833677249334962E-5</v>
      </c>
      <c r="Z338" t="s">
        <v>1887</v>
      </c>
      <c r="AA338" t="s">
        <v>25</v>
      </c>
      <c r="AC338" t="s">
        <v>22</v>
      </c>
      <c r="AD338" t="s">
        <v>1887</v>
      </c>
      <c r="AE338">
        <v>9.0126367128960652E-5</v>
      </c>
      <c r="AG338" t="s">
        <v>97</v>
      </c>
      <c r="AH338" t="s">
        <v>1887</v>
      </c>
      <c r="AI338">
        <v>0</v>
      </c>
      <c r="AK338">
        <v>2049</v>
      </c>
      <c r="AL338" t="s">
        <v>163</v>
      </c>
      <c r="AM338">
        <v>0.30709999999999998</v>
      </c>
      <c r="AN338" t="s">
        <v>430</v>
      </c>
    </row>
    <row r="339" spans="5:40" x14ac:dyDescent="0.45">
      <c r="E339" t="s">
        <v>453</v>
      </c>
      <c r="G339" t="s">
        <v>160</v>
      </c>
      <c r="I339" t="s">
        <v>249</v>
      </c>
      <c r="J339" t="s">
        <v>1888</v>
      </c>
      <c r="K339">
        <v>0</v>
      </c>
      <c r="L339" t="s">
        <v>251</v>
      </c>
      <c r="N339" t="s">
        <v>419</v>
      </c>
      <c r="O339" t="s">
        <v>1888</v>
      </c>
      <c r="P339">
        <v>1.73421694525E-4</v>
      </c>
      <c r="Q339" t="s">
        <v>251</v>
      </c>
      <c r="S339" t="s">
        <v>420</v>
      </c>
      <c r="T339" t="s">
        <v>1888</v>
      </c>
      <c r="U339">
        <v>2.0317483118199999E-4</v>
      </c>
      <c r="V339" t="s">
        <v>251</v>
      </c>
      <c r="X339">
        <v>1.1415525114155251E-4</v>
      </c>
      <c r="Y339">
        <v>2.1546544680075254E-5</v>
      </c>
      <c r="Z339" t="s">
        <v>1888</v>
      </c>
      <c r="AA339" t="s">
        <v>25</v>
      </c>
      <c r="AC339" t="s">
        <v>22</v>
      </c>
      <c r="AD339" t="s">
        <v>1888</v>
      </c>
      <c r="AE339">
        <v>9.1837680506928038E-5</v>
      </c>
      <c r="AG339" t="s">
        <v>97</v>
      </c>
      <c r="AH339" t="s">
        <v>1888</v>
      </c>
      <c r="AI339">
        <v>0</v>
      </c>
      <c r="AK339">
        <v>2049</v>
      </c>
      <c r="AL339" t="s">
        <v>167</v>
      </c>
      <c r="AM339">
        <v>0.41820000000000002</v>
      </c>
      <c r="AN339" t="s">
        <v>430</v>
      </c>
    </row>
    <row r="340" spans="5:40" x14ac:dyDescent="0.45">
      <c r="E340" t="s">
        <v>454</v>
      </c>
      <c r="G340" t="s">
        <v>160</v>
      </c>
      <c r="I340" t="s">
        <v>249</v>
      </c>
      <c r="J340" t="s">
        <v>1889</v>
      </c>
      <c r="K340">
        <v>0</v>
      </c>
      <c r="L340" t="s">
        <v>251</v>
      </c>
      <c r="N340" t="s">
        <v>419</v>
      </c>
      <c r="O340" t="s">
        <v>1889</v>
      </c>
      <c r="P340">
        <v>1.7916218320329999E-4</v>
      </c>
      <c r="Q340" t="s">
        <v>251</v>
      </c>
      <c r="S340" t="s">
        <v>420</v>
      </c>
      <c r="T340" t="s">
        <v>1889</v>
      </c>
      <c r="U340">
        <v>2.072345983158E-4</v>
      </c>
      <c r="V340" t="s">
        <v>251</v>
      </c>
      <c r="X340">
        <v>1.1415525114155251E-4</v>
      </c>
      <c r="Y340">
        <v>1.4916838624667481E-5</v>
      </c>
      <c r="Z340" t="s">
        <v>1889</v>
      </c>
      <c r="AA340" t="s">
        <v>25</v>
      </c>
      <c r="AC340" t="s">
        <v>22</v>
      </c>
      <c r="AD340" t="s">
        <v>1889</v>
      </c>
      <c r="AE340">
        <v>1.0519951731810161E-4</v>
      </c>
      <c r="AG340" t="s">
        <v>97</v>
      </c>
      <c r="AH340" t="s">
        <v>1889</v>
      </c>
      <c r="AI340">
        <v>0</v>
      </c>
      <c r="AK340">
        <v>2049</v>
      </c>
      <c r="AL340" t="s">
        <v>169</v>
      </c>
      <c r="AM340">
        <v>0.46750000000000003</v>
      </c>
      <c r="AN340" t="s">
        <v>430</v>
      </c>
    </row>
    <row r="341" spans="5:40" x14ac:dyDescent="0.45">
      <c r="E341" t="s">
        <v>455</v>
      </c>
      <c r="G341" t="s">
        <v>160</v>
      </c>
      <c r="I341" t="s">
        <v>249</v>
      </c>
      <c r="J341" t="s">
        <v>1890</v>
      </c>
      <c r="K341">
        <v>0</v>
      </c>
      <c r="L341" t="s">
        <v>251</v>
      </c>
      <c r="N341" t="s">
        <v>419</v>
      </c>
      <c r="O341" t="s">
        <v>1890</v>
      </c>
      <c r="P341">
        <v>1.66899068133E-4</v>
      </c>
      <c r="Q341" t="s">
        <v>251</v>
      </c>
      <c r="S341" t="s">
        <v>420</v>
      </c>
      <c r="T341" t="s">
        <v>1890</v>
      </c>
      <c r="U341">
        <v>2.054444706228E-4</v>
      </c>
      <c r="V341" t="s">
        <v>251</v>
      </c>
      <c r="X341">
        <v>1.1415525114155251E-4</v>
      </c>
      <c r="Y341">
        <v>1.6574265138519424E-5</v>
      </c>
      <c r="Z341" t="s">
        <v>1890</v>
      </c>
      <c r="AA341" t="s">
        <v>25</v>
      </c>
      <c r="AC341" t="s">
        <v>22</v>
      </c>
      <c r="AD341" t="s">
        <v>1890</v>
      </c>
      <c r="AE341">
        <v>1.4088641758481556E-4</v>
      </c>
      <c r="AG341" t="s">
        <v>97</v>
      </c>
      <c r="AH341" t="s">
        <v>1890</v>
      </c>
      <c r="AI341">
        <v>0</v>
      </c>
      <c r="AK341">
        <v>2049</v>
      </c>
      <c r="AL341" t="s">
        <v>171</v>
      </c>
      <c r="AM341">
        <v>0.52849999999999997</v>
      </c>
      <c r="AN341" t="s">
        <v>430</v>
      </c>
    </row>
    <row r="342" spans="5:40" x14ac:dyDescent="0.45">
      <c r="E342" t="s">
        <v>456</v>
      </c>
      <c r="G342" t="s">
        <v>160</v>
      </c>
      <c r="I342" t="s">
        <v>249</v>
      </c>
      <c r="J342" t="s">
        <v>1891</v>
      </c>
      <c r="K342">
        <v>0</v>
      </c>
      <c r="L342" t="s">
        <v>251</v>
      </c>
      <c r="N342" t="s">
        <v>419</v>
      </c>
      <c r="O342" t="s">
        <v>1891</v>
      </c>
      <c r="P342">
        <v>1.653941476242E-4</v>
      </c>
      <c r="Q342" t="s">
        <v>251</v>
      </c>
      <c r="S342" t="s">
        <v>420</v>
      </c>
      <c r="T342" t="s">
        <v>1891</v>
      </c>
      <c r="U342">
        <v>2.0347757131950001E-4</v>
      </c>
      <c r="V342" t="s">
        <v>251</v>
      </c>
      <c r="X342">
        <v>1.1415525114155251E-4</v>
      </c>
      <c r="Y342">
        <v>1.4585353321897093E-5</v>
      </c>
      <c r="Z342" t="s">
        <v>1891</v>
      </c>
      <c r="AA342" t="s">
        <v>25</v>
      </c>
      <c r="AC342" t="s">
        <v>22</v>
      </c>
      <c r="AD342" t="s">
        <v>1891</v>
      </c>
      <c r="AE342">
        <v>1.5403879676899833E-4</v>
      </c>
      <c r="AG342" t="s">
        <v>97</v>
      </c>
      <c r="AH342" t="s">
        <v>1891</v>
      </c>
      <c r="AI342">
        <v>0</v>
      </c>
      <c r="AK342">
        <v>2049</v>
      </c>
      <c r="AL342" t="s">
        <v>158</v>
      </c>
      <c r="AM342">
        <v>0.65500000000000003</v>
      </c>
      <c r="AN342" t="s">
        <v>430</v>
      </c>
    </row>
    <row r="343" spans="5:40" x14ac:dyDescent="0.45">
      <c r="E343" t="s">
        <v>457</v>
      </c>
      <c r="G343" t="s">
        <v>160</v>
      </c>
      <c r="I343" t="s">
        <v>249</v>
      </c>
      <c r="J343" t="s">
        <v>1892</v>
      </c>
      <c r="K343">
        <v>0</v>
      </c>
      <c r="L343" t="s">
        <v>251</v>
      </c>
      <c r="N343" t="s">
        <v>419</v>
      </c>
      <c r="O343" t="s">
        <v>1892</v>
      </c>
      <c r="P343">
        <v>1.4948890381629999E-4</v>
      </c>
      <c r="Q343" t="s">
        <v>251</v>
      </c>
      <c r="S343" t="s">
        <v>420</v>
      </c>
      <c r="T343" t="s">
        <v>1892</v>
      </c>
      <c r="U343">
        <v>2.023760339867E-4</v>
      </c>
      <c r="V343" t="s">
        <v>251</v>
      </c>
      <c r="X343">
        <v>1.1415525114155251E-4</v>
      </c>
      <c r="Y343">
        <v>2.1215059377304864E-5</v>
      </c>
      <c r="Z343" t="s">
        <v>1892</v>
      </c>
      <c r="AA343" t="s">
        <v>25</v>
      </c>
      <c r="AC343" t="s">
        <v>22</v>
      </c>
      <c r="AD343" t="s">
        <v>1892</v>
      </c>
      <c r="AE343">
        <v>1.548911110490407E-4</v>
      </c>
      <c r="AG343" t="s">
        <v>97</v>
      </c>
      <c r="AH343" t="s">
        <v>1892</v>
      </c>
      <c r="AI343">
        <v>0</v>
      </c>
      <c r="AK343">
        <v>2049</v>
      </c>
      <c r="AL343" t="s">
        <v>162</v>
      </c>
      <c r="AM343">
        <v>0.64280000000000004</v>
      </c>
      <c r="AN343" t="s">
        <v>430</v>
      </c>
    </row>
    <row r="344" spans="5:40" x14ac:dyDescent="0.45">
      <c r="E344" t="s">
        <v>458</v>
      </c>
      <c r="G344" t="s">
        <v>160</v>
      </c>
      <c r="I344" t="s">
        <v>249</v>
      </c>
      <c r="J344" t="s">
        <v>1893</v>
      </c>
      <c r="K344">
        <v>0</v>
      </c>
      <c r="L344" t="s">
        <v>251</v>
      </c>
      <c r="N344" t="s">
        <v>419</v>
      </c>
      <c r="O344" t="s">
        <v>1893</v>
      </c>
      <c r="P344">
        <v>1.403045954442E-4</v>
      </c>
      <c r="Q344" t="s">
        <v>251</v>
      </c>
      <c r="S344" t="s">
        <v>420</v>
      </c>
      <c r="T344" t="s">
        <v>1893</v>
      </c>
      <c r="U344">
        <v>2.027200133304E-4</v>
      </c>
      <c r="V344" t="s">
        <v>251</v>
      </c>
      <c r="X344">
        <v>1.1415525114155251E-4</v>
      </c>
      <c r="Y344">
        <v>5.7678442682047593E-5</v>
      </c>
      <c r="Z344" t="s">
        <v>1893</v>
      </c>
      <c r="AA344" t="s">
        <v>25</v>
      </c>
      <c r="AC344" t="s">
        <v>22</v>
      </c>
      <c r="AD344" t="s">
        <v>1893</v>
      </c>
      <c r="AE344">
        <v>1.5544929334224491E-4</v>
      </c>
      <c r="AG344" t="s">
        <v>97</v>
      </c>
      <c r="AH344" t="s">
        <v>1893</v>
      </c>
      <c r="AI344">
        <v>0</v>
      </c>
      <c r="AK344">
        <v>2049</v>
      </c>
      <c r="AL344" t="s">
        <v>175</v>
      </c>
      <c r="AM344">
        <v>0.45379999999999998</v>
      </c>
      <c r="AN344" t="s">
        <v>430</v>
      </c>
    </row>
    <row r="345" spans="5:40" x14ac:dyDescent="0.45">
      <c r="E345" t="s">
        <v>459</v>
      </c>
      <c r="G345" t="s">
        <v>160</v>
      </c>
      <c r="I345" t="s">
        <v>249</v>
      </c>
      <c r="J345" t="s">
        <v>1894</v>
      </c>
      <c r="K345">
        <v>7.4962108328330711E-6</v>
      </c>
      <c r="L345" t="s">
        <v>251</v>
      </c>
      <c r="N345" t="s">
        <v>419</v>
      </c>
      <c r="O345" t="s">
        <v>1894</v>
      </c>
      <c r="P345">
        <v>1.3402352757109999E-4</v>
      </c>
      <c r="Q345" t="s">
        <v>251</v>
      </c>
      <c r="S345" t="s">
        <v>420</v>
      </c>
      <c r="T345" t="s">
        <v>1894</v>
      </c>
      <c r="U345">
        <v>2.020522909912E-4</v>
      </c>
      <c r="V345" t="s">
        <v>251</v>
      </c>
      <c r="X345">
        <v>1.1415525114155251E-4</v>
      </c>
      <c r="Y345">
        <v>1.6905750441289813E-4</v>
      </c>
      <c r="Z345" t="s">
        <v>1894</v>
      </c>
      <c r="AA345" t="s">
        <v>25</v>
      </c>
      <c r="AC345" t="s">
        <v>22</v>
      </c>
      <c r="AD345" t="s">
        <v>1894</v>
      </c>
      <c r="AE345">
        <v>1.5544929334224491E-4</v>
      </c>
      <c r="AG345" t="s">
        <v>97</v>
      </c>
      <c r="AH345" t="s">
        <v>1894</v>
      </c>
      <c r="AI345">
        <v>0</v>
      </c>
      <c r="AK345">
        <v>2049</v>
      </c>
      <c r="AL345" t="s">
        <v>166</v>
      </c>
      <c r="AM345">
        <v>0.29730000000000001</v>
      </c>
      <c r="AN345" t="s">
        <v>430</v>
      </c>
    </row>
    <row r="346" spans="5:40" x14ac:dyDescent="0.45">
      <c r="E346" t="s">
        <v>460</v>
      </c>
      <c r="G346" t="s">
        <v>160</v>
      </c>
      <c r="I346" t="s">
        <v>249</v>
      </c>
      <c r="J346" t="s">
        <v>1895</v>
      </c>
      <c r="K346">
        <v>3.0457302986929732E-5</v>
      </c>
      <c r="L346" t="s">
        <v>251</v>
      </c>
      <c r="N346" t="s">
        <v>419</v>
      </c>
      <c r="O346" t="s">
        <v>1895</v>
      </c>
      <c r="P346">
        <v>1.5236627442199999E-4</v>
      </c>
      <c r="Q346" t="s">
        <v>251</v>
      </c>
      <c r="S346" t="s">
        <v>420</v>
      </c>
      <c r="T346" t="s">
        <v>1895</v>
      </c>
      <c r="U346">
        <v>2.0154330846349999E-4</v>
      </c>
      <c r="V346" t="s">
        <v>251</v>
      </c>
      <c r="X346">
        <v>1.1415525114155251E-4</v>
      </c>
      <c r="Y346">
        <v>1.9060404909297337E-4</v>
      </c>
      <c r="Z346" t="s">
        <v>1895</v>
      </c>
      <c r="AA346" t="s">
        <v>25</v>
      </c>
      <c r="AC346" t="s">
        <v>22</v>
      </c>
      <c r="AD346" t="s">
        <v>1895</v>
      </c>
      <c r="AE346">
        <v>1.569823449100073E-4</v>
      </c>
      <c r="AG346" t="s">
        <v>97</v>
      </c>
      <c r="AH346" t="s">
        <v>1895</v>
      </c>
      <c r="AI346">
        <v>0</v>
      </c>
      <c r="AK346">
        <v>2049</v>
      </c>
      <c r="AL346" t="s">
        <v>178</v>
      </c>
      <c r="AM346">
        <v>0.22620000000000001</v>
      </c>
      <c r="AN346" t="s">
        <v>430</v>
      </c>
    </row>
    <row r="347" spans="5:40" x14ac:dyDescent="0.45">
      <c r="E347" t="s">
        <v>240</v>
      </c>
      <c r="G347" t="s">
        <v>152</v>
      </c>
      <c r="I347" t="s">
        <v>249</v>
      </c>
      <c r="J347" t="s">
        <v>1896</v>
      </c>
      <c r="K347">
        <v>5.7589861926116608E-5</v>
      </c>
      <c r="L347" t="s">
        <v>251</v>
      </c>
      <c r="N347" t="s">
        <v>419</v>
      </c>
      <c r="O347" t="s">
        <v>1896</v>
      </c>
      <c r="P347">
        <v>1.7101292288719999E-4</v>
      </c>
      <c r="Q347" t="s">
        <v>251</v>
      </c>
      <c r="S347" t="s">
        <v>420</v>
      </c>
      <c r="T347" t="s">
        <v>1896</v>
      </c>
      <c r="U347">
        <v>2.0394983226029999E-4</v>
      </c>
      <c r="V347" t="s">
        <v>251</v>
      </c>
      <c r="X347">
        <v>1.1415525114155251E-4</v>
      </c>
      <c r="Y347">
        <v>1.4585353321897094E-4</v>
      </c>
      <c r="Z347" t="s">
        <v>1896</v>
      </c>
      <c r="AA347" t="s">
        <v>25</v>
      </c>
      <c r="AC347" t="s">
        <v>22</v>
      </c>
      <c r="AD347" t="s">
        <v>1896</v>
      </c>
      <c r="AE347">
        <v>1.5627709662338407E-4</v>
      </c>
      <c r="AG347" t="s">
        <v>97</v>
      </c>
      <c r="AH347" t="s">
        <v>1896</v>
      </c>
      <c r="AI347">
        <v>0</v>
      </c>
      <c r="AK347">
        <v>2050</v>
      </c>
      <c r="AL347" t="s">
        <v>151</v>
      </c>
      <c r="AM347">
        <v>0.26329999999999998</v>
      </c>
      <c r="AN347" t="s">
        <v>430</v>
      </c>
    </row>
    <row r="348" spans="5:40" x14ac:dyDescent="0.45">
      <c r="E348" t="s">
        <v>241</v>
      </c>
      <c r="G348" t="s">
        <v>152</v>
      </c>
      <c r="I348" t="s">
        <v>249</v>
      </c>
      <c r="J348" t="s">
        <v>1897</v>
      </c>
      <c r="K348">
        <v>8.8688248967149606E-5</v>
      </c>
      <c r="L348" t="s">
        <v>251</v>
      </c>
      <c r="N348" t="s">
        <v>419</v>
      </c>
      <c r="O348" t="s">
        <v>1897</v>
      </c>
      <c r="P348">
        <v>1.8195768970450001E-4</v>
      </c>
      <c r="Q348" t="s">
        <v>251</v>
      </c>
      <c r="S348" t="s">
        <v>420</v>
      </c>
      <c r="T348" t="s">
        <v>1897</v>
      </c>
      <c r="U348">
        <v>2.066648343883E-4</v>
      </c>
      <c r="V348" t="s">
        <v>251</v>
      </c>
      <c r="X348">
        <v>1.1415525114155251E-4</v>
      </c>
      <c r="Y348">
        <v>1.4452759200788939E-4</v>
      </c>
      <c r="Z348" t="s">
        <v>1897</v>
      </c>
      <c r="AA348" t="s">
        <v>25</v>
      </c>
      <c r="AC348" t="s">
        <v>22</v>
      </c>
      <c r="AD348" t="s">
        <v>1897</v>
      </c>
      <c r="AE348">
        <v>1.5627709662338401E-4</v>
      </c>
      <c r="AG348" t="s">
        <v>97</v>
      </c>
      <c r="AH348" t="s">
        <v>1897</v>
      </c>
      <c r="AI348">
        <v>0</v>
      </c>
      <c r="AK348">
        <v>2050</v>
      </c>
      <c r="AL348" t="s">
        <v>156</v>
      </c>
      <c r="AM348">
        <v>0.2621</v>
      </c>
      <c r="AN348" t="s">
        <v>430</v>
      </c>
    </row>
    <row r="349" spans="5:40" x14ac:dyDescent="0.45">
      <c r="E349" t="s">
        <v>242</v>
      </c>
      <c r="G349" t="s">
        <v>152</v>
      </c>
      <c r="I349" t="s">
        <v>249</v>
      </c>
      <c r="J349" t="s">
        <v>1898</v>
      </c>
      <c r="K349">
        <v>1.080282712155E-4</v>
      </c>
      <c r="L349" t="s">
        <v>251</v>
      </c>
      <c r="N349" t="s">
        <v>419</v>
      </c>
      <c r="O349" t="s">
        <v>1898</v>
      </c>
      <c r="P349">
        <v>1.855935428049E-4</v>
      </c>
      <c r="Q349" t="s">
        <v>251</v>
      </c>
      <c r="S349" t="s">
        <v>420</v>
      </c>
      <c r="T349" t="s">
        <v>1898</v>
      </c>
      <c r="U349">
        <v>2.0717134367129999E-4</v>
      </c>
      <c r="V349" t="s">
        <v>251</v>
      </c>
      <c r="X349">
        <v>1.1415525114155251E-4</v>
      </c>
      <c r="Y349">
        <v>1.408812536774151E-4</v>
      </c>
      <c r="Z349" t="s">
        <v>1898</v>
      </c>
      <c r="AA349" t="s">
        <v>25</v>
      </c>
      <c r="AC349" t="s">
        <v>22</v>
      </c>
      <c r="AD349" t="s">
        <v>1898</v>
      </c>
      <c r="AE349">
        <v>1.5468165342204988E-4</v>
      </c>
      <c r="AG349" t="s">
        <v>97</v>
      </c>
      <c r="AH349" t="s">
        <v>1898</v>
      </c>
      <c r="AI349">
        <v>0</v>
      </c>
      <c r="AK349">
        <v>2050</v>
      </c>
      <c r="AL349" t="s">
        <v>159</v>
      </c>
      <c r="AM349">
        <v>0.25269999999999998</v>
      </c>
      <c r="AN349" t="s">
        <v>430</v>
      </c>
    </row>
    <row r="350" spans="5:40" x14ac:dyDescent="0.45">
      <c r="E350" t="s">
        <v>243</v>
      </c>
      <c r="G350" t="s">
        <v>152</v>
      </c>
      <c r="I350" t="s">
        <v>249</v>
      </c>
      <c r="J350" t="s">
        <v>1899</v>
      </c>
      <c r="K350">
        <v>1.2720061017510001E-4</v>
      </c>
      <c r="L350" t="s">
        <v>251</v>
      </c>
      <c r="N350" t="s">
        <v>419</v>
      </c>
      <c r="O350" t="s">
        <v>1899</v>
      </c>
      <c r="P350">
        <v>1.8833347145609999E-4</v>
      </c>
      <c r="Q350" t="s">
        <v>251</v>
      </c>
      <c r="S350" t="s">
        <v>420</v>
      </c>
      <c r="T350" t="s">
        <v>1899</v>
      </c>
      <c r="U350">
        <v>2.0902086723480001E-4</v>
      </c>
      <c r="V350" t="s">
        <v>251</v>
      </c>
      <c r="X350">
        <v>1.1415525114155251E-4</v>
      </c>
      <c r="Y350">
        <v>1.4054976837464471E-4</v>
      </c>
      <c r="Z350" t="s">
        <v>1899</v>
      </c>
      <c r="AA350" t="s">
        <v>25</v>
      </c>
      <c r="AC350" t="s">
        <v>22</v>
      </c>
      <c r="AD350" t="s">
        <v>1899</v>
      </c>
      <c r="AE350">
        <v>1.5503260636089085E-4</v>
      </c>
      <c r="AG350" t="s">
        <v>97</v>
      </c>
      <c r="AH350" t="s">
        <v>1899</v>
      </c>
      <c r="AI350">
        <v>0</v>
      </c>
      <c r="AK350">
        <v>2050</v>
      </c>
      <c r="AL350" t="s">
        <v>163</v>
      </c>
      <c r="AM350">
        <v>0.31819999999999998</v>
      </c>
      <c r="AN350" t="s">
        <v>430</v>
      </c>
    </row>
    <row r="351" spans="5:40" x14ac:dyDescent="0.45">
      <c r="E351" t="s">
        <v>244</v>
      </c>
      <c r="G351" t="s">
        <v>152</v>
      </c>
      <c r="I351" t="s">
        <v>249</v>
      </c>
      <c r="J351" t="s">
        <v>1900</v>
      </c>
      <c r="K351">
        <v>1.4369397956280001E-4</v>
      </c>
      <c r="L351" t="s">
        <v>251</v>
      </c>
      <c r="N351" t="s">
        <v>419</v>
      </c>
      <c r="O351" t="s">
        <v>1900</v>
      </c>
      <c r="P351">
        <v>1.836222331204E-4</v>
      </c>
      <c r="Q351" t="s">
        <v>251</v>
      </c>
      <c r="S351" t="s">
        <v>420</v>
      </c>
      <c r="T351" t="s">
        <v>1900</v>
      </c>
      <c r="U351">
        <v>2.0922724416000001E-4</v>
      </c>
      <c r="V351" t="s">
        <v>251</v>
      </c>
      <c r="X351">
        <v>1.1415525114155251E-4</v>
      </c>
      <c r="Y351">
        <v>1.4253868019126702E-4</v>
      </c>
      <c r="Z351" t="s">
        <v>1900</v>
      </c>
      <c r="AA351" t="s">
        <v>25</v>
      </c>
      <c r="AC351" t="s">
        <v>22</v>
      </c>
      <c r="AD351" t="s">
        <v>1900</v>
      </c>
      <c r="AE351">
        <v>1.9563841845294719E-4</v>
      </c>
      <c r="AG351" t="s">
        <v>97</v>
      </c>
      <c r="AH351" t="s">
        <v>1900</v>
      </c>
      <c r="AI351">
        <v>0</v>
      </c>
      <c r="AK351">
        <v>2050</v>
      </c>
      <c r="AL351" t="s">
        <v>167</v>
      </c>
      <c r="AM351">
        <v>0.41739999999999999</v>
      </c>
      <c r="AN351" t="s">
        <v>430</v>
      </c>
    </row>
    <row r="352" spans="5:40" x14ac:dyDescent="0.45">
      <c r="E352" t="s">
        <v>245</v>
      </c>
      <c r="G352" t="s">
        <v>152</v>
      </c>
      <c r="I352" t="s">
        <v>249</v>
      </c>
      <c r="J352" t="s">
        <v>1901</v>
      </c>
      <c r="K352">
        <v>1.3228939470909999E-4</v>
      </c>
      <c r="L352" t="s">
        <v>251</v>
      </c>
      <c r="N352" t="s">
        <v>419</v>
      </c>
      <c r="O352" t="s">
        <v>1901</v>
      </c>
      <c r="P352">
        <v>1.855414055583E-4</v>
      </c>
      <c r="Q352" t="s">
        <v>251</v>
      </c>
      <c r="S352" t="s">
        <v>420</v>
      </c>
      <c r="T352" t="s">
        <v>1901</v>
      </c>
      <c r="U352">
        <v>2.0929071798919999E-4</v>
      </c>
      <c r="V352" t="s">
        <v>251</v>
      </c>
      <c r="X352">
        <v>1.1415525114155251E-4</v>
      </c>
      <c r="Y352">
        <v>1.4883690094390442E-4</v>
      </c>
      <c r="Z352" t="s">
        <v>1901</v>
      </c>
      <c r="AA352" t="s">
        <v>25</v>
      </c>
      <c r="AC352" t="s">
        <v>22</v>
      </c>
      <c r="AD352" t="s">
        <v>1901</v>
      </c>
      <c r="AE352">
        <v>1.9730962292361851E-4</v>
      </c>
      <c r="AG352" t="s">
        <v>97</v>
      </c>
      <c r="AH352" t="s">
        <v>1901</v>
      </c>
      <c r="AI352">
        <v>0</v>
      </c>
      <c r="AK352">
        <v>2050</v>
      </c>
      <c r="AL352" t="s">
        <v>169</v>
      </c>
      <c r="AM352">
        <v>0.47360000000000002</v>
      </c>
      <c r="AN352" t="s">
        <v>430</v>
      </c>
    </row>
    <row r="353" spans="5:40" x14ac:dyDescent="0.45">
      <c r="E353" t="s">
        <v>246</v>
      </c>
      <c r="G353" t="s">
        <v>152</v>
      </c>
      <c r="I353" t="s">
        <v>249</v>
      </c>
      <c r="J353" t="s">
        <v>1902</v>
      </c>
      <c r="K353">
        <v>1.2759784982819999E-4</v>
      </c>
      <c r="L353" t="s">
        <v>251</v>
      </c>
      <c r="N353" t="s">
        <v>419</v>
      </c>
      <c r="O353" t="s">
        <v>1902</v>
      </c>
      <c r="P353">
        <v>1.9221296638720001E-4</v>
      </c>
      <c r="Q353" t="s">
        <v>251</v>
      </c>
      <c r="S353" t="s">
        <v>420</v>
      </c>
      <c r="T353" t="s">
        <v>1902</v>
      </c>
      <c r="U353">
        <v>2.120034467339E-4</v>
      </c>
      <c r="V353" t="s">
        <v>251</v>
      </c>
      <c r="X353">
        <v>1.1415525114155251E-4</v>
      </c>
      <c r="Y353">
        <v>1.5049432745775637E-4</v>
      </c>
      <c r="Z353" t="s">
        <v>1902</v>
      </c>
      <c r="AA353" t="s">
        <v>25</v>
      </c>
      <c r="AC353" t="s">
        <v>22</v>
      </c>
      <c r="AD353" t="s">
        <v>1902</v>
      </c>
      <c r="AE353">
        <v>1.8844444027486435E-4</v>
      </c>
      <c r="AG353" t="s">
        <v>97</v>
      </c>
      <c r="AH353" t="s">
        <v>1902</v>
      </c>
      <c r="AI353">
        <v>0</v>
      </c>
      <c r="AK353">
        <v>2050</v>
      </c>
      <c r="AL353" t="s">
        <v>171</v>
      </c>
      <c r="AM353">
        <v>0.4929</v>
      </c>
      <c r="AN353" t="s">
        <v>430</v>
      </c>
    </row>
    <row r="354" spans="5:40" x14ac:dyDescent="0.45">
      <c r="E354" t="s">
        <v>247</v>
      </c>
      <c r="G354" t="s">
        <v>152</v>
      </c>
      <c r="I354" t="s">
        <v>249</v>
      </c>
      <c r="J354" t="s">
        <v>1903</v>
      </c>
      <c r="K354">
        <v>1.106799009264E-4</v>
      </c>
      <c r="L354" t="s">
        <v>251</v>
      </c>
      <c r="N354" t="s">
        <v>419</v>
      </c>
      <c r="O354" t="s">
        <v>1903</v>
      </c>
      <c r="P354">
        <v>1.7578362889579999E-4</v>
      </c>
      <c r="Q354" t="s">
        <v>251</v>
      </c>
      <c r="S354" t="s">
        <v>420</v>
      </c>
      <c r="T354" t="s">
        <v>1903</v>
      </c>
      <c r="U354">
        <v>2.0450206085360001E-4</v>
      </c>
      <c r="V354" t="s">
        <v>251</v>
      </c>
      <c r="X354">
        <v>1.1415525114155251E-4</v>
      </c>
      <c r="Y354">
        <v>1.7237235744060203E-4</v>
      </c>
      <c r="Z354" t="s">
        <v>1903</v>
      </c>
      <c r="AA354" t="s">
        <v>25</v>
      </c>
      <c r="AC354" t="s">
        <v>22</v>
      </c>
      <c r="AD354" t="s">
        <v>1903</v>
      </c>
      <c r="AE354">
        <v>1.5641524952629291E-4</v>
      </c>
      <c r="AG354" t="s">
        <v>97</v>
      </c>
      <c r="AH354" t="s">
        <v>1903</v>
      </c>
      <c r="AI354">
        <v>0</v>
      </c>
      <c r="AK354">
        <v>2050</v>
      </c>
      <c r="AL354" t="s">
        <v>158</v>
      </c>
      <c r="AM354">
        <v>0.67459999999999998</v>
      </c>
      <c r="AN354" t="s">
        <v>430</v>
      </c>
    </row>
    <row r="355" spans="5:40" x14ac:dyDescent="0.45">
      <c r="I355" t="s">
        <v>249</v>
      </c>
      <c r="J355" t="s">
        <v>1904</v>
      </c>
      <c r="K355">
        <v>8.6738954283812475E-5</v>
      </c>
      <c r="L355" t="s">
        <v>251</v>
      </c>
      <c r="N355" t="s">
        <v>419</v>
      </c>
      <c r="O355" t="s">
        <v>1904</v>
      </c>
      <c r="P355">
        <v>1.6921846899990001E-4</v>
      </c>
      <c r="Q355" t="s">
        <v>251</v>
      </c>
      <c r="S355" t="s">
        <v>420</v>
      </c>
      <c r="T355" t="s">
        <v>1904</v>
      </c>
      <c r="U355">
        <v>2.030809169795E-4</v>
      </c>
      <c r="V355" t="s">
        <v>251</v>
      </c>
      <c r="X355">
        <v>1.1415525114155251E-4</v>
      </c>
      <c r="Y355">
        <v>2.2209515285616027E-4</v>
      </c>
      <c r="Z355" t="s">
        <v>1904</v>
      </c>
      <c r="AA355" t="s">
        <v>25</v>
      </c>
      <c r="AC355" t="s">
        <v>22</v>
      </c>
      <c r="AD355" t="s">
        <v>1904</v>
      </c>
      <c r="AE355">
        <v>1.1401567796904938E-4</v>
      </c>
      <c r="AG355" t="s">
        <v>97</v>
      </c>
      <c r="AH355" t="s">
        <v>1904</v>
      </c>
      <c r="AI355">
        <v>0</v>
      </c>
      <c r="AK355">
        <v>2050</v>
      </c>
      <c r="AL355" t="s">
        <v>162</v>
      </c>
      <c r="AM355">
        <v>0.63300000000000001</v>
      </c>
      <c r="AN355" t="s">
        <v>430</v>
      </c>
    </row>
    <row r="356" spans="5:40" x14ac:dyDescent="0.45">
      <c r="I356" t="s">
        <v>249</v>
      </c>
      <c r="J356" t="s">
        <v>1905</v>
      </c>
      <c r="K356">
        <v>6.6664456754658683E-5</v>
      </c>
      <c r="L356" t="s">
        <v>251</v>
      </c>
      <c r="N356" t="s">
        <v>419</v>
      </c>
      <c r="O356" t="s">
        <v>1905</v>
      </c>
      <c r="P356">
        <v>1.6667569396219999E-4</v>
      </c>
      <c r="Q356" t="s">
        <v>251</v>
      </c>
      <c r="S356" t="s">
        <v>420</v>
      </c>
      <c r="T356" t="s">
        <v>1905</v>
      </c>
      <c r="U356">
        <v>2.0096482874499999E-4</v>
      </c>
      <c r="V356" t="s">
        <v>251</v>
      </c>
      <c r="X356">
        <v>1.1415525114155251E-4</v>
      </c>
      <c r="Y356">
        <v>2.2209515285616027E-4</v>
      </c>
      <c r="Z356" t="s">
        <v>1905</v>
      </c>
      <c r="AA356" t="s">
        <v>25</v>
      </c>
      <c r="AC356" t="s">
        <v>22</v>
      </c>
      <c r="AD356" t="s">
        <v>1905</v>
      </c>
      <c r="AE356">
        <v>8.3539593241888354E-5</v>
      </c>
      <c r="AG356" t="s">
        <v>97</v>
      </c>
      <c r="AH356" t="s">
        <v>1905</v>
      </c>
      <c r="AI356">
        <v>0</v>
      </c>
      <c r="AK356">
        <v>2050</v>
      </c>
      <c r="AL356" t="s">
        <v>175</v>
      </c>
      <c r="AM356">
        <v>0.48020000000000002</v>
      </c>
      <c r="AN356" t="s">
        <v>430</v>
      </c>
    </row>
    <row r="357" spans="5:40" x14ac:dyDescent="0.45">
      <c r="I357" t="s">
        <v>249</v>
      </c>
      <c r="J357" t="s">
        <v>1906</v>
      </c>
      <c r="K357">
        <v>3.010334448308699E-5</v>
      </c>
      <c r="L357" t="s">
        <v>251</v>
      </c>
      <c r="N357" t="s">
        <v>419</v>
      </c>
      <c r="O357" t="s">
        <v>1906</v>
      </c>
      <c r="P357">
        <v>1.6867329941290001E-4</v>
      </c>
      <c r="Q357" t="s">
        <v>251</v>
      </c>
      <c r="S357" t="s">
        <v>420</v>
      </c>
      <c r="T357" t="s">
        <v>1906</v>
      </c>
      <c r="U357">
        <v>2.001723348704E-4</v>
      </c>
      <c r="V357" t="s">
        <v>251</v>
      </c>
      <c r="X357">
        <v>1.1415525114155251E-4</v>
      </c>
      <c r="Y357">
        <v>1.7237235744060203E-4</v>
      </c>
      <c r="Z357" t="s">
        <v>1906</v>
      </c>
      <c r="AA357" t="s">
        <v>25</v>
      </c>
      <c r="AC357" t="s">
        <v>22</v>
      </c>
      <c r="AD357" t="s">
        <v>1906</v>
      </c>
      <c r="AE357">
        <v>5.41308511033294E-5</v>
      </c>
      <c r="AG357" t="s">
        <v>97</v>
      </c>
      <c r="AH357" t="s">
        <v>1906</v>
      </c>
      <c r="AI357">
        <v>0</v>
      </c>
      <c r="AK357">
        <v>2050</v>
      </c>
      <c r="AL357" t="s">
        <v>166</v>
      </c>
      <c r="AM357">
        <v>0.26769999999999999</v>
      </c>
      <c r="AN357" t="s">
        <v>430</v>
      </c>
    </row>
    <row r="358" spans="5:40" x14ac:dyDescent="0.45">
      <c r="I358" t="s">
        <v>249</v>
      </c>
      <c r="J358" t="s">
        <v>1907</v>
      </c>
      <c r="K358">
        <v>5.6737310909197053E-6</v>
      </c>
      <c r="L358" t="s">
        <v>251</v>
      </c>
      <c r="N358" t="s">
        <v>419</v>
      </c>
      <c r="O358" t="s">
        <v>1907</v>
      </c>
      <c r="P358">
        <v>1.627537503074E-4</v>
      </c>
      <c r="Q358" t="s">
        <v>251</v>
      </c>
      <c r="S358" t="s">
        <v>420</v>
      </c>
      <c r="T358" t="s">
        <v>1907</v>
      </c>
      <c r="U358">
        <v>1.9725739086350001E-4</v>
      </c>
      <c r="V358" t="s">
        <v>251</v>
      </c>
      <c r="X358">
        <v>1.1415525114155251E-4</v>
      </c>
      <c r="Y358">
        <v>1.5579809230208258E-4</v>
      </c>
      <c r="Z358" t="s">
        <v>1907</v>
      </c>
      <c r="AA358" t="s">
        <v>25</v>
      </c>
      <c r="AC358" t="s">
        <v>22</v>
      </c>
      <c r="AD358" t="s">
        <v>1907</v>
      </c>
      <c r="AE358">
        <v>5.0489853629893602E-5</v>
      </c>
      <c r="AG358" t="s">
        <v>97</v>
      </c>
      <c r="AH358" t="s">
        <v>1907</v>
      </c>
      <c r="AI358">
        <v>0</v>
      </c>
      <c r="AK358">
        <v>2050</v>
      </c>
      <c r="AL358" t="s">
        <v>178</v>
      </c>
      <c r="AM358">
        <v>0.23810000000000001</v>
      </c>
      <c r="AN358" t="s">
        <v>430</v>
      </c>
    </row>
    <row r="359" spans="5:40" x14ac:dyDescent="0.45">
      <c r="I359" t="s">
        <v>249</v>
      </c>
      <c r="J359" t="s">
        <v>1908</v>
      </c>
      <c r="K359">
        <v>0</v>
      </c>
      <c r="L359" t="s">
        <v>251</v>
      </c>
      <c r="N359" t="s">
        <v>419</v>
      </c>
      <c r="O359" t="s">
        <v>1908</v>
      </c>
      <c r="P359">
        <v>1.5168150245419999E-4</v>
      </c>
      <c r="Q359" t="s">
        <v>251</v>
      </c>
      <c r="S359" t="s">
        <v>420</v>
      </c>
      <c r="T359" t="s">
        <v>1908</v>
      </c>
      <c r="U359">
        <v>1.940680540647E-4</v>
      </c>
      <c r="V359" t="s">
        <v>251</v>
      </c>
      <c r="X359">
        <v>1.1415525114155251E-4</v>
      </c>
      <c r="Y359">
        <v>1.093901499142282E-4</v>
      </c>
      <c r="Z359" t="s">
        <v>1908</v>
      </c>
      <c r="AA359" t="s">
        <v>25</v>
      </c>
      <c r="AC359" t="s">
        <v>22</v>
      </c>
      <c r="AD359" t="s">
        <v>1908</v>
      </c>
      <c r="AE359">
        <v>5.2007307289263139E-5</v>
      </c>
      <c r="AG359" t="s">
        <v>97</v>
      </c>
      <c r="AH359" t="s">
        <v>1908</v>
      </c>
      <c r="AI359">
        <v>0</v>
      </c>
    </row>
    <row r="360" spans="5:40" x14ac:dyDescent="0.45">
      <c r="I360" t="s">
        <v>249</v>
      </c>
      <c r="J360" t="s">
        <v>1909</v>
      </c>
      <c r="K360">
        <v>0</v>
      </c>
      <c r="L360" t="s">
        <v>251</v>
      </c>
      <c r="N360" t="s">
        <v>419</v>
      </c>
      <c r="O360" t="s">
        <v>1909</v>
      </c>
      <c r="P360">
        <v>1.3924535518059999E-4</v>
      </c>
      <c r="Q360" t="s">
        <v>251</v>
      </c>
      <c r="S360" t="s">
        <v>420</v>
      </c>
      <c r="T360" t="s">
        <v>1909</v>
      </c>
      <c r="U360">
        <v>1.884499984252E-4</v>
      </c>
      <c r="V360" t="s">
        <v>251</v>
      </c>
      <c r="X360">
        <v>1.1415525114155251E-4</v>
      </c>
      <c r="Y360">
        <v>7.9556472664893237E-5</v>
      </c>
      <c r="Z360" t="s">
        <v>1909</v>
      </c>
      <c r="AA360" t="s">
        <v>25</v>
      </c>
      <c r="AC360" t="s">
        <v>22</v>
      </c>
      <c r="AD360" t="s">
        <v>1909</v>
      </c>
      <c r="AE360">
        <v>5.03450159091021E-5</v>
      </c>
      <c r="AG360" t="s">
        <v>97</v>
      </c>
      <c r="AH360" t="s">
        <v>1909</v>
      </c>
      <c r="AI360">
        <v>0</v>
      </c>
    </row>
    <row r="361" spans="5:40" x14ac:dyDescent="0.45">
      <c r="I361" t="s">
        <v>249</v>
      </c>
      <c r="J361" t="s">
        <v>1910</v>
      </c>
      <c r="K361">
        <v>0</v>
      </c>
      <c r="L361" t="s">
        <v>251</v>
      </c>
      <c r="N361" t="s">
        <v>419</v>
      </c>
      <c r="O361" t="s">
        <v>1910</v>
      </c>
      <c r="P361">
        <v>1.3332698680689999E-4</v>
      </c>
      <c r="Q361" t="s">
        <v>251</v>
      </c>
      <c r="S361" t="s">
        <v>420</v>
      </c>
      <c r="T361" t="s">
        <v>1910</v>
      </c>
      <c r="U361">
        <v>1.864056717942E-4</v>
      </c>
      <c r="V361" t="s">
        <v>251</v>
      </c>
      <c r="X361">
        <v>1.1415525114155251E-4</v>
      </c>
      <c r="Y361">
        <v>5.6352501470966035E-5</v>
      </c>
      <c r="Z361" t="s">
        <v>1910</v>
      </c>
      <c r="AA361" t="s">
        <v>25</v>
      </c>
      <c r="AC361" t="s">
        <v>22</v>
      </c>
      <c r="AD361" t="s">
        <v>1910</v>
      </c>
      <c r="AE361">
        <v>6.8025245072490201E-5</v>
      </c>
      <c r="AG361" t="s">
        <v>97</v>
      </c>
      <c r="AH361" t="s">
        <v>1910</v>
      </c>
      <c r="AI361">
        <v>0</v>
      </c>
    </row>
    <row r="362" spans="5:40" x14ac:dyDescent="0.45">
      <c r="I362" t="s">
        <v>249</v>
      </c>
      <c r="J362" t="s">
        <v>1911</v>
      </c>
      <c r="K362">
        <v>0</v>
      </c>
      <c r="L362" t="s">
        <v>251</v>
      </c>
      <c r="N362" t="s">
        <v>419</v>
      </c>
      <c r="O362" t="s">
        <v>1911</v>
      </c>
      <c r="P362">
        <v>1.3205920113479999E-4</v>
      </c>
      <c r="Q362" t="s">
        <v>251</v>
      </c>
      <c r="S362" t="s">
        <v>420</v>
      </c>
      <c r="T362" t="s">
        <v>1911</v>
      </c>
      <c r="U362">
        <v>1.897115077376E-4</v>
      </c>
      <c r="V362" t="s">
        <v>251</v>
      </c>
      <c r="X362">
        <v>1.1415525114155251E-4</v>
      </c>
      <c r="Y362">
        <v>2.9833677249334962E-5</v>
      </c>
      <c r="Z362" t="s">
        <v>1911</v>
      </c>
      <c r="AA362" t="s">
        <v>25</v>
      </c>
      <c r="AC362" t="s">
        <v>22</v>
      </c>
      <c r="AD362" t="s">
        <v>1911</v>
      </c>
      <c r="AE362">
        <v>8.8164373080392621E-5</v>
      </c>
      <c r="AG362" t="s">
        <v>97</v>
      </c>
      <c r="AH362" t="s">
        <v>1911</v>
      </c>
      <c r="AI362">
        <v>0</v>
      </c>
    </row>
    <row r="363" spans="5:40" x14ac:dyDescent="0.45">
      <c r="I363" t="s">
        <v>249</v>
      </c>
      <c r="J363" t="s">
        <v>1912</v>
      </c>
      <c r="K363">
        <v>0</v>
      </c>
      <c r="L363" t="s">
        <v>251</v>
      </c>
      <c r="N363" t="s">
        <v>419</v>
      </c>
      <c r="O363" t="s">
        <v>1912</v>
      </c>
      <c r="P363">
        <v>1.339250565798E-4</v>
      </c>
      <c r="Q363" t="s">
        <v>251</v>
      </c>
      <c r="S363" t="s">
        <v>420</v>
      </c>
      <c r="T363" t="s">
        <v>1912</v>
      </c>
      <c r="U363">
        <v>1.949424815339E-4</v>
      </c>
      <c r="V363" t="s">
        <v>251</v>
      </c>
      <c r="X363">
        <v>1.1415525114155251E-4</v>
      </c>
      <c r="Y363">
        <v>2.1546544680075254E-5</v>
      </c>
      <c r="Z363" t="s">
        <v>1912</v>
      </c>
      <c r="AA363" t="s">
        <v>25</v>
      </c>
      <c r="AC363" t="s">
        <v>22</v>
      </c>
      <c r="AD363" t="s">
        <v>1912</v>
      </c>
      <c r="AE363">
        <v>9.0351422664344431E-5</v>
      </c>
      <c r="AG363" t="s">
        <v>97</v>
      </c>
      <c r="AH363" t="s">
        <v>1912</v>
      </c>
      <c r="AI363">
        <v>0</v>
      </c>
    </row>
    <row r="364" spans="5:40" x14ac:dyDescent="0.45">
      <c r="I364" t="s">
        <v>249</v>
      </c>
      <c r="J364" t="s">
        <v>1913</v>
      </c>
      <c r="K364">
        <v>0</v>
      </c>
      <c r="L364" t="s">
        <v>251</v>
      </c>
      <c r="N364" t="s">
        <v>419</v>
      </c>
      <c r="O364" t="s">
        <v>1913</v>
      </c>
      <c r="P364">
        <v>1.3933169430699999E-4</v>
      </c>
      <c r="Q364" t="s">
        <v>251</v>
      </c>
      <c r="S364" t="s">
        <v>420</v>
      </c>
      <c r="T364" t="s">
        <v>1913</v>
      </c>
      <c r="U364">
        <v>1.994319487015E-4</v>
      </c>
      <c r="V364" t="s">
        <v>251</v>
      </c>
      <c r="X364">
        <v>1.1415525114155251E-4</v>
      </c>
      <c r="Y364">
        <v>1.4916838624667481E-5</v>
      </c>
      <c r="Z364" t="s">
        <v>1913</v>
      </c>
      <c r="AA364" t="s">
        <v>25</v>
      </c>
      <c r="AC364" t="s">
        <v>22</v>
      </c>
      <c r="AD364" t="s">
        <v>1913</v>
      </c>
      <c r="AE364">
        <v>1.0555604093851148E-4</v>
      </c>
      <c r="AG364" t="s">
        <v>97</v>
      </c>
      <c r="AH364" t="s">
        <v>1913</v>
      </c>
      <c r="AI364">
        <v>0</v>
      </c>
    </row>
    <row r="365" spans="5:40" x14ac:dyDescent="0.45">
      <c r="I365" t="s">
        <v>249</v>
      </c>
      <c r="J365" t="s">
        <v>1914</v>
      </c>
      <c r="K365">
        <v>0</v>
      </c>
      <c r="L365" t="s">
        <v>251</v>
      </c>
      <c r="N365" t="s">
        <v>419</v>
      </c>
      <c r="O365" t="s">
        <v>1914</v>
      </c>
      <c r="P365">
        <v>1.375315235491E-4</v>
      </c>
      <c r="Q365" t="s">
        <v>251</v>
      </c>
      <c r="S365" t="s">
        <v>420</v>
      </c>
      <c r="T365" t="s">
        <v>1914</v>
      </c>
      <c r="U365">
        <v>1.961440807708E-4</v>
      </c>
      <c r="V365" t="s">
        <v>251</v>
      </c>
      <c r="X365">
        <v>1.1415525114155251E-4</v>
      </c>
      <c r="Y365">
        <v>1.6574265138519424E-5</v>
      </c>
      <c r="Z365" t="s">
        <v>1914</v>
      </c>
      <c r="AA365" t="s">
        <v>25</v>
      </c>
      <c r="AC365" t="s">
        <v>22</v>
      </c>
      <c r="AD365" t="s">
        <v>1914</v>
      </c>
      <c r="AE365">
        <v>1.4088641758481558E-4</v>
      </c>
      <c r="AG365" t="s">
        <v>97</v>
      </c>
      <c r="AH365" t="s">
        <v>1914</v>
      </c>
      <c r="AI365">
        <v>0</v>
      </c>
    </row>
    <row r="366" spans="5:40" x14ac:dyDescent="0.45">
      <c r="I366" t="s">
        <v>249</v>
      </c>
      <c r="J366" t="s">
        <v>1915</v>
      </c>
      <c r="K366">
        <v>0</v>
      </c>
      <c r="L366" t="s">
        <v>251</v>
      </c>
      <c r="N366" t="s">
        <v>419</v>
      </c>
      <c r="O366" t="s">
        <v>1915</v>
      </c>
      <c r="P366">
        <v>1.148067556107E-4</v>
      </c>
      <c r="Q366" t="s">
        <v>251</v>
      </c>
      <c r="S366" t="s">
        <v>420</v>
      </c>
      <c r="T366" t="s">
        <v>1915</v>
      </c>
      <c r="U366">
        <v>1.780965297079E-4</v>
      </c>
      <c r="V366" t="s">
        <v>251</v>
      </c>
      <c r="X366">
        <v>1.1415525114155251E-4</v>
      </c>
      <c r="Y366">
        <v>1.4585353321897093E-5</v>
      </c>
      <c r="Z366" t="s">
        <v>1915</v>
      </c>
      <c r="AA366" t="s">
        <v>25</v>
      </c>
      <c r="AC366" t="s">
        <v>22</v>
      </c>
      <c r="AD366" t="s">
        <v>1915</v>
      </c>
      <c r="AE366">
        <v>1.5403879676899833E-4</v>
      </c>
      <c r="AG366" t="s">
        <v>97</v>
      </c>
      <c r="AH366" t="s">
        <v>1915</v>
      </c>
      <c r="AI366">
        <v>0</v>
      </c>
    </row>
    <row r="367" spans="5:40" x14ac:dyDescent="0.45">
      <c r="I367" t="s">
        <v>249</v>
      </c>
      <c r="J367" t="s">
        <v>1916</v>
      </c>
      <c r="K367">
        <v>0</v>
      </c>
      <c r="L367" t="s">
        <v>251</v>
      </c>
      <c r="N367" t="s">
        <v>419</v>
      </c>
      <c r="O367" t="s">
        <v>1916</v>
      </c>
      <c r="P367">
        <v>1.130424106051E-4</v>
      </c>
      <c r="Q367" t="s">
        <v>251</v>
      </c>
      <c r="S367" t="s">
        <v>420</v>
      </c>
      <c r="T367" t="s">
        <v>1916</v>
      </c>
      <c r="U367">
        <v>1.801381341055E-4</v>
      </c>
      <c r="V367" t="s">
        <v>251</v>
      </c>
      <c r="X367">
        <v>1.1415525114155251E-4</v>
      </c>
      <c r="Y367">
        <v>2.1215059377304864E-5</v>
      </c>
      <c r="Z367" t="s">
        <v>1916</v>
      </c>
      <c r="AA367" t="s">
        <v>25</v>
      </c>
      <c r="AC367" t="s">
        <v>22</v>
      </c>
      <c r="AD367" t="s">
        <v>1916</v>
      </c>
      <c r="AE367">
        <v>1.548911110490407E-4</v>
      </c>
      <c r="AG367" t="s">
        <v>97</v>
      </c>
      <c r="AH367" t="s">
        <v>1916</v>
      </c>
      <c r="AI367">
        <v>0</v>
      </c>
    </row>
    <row r="368" spans="5:40" x14ac:dyDescent="0.45">
      <c r="I368" t="s">
        <v>249</v>
      </c>
      <c r="J368" t="s">
        <v>1917</v>
      </c>
      <c r="K368">
        <v>0</v>
      </c>
      <c r="L368" t="s">
        <v>251</v>
      </c>
      <c r="N368" t="s">
        <v>419</v>
      </c>
      <c r="O368" t="s">
        <v>1917</v>
      </c>
      <c r="P368">
        <v>1.100891843703E-4</v>
      </c>
      <c r="Q368" t="s">
        <v>251</v>
      </c>
      <c r="S368" t="s">
        <v>420</v>
      </c>
      <c r="T368" t="s">
        <v>1917</v>
      </c>
      <c r="U368">
        <v>1.800812967614E-4</v>
      </c>
      <c r="V368" t="s">
        <v>251</v>
      </c>
      <c r="X368">
        <v>1.1415525114155251E-4</v>
      </c>
      <c r="Y368">
        <v>5.7678442682047593E-5</v>
      </c>
      <c r="Z368" t="s">
        <v>1917</v>
      </c>
      <c r="AA368" t="s">
        <v>25</v>
      </c>
      <c r="AC368" t="s">
        <v>22</v>
      </c>
      <c r="AD368" t="s">
        <v>1917</v>
      </c>
      <c r="AE368">
        <v>1.560665248600795E-4</v>
      </c>
      <c r="AG368" t="s">
        <v>97</v>
      </c>
      <c r="AH368" t="s">
        <v>1917</v>
      </c>
      <c r="AI368">
        <v>0</v>
      </c>
    </row>
    <row r="369" spans="9:35" x14ac:dyDescent="0.45">
      <c r="I369" t="s">
        <v>249</v>
      </c>
      <c r="J369" t="s">
        <v>1918</v>
      </c>
      <c r="K369">
        <v>7.0369842803580072E-6</v>
      </c>
      <c r="L369" t="s">
        <v>251</v>
      </c>
      <c r="N369" t="s">
        <v>419</v>
      </c>
      <c r="O369" t="s">
        <v>1918</v>
      </c>
      <c r="P369">
        <v>1.103311728867E-4</v>
      </c>
      <c r="Q369" t="s">
        <v>251</v>
      </c>
      <c r="S369" t="s">
        <v>420</v>
      </c>
      <c r="T369" t="s">
        <v>1918</v>
      </c>
      <c r="U369">
        <v>1.8082662748539999E-4</v>
      </c>
      <c r="V369" t="s">
        <v>251</v>
      </c>
      <c r="X369">
        <v>1.1415525114155251E-4</v>
      </c>
      <c r="Y369">
        <v>1.6905750441289813E-4</v>
      </c>
      <c r="Z369" t="s">
        <v>1918</v>
      </c>
      <c r="AA369" t="s">
        <v>25</v>
      </c>
      <c r="AC369" t="s">
        <v>22</v>
      </c>
      <c r="AD369" t="s">
        <v>1918</v>
      </c>
      <c r="AE369">
        <v>1.5610217722212047E-4</v>
      </c>
      <c r="AG369" t="s">
        <v>97</v>
      </c>
      <c r="AH369" t="s">
        <v>1918</v>
      </c>
      <c r="AI369">
        <v>0</v>
      </c>
    </row>
    <row r="370" spans="9:35" x14ac:dyDescent="0.45">
      <c r="I370" t="s">
        <v>249</v>
      </c>
      <c r="J370" t="s">
        <v>1919</v>
      </c>
      <c r="K370">
        <v>2.9020388039945902E-5</v>
      </c>
      <c r="L370" t="s">
        <v>251</v>
      </c>
      <c r="N370" t="s">
        <v>419</v>
      </c>
      <c r="O370" t="s">
        <v>1919</v>
      </c>
      <c r="P370">
        <v>1.376651323069E-4</v>
      </c>
      <c r="Q370" t="s">
        <v>251</v>
      </c>
      <c r="S370" t="s">
        <v>420</v>
      </c>
      <c r="T370" t="s">
        <v>1919</v>
      </c>
      <c r="U370">
        <v>1.8194660876499999E-4</v>
      </c>
      <c r="V370" t="s">
        <v>251</v>
      </c>
      <c r="X370">
        <v>1.1415525114155251E-4</v>
      </c>
      <c r="Y370">
        <v>1.9060404909297337E-4</v>
      </c>
      <c r="Z370" t="s">
        <v>1919</v>
      </c>
      <c r="AA370" t="s">
        <v>25</v>
      </c>
      <c r="AC370" t="s">
        <v>22</v>
      </c>
      <c r="AD370" t="s">
        <v>1919</v>
      </c>
      <c r="AE370">
        <v>1.5513510690175872E-4</v>
      </c>
      <c r="AG370" t="s">
        <v>97</v>
      </c>
      <c r="AH370" t="s">
        <v>1919</v>
      </c>
      <c r="AI370">
        <v>0</v>
      </c>
    </row>
    <row r="371" spans="9:35" x14ac:dyDescent="0.45">
      <c r="I371" t="s">
        <v>249</v>
      </c>
      <c r="J371" t="s">
        <v>1920</v>
      </c>
      <c r="K371">
        <v>6.254850849662851E-5</v>
      </c>
      <c r="L371" t="s">
        <v>251</v>
      </c>
      <c r="N371" t="s">
        <v>419</v>
      </c>
      <c r="O371" t="s">
        <v>1920</v>
      </c>
      <c r="P371">
        <v>1.608415317886E-4</v>
      </c>
      <c r="Q371" t="s">
        <v>251</v>
      </c>
      <c r="S371" t="s">
        <v>420</v>
      </c>
      <c r="T371" t="s">
        <v>1920</v>
      </c>
      <c r="U371">
        <v>1.829961528857E-4</v>
      </c>
      <c r="V371" t="s">
        <v>251</v>
      </c>
      <c r="X371">
        <v>1.1415525114155251E-4</v>
      </c>
      <c r="Y371">
        <v>1.4585353321897094E-4</v>
      </c>
      <c r="Z371" t="s">
        <v>1920</v>
      </c>
      <c r="AA371" t="s">
        <v>25</v>
      </c>
      <c r="AC371" t="s">
        <v>22</v>
      </c>
      <c r="AD371" t="s">
        <v>1920</v>
      </c>
      <c r="AE371">
        <v>1.5501032363461522E-4</v>
      </c>
      <c r="AG371" t="s">
        <v>97</v>
      </c>
      <c r="AH371" t="s">
        <v>1920</v>
      </c>
      <c r="AI371">
        <v>0</v>
      </c>
    </row>
    <row r="372" spans="9:35" x14ac:dyDescent="0.45">
      <c r="I372" t="s">
        <v>249</v>
      </c>
      <c r="J372" t="s">
        <v>1921</v>
      </c>
      <c r="K372">
        <v>9.5940180095517282E-5</v>
      </c>
      <c r="L372" t="s">
        <v>251</v>
      </c>
      <c r="N372" t="s">
        <v>419</v>
      </c>
      <c r="O372" t="s">
        <v>1921</v>
      </c>
      <c r="P372">
        <v>1.5825601965559999E-4</v>
      </c>
      <c r="Q372" t="s">
        <v>251</v>
      </c>
      <c r="S372" t="s">
        <v>420</v>
      </c>
      <c r="T372" t="s">
        <v>1921</v>
      </c>
      <c r="U372">
        <v>1.8124028999689999E-4</v>
      </c>
      <c r="V372" t="s">
        <v>251</v>
      </c>
      <c r="X372">
        <v>1.1415525114155251E-4</v>
      </c>
      <c r="Y372">
        <v>1.4452759200788939E-4</v>
      </c>
      <c r="Z372" t="s">
        <v>1921</v>
      </c>
      <c r="AA372" t="s">
        <v>25</v>
      </c>
      <c r="AC372" t="s">
        <v>22</v>
      </c>
      <c r="AD372" t="s">
        <v>1921</v>
      </c>
      <c r="AE372">
        <v>1.5501032363461522E-4</v>
      </c>
      <c r="AG372" t="s">
        <v>97</v>
      </c>
      <c r="AH372" t="s">
        <v>1921</v>
      </c>
      <c r="AI372">
        <v>0</v>
      </c>
    </row>
    <row r="373" spans="9:35" x14ac:dyDescent="0.45">
      <c r="I373" t="s">
        <v>249</v>
      </c>
      <c r="J373" t="s">
        <v>1922</v>
      </c>
      <c r="K373">
        <v>1.3329825386329999E-4</v>
      </c>
      <c r="L373" t="s">
        <v>251</v>
      </c>
      <c r="N373" t="s">
        <v>419</v>
      </c>
      <c r="O373" t="s">
        <v>1922</v>
      </c>
      <c r="P373">
        <v>1.4879516529410001E-4</v>
      </c>
      <c r="Q373" t="s">
        <v>251</v>
      </c>
      <c r="S373" t="s">
        <v>420</v>
      </c>
      <c r="T373" t="s">
        <v>1922</v>
      </c>
      <c r="U373">
        <v>1.7808911374909999E-4</v>
      </c>
      <c r="V373" t="s">
        <v>251</v>
      </c>
      <c r="X373">
        <v>1.1415525114155251E-4</v>
      </c>
      <c r="Y373">
        <v>1.408812536774151E-4</v>
      </c>
      <c r="Z373" t="s">
        <v>1922</v>
      </c>
      <c r="AA373" t="s">
        <v>25</v>
      </c>
      <c r="AC373" t="s">
        <v>22</v>
      </c>
      <c r="AD373" t="s">
        <v>1922</v>
      </c>
      <c r="AE373">
        <v>1.5471730578409088E-4</v>
      </c>
      <c r="AG373" t="s">
        <v>97</v>
      </c>
      <c r="AH373" t="s">
        <v>1922</v>
      </c>
      <c r="AI373">
        <v>0</v>
      </c>
    </row>
    <row r="374" spans="9:35" x14ac:dyDescent="0.45">
      <c r="I374" t="s">
        <v>249</v>
      </c>
      <c r="J374" t="s">
        <v>1923</v>
      </c>
      <c r="K374">
        <v>1.5606237985869999E-4</v>
      </c>
      <c r="L374" t="s">
        <v>251</v>
      </c>
      <c r="N374" t="s">
        <v>419</v>
      </c>
      <c r="O374" t="s">
        <v>1923</v>
      </c>
      <c r="P374">
        <v>1.4128304714520001E-4</v>
      </c>
      <c r="Q374" t="s">
        <v>251</v>
      </c>
      <c r="S374" t="s">
        <v>420</v>
      </c>
      <c r="T374" t="s">
        <v>1923</v>
      </c>
      <c r="U374">
        <v>1.7600837595550001E-4</v>
      </c>
      <c r="V374" t="s">
        <v>251</v>
      </c>
      <c r="X374">
        <v>1.1415525114155251E-4</v>
      </c>
      <c r="Y374">
        <v>1.4054976837464471E-4</v>
      </c>
      <c r="Z374" t="s">
        <v>1923</v>
      </c>
      <c r="AA374" t="s">
        <v>25</v>
      </c>
      <c r="AC374" t="s">
        <v>22</v>
      </c>
      <c r="AD374" t="s">
        <v>1923</v>
      </c>
      <c r="AE374">
        <v>1.5565095201503925E-4</v>
      </c>
      <c r="AG374" t="s">
        <v>97</v>
      </c>
      <c r="AH374" t="s">
        <v>1923</v>
      </c>
      <c r="AI374">
        <v>0</v>
      </c>
    </row>
    <row r="375" spans="9:35" x14ac:dyDescent="0.45">
      <c r="I375" t="s">
        <v>249</v>
      </c>
      <c r="J375" t="s">
        <v>1924</v>
      </c>
      <c r="K375">
        <v>1.6479396682420001E-4</v>
      </c>
      <c r="L375" t="s">
        <v>251</v>
      </c>
      <c r="N375" t="s">
        <v>419</v>
      </c>
      <c r="O375" t="s">
        <v>1924</v>
      </c>
      <c r="P375">
        <v>1.4153938194629999E-4</v>
      </c>
      <c r="Q375" t="s">
        <v>251</v>
      </c>
      <c r="S375" t="s">
        <v>420</v>
      </c>
      <c r="T375" t="s">
        <v>1924</v>
      </c>
      <c r="U375">
        <v>1.7741207846E-4</v>
      </c>
      <c r="V375" t="s">
        <v>251</v>
      </c>
      <c r="X375">
        <v>1.1415525114155251E-4</v>
      </c>
      <c r="Y375">
        <v>1.4253868019126702E-4</v>
      </c>
      <c r="Z375" t="s">
        <v>1924</v>
      </c>
      <c r="AA375" t="s">
        <v>25</v>
      </c>
      <c r="AC375" t="s">
        <v>22</v>
      </c>
      <c r="AD375" t="s">
        <v>1924</v>
      </c>
      <c r="AE375">
        <v>1.9563841845294722E-4</v>
      </c>
      <c r="AG375" t="s">
        <v>97</v>
      </c>
      <c r="AH375" t="s">
        <v>1924</v>
      </c>
      <c r="AI375">
        <v>0</v>
      </c>
    </row>
    <row r="376" spans="9:35" x14ac:dyDescent="0.45">
      <c r="I376" t="s">
        <v>249</v>
      </c>
      <c r="J376" t="s">
        <v>1925</v>
      </c>
      <c r="K376">
        <v>1.576344161109E-4</v>
      </c>
      <c r="L376" t="s">
        <v>251</v>
      </c>
      <c r="N376" t="s">
        <v>419</v>
      </c>
      <c r="O376" t="s">
        <v>1925</v>
      </c>
      <c r="P376">
        <v>1.4389215957459999E-4</v>
      </c>
      <c r="Q376" t="s">
        <v>251</v>
      </c>
      <c r="S376" t="s">
        <v>420</v>
      </c>
      <c r="T376" t="s">
        <v>1925</v>
      </c>
      <c r="U376">
        <v>1.7467039946100001E-4</v>
      </c>
      <c r="V376" t="s">
        <v>251</v>
      </c>
      <c r="X376">
        <v>1.1415525114155251E-4</v>
      </c>
      <c r="Y376">
        <v>1.4883690094390442E-4</v>
      </c>
      <c r="Z376" t="s">
        <v>1925</v>
      </c>
      <c r="AA376" t="s">
        <v>25</v>
      </c>
      <c r="AC376" t="s">
        <v>22</v>
      </c>
      <c r="AD376" t="s">
        <v>1925</v>
      </c>
      <c r="AE376">
        <v>1.9730962292361851E-4</v>
      </c>
      <c r="AG376" t="s">
        <v>97</v>
      </c>
      <c r="AH376" t="s">
        <v>1925</v>
      </c>
      <c r="AI376">
        <v>0</v>
      </c>
    </row>
    <row r="377" spans="9:35" x14ac:dyDescent="0.45">
      <c r="I377" t="s">
        <v>249</v>
      </c>
      <c r="J377" t="s">
        <v>1926</v>
      </c>
      <c r="K377">
        <v>1.5502894892389999E-4</v>
      </c>
      <c r="L377" t="s">
        <v>251</v>
      </c>
      <c r="N377" t="s">
        <v>419</v>
      </c>
      <c r="O377" t="s">
        <v>1926</v>
      </c>
      <c r="P377">
        <v>1.4856734746630001E-4</v>
      </c>
      <c r="Q377" t="s">
        <v>251</v>
      </c>
      <c r="S377" t="s">
        <v>420</v>
      </c>
      <c r="T377" t="s">
        <v>1926</v>
      </c>
      <c r="U377">
        <v>1.7691841825460001E-4</v>
      </c>
      <c r="V377" t="s">
        <v>251</v>
      </c>
      <c r="X377">
        <v>1.1415525114155251E-4</v>
      </c>
      <c r="Y377">
        <v>1.5049432745775637E-4</v>
      </c>
      <c r="Z377" t="s">
        <v>1926</v>
      </c>
      <c r="AA377" t="s">
        <v>25</v>
      </c>
      <c r="AC377" t="s">
        <v>22</v>
      </c>
      <c r="AD377" t="s">
        <v>1926</v>
      </c>
      <c r="AE377">
        <v>1.8844444027486435E-4</v>
      </c>
      <c r="AG377" t="s">
        <v>97</v>
      </c>
      <c r="AH377" t="s">
        <v>1926</v>
      </c>
      <c r="AI377">
        <v>0</v>
      </c>
    </row>
    <row r="378" spans="9:35" x14ac:dyDescent="0.45">
      <c r="I378" t="s">
        <v>249</v>
      </c>
      <c r="J378" t="s">
        <v>1927</v>
      </c>
      <c r="K378">
        <v>1.4229855590509999E-4</v>
      </c>
      <c r="L378" t="s">
        <v>251</v>
      </c>
      <c r="N378" t="s">
        <v>419</v>
      </c>
      <c r="O378" t="s">
        <v>1927</v>
      </c>
      <c r="P378">
        <v>1.478355075467E-4</v>
      </c>
      <c r="Q378" t="s">
        <v>251</v>
      </c>
      <c r="S378" t="s">
        <v>420</v>
      </c>
      <c r="T378" t="s">
        <v>1927</v>
      </c>
      <c r="U378">
        <v>1.6853291741660001E-4</v>
      </c>
      <c r="V378" t="s">
        <v>251</v>
      </c>
      <c r="X378">
        <v>1.1415525114155251E-4</v>
      </c>
      <c r="Y378">
        <v>1.7237235744060203E-4</v>
      </c>
      <c r="Z378" t="s">
        <v>1927</v>
      </c>
      <c r="AA378" t="s">
        <v>25</v>
      </c>
      <c r="AC378" t="s">
        <v>22</v>
      </c>
      <c r="AD378" t="s">
        <v>1927</v>
      </c>
      <c r="AE378">
        <v>1.5872708237738811E-4</v>
      </c>
      <c r="AG378" t="s">
        <v>97</v>
      </c>
      <c r="AH378" t="s">
        <v>1927</v>
      </c>
      <c r="AI378">
        <v>0</v>
      </c>
    </row>
    <row r="379" spans="9:35" x14ac:dyDescent="0.45">
      <c r="I379" t="s">
        <v>249</v>
      </c>
      <c r="J379" t="s">
        <v>1928</v>
      </c>
      <c r="K379">
        <v>1.1346059931749999E-4</v>
      </c>
      <c r="L379" t="s">
        <v>251</v>
      </c>
      <c r="N379" t="s">
        <v>419</v>
      </c>
      <c r="O379" t="s">
        <v>1928</v>
      </c>
      <c r="P379">
        <v>1.4983206126220001E-4</v>
      </c>
      <c r="Q379" t="s">
        <v>251</v>
      </c>
      <c r="S379" t="s">
        <v>420</v>
      </c>
      <c r="T379" t="s">
        <v>1928</v>
      </c>
      <c r="U379">
        <v>1.672829909351E-4</v>
      </c>
      <c r="V379" t="s">
        <v>251</v>
      </c>
      <c r="X379">
        <v>1.1415525114155251E-4</v>
      </c>
      <c r="Y379">
        <v>2.2209515285616027E-4</v>
      </c>
      <c r="Z379" t="s">
        <v>1928</v>
      </c>
      <c r="AA379" t="s">
        <v>25</v>
      </c>
      <c r="AC379" t="s">
        <v>22</v>
      </c>
      <c r="AD379" t="s">
        <v>1928</v>
      </c>
      <c r="AE379">
        <v>1.1514318391859558E-4</v>
      </c>
      <c r="AG379" t="s">
        <v>97</v>
      </c>
      <c r="AH379" t="s">
        <v>1928</v>
      </c>
      <c r="AI379">
        <v>0</v>
      </c>
    </row>
    <row r="380" spans="9:35" x14ac:dyDescent="0.45">
      <c r="I380" t="s">
        <v>249</v>
      </c>
      <c r="J380" t="s">
        <v>1929</v>
      </c>
      <c r="K380">
        <v>8.0628108975293729E-5</v>
      </c>
      <c r="L380" t="s">
        <v>251</v>
      </c>
      <c r="N380" t="s">
        <v>419</v>
      </c>
      <c r="O380" t="s">
        <v>1929</v>
      </c>
      <c r="P380">
        <v>1.283127022364E-4</v>
      </c>
      <c r="Q380" t="s">
        <v>251</v>
      </c>
      <c r="S380" t="s">
        <v>420</v>
      </c>
      <c r="T380" t="s">
        <v>1929</v>
      </c>
      <c r="U380">
        <v>1.7181106010270001E-4</v>
      </c>
      <c r="V380" t="s">
        <v>251</v>
      </c>
      <c r="X380">
        <v>1.1415525114155251E-4</v>
      </c>
      <c r="Y380">
        <v>2.2209515285616027E-4</v>
      </c>
      <c r="Z380" t="s">
        <v>1929</v>
      </c>
      <c r="AA380" t="s">
        <v>25</v>
      </c>
      <c r="AC380" t="s">
        <v>22</v>
      </c>
      <c r="AD380" t="s">
        <v>1929</v>
      </c>
      <c r="AE380">
        <v>8.3539593241888367E-5</v>
      </c>
      <c r="AG380" t="s">
        <v>97</v>
      </c>
      <c r="AH380" t="s">
        <v>1929</v>
      </c>
      <c r="AI380">
        <v>0</v>
      </c>
    </row>
    <row r="381" spans="9:35" x14ac:dyDescent="0.45">
      <c r="I381" t="s">
        <v>249</v>
      </c>
      <c r="J381" t="s">
        <v>1930</v>
      </c>
      <c r="K381">
        <v>3.2194654366013202E-5</v>
      </c>
      <c r="L381" t="s">
        <v>251</v>
      </c>
      <c r="N381" t="s">
        <v>419</v>
      </c>
      <c r="O381" t="s">
        <v>1930</v>
      </c>
      <c r="P381">
        <v>1.198447220981E-4</v>
      </c>
      <c r="Q381" t="s">
        <v>251</v>
      </c>
      <c r="S381" t="s">
        <v>420</v>
      </c>
      <c r="T381" t="s">
        <v>1930</v>
      </c>
      <c r="U381">
        <v>1.8101261112339999E-4</v>
      </c>
      <c r="V381" t="s">
        <v>251</v>
      </c>
      <c r="X381">
        <v>1.1415525114155251E-4</v>
      </c>
      <c r="Y381">
        <v>1.7237235744060203E-4</v>
      </c>
      <c r="Z381" t="s">
        <v>1930</v>
      </c>
      <c r="AA381" t="s">
        <v>25</v>
      </c>
      <c r="AC381" t="s">
        <v>22</v>
      </c>
      <c r="AD381" t="s">
        <v>1930</v>
      </c>
      <c r="AE381">
        <v>5.2888589113463767E-5</v>
      </c>
      <c r="AG381" t="s">
        <v>97</v>
      </c>
      <c r="AH381" t="s">
        <v>1930</v>
      </c>
      <c r="AI381">
        <v>0</v>
      </c>
    </row>
    <row r="382" spans="9:35" x14ac:dyDescent="0.45">
      <c r="I382" t="s">
        <v>249</v>
      </c>
      <c r="J382" t="s">
        <v>1931</v>
      </c>
      <c r="K382">
        <v>4.2761330426098627E-6</v>
      </c>
      <c r="L382" t="s">
        <v>251</v>
      </c>
      <c r="N382" t="s">
        <v>419</v>
      </c>
      <c r="O382" t="s">
        <v>1931</v>
      </c>
      <c r="P382">
        <v>1.205359833723E-4</v>
      </c>
      <c r="Q382" t="s">
        <v>251</v>
      </c>
      <c r="S382" t="s">
        <v>420</v>
      </c>
      <c r="T382" t="s">
        <v>1931</v>
      </c>
      <c r="U382">
        <v>1.868945459256E-4</v>
      </c>
      <c r="V382" t="s">
        <v>251</v>
      </c>
      <c r="X382">
        <v>1.1415525114155251E-4</v>
      </c>
      <c r="Y382">
        <v>1.5579809230208258E-4</v>
      </c>
      <c r="Z382" t="s">
        <v>1931</v>
      </c>
      <c r="AA382" t="s">
        <v>25</v>
      </c>
      <c r="AC382" t="s">
        <v>22</v>
      </c>
      <c r="AD382" t="s">
        <v>1931</v>
      </c>
      <c r="AE382">
        <v>4.7263314865184325E-5</v>
      </c>
      <c r="AG382" t="s">
        <v>97</v>
      </c>
      <c r="AH382" t="s">
        <v>1931</v>
      </c>
      <c r="AI382">
        <v>0</v>
      </c>
    </row>
    <row r="383" spans="9:35" x14ac:dyDescent="0.45">
      <c r="I383" t="s">
        <v>249</v>
      </c>
      <c r="J383" t="s">
        <v>1932</v>
      </c>
      <c r="K383">
        <v>0</v>
      </c>
      <c r="L383" t="s">
        <v>251</v>
      </c>
      <c r="N383" t="s">
        <v>419</v>
      </c>
      <c r="O383" t="s">
        <v>1932</v>
      </c>
      <c r="P383">
        <v>1.2031121067890001E-4</v>
      </c>
      <c r="Q383" t="s">
        <v>251</v>
      </c>
      <c r="S383" t="s">
        <v>420</v>
      </c>
      <c r="T383" t="s">
        <v>1932</v>
      </c>
      <c r="U383">
        <v>1.8195208865039999E-4</v>
      </c>
      <c r="V383" t="s">
        <v>251</v>
      </c>
      <c r="X383">
        <v>1.1415525114155251E-4</v>
      </c>
      <c r="Y383">
        <v>1.093901499142282E-4</v>
      </c>
      <c r="Z383" t="s">
        <v>1932</v>
      </c>
      <c r="AA383" t="s">
        <v>25</v>
      </c>
      <c r="AC383" t="s">
        <v>22</v>
      </c>
      <c r="AD383" t="s">
        <v>1932</v>
      </c>
      <c r="AE383">
        <v>4.7298967227225328E-5</v>
      </c>
      <c r="AG383" t="s">
        <v>97</v>
      </c>
      <c r="AH383" t="s">
        <v>1932</v>
      </c>
      <c r="AI383">
        <v>0</v>
      </c>
    </row>
    <row r="384" spans="9:35" x14ac:dyDescent="0.45">
      <c r="I384" t="s">
        <v>249</v>
      </c>
      <c r="J384" t="s">
        <v>1933</v>
      </c>
      <c r="K384">
        <v>0</v>
      </c>
      <c r="L384" t="s">
        <v>251</v>
      </c>
      <c r="N384" t="s">
        <v>419</v>
      </c>
      <c r="O384" t="s">
        <v>1933</v>
      </c>
      <c r="P384">
        <v>1.220611586009E-4</v>
      </c>
      <c r="Q384" t="s">
        <v>251</v>
      </c>
      <c r="S384" t="s">
        <v>420</v>
      </c>
      <c r="T384" t="s">
        <v>1933</v>
      </c>
      <c r="U384">
        <v>1.75966685248E-4</v>
      </c>
      <c r="V384" t="s">
        <v>251</v>
      </c>
      <c r="X384">
        <v>1.1415525114155251E-4</v>
      </c>
      <c r="Y384">
        <v>7.9556472664893237E-5</v>
      </c>
      <c r="Z384" t="s">
        <v>1933</v>
      </c>
      <c r="AA384" t="s">
        <v>25</v>
      </c>
      <c r="AC384" t="s">
        <v>22</v>
      </c>
      <c r="AD384" t="s">
        <v>1933</v>
      </c>
      <c r="AE384">
        <v>4.6179260231875612E-5</v>
      </c>
      <c r="AG384" t="s">
        <v>97</v>
      </c>
      <c r="AH384" t="s">
        <v>1933</v>
      </c>
      <c r="AI384">
        <v>0</v>
      </c>
    </row>
    <row r="385" spans="9:35" x14ac:dyDescent="0.45">
      <c r="I385" t="s">
        <v>249</v>
      </c>
      <c r="J385" t="s">
        <v>1934</v>
      </c>
      <c r="K385">
        <v>0</v>
      </c>
      <c r="L385" t="s">
        <v>251</v>
      </c>
      <c r="N385" t="s">
        <v>419</v>
      </c>
      <c r="O385" t="s">
        <v>1934</v>
      </c>
      <c r="P385">
        <v>1.218914894619E-4</v>
      </c>
      <c r="Q385" t="s">
        <v>251</v>
      </c>
      <c r="S385" t="s">
        <v>420</v>
      </c>
      <c r="T385" t="s">
        <v>1934</v>
      </c>
      <c r="U385">
        <v>1.7371148182239999E-4</v>
      </c>
      <c r="V385" t="s">
        <v>251</v>
      </c>
      <c r="X385">
        <v>1.1415525114155251E-4</v>
      </c>
      <c r="Y385">
        <v>5.6352501470966035E-5</v>
      </c>
      <c r="Z385" t="s">
        <v>1934</v>
      </c>
      <c r="AA385" t="s">
        <v>25</v>
      </c>
      <c r="AC385" t="s">
        <v>22</v>
      </c>
      <c r="AD385" t="s">
        <v>1934</v>
      </c>
      <c r="AE385">
        <v>5.850495027123296E-5</v>
      </c>
      <c r="AG385" t="s">
        <v>97</v>
      </c>
      <c r="AH385" t="s">
        <v>1934</v>
      </c>
      <c r="AI385">
        <v>0</v>
      </c>
    </row>
    <row r="386" spans="9:35" x14ac:dyDescent="0.45">
      <c r="I386" t="s">
        <v>249</v>
      </c>
      <c r="J386" t="s">
        <v>1935</v>
      </c>
      <c r="K386">
        <v>0</v>
      </c>
      <c r="L386" t="s">
        <v>251</v>
      </c>
      <c r="N386" t="s">
        <v>419</v>
      </c>
      <c r="O386" t="s">
        <v>1935</v>
      </c>
      <c r="P386">
        <v>1.2711185149259999E-4</v>
      </c>
      <c r="Q386" t="s">
        <v>251</v>
      </c>
      <c r="S386" t="s">
        <v>420</v>
      </c>
      <c r="T386" t="s">
        <v>1935</v>
      </c>
      <c r="U386">
        <v>1.763874763731E-4</v>
      </c>
      <c r="V386" t="s">
        <v>251</v>
      </c>
      <c r="X386">
        <v>1.1415525114155251E-4</v>
      </c>
      <c r="Y386">
        <v>2.9833677249334962E-5</v>
      </c>
      <c r="Z386" t="s">
        <v>1935</v>
      </c>
      <c r="AA386" t="s">
        <v>25</v>
      </c>
      <c r="AC386" t="s">
        <v>22</v>
      </c>
      <c r="AD386" t="s">
        <v>1935</v>
      </c>
      <c r="AE386">
        <v>8.1274554115971919E-5</v>
      </c>
      <c r="AG386" t="s">
        <v>97</v>
      </c>
      <c r="AH386" t="s">
        <v>1935</v>
      </c>
      <c r="AI386">
        <v>0</v>
      </c>
    </row>
    <row r="387" spans="9:35" x14ac:dyDescent="0.45">
      <c r="I387" t="s">
        <v>249</v>
      </c>
      <c r="J387" t="s">
        <v>1936</v>
      </c>
      <c r="K387">
        <v>0</v>
      </c>
      <c r="L387" t="s">
        <v>251</v>
      </c>
      <c r="N387" t="s">
        <v>419</v>
      </c>
      <c r="O387" t="s">
        <v>1936</v>
      </c>
      <c r="P387">
        <v>1.2601112764770001E-4</v>
      </c>
      <c r="Q387" t="s">
        <v>251</v>
      </c>
      <c r="S387" t="s">
        <v>420</v>
      </c>
      <c r="T387" t="s">
        <v>1936</v>
      </c>
      <c r="U387">
        <v>1.7798239725810001E-4</v>
      </c>
      <c r="V387" t="s">
        <v>251</v>
      </c>
      <c r="X387">
        <v>1.1415525114155251E-4</v>
      </c>
      <c r="Y387">
        <v>2.1546544680075254E-5</v>
      </c>
      <c r="Z387" t="s">
        <v>1936</v>
      </c>
      <c r="AA387" t="s">
        <v>25</v>
      </c>
      <c r="AC387" t="s">
        <v>22</v>
      </c>
      <c r="AD387" t="s">
        <v>1936</v>
      </c>
      <c r="AE387">
        <v>8.3562990104477759E-5</v>
      </c>
      <c r="AG387" t="s">
        <v>97</v>
      </c>
      <c r="AH387" t="s">
        <v>1936</v>
      </c>
      <c r="AI387">
        <v>0</v>
      </c>
    </row>
    <row r="388" spans="9:35" x14ac:dyDescent="0.45">
      <c r="I388" t="s">
        <v>249</v>
      </c>
      <c r="J388" t="s">
        <v>1937</v>
      </c>
      <c r="K388">
        <v>0</v>
      </c>
      <c r="L388" t="s">
        <v>251</v>
      </c>
      <c r="N388" t="s">
        <v>419</v>
      </c>
      <c r="O388" t="s">
        <v>1937</v>
      </c>
      <c r="P388">
        <v>1.211834667305E-4</v>
      </c>
      <c r="Q388" t="s">
        <v>251</v>
      </c>
      <c r="S388" t="s">
        <v>420</v>
      </c>
      <c r="T388" t="s">
        <v>1937</v>
      </c>
      <c r="U388">
        <v>1.8424080289859999E-4</v>
      </c>
      <c r="V388" t="s">
        <v>251</v>
      </c>
      <c r="X388">
        <v>1.1415525114155251E-4</v>
      </c>
      <c r="Y388">
        <v>1.4916838624667481E-5</v>
      </c>
      <c r="Z388" t="s">
        <v>1937</v>
      </c>
      <c r="AA388" t="s">
        <v>25</v>
      </c>
      <c r="AC388" t="s">
        <v>22</v>
      </c>
      <c r="AD388" t="s">
        <v>1937</v>
      </c>
      <c r="AE388">
        <v>9.805121872888376E-5</v>
      </c>
      <c r="AG388" t="s">
        <v>97</v>
      </c>
      <c r="AH388" t="s">
        <v>1937</v>
      </c>
      <c r="AI388">
        <v>0</v>
      </c>
    </row>
    <row r="389" spans="9:35" x14ac:dyDescent="0.45">
      <c r="I389" t="s">
        <v>249</v>
      </c>
      <c r="J389" t="s">
        <v>1938</v>
      </c>
      <c r="K389">
        <v>0</v>
      </c>
      <c r="L389" t="s">
        <v>251</v>
      </c>
      <c r="N389" t="s">
        <v>419</v>
      </c>
      <c r="O389" t="s">
        <v>1938</v>
      </c>
      <c r="P389">
        <v>1.083316747056E-4</v>
      </c>
      <c r="Q389" t="s">
        <v>251</v>
      </c>
      <c r="S389" t="s">
        <v>420</v>
      </c>
      <c r="T389" t="s">
        <v>1938</v>
      </c>
      <c r="U389">
        <v>1.8554314921530001E-4</v>
      </c>
      <c r="V389" t="s">
        <v>251</v>
      </c>
      <c r="X389">
        <v>1.1415525114155251E-4</v>
      </c>
      <c r="Y389">
        <v>1.6574265138519424E-5</v>
      </c>
      <c r="Z389" t="s">
        <v>1938</v>
      </c>
      <c r="AA389" t="s">
        <v>25</v>
      </c>
      <c r="AC389" t="s">
        <v>22</v>
      </c>
      <c r="AD389" t="s">
        <v>1938</v>
      </c>
      <c r="AE389">
        <v>1.2149933158871525E-4</v>
      </c>
      <c r="AG389" t="s">
        <v>97</v>
      </c>
      <c r="AH389" t="s">
        <v>1938</v>
      </c>
      <c r="AI389">
        <v>0</v>
      </c>
    </row>
    <row r="390" spans="9:35" x14ac:dyDescent="0.45">
      <c r="I390" t="s">
        <v>249</v>
      </c>
      <c r="J390" t="s">
        <v>1939</v>
      </c>
      <c r="K390">
        <v>0</v>
      </c>
      <c r="L390" t="s">
        <v>251</v>
      </c>
      <c r="N390" t="s">
        <v>419</v>
      </c>
      <c r="O390" t="s">
        <v>1939</v>
      </c>
      <c r="P390">
        <v>9.8520048618432765E-5</v>
      </c>
      <c r="Q390" t="s">
        <v>251</v>
      </c>
      <c r="S390" t="s">
        <v>420</v>
      </c>
      <c r="T390" t="s">
        <v>1939</v>
      </c>
      <c r="U390">
        <v>1.7961260235230001E-4</v>
      </c>
      <c r="V390" t="s">
        <v>251</v>
      </c>
      <c r="X390">
        <v>1.1415525114155251E-4</v>
      </c>
      <c r="Y390">
        <v>1.4585353321897093E-5</v>
      </c>
      <c r="Z390" t="s">
        <v>1939</v>
      </c>
      <c r="AA390" t="s">
        <v>25</v>
      </c>
      <c r="AC390" t="s">
        <v>22</v>
      </c>
      <c r="AD390" t="s">
        <v>1939</v>
      </c>
      <c r="AE390">
        <v>1.3843308942187017E-4</v>
      </c>
      <c r="AG390" t="s">
        <v>97</v>
      </c>
      <c r="AH390" t="s">
        <v>1939</v>
      </c>
      <c r="AI390">
        <v>0</v>
      </c>
    </row>
    <row r="391" spans="9:35" x14ac:dyDescent="0.45">
      <c r="I391" t="s">
        <v>249</v>
      </c>
      <c r="J391" t="s">
        <v>1940</v>
      </c>
      <c r="K391">
        <v>0</v>
      </c>
      <c r="L391" t="s">
        <v>251</v>
      </c>
      <c r="N391" t="s">
        <v>419</v>
      </c>
      <c r="O391" t="s">
        <v>1940</v>
      </c>
      <c r="P391">
        <v>9.34572788900108E-5</v>
      </c>
      <c r="Q391" t="s">
        <v>251</v>
      </c>
      <c r="S391" t="s">
        <v>420</v>
      </c>
      <c r="T391" t="s">
        <v>1940</v>
      </c>
      <c r="U391">
        <v>1.7526482950529999E-4</v>
      </c>
      <c r="V391" t="s">
        <v>251</v>
      </c>
      <c r="X391">
        <v>1.1415525114155251E-4</v>
      </c>
      <c r="Y391">
        <v>2.1215059377304864E-5</v>
      </c>
      <c r="Z391" t="s">
        <v>1940</v>
      </c>
      <c r="AA391" t="s">
        <v>25</v>
      </c>
      <c r="AC391" t="s">
        <v>22</v>
      </c>
      <c r="AD391" t="s">
        <v>1940</v>
      </c>
      <c r="AE391">
        <v>1.4317596770963519E-4</v>
      </c>
      <c r="AG391" t="s">
        <v>97</v>
      </c>
      <c r="AH391" t="s">
        <v>1940</v>
      </c>
      <c r="AI391">
        <v>0</v>
      </c>
    </row>
    <row r="392" spans="9:35" x14ac:dyDescent="0.45">
      <c r="I392" t="s">
        <v>249</v>
      </c>
      <c r="J392" t="s">
        <v>1941</v>
      </c>
      <c r="K392">
        <v>0</v>
      </c>
      <c r="L392" t="s">
        <v>251</v>
      </c>
      <c r="N392" t="s">
        <v>419</v>
      </c>
      <c r="O392" t="s">
        <v>1941</v>
      </c>
      <c r="P392">
        <v>9.4784510750611122E-5</v>
      </c>
      <c r="Q392" t="s">
        <v>251</v>
      </c>
      <c r="S392" t="s">
        <v>420</v>
      </c>
      <c r="T392" t="s">
        <v>1941</v>
      </c>
      <c r="U392">
        <v>1.693023390476E-4</v>
      </c>
      <c r="V392" t="s">
        <v>251</v>
      </c>
      <c r="X392">
        <v>1.1415525114155251E-4</v>
      </c>
      <c r="Y392">
        <v>5.7678442682047593E-5</v>
      </c>
      <c r="Z392" t="s">
        <v>1941</v>
      </c>
      <c r="AA392" t="s">
        <v>25</v>
      </c>
      <c r="AC392" t="s">
        <v>22</v>
      </c>
      <c r="AD392" t="s">
        <v>1941</v>
      </c>
      <c r="AE392">
        <v>1.4344001801600126E-4</v>
      </c>
      <c r="AG392" t="s">
        <v>97</v>
      </c>
      <c r="AH392" t="s">
        <v>1941</v>
      </c>
      <c r="AI392">
        <v>0</v>
      </c>
    </row>
    <row r="393" spans="9:35" x14ac:dyDescent="0.45">
      <c r="I393" t="s">
        <v>249</v>
      </c>
      <c r="J393" t="s">
        <v>1942</v>
      </c>
      <c r="K393">
        <v>5.8830506525029086E-6</v>
      </c>
      <c r="L393" t="s">
        <v>251</v>
      </c>
      <c r="N393" t="s">
        <v>419</v>
      </c>
      <c r="O393" t="s">
        <v>1942</v>
      </c>
      <c r="P393">
        <v>9.12287856459073E-5</v>
      </c>
      <c r="Q393" t="s">
        <v>251</v>
      </c>
      <c r="S393" t="s">
        <v>420</v>
      </c>
      <c r="T393" t="s">
        <v>1942</v>
      </c>
      <c r="U393">
        <v>1.601932940855E-4</v>
      </c>
      <c r="V393" t="s">
        <v>251</v>
      </c>
      <c r="X393">
        <v>1.1415525114155251E-4</v>
      </c>
      <c r="Y393">
        <v>1.6905750441289813E-4</v>
      </c>
      <c r="Z393" t="s">
        <v>1942</v>
      </c>
      <c r="AA393" t="s">
        <v>25</v>
      </c>
      <c r="AC393" t="s">
        <v>22</v>
      </c>
      <c r="AD393" t="s">
        <v>1942</v>
      </c>
      <c r="AE393">
        <v>1.4344001801600126E-4</v>
      </c>
      <c r="AG393" t="s">
        <v>97</v>
      </c>
      <c r="AH393" t="s">
        <v>1942</v>
      </c>
      <c r="AI393">
        <v>0</v>
      </c>
    </row>
    <row r="394" spans="9:35" x14ac:dyDescent="0.45">
      <c r="I394" t="s">
        <v>249</v>
      </c>
      <c r="J394" t="s">
        <v>1943</v>
      </c>
      <c r="K394">
        <v>2.6374471772130844E-5</v>
      </c>
      <c r="L394" t="s">
        <v>251</v>
      </c>
      <c r="N394" t="s">
        <v>419</v>
      </c>
      <c r="O394" t="s">
        <v>1943</v>
      </c>
      <c r="P394">
        <v>1.054113109837E-4</v>
      </c>
      <c r="Q394" t="s">
        <v>251</v>
      </c>
      <c r="S394" t="s">
        <v>420</v>
      </c>
      <c r="T394" t="s">
        <v>1943</v>
      </c>
      <c r="U394">
        <v>1.5540023864360001E-4</v>
      </c>
      <c r="V394" t="s">
        <v>251</v>
      </c>
      <c r="X394">
        <v>1.1415525114155251E-4</v>
      </c>
      <c r="Y394">
        <v>1.9060404909297337E-4</v>
      </c>
      <c r="Z394" t="s">
        <v>1943</v>
      </c>
      <c r="AA394" t="s">
        <v>25</v>
      </c>
      <c r="AC394" t="s">
        <v>22</v>
      </c>
      <c r="AD394" t="s">
        <v>1943</v>
      </c>
      <c r="AE394">
        <v>1.4369961177711219E-4</v>
      </c>
      <c r="AG394" t="s">
        <v>97</v>
      </c>
      <c r="AH394" t="s">
        <v>1943</v>
      </c>
      <c r="AI394">
        <v>0</v>
      </c>
    </row>
    <row r="395" spans="9:35" x14ac:dyDescent="0.45">
      <c r="I395" t="s">
        <v>249</v>
      </c>
      <c r="J395" t="s">
        <v>1944</v>
      </c>
      <c r="K395">
        <v>5.8718185060113219E-5</v>
      </c>
      <c r="L395" t="s">
        <v>251</v>
      </c>
      <c r="N395" t="s">
        <v>419</v>
      </c>
      <c r="O395" t="s">
        <v>1944</v>
      </c>
      <c r="P395">
        <v>1.207104011835E-4</v>
      </c>
      <c r="Q395" t="s">
        <v>251</v>
      </c>
      <c r="S395" t="s">
        <v>420</v>
      </c>
      <c r="T395" t="s">
        <v>1944</v>
      </c>
      <c r="U395">
        <v>1.5313587284409999E-4</v>
      </c>
      <c r="V395" t="s">
        <v>251</v>
      </c>
      <c r="X395">
        <v>1.1415525114155251E-4</v>
      </c>
      <c r="Y395">
        <v>1.4585353321897094E-4</v>
      </c>
      <c r="Z395" t="s">
        <v>1944</v>
      </c>
      <c r="AA395" t="s">
        <v>25</v>
      </c>
      <c r="AC395" t="s">
        <v>22</v>
      </c>
      <c r="AD395" t="s">
        <v>1944</v>
      </c>
      <c r="AE395">
        <v>1.4386338981523799E-4</v>
      </c>
      <c r="AG395" t="s">
        <v>97</v>
      </c>
      <c r="AH395" t="s">
        <v>1944</v>
      </c>
      <c r="AI395">
        <v>0</v>
      </c>
    </row>
    <row r="396" spans="9:35" x14ac:dyDescent="0.45">
      <c r="I396" t="s">
        <v>249</v>
      </c>
      <c r="J396" t="s">
        <v>1945</v>
      </c>
      <c r="K396">
        <v>9.1337058678560095E-5</v>
      </c>
      <c r="L396" t="s">
        <v>251</v>
      </c>
      <c r="N396" t="s">
        <v>419</v>
      </c>
      <c r="O396" t="s">
        <v>1945</v>
      </c>
      <c r="P396">
        <v>1.3247918325539999E-4</v>
      </c>
      <c r="Q396" t="s">
        <v>251</v>
      </c>
      <c r="S396" t="s">
        <v>420</v>
      </c>
      <c r="T396" t="s">
        <v>1945</v>
      </c>
      <c r="U396">
        <v>1.5541915171739999E-4</v>
      </c>
      <c r="V396" t="s">
        <v>251</v>
      </c>
      <c r="X396">
        <v>1.1415525114155251E-4</v>
      </c>
      <c r="Y396">
        <v>1.4452759200788939E-4</v>
      </c>
      <c r="Z396" t="s">
        <v>1945</v>
      </c>
      <c r="AA396" t="s">
        <v>25</v>
      </c>
      <c r="AC396" t="s">
        <v>22</v>
      </c>
      <c r="AD396" t="s">
        <v>1945</v>
      </c>
      <c r="AE396">
        <v>1.4386338981523799E-4</v>
      </c>
      <c r="AG396" t="s">
        <v>97</v>
      </c>
      <c r="AH396" t="s">
        <v>1945</v>
      </c>
      <c r="AI396">
        <v>0</v>
      </c>
    </row>
    <row r="397" spans="9:35" x14ac:dyDescent="0.45">
      <c r="I397" t="s">
        <v>249</v>
      </c>
      <c r="J397" t="s">
        <v>1946</v>
      </c>
      <c r="K397">
        <v>1.172473371246E-4</v>
      </c>
      <c r="L397" t="s">
        <v>251</v>
      </c>
      <c r="N397" t="s">
        <v>419</v>
      </c>
      <c r="O397" t="s">
        <v>1946</v>
      </c>
      <c r="P397">
        <v>1.2802060636720001E-4</v>
      </c>
      <c r="Q397" t="s">
        <v>251</v>
      </c>
      <c r="S397" t="s">
        <v>420</v>
      </c>
      <c r="T397" t="s">
        <v>1946</v>
      </c>
      <c r="U397">
        <v>1.604746370069E-4</v>
      </c>
      <c r="V397" t="s">
        <v>251</v>
      </c>
      <c r="X397">
        <v>1.1415525114155251E-4</v>
      </c>
      <c r="Y397">
        <v>1.408812536774151E-4</v>
      </c>
      <c r="Z397" t="s">
        <v>1946</v>
      </c>
      <c r="AA397" t="s">
        <v>25</v>
      </c>
      <c r="AC397" t="s">
        <v>22</v>
      </c>
      <c r="AD397" t="s">
        <v>1946</v>
      </c>
      <c r="AE397">
        <v>1.4387564531468953E-4</v>
      </c>
      <c r="AG397" t="s">
        <v>97</v>
      </c>
      <c r="AH397" t="s">
        <v>1946</v>
      </c>
      <c r="AI397">
        <v>0</v>
      </c>
    </row>
    <row r="398" spans="9:35" x14ac:dyDescent="0.45">
      <c r="I398" t="s">
        <v>249</v>
      </c>
      <c r="J398" t="s">
        <v>1947</v>
      </c>
      <c r="K398">
        <v>1.591540995549E-4</v>
      </c>
      <c r="L398" t="s">
        <v>251</v>
      </c>
      <c r="N398" t="s">
        <v>419</v>
      </c>
      <c r="O398" t="s">
        <v>1947</v>
      </c>
      <c r="P398">
        <v>1.2249370299149999E-4</v>
      </c>
      <c r="Q398" t="s">
        <v>251</v>
      </c>
      <c r="S398" t="s">
        <v>420</v>
      </c>
      <c r="T398" t="s">
        <v>1947</v>
      </c>
      <c r="U398">
        <v>1.6586853691730001E-4</v>
      </c>
      <c r="V398" t="s">
        <v>251</v>
      </c>
      <c r="X398">
        <v>1.1415525114155251E-4</v>
      </c>
      <c r="Y398">
        <v>1.4054976837464471E-4</v>
      </c>
      <c r="Z398" t="s">
        <v>1947</v>
      </c>
      <c r="AA398" t="s">
        <v>25</v>
      </c>
      <c r="AC398" t="s">
        <v>22</v>
      </c>
      <c r="AD398" t="s">
        <v>1947</v>
      </c>
      <c r="AE398">
        <v>1.4416086421101745E-4</v>
      </c>
      <c r="AG398" t="s">
        <v>97</v>
      </c>
      <c r="AH398" t="s">
        <v>1947</v>
      </c>
      <c r="AI398">
        <v>0</v>
      </c>
    </row>
    <row r="399" spans="9:35" x14ac:dyDescent="0.45">
      <c r="I399" t="s">
        <v>249</v>
      </c>
      <c r="J399" t="s">
        <v>1948</v>
      </c>
      <c r="K399">
        <v>1.884276671698E-4</v>
      </c>
      <c r="L399" t="s">
        <v>251</v>
      </c>
      <c r="N399" t="s">
        <v>419</v>
      </c>
      <c r="O399" t="s">
        <v>1948</v>
      </c>
      <c r="P399">
        <v>1.214479262059E-4</v>
      </c>
      <c r="Q399" t="s">
        <v>251</v>
      </c>
      <c r="S399" t="s">
        <v>420</v>
      </c>
      <c r="T399" t="s">
        <v>1948</v>
      </c>
      <c r="U399">
        <v>1.705950684063E-4</v>
      </c>
      <c r="V399" t="s">
        <v>251</v>
      </c>
      <c r="X399">
        <v>1.1415525114155251E-4</v>
      </c>
      <c r="Y399">
        <v>1.4253868019126702E-4</v>
      </c>
      <c r="Z399" t="s">
        <v>1948</v>
      </c>
      <c r="AA399" t="s">
        <v>25</v>
      </c>
      <c r="AC399" t="s">
        <v>22</v>
      </c>
      <c r="AD399" t="s">
        <v>1948</v>
      </c>
      <c r="AE399">
        <v>1.7197527728455604E-4</v>
      </c>
      <c r="AG399" t="s">
        <v>97</v>
      </c>
      <c r="AH399" t="s">
        <v>1948</v>
      </c>
      <c r="AI399">
        <v>0</v>
      </c>
    </row>
    <row r="400" spans="9:35" x14ac:dyDescent="0.45">
      <c r="I400" t="s">
        <v>249</v>
      </c>
      <c r="J400" t="s">
        <v>1949</v>
      </c>
      <c r="K400">
        <v>1.7529246306250001E-4</v>
      </c>
      <c r="L400" t="s">
        <v>251</v>
      </c>
      <c r="N400" t="s">
        <v>419</v>
      </c>
      <c r="O400" t="s">
        <v>1949</v>
      </c>
      <c r="P400">
        <v>1.170295112227E-4</v>
      </c>
      <c r="Q400" t="s">
        <v>251</v>
      </c>
      <c r="S400" t="s">
        <v>420</v>
      </c>
      <c r="T400" t="s">
        <v>1949</v>
      </c>
      <c r="U400">
        <v>1.647392022292E-4</v>
      </c>
      <c r="V400" t="s">
        <v>251</v>
      </c>
      <c r="X400">
        <v>1.1415525114155251E-4</v>
      </c>
      <c r="Y400">
        <v>1.4883690094390442E-4</v>
      </c>
      <c r="Z400" t="s">
        <v>1949</v>
      </c>
      <c r="AA400" t="s">
        <v>25</v>
      </c>
      <c r="AC400" t="s">
        <v>22</v>
      </c>
      <c r="AD400" t="s">
        <v>1949</v>
      </c>
      <c r="AE400">
        <v>1.7373338438770219E-4</v>
      </c>
      <c r="AG400" t="s">
        <v>97</v>
      </c>
      <c r="AH400" t="s">
        <v>1949</v>
      </c>
      <c r="AI400">
        <v>0</v>
      </c>
    </row>
    <row r="401" spans="9:35" x14ac:dyDescent="0.45">
      <c r="I401" t="s">
        <v>249</v>
      </c>
      <c r="J401" t="s">
        <v>1950</v>
      </c>
      <c r="K401">
        <v>1.8585651164819999E-4</v>
      </c>
      <c r="L401" t="s">
        <v>251</v>
      </c>
      <c r="N401" t="s">
        <v>419</v>
      </c>
      <c r="O401" t="s">
        <v>1950</v>
      </c>
      <c r="P401">
        <v>1.2490181674820001E-4</v>
      </c>
      <c r="Q401" t="s">
        <v>251</v>
      </c>
      <c r="S401" t="s">
        <v>420</v>
      </c>
      <c r="T401" t="s">
        <v>1950</v>
      </c>
      <c r="U401">
        <v>1.6790724781839999E-4</v>
      </c>
      <c r="V401" t="s">
        <v>251</v>
      </c>
      <c r="X401">
        <v>1.1415525114155251E-4</v>
      </c>
      <c r="Y401">
        <v>1.5049432745775637E-4</v>
      </c>
      <c r="Z401" t="s">
        <v>1950</v>
      </c>
      <c r="AA401" t="s">
        <v>25</v>
      </c>
      <c r="AC401" t="s">
        <v>22</v>
      </c>
      <c r="AD401" t="s">
        <v>1950</v>
      </c>
      <c r="AE401">
        <v>1.6688367433057759E-4</v>
      </c>
      <c r="AG401" t="s">
        <v>97</v>
      </c>
      <c r="AH401" t="s">
        <v>1950</v>
      </c>
      <c r="AI401">
        <v>0</v>
      </c>
    </row>
    <row r="402" spans="9:35" x14ac:dyDescent="0.45">
      <c r="I402" t="s">
        <v>249</v>
      </c>
      <c r="J402" t="s">
        <v>1951</v>
      </c>
      <c r="K402">
        <v>1.520995413796E-4</v>
      </c>
      <c r="L402" t="s">
        <v>251</v>
      </c>
      <c r="N402" t="s">
        <v>419</v>
      </c>
      <c r="O402" t="s">
        <v>1951</v>
      </c>
      <c r="P402">
        <v>9.866894097634884E-5</v>
      </c>
      <c r="Q402" t="s">
        <v>251</v>
      </c>
      <c r="S402" t="s">
        <v>420</v>
      </c>
      <c r="T402" t="s">
        <v>1951</v>
      </c>
      <c r="U402">
        <v>1.6725772135039999E-4</v>
      </c>
      <c r="V402" t="s">
        <v>251</v>
      </c>
      <c r="X402">
        <v>1.1415525114155251E-4</v>
      </c>
      <c r="Y402">
        <v>1.7237235744060203E-4</v>
      </c>
      <c r="Z402" t="s">
        <v>1951</v>
      </c>
      <c r="AA402" t="s">
        <v>25</v>
      </c>
      <c r="AC402" t="s">
        <v>22</v>
      </c>
      <c r="AD402" t="s">
        <v>1951</v>
      </c>
      <c r="AE402">
        <v>1.4592454199573252E-4</v>
      </c>
      <c r="AG402" t="s">
        <v>97</v>
      </c>
      <c r="AH402" t="s">
        <v>1951</v>
      </c>
      <c r="AI402">
        <v>0</v>
      </c>
    </row>
    <row r="403" spans="9:35" x14ac:dyDescent="0.45">
      <c r="I403" t="s">
        <v>249</v>
      </c>
      <c r="J403" t="s">
        <v>1952</v>
      </c>
      <c r="K403">
        <v>1.136335430105E-4</v>
      </c>
      <c r="L403" t="s">
        <v>251</v>
      </c>
      <c r="N403" t="s">
        <v>419</v>
      </c>
      <c r="O403" t="s">
        <v>1952</v>
      </c>
      <c r="P403">
        <v>1.126746932942E-4</v>
      </c>
      <c r="Q403" t="s">
        <v>251</v>
      </c>
      <c r="S403" t="s">
        <v>420</v>
      </c>
      <c r="T403" t="s">
        <v>1952</v>
      </c>
      <c r="U403">
        <v>1.7191431129749999E-4</v>
      </c>
      <c r="V403" t="s">
        <v>251</v>
      </c>
      <c r="X403">
        <v>1.1415525114155251E-4</v>
      </c>
      <c r="Y403">
        <v>2.2209515285616027E-4</v>
      </c>
      <c r="Z403" t="s">
        <v>1952</v>
      </c>
      <c r="AA403" t="s">
        <v>25</v>
      </c>
      <c r="AC403" t="s">
        <v>22</v>
      </c>
      <c r="AD403" t="s">
        <v>1952</v>
      </c>
      <c r="AE403">
        <v>1.2107150324422339E-4</v>
      </c>
      <c r="AG403" t="s">
        <v>97</v>
      </c>
      <c r="AH403" t="s">
        <v>1952</v>
      </c>
      <c r="AI403">
        <v>0</v>
      </c>
    </row>
    <row r="404" spans="9:35" x14ac:dyDescent="0.45">
      <c r="I404" t="s">
        <v>249</v>
      </c>
      <c r="J404" t="s">
        <v>1953</v>
      </c>
      <c r="K404">
        <v>6.8360790772152542E-5</v>
      </c>
      <c r="L404" t="s">
        <v>251</v>
      </c>
      <c r="N404" t="s">
        <v>419</v>
      </c>
      <c r="O404" t="s">
        <v>1953</v>
      </c>
      <c r="P404">
        <v>1.087887152725E-4</v>
      </c>
      <c r="Q404" t="s">
        <v>251</v>
      </c>
      <c r="S404" t="s">
        <v>420</v>
      </c>
      <c r="T404" t="s">
        <v>1953</v>
      </c>
      <c r="U404">
        <v>1.793667447263E-4</v>
      </c>
      <c r="V404" t="s">
        <v>251</v>
      </c>
      <c r="X404">
        <v>1.1415525114155251E-4</v>
      </c>
      <c r="Y404">
        <v>2.2209515285616027E-4</v>
      </c>
      <c r="Z404" t="s">
        <v>1953</v>
      </c>
      <c r="AA404" t="s">
        <v>25</v>
      </c>
      <c r="AC404" t="s">
        <v>22</v>
      </c>
      <c r="AD404" t="s">
        <v>1953</v>
      </c>
      <c r="AE404">
        <v>8.9962589090834873E-5</v>
      </c>
      <c r="AG404" t="s">
        <v>97</v>
      </c>
      <c r="AH404" t="s">
        <v>1953</v>
      </c>
      <c r="AI404">
        <v>0</v>
      </c>
    </row>
    <row r="405" spans="9:35" x14ac:dyDescent="0.45">
      <c r="I405" t="s">
        <v>249</v>
      </c>
      <c r="J405" t="s">
        <v>1954</v>
      </c>
      <c r="K405">
        <v>2.6584719071291404E-5</v>
      </c>
      <c r="L405" t="s">
        <v>251</v>
      </c>
      <c r="N405" t="s">
        <v>419</v>
      </c>
      <c r="O405" t="s">
        <v>1954</v>
      </c>
      <c r="P405">
        <v>1.2208028738510001E-4</v>
      </c>
      <c r="Q405" t="s">
        <v>251</v>
      </c>
      <c r="S405" t="s">
        <v>420</v>
      </c>
      <c r="T405" t="s">
        <v>1954</v>
      </c>
      <c r="U405">
        <v>1.807915951222E-4</v>
      </c>
      <c r="V405" t="s">
        <v>251</v>
      </c>
      <c r="X405">
        <v>1.1415525114155251E-4</v>
      </c>
      <c r="Y405">
        <v>1.7237235744060203E-4</v>
      </c>
      <c r="Z405" t="s">
        <v>1954</v>
      </c>
      <c r="AA405" t="s">
        <v>25</v>
      </c>
      <c r="AC405" t="s">
        <v>22</v>
      </c>
      <c r="AD405" t="s">
        <v>1954</v>
      </c>
      <c r="AE405">
        <v>5.4902947568779515E-5</v>
      </c>
      <c r="AG405" t="s">
        <v>97</v>
      </c>
      <c r="AH405" t="s">
        <v>1954</v>
      </c>
      <c r="AI405">
        <v>0</v>
      </c>
    </row>
    <row r="406" spans="9:35" x14ac:dyDescent="0.45">
      <c r="I406" t="s">
        <v>249</v>
      </c>
      <c r="J406" t="s">
        <v>1955</v>
      </c>
      <c r="K406">
        <v>2.8774524670806219E-6</v>
      </c>
      <c r="L406" t="s">
        <v>251</v>
      </c>
      <c r="N406" t="s">
        <v>419</v>
      </c>
      <c r="O406" t="s">
        <v>1955</v>
      </c>
      <c r="P406">
        <v>1.2949964727649999E-4</v>
      </c>
      <c r="Q406" t="s">
        <v>251</v>
      </c>
      <c r="S406" t="s">
        <v>420</v>
      </c>
      <c r="T406" t="s">
        <v>1955</v>
      </c>
      <c r="U406">
        <v>1.7827188201359999E-4</v>
      </c>
      <c r="V406" t="s">
        <v>251</v>
      </c>
      <c r="X406">
        <v>1.1415525114155251E-4</v>
      </c>
      <c r="Y406">
        <v>1.5579809230208258E-4</v>
      </c>
      <c r="Z406" t="s">
        <v>1955</v>
      </c>
      <c r="AA406" t="s">
        <v>25</v>
      </c>
      <c r="AC406" t="s">
        <v>22</v>
      </c>
      <c r="AD406" t="s">
        <v>1955</v>
      </c>
      <c r="AE406">
        <v>4.7263314865184305E-5</v>
      </c>
      <c r="AG406" t="s">
        <v>97</v>
      </c>
      <c r="AH406" t="s">
        <v>1955</v>
      </c>
      <c r="AI406">
        <v>0</v>
      </c>
    </row>
    <row r="407" spans="9:35" x14ac:dyDescent="0.45">
      <c r="I407" t="s">
        <v>249</v>
      </c>
      <c r="J407" t="s">
        <v>1956</v>
      </c>
      <c r="K407">
        <v>0</v>
      </c>
      <c r="L407" t="s">
        <v>251</v>
      </c>
      <c r="N407" t="s">
        <v>419</v>
      </c>
      <c r="O407" t="s">
        <v>1956</v>
      </c>
      <c r="P407">
        <v>1.3893851906209999E-4</v>
      </c>
      <c r="Q407" t="s">
        <v>251</v>
      </c>
      <c r="S407" t="s">
        <v>420</v>
      </c>
      <c r="T407" t="s">
        <v>1956</v>
      </c>
      <c r="U407">
        <v>1.688570018209E-4</v>
      </c>
      <c r="V407" t="s">
        <v>251</v>
      </c>
      <c r="X407">
        <v>1.1415525114155251E-4</v>
      </c>
      <c r="Y407">
        <v>1.093901499142282E-4</v>
      </c>
      <c r="Z407" t="s">
        <v>1956</v>
      </c>
      <c r="AA407" t="s">
        <v>25</v>
      </c>
      <c r="AC407" t="s">
        <v>22</v>
      </c>
      <c r="AD407" t="s">
        <v>1956</v>
      </c>
      <c r="AE407">
        <v>4.7298967227225342E-5</v>
      </c>
      <c r="AG407" t="s">
        <v>97</v>
      </c>
      <c r="AH407" t="s">
        <v>1956</v>
      </c>
      <c r="AI407">
        <v>0</v>
      </c>
    </row>
    <row r="408" spans="9:35" x14ac:dyDescent="0.45">
      <c r="I408" t="s">
        <v>249</v>
      </c>
      <c r="J408" t="s">
        <v>1957</v>
      </c>
      <c r="K408">
        <v>0</v>
      </c>
      <c r="L408" t="s">
        <v>251</v>
      </c>
      <c r="N408" t="s">
        <v>419</v>
      </c>
      <c r="O408" t="s">
        <v>1957</v>
      </c>
      <c r="P408">
        <v>1.4628662882370001E-4</v>
      </c>
      <c r="Q408" t="s">
        <v>251</v>
      </c>
      <c r="S408" t="s">
        <v>420</v>
      </c>
      <c r="T408" t="s">
        <v>1957</v>
      </c>
      <c r="U408">
        <v>1.612767549545E-4</v>
      </c>
      <c r="V408" t="s">
        <v>251</v>
      </c>
      <c r="X408">
        <v>1.1415525114155251E-4</v>
      </c>
      <c r="Y408">
        <v>7.9556472664893237E-5</v>
      </c>
      <c r="Z408" t="s">
        <v>1957</v>
      </c>
      <c r="AA408" t="s">
        <v>25</v>
      </c>
      <c r="AC408" t="s">
        <v>22</v>
      </c>
      <c r="AD408" t="s">
        <v>1957</v>
      </c>
      <c r="AE408">
        <v>4.8152395643581416E-5</v>
      </c>
      <c r="AG408" t="s">
        <v>97</v>
      </c>
      <c r="AH408" t="s">
        <v>1957</v>
      </c>
      <c r="AI408">
        <v>0</v>
      </c>
    </row>
    <row r="409" spans="9:35" x14ac:dyDescent="0.45">
      <c r="I409" t="s">
        <v>249</v>
      </c>
      <c r="J409" t="s">
        <v>1958</v>
      </c>
      <c r="K409">
        <v>0</v>
      </c>
      <c r="L409" t="s">
        <v>251</v>
      </c>
      <c r="N409" t="s">
        <v>419</v>
      </c>
      <c r="O409" t="s">
        <v>1958</v>
      </c>
      <c r="P409">
        <v>1.5022555921660001E-4</v>
      </c>
      <c r="Q409" t="s">
        <v>251</v>
      </c>
      <c r="S409" t="s">
        <v>420</v>
      </c>
      <c r="T409" t="s">
        <v>1958</v>
      </c>
      <c r="U409">
        <v>1.638423430661E-4</v>
      </c>
      <c r="V409" t="s">
        <v>251</v>
      </c>
      <c r="X409">
        <v>1.1415525114155251E-4</v>
      </c>
      <c r="Y409">
        <v>5.6352501470966035E-5</v>
      </c>
      <c r="Z409" t="s">
        <v>1958</v>
      </c>
      <c r="AA409" t="s">
        <v>25</v>
      </c>
      <c r="AC409" t="s">
        <v>22</v>
      </c>
      <c r="AD409" t="s">
        <v>1958</v>
      </c>
      <c r="AE409">
        <v>6.0099279336253349E-5</v>
      </c>
      <c r="AG409" t="s">
        <v>97</v>
      </c>
      <c r="AH409" t="s">
        <v>1958</v>
      </c>
      <c r="AI409">
        <v>0</v>
      </c>
    </row>
    <row r="410" spans="9:35" x14ac:dyDescent="0.45">
      <c r="I410" t="s">
        <v>249</v>
      </c>
      <c r="J410" t="s">
        <v>1959</v>
      </c>
      <c r="K410">
        <v>0</v>
      </c>
      <c r="L410" t="s">
        <v>251</v>
      </c>
      <c r="N410" t="s">
        <v>419</v>
      </c>
      <c r="O410" t="s">
        <v>1959</v>
      </c>
      <c r="P410">
        <v>1.508597038331E-4</v>
      </c>
      <c r="Q410" t="s">
        <v>251</v>
      </c>
      <c r="S410" t="s">
        <v>420</v>
      </c>
      <c r="T410" t="s">
        <v>1959</v>
      </c>
      <c r="U410">
        <v>1.6798672363750001E-4</v>
      </c>
      <c r="V410" t="s">
        <v>251</v>
      </c>
      <c r="X410">
        <v>1.1415525114155251E-4</v>
      </c>
      <c r="Y410">
        <v>2.9833677249334962E-5</v>
      </c>
      <c r="Z410" t="s">
        <v>1959</v>
      </c>
      <c r="AA410" t="s">
        <v>25</v>
      </c>
      <c r="AC410" t="s">
        <v>22</v>
      </c>
      <c r="AD410" t="s">
        <v>1959</v>
      </c>
      <c r="AE410">
        <v>8.3236548164539978E-5</v>
      </c>
      <c r="AG410" t="s">
        <v>97</v>
      </c>
      <c r="AH410" t="s">
        <v>1959</v>
      </c>
      <c r="AI410">
        <v>0</v>
      </c>
    </row>
    <row r="411" spans="9:35" x14ac:dyDescent="0.45">
      <c r="I411" t="s">
        <v>249</v>
      </c>
      <c r="J411" t="s">
        <v>339</v>
      </c>
      <c r="K411">
        <v>4.8036425087640667E-4</v>
      </c>
      <c r="L411" t="s">
        <v>251</v>
      </c>
      <c r="N411" t="s">
        <v>419</v>
      </c>
      <c r="O411" t="s">
        <v>339</v>
      </c>
      <c r="P411">
        <v>2.2218056232612447E-2</v>
      </c>
      <c r="Q411" t="s">
        <v>251</v>
      </c>
      <c r="S411" t="s">
        <v>420</v>
      </c>
      <c r="T411" t="s">
        <v>339</v>
      </c>
      <c r="U411">
        <v>2.1333212003720476E-2</v>
      </c>
      <c r="V411" t="s">
        <v>251</v>
      </c>
      <c r="X411">
        <v>2.3972602739726026E-2</v>
      </c>
      <c r="Y411">
        <v>9.4672202471222967E-3</v>
      </c>
      <c r="Z411" t="s">
        <v>339</v>
      </c>
      <c r="AA411" t="s">
        <v>25</v>
      </c>
      <c r="AC411" t="s">
        <v>22</v>
      </c>
      <c r="AD411" t="s">
        <v>339</v>
      </c>
      <c r="AE411">
        <v>2.479801325847876E-2</v>
      </c>
      <c r="AG411" t="s">
        <v>97</v>
      </c>
      <c r="AH411" t="s">
        <v>339</v>
      </c>
      <c r="AI411">
        <v>0.11873084055346217</v>
      </c>
    </row>
    <row r="412" spans="9:35" x14ac:dyDescent="0.45">
      <c r="I412" t="s">
        <v>249</v>
      </c>
      <c r="J412" t="s">
        <v>340</v>
      </c>
      <c r="K412">
        <v>2.6737579325745247E-3</v>
      </c>
      <c r="L412" t="s">
        <v>251</v>
      </c>
      <c r="N412" t="s">
        <v>419</v>
      </c>
      <c r="O412" t="s">
        <v>340</v>
      </c>
      <c r="P412">
        <v>2.7657812640603397E-3</v>
      </c>
      <c r="Q412" t="s">
        <v>251</v>
      </c>
      <c r="S412" t="s">
        <v>420</v>
      </c>
      <c r="T412" t="s">
        <v>340</v>
      </c>
      <c r="U412">
        <v>2.8122559328442984E-3</v>
      </c>
      <c r="V412" t="s">
        <v>251</v>
      </c>
      <c r="X412">
        <v>3.4246575342465752E-3</v>
      </c>
      <c r="Y412">
        <v>5.7181214727892006E-3</v>
      </c>
      <c r="Z412" t="s">
        <v>340</v>
      </c>
      <c r="AA412" t="s">
        <v>25</v>
      </c>
      <c r="AC412" t="s">
        <v>22</v>
      </c>
      <c r="AD412" t="s">
        <v>340</v>
      </c>
      <c r="AE412">
        <v>4.0903914423662405E-3</v>
      </c>
      <c r="AG412" t="s">
        <v>97</v>
      </c>
      <c r="AH412" t="s">
        <v>340</v>
      </c>
      <c r="AI412">
        <v>5.9529546434148539E-2</v>
      </c>
    </row>
    <row r="413" spans="9:35" x14ac:dyDescent="0.45">
      <c r="I413" t="s">
        <v>249</v>
      </c>
      <c r="J413" t="s">
        <v>341</v>
      </c>
      <c r="K413">
        <v>5.0872602575584595E-3</v>
      </c>
      <c r="L413" t="s">
        <v>251</v>
      </c>
      <c r="N413" t="s">
        <v>419</v>
      </c>
      <c r="O413" t="s">
        <v>341</v>
      </c>
      <c r="P413">
        <v>2.9609691843650704E-3</v>
      </c>
      <c r="Q413" t="s">
        <v>251</v>
      </c>
      <c r="S413" t="s">
        <v>420</v>
      </c>
      <c r="T413" t="s">
        <v>341</v>
      </c>
      <c r="U413">
        <v>2.7468828959333635E-3</v>
      </c>
      <c r="V413" t="s">
        <v>251</v>
      </c>
      <c r="X413">
        <v>3.4246575342465752E-3</v>
      </c>
      <c r="Y413">
        <v>4.3756059965691279E-3</v>
      </c>
      <c r="Z413" t="s">
        <v>341</v>
      </c>
      <c r="AA413" t="s">
        <v>25</v>
      </c>
      <c r="AC413" t="s">
        <v>22</v>
      </c>
      <c r="AD413" t="s">
        <v>341</v>
      </c>
      <c r="AE413">
        <v>4.1577220422169573E-3</v>
      </c>
      <c r="AG413" t="s">
        <v>97</v>
      </c>
      <c r="AH413" t="s">
        <v>341</v>
      </c>
      <c r="AI413">
        <v>6.0284732903687965E-2</v>
      </c>
    </row>
    <row r="414" spans="9:35" x14ac:dyDescent="0.45">
      <c r="I414" t="s">
        <v>249</v>
      </c>
      <c r="J414" t="s">
        <v>342</v>
      </c>
      <c r="K414">
        <v>6.7634266830591001E-3</v>
      </c>
      <c r="L414" t="s">
        <v>251</v>
      </c>
      <c r="N414" t="s">
        <v>419</v>
      </c>
      <c r="O414" t="s">
        <v>342</v>
      </c>
      <c r="P414">
        <v>2.9475488100523055E-3</v>
      </c>
      <c r="Q414" t="s">
        <v>251</v>
      </c>
      <c r="S414" t="s">
        <v>420</v>
      </c>
      <c r="T414" t="s">
        <v>342</v>
      </c>
      <c r="U414">
        <v>2.7031950431327689E-3</v>
      </c>
      <c r="V414" t="s">
        <v>251</v>
      </c>
      <c r="X414">
        <v>3.4246575342465752E-3</v>
      </c>
      <c r="Y414">
        <v>4.3358277602366805E-3</v>
      </c>
      <c r="Z414" t="s">
        <v>342</v>
      </c>
      <c r="AA414" t="s">
        <v>25</v>
      </c>
      <c r="AC414" t="s">
        <v>22</v>
      </c>
      <c r="AD414" t="s">
        <v>342</v>
      </c>
      <c r="AE414">
        <v>4.1645427847299245E-3</v>
      </c>
      <c r="AG414" t="s">
        <v>97</v>
      </c>
      <c r="AH414" t="s">
        <v>342</v>
      </c>
      <c r="AI414">
        <v>5.7452323734495492E-2</v>
      </c>
    </row>
    <row r="415" spans="9:35" x14ac:dyDescent="0.45">
      <c r="I415" t="s">
        <v>249</v>
      </c>
      <c r="J415" t="s">
        <v>343</v>
      </c>
      <c r="K415">
        <v>5.2055495216302698E-2</v>
      </c>
      <c r="L415" t="s">
        <v>251</v>
      </c>
      <c r="N415" t="s">
        <v>419</v>
      </c>
      <c r="O415" t="s">
        <v>343</v>
      </c>
      <c r="P415">
        <v>2.1354717532064284E-2</v>
      </c>
      <c r="Q415" t="s">
        <v>251</v>
      </c>
      <c r="S415" t="s">
        <v>420</v>
      </c>
      <c r="T415" t="s">
        <v>343</v>
      </c>
      <c r="U415">
        <v>2.1485763777733306E-2</v>
      </c>
      <c r="V415" t="s">
        <v>251</v>
      </c>
      <c r="X415">
        <v>2.3972602739726026E-2</v>
      </c>
      <c r="Y415">
        <v>3.3533053228252493E-2</v>
      </c>
      <c r="Z415" t="s">
        <v>343</v>
      </c>
      <c r="AA415" t="s">
        <v>25</v>
      </c>
      <c r="AC415" t="s">
        <v>22</v>
      </c>
      <c r="AD415" t="s">
        <v>343</v>
      </c>
      <c r="AE415">
        <v>3.0052416038899462E-2</v>
      </c>
      <c r="AG415" t="s">
        <v>97</v>
      </c>
      <c r="AH415" t="s">
        <v>343</v>
      </c>
      <c r="AI415">
        <v>0.13831363842302236</v>
      </c>
    </row>
    <row r="416" spans="9:35" x14ac:dyDescent="0.45">
      <c r="I416" t="s">
        <v>249</v>
      </c>
      <c r="J416" t="s">
        <v>344</v>
      </c>
      <c r="K416">
        <v>3.8015886530664736E-3</v>
      </c>
      <c r="L416" t="s">
        <v>251</v>
      </c>
      <c r="N416" t="s">
        <v>419</v>
      </c>
      <c r="O416" t="s">
        <v>344</v>
      </c>
      <c r="P416">
        <v>3.2853587354604373E-3</v>
      </c>
      <c r="Q416" t="s">
        <v>251</v>
      </c>
      <c r="S416" t="s">
        <v>420</v>
      </c>
      <c r="T416" t="s">
        <v>344</v>
      </c>
      <c r="U416">
        <v>3.5179091356963214E-3</v>
      </c>
      <c r="V416" t="s">
        <v>251</v>
      </c>
      <c r="X416">
        <v>3.4246575342465752E-3</v>
      </c>
      <c r="Y416">
        <v>6.662854585684809E-3</v>
      </c>
      <c r="Z416" t="s">
        <v>344</v>
      </c>
      <c r="AA416" t="s">
        <v>25</v>
      </c>
      <c r="AC416" t="s">
        <v>22</v>
      </c>
      <c r="AD416" t="s">
        <v>344</v>
      </c>
      <c r="AE416">
        <v>2.0473205801080424E-3</v>
      </c>
      <c r="AG416" t="s">
        <v>97</v>
      </c>
      <c r="AH416" t="s">
        <v>344</v>
      </c>
      <c r="AI416">
        <v>6.0476550817863295E-2</v>
      </c>
    </row>
    <row r="417" spans="9:35" x14ac:dyDescent="0.45">
      <c r="I417" t="s">
        <v>249</v>
      </c>
      <c r="J417" t="s">
        <v>345</v>
      </c>
      <c r="K417">
        <v>1.460444015450549E-3</v>
      </c>
      <c r="L417" t="s">
        <v>251</v>
      </c>
      <c r="N417" t="s">
        <v>419</v>
      </c>
      <c r="O417" t="s">
        <v>345</v>
      </c>
      <c r="P417">
        <v>3.5280298980588662E-3</v>
      </c>
      <c r="Q417" t="s">
        <v>251</v>
      </c>
      <c r="S417" t="s">
        <v>420</v>
      </c>
      <c r="T417" t="s">
        <v>345</v>
      </c>
      <c r="U417">
        <v>3.4983633838829727E-3</v>
      </c>
      <c r="V417" t="s">
        <v>251</v>
      </c>
      <c r="X417">
        <v>3.4246575342465752E-3</v>
      </c>
      <c r="Y417">
        <v>5.1711707232180593E-3</v>
      </c>
      <c r="Z417" t="s">
        <v>345</v>
      </c>
      <c r="AA417" t="s">
        <v>25</v>
      </c>
      <c r="AC417" t="s">
        <v>22</v>
      </c>
      <c r="AD417" t="s">
        <v>345</v>
      </c>
      <c r="AE417">
        <v>1.7386513426476894E-3</v>
      </c>
      <c r="AG417" t="s">
        <v>97</v>
      </c>
      <c r="AH417" t="s">
        <v>345</v>
      </c>
      <c r="AI417">
        <v>4.5942355101804999E-2</v>
      </c>
    </row>
    <row r="418" spans="9:35" x14ac:dyDescent="0.45">
      <c r="I418" t="s">
        <v>249</v>
      </c>
      <c r="J418" t="s">
        <v>346</v>
      </c>
      <c r="K418">
        <v>0</v>
      </c>
      <c r="L418" t="s">
        <v>251</v>
      </c>
      <c r="N418" t="s">
        <v>419</v>
      </c>
      <c r="O418" t="s">
        <v>346</v>
      </c>
      <c r="P418">
        <v>1.8521877865411613E-2</v>
      </c>
      <c r="Q418" t="s">
        <v>251</v>
      </c>
      <c r="S418" t="s">
        <v>420</v>
      </c>
      <c r="T418" t="s">
        <v>346</v>
      </c>
      <c r="U418">
        <v>1.6294644862876205E-2</v>
      </c>
      <c r="V418" t="s">
        <v>251</v>
      </c>
      <c r="X418">
        <v>1.7123287671232876E-2</v>
      </c>
      <c r="Y418">
        <v>1.2927926808045149E-2</v>
      </c>
      <c r="Z418" t="s">
        <v>346</v>
      </c>
      <c r="AA418" t="s">
        <v>25</v>
      </c>
      <c r="AC418" t="s">
        <v>22</v>
      </c>
      <c r="AD418" t="s">
        <v>346</v>
      </c>
      <c r="AE418">
        <v>8.3144303120993128E-3</v>
      </c>
      <c r="AG418" t="s">
        <v>97</v>
      </c>
      <c r="AH418" t="s">
        <v>346</v>
      </c>
      <c r="AI418">
        <v>0.13771850336164992</v>
      </c>
    </row>
    <row r="419" spans="9:35" x14ac:dyDescent="0.45">
      <c r="I419" t="s">
        <v>249</v>
      </c>
      <c r="J419" t="s">
        <v>371</v>
      </c>
      <c r="K419">
        <v>6.3403489372097896E-4</v>
      </c>
      <c r="L419" t="s">
        <v>251</v>
      </c>
      <c r="N419" t="s">
        <v>419</v>
      </c>
      <c r="O419" t="s">
        <v>371</v>
      </c>
      <c r="P419">
        <v>1.2435653056473135E-2</v>
      </c>
      <c r="Q419" t="s">
        <v>251</v>
      </c>
      <c r="S419" t="s">
        <v>420</v>
      </c>
      <c r="T419" t="s">
        <v>371</v>
      </c>
      <c r="U419">
        <v>1.5488070688631525E-2</v>
      </c>
      <c r="V419" t="s">
        <v>251</v>
      </c>
      <c r="X419">
        <v>2.4771689497716895E-2</v>
      </c>
      <c r="Y419">
        <v>9.7827942553597048E-3</v>
      </c>
      <c r="Z419" t="s">
        <v>371</v>
      </c>
      <c r="AA419" t="s">
        <v>25</v>
      </c>
      <c r="AC419" t="s">
        <v>22</v>
      </c>
      <c r="AD419" t="s">
        <v>371</v>
      </c>
      <c r="AE419">
        <v>2.3934028632773042E-2</v>
      </c>
      <c r="AG419" t="s">
        <v>97</v>
      </c>
      <c r="AH419" t="s">
        <v>371</v>
      </c>
      <c r="AI419">
        <v>0.13679072694273109</v>
      </c>
    </row>
    <row r="420" spans="9:35" x14ac:dyDescent="0.45">
      <c r="I420" t="s">
        <v>249</v>
      </c>
      <c r="J420" t="s">
        <v>372</v>
      </c>
      <c r="K420">
        <v>3.8263330103221272E-3</v>
      </c>
      <c r="L420" t="s">
        <v>251</v>
      </c>
      <c r="N420" t="s">
        <v>419</v>
      </c>
      <c r="O420" t="s">
        <v>372</v>
      </c>
      <c r="P420">
        <v>1.3649581269337327E-3</v>
      </c>
      <c r="Q420" t="s">
        <v>251</v>
      </c>
      <c r="S420" t="s">
        <v>420</v>
      </c>
      <c r="T420" t="s">
        <v>372</v>
      </c>
      <c r="U420">
        <v>1.995264486450884E-3</v>
      </c>
      <c r="V420" t="s">
        <v>251</v>
      </c>
      <c r="X420">
        <v>3.5388127853881279E-3</v>
      </c>
      <c r="Y420">
        <v>5.9087255218821738E-3</v>
      </c>
      <c r="Z420" t="s">
        <v>372</v>
      </c>
      <c r="AA420" t="s">
        <v>25</v>
      </c>
      <c r="AC420" t="s">
        <v>22</v>
      </c>
      <c r="AD420" t="s">
        <v>372</v>
      </c>
      <c r="AE420">
        <v>3.9657988848695565E-3</v>
      </c>
      <c r="AG420" t="s">
        <v>97</v>
      </c>
      <c r="AH420" t="s">
        <v>372</v>
      </c>
      <c r="AI420">
        <v>5.6729088378576265E-2</v>
      </c>
    </row>
    <row r="421" spans="9:35" x14ac:dyDescent="0.45">
      <c r="I421" t="s">
        <v>249</v>
      </c>
      <c r="J421" t="s">
        <v>373</v>
      </c>
      <c r="K421">
        <v>6.7150870858792002E-3</v>
      </c>
      <c r="L421" t="s">
        <v>251</v>
      </c>
      <c r="N421" t="s">
        <v>419</v>
      </c>
      <c r="O421" t="s">
        <v>373</v>
      </c>
      <c r="P421">
        <v>1.3225329764351757E-3</v>
      </c>
      <c r="Q421" t="s">
        <v>251</v>
      </c>
      <c r="S421" t="s">
        <v>420</v>
      </c>
      <c r="T421" t="s">
        <v>373</v>
      </c>
      <c r="U421">
        <v>1.9162130597774412E-3</v>
      </c>
      <c r="V421" t="s">
        <v>251</v>
      </c>
      <c r="X421">
        <v>3.5388127853881279E-3</v>
      </c>
      <c r="Y421">
        <v>4.521459529788099E-3</v>
      </c>
      <c r="Z421" t="s">
        <v>373</v>
      </c>
      <c r="AA421" t="s">
        <v>25</v>
      </c>
      <c r="AC421" t="s">
        <v>22</v>
      </c>
      <c r="AD421" t="s">
        <v>373</v>
      </c>
      <c r="AE421">
        <v>4.0884697495620825E-3</v>
      </c>
      <c r="AG421" t="s">
        <v>97</v>
      </c>
      <c r="AH421" t="s">
        <v>373</v>
      </c>
      <c r="AI421">
        <v>5.4226425435626613E-2</v>
      </c>
    </row>
    <row r="422" spans="9:35" x14ac:dyDescent="0.45">
      <c r="I422" t="s">
        <v>249</v>
      </c>
      <c r="J422" t="s">
        <v>374</v>
      </c>
      <c r="K422">
        <v>8.6003159860488006E-3</v>
      </c>
      <c r="L422" t="s">
        <v>251</v>
      </c>
      <c r="N422" t="s">
        <v>419</v>
      </c>
      <c r="O422" t="s">
        <v>374</v>
      </c>
      <c r="P422">
        <v>1.2776880862943592E-3</v>
      </c>
      <c r="Q422" t="s">
        <v>251</v>
      </c>
      <c r="S422" t="s">
        <v>420</v>
      </c>
      <c r="T422" t="s">
        <v>374</v>
      </c>
      <c r="U422">
        <v>1.8593174914847584E-3</v>
      </c>
      <c r="V422" t="s">
        <v>251</v>
      </c>
      <c r="X422">
        <v>3.5388127853881279E-3</v>
      </c>
      <c r="Y422">
        <v>4.4803553522445696E-3</v>
      </c>
      <c r="Z422" t="s">
        <v>374</v>
      </c>
      <c r="AA422" t="s">
        <v>25</v>
      </c>
      <c r="AC422" t="s">
        <v>22</v>
      </c>
      <c r="AD422" t="s">
        <v>374</v>
      </c>
      <c r="AE422">
        <v>4.1133094186778258E-3</v>
      </c>
      <c r="AG422" t="s">
        <v>97</v>
      </c>
      <c r="AH422" t="s">
        <v>374</v>
      </c>
      <c r="AI422">
        <v>5.6011285725877658E-2</v>
      </c>
    </row>
    <row r="423" spans="9:35" x14ac:dyDescent="0.45">
      <c r="I423" t="s">
        <v>249</v>
      </c>
      <c r="J423" t="s">
        <v>375</v>
      </c>
      <c r="K423">
        <v>6.1191362657387602E-2</v>
      </c>
      <c r="L423" t="s">
        <v>251</v>
      </c>
      <c r="N423" t="s">
        <v>419</v>
      </c>
      <c r="O423" t="s">
        <v>375</v>
      </c>
      <c r="P423">
        <v>9.5770533182397716E-3</v>
      </c>
      <c r="Q423" t="s">
        <v>251</v>
      </c>
      <c r="S423" t="s">
        <v>420</v>
      </c>
      <c r="T423" t="s">
        <v>375</v>
      </c>
      <c r="U423">
        <v>1.3953211337061788E-2</v>
      </c>
      <c r="V423" t="s">
        <v>251</v>
      </c>
      <c r="X423">
        <v>2.4771689497716895E-2</v>
      </c>
      <c r="Y423">
        <v>3.4650821669194247E-2</v>
      </c>
      <c r="Z423" t="s">
        <v>375</v>
      </c>
      <c r="AA423" t="s">
        <v>25</v>
      </c>
      <c r="AC423" t="s">
        <v>22</v>
      </c>
      <c r="AD423" t="s">
        <v>375</v>
      </c>
      <c r="AE423">
        <v>3.0280118994388212E-2</v>
      </c>
      <c r="AG423" t="s">
        <v>97</v>
      </c>
      <c r="AH423" t="s">
        <v>375</v>
      </c>
      <c r="AI423">
        <v>0.17824252174205646</v>
      </c>
    </row>
    <row r="424" spans="9:35" x14ac:dyDescent="0.45">
      <c r="I424" t="s">
        <v>249</v>
      </c>
      <c r="J424" t="s">
        <v>376</v>
      </c>
      <c r="K424">
        <v>4.3842810569849856E-3</v>
      </c>
      <c r="L424" t="s">
        <v>251</v>
      </c>
      <c r="N424" t="s">
        <v>419</v>
      </c>
      <c r="O424" t="s">
        <v>376</v>
      </c>
      <c r="P424">
        <v>1.6358779065967408E-3</v>
      </c>
      <c r="Q424" t="s">
        <v>251</v>
      </c>
      <c r="S424" t="s">
        <v>420</v>
      </c>
      <c r="T424" t="s">
        <v>376</v>
      </c>
      <c r="U424">
        <v>2.2921375853948737E-3</v>
      </c>
      <c r="V424" t="s">
        <v>251</v>
      </c>
      <c r="X424">
        <v>3.5388127853881279E-3</v>
      </c>
      <c r="Y424">
        <v>6.8849497385409693E-3</v>
      </c>
      <c r="Z424" t="s">
        <v>376</v>
      </c>
      <c r="AA424" t="s">
        <v>25</v>
      </c>
      <c r="AC424" t="s">
        <v>22</v>
      </c>
      <c r="AD424" t="s">
        <v>376</v>
      </c>
      <c r="AE424">
        <v>1.7822153789899473E-3</v>
      </c>
      <c r="AG424" t="s">
        <v>97</v>
      </c>
      <c r="AH424" t="s">
        <v>376</v>
      </c>
      <c r="AI424">
        <v>7.3099190615680376E-2</v>
      </c>
    </row>
    <row r="425" spans="9:35" x14ac:dyDescent="0.45">
      <c r="I425" t="s">
        <v>249</v>
      </c>
      <c r="J425" t="s">
        <v>377</v>
      </c>
      <c r="K425">
        <v>1.0263553428467634E-3</v>
      </c>
      <c r="L425" t="s">
        <v>251</v>
      </c>
      <c r="N425" t="s">
        <v>419</v>
      </c>
      <c r="O425" t="s">
        <v>377</v>
      </c>
      <c r="P425">
        <v>1.8979731676521288E-3</v>
      </c>
      <c r="Q425" t="s">
        <v>251</v>
      </c>
      <c r="S425" t="s">
        <v>420</v>
      </c>
      <c r="T425" t="s">
        <v>377</v>
      </c>
      <c r="U425">
        <v>2.3093357354052341E-3</v>
      </c>
      <c r="V425" t="s">
        <v>251</v>
      </c>
      <c r="X425">
        <v>3.5388127853881279E-3</v>
      </c>
      <c r="Y425">
        <v>5.3435430806586613E-3</v>
      </c>
      <c r="Z425" t="s">
        <v>377</v>
      </c>
      <c r="AA425" t="s">
        <v>25</v>
      </c>
      <c r="AC425" t="s">
        <v>22</v>
      </c>
      <c r="AD425" t="s">
        <v>377</v>
      </c>
      <c r="AE425">
        <v>1.1503686209911866E-3</v>
      </c>
      <c r="AG425" t="s">
        <v>97</v>
      </c>
      <c r="AH425" t="s">
        <v>377</v>
      </c>
      <c r="AI425">
        <v>3.5983219578911374E-2</v>
      </c>
    </row>
    <row r="426" spans="9:35" x14ac:dyDescent="0.45">
      <c r="I426" t="s">
        <v>249</v>
      </c>
      <c r="J426" t="s">
        <v>378</v>
      </c>
      <c r="K426">
        <v>0</v>
      </c>
      <c r="L426" t="s">
        <v>251</v>
      </c>
      <c r="N426" t="s">
        <v>419</v>
      </c>
      <c r="O426" t="s">
        <v>378</v>
      </c>
      <c r="P426">
        <v>1.0784711380233942E-2</v>
      </c>
      <c r="Q426" t="s">
        <v>251</v>
      </c>
      <c r="S426" t="s">
        <v>420</v>
      </c>
      <c r="T426" t="s">
        <v>378</v>
      </c>
      <c r="U426">
        <v>1.1047602570597012E-2</v>
      </c>
      <c r="V426" t="s">
        <v>251</v>
      </c>
      <c r="X426">
        <v>1.7694063926940638E-2</v>
      </c>
      <c r="Y426">
        <v>1.3358857701646654E-2</v>
      </c>
      <c r="Z426" t="s">
        <v>378</v>
      </c>
      <c r="AA426" t="s">
        <v>25</v>
      </c>
      <c r="AC426" t="s">
        <v>22</v>
      </c>
      <c r="AD426" t="s">
        <v>378</v>
      </c>
      <c r="AE426">
        <v>6.4498617610390784E-3</v>
      </c>
      <c r="AG426" t="s">
        <v>97</v>
      </c>
      <c r="AH426" t="s">
        <v>378</v>
      </c>
      <c r="AI426">
        <v>0.17538812015677752</v>
      </c>
    </row>
    <row r="427" spans="9:35" x14ac:dyDescent="0.45">
      <c r="I427" t="s">
        <v>249</v>
      </c>
      <c r="J427" t="s">
        <v>379</v>
      </c>
      <c r="K427">
        <v>1.9482941716715063E-5</v>
      </c>
      <c r="L427" t="s">
        <v>251</v>
      </c>
      <c r="N427" t="s">
        <v>419</v>
      </c>
      <c r="O427" t="s">
        <v>379</v>
      </c>
      <c r="P427">
        <v>1.3153699780610236E-2</v>
      </c>
      <c r="Q427" t="s">
        <v>251</v>
      </c>
      <c r="S427" t="s">
        <v>420</v>
      </c>
      <c r="T427" t="s">
        <v>379</v>
      </c>
      <c r="U427">
        <v>1.3586976600322679E-2</v>
      </c>
      <c r="V427" t="s">
        <v>251</v>
      </c>
      <c r="X427">
        <v>2.3972602739726026E-2</v>
      </c>
      <c r="Y427">
        <v>9.4672202471222967E-3</v>
      </c>
      <c r="Z427" t="s">
        <v>379</v>
      </c>
      <c r="AA427" t="s">
        <v>25</v>
      </c>
      <c r="AC427" t="s">
        <v>22</v>
      </c>
      <c r="AD427" t="s">
        <v>379</v>
      </c>
      <c r="AE427">
        <v>1.9893003489543905E-2</v>
      </c>
      <c r="AG427" t="s">
        <v>97</v>
      </c>
      <c r="AH427" t="s">
        <v>379</v>
      </c>
      <c r="AI427">
        <v>0.12071448710066535</v>
      </c>
    </row>
    <row r="428" spans="9:35" x14ac:dyDescent="0.45">
      <c r="I428" t="s">
        <v>249</v>
      </c>
      <c r="J428" t="s">
        <v>380</v>
      </c>
      <c r="K428">
        <v>2.6033399125763301E-3</v>
      </c>
      <c r="L428" t="s">
        <v>251</v>
      </c>
      <c r="N428" t="s">
        <v>419</v>
      </c>
      <c r="O428" t="s">
        <v>380</v>
      </c>
      <c r="P428">
        <v>1.5945234636038359E-3</v>
      </c>
      <c r="Q428" t="s">
        <v>251</v>
      </c>
      <c r="S428" t="s">
        <v>420</v>
      </c>
      <c r="T428" t="s">
        <v>380</v>
      </c>
      <c r="U428">
        <v>2.1899527058046996E-3</v>
      </c>
      <c r="V428" t="s">
        <v>251</v>
      </c>
      <c r="X428">
        <v>3.4246575342465752E-3</v>
      </c>
      <c r="Y428">
        <v>5.7181214727892006E-3</v>
      </c>
      <c r="Z428" t="s">
        <v>380</v>
      </c>
      <c r="AA428" t="s">
        <v>25</v>
      </c>
      <c r="AC428" t="s">
        <v>22</v>
      </c>
      <c r="AD428" t="s">
        <v>380</v>
      </c>
      <c r="AE428">
        <v>3.4633448415919798E-3</v>
      </c>
      <c r="AG428" t="s">
        <v>97</v>
      </c>
      <c r="AH428" t="s">
        <v>380</v>
      </c>
      <c r="AI428">
        <v>2.4424973822853469E-2</v>
      </c>
    </row>
    <row r="429" spans="9:35" x14ac:dyDescent="0.45">
      <c r="I429" t="s">
        <v>249</v>
      </c>
      <c r="J429" t="s">
        <v>381</v>
      </c>
      <c r="K429">
        <v>6.8886166088816996E-3</v>
      </c>
      <c r="L429" t="s">
        <v>251</v>
      </c>
      <c r="N429" t="s">
        <v>419</v>
      </c>
      <c r="O429" t="s">
        <v>381</v>
      </c>
      <c r="P429">
        <v>1.2286945357890488E-3</v>
      </c>
      <c r="Q429" t="s">
        <v>251</v>
      </c>
      <c r="S429" t="s">
        <v>420</v>
      </c>
      <c r="T429" t="s">
        <v>381</v>
      </c>
      <c r="U429">
        <v>2.2081893103214167E-3</v>
      </c>
      <c r="V429" t="s">
        <v>251</v>
      </c>
      <c r="X429">
        <v>3.4246575342465752E-3</v>
      </c>
      <c r="Y429">
        <v>4.3756059965691279E-3</v>
      </c>
      <c r="Z429" t="s">
        <v>381</v>
      </c>
      <c r="AA429" t="s">
        <v>25</v>
      </c>
      <c r="AC429" t="s">
        <v>22</v>
      </c>
      <c r="AD429" t="s">
        <v>381</v>
      </c>
      <c r="AE429">
        <v>3.4988779910473927E-3</v>
      </c>
      <c r="AG429" t="s">
        <v>97</v>
      </c>
      <c r="AH429" t="s">
        <v>381</v>
      </c>
      <c r="AI429">
        <v>3.5086542729831249E-2</v>
      </c>
    </row>
    <row r="430" spans="9:35" x14ac:dyDescent="0.45">
      <c r="I430" t="s">
        <v>249</v>
      </c>
      <c r="J430" t="s">
        <v>382</v>
      </c>
      <c r="K430">
        <v>8.9099181820073009E-3</v>
      </c>
      <c r="L430" t="s">
        <v>251</v>
      </c>
      <c r="N430" t="s">
        <v>419</v>
      </c>
      <c r="O430" t="s">
        <v>382</v>
      </c>
      <c r="P430">
        <v>1.2278248675456694E-3</v>
      </c>
      <c r="Q430" t="s">
        <v>251</v>
      </c>
      <c r="S430" t="s">
        <v>420</v>
      </c>
      <c r="T430" t="s">
        <v>382</v>
      </c>
      <c r="U430">
        <v>2.1791779415469034E-3</v>
      </c>
      <c r="V430" t="s">
        <v>251</v>
      </c>
      <c r="X430">
        <v>3.4246575342465752E-3</v>
      </c>
      <c r="Y430">
        <v>4.3358277602366805E-3</v>
      </c>
      <c r="Z430" t="s">
        <v>382</v>
      </c>
      <c r="AA430" t="s">
        <v>25</v>
      </c>
      <c r="AC430" t="s">
        <v>22</v>
      </c>
      <c r="AD430" t="s">
        <v>382</v>
      </c>
      <c r="AE430">
        <v>3.5052252256270017E-3</v>
      </c>
      <c r="AG430" t="s">
        <v>97</v>
      </c>
      <c r="AH430" t="s">
        <v>382</v>
      </c>
      <c r="AI430">
        <v>4.0467275831858718E-2</v>
      </c>
    </row>
    <row r="431" spans="9:35" x14ac:dyDescent="0.45">
      <c r="I431" t="s">
        <v>249</v>
      </c>
      <c r="J431" t="s">
        <v>383</v>
      </c>
      <c r="K431">
        <v>6.2473075400478098E-2</v>
      </c>
      <c r="L431" t="s">
        <v>251</v>
      </c>
      <c r="N431" t="s">
        <v>419</v>
      </c>
      <c r="O431" t="s">
        <v>383</v>
      </c>
      <c r="P431">
        <v>7.0774065848758453E-3</v>
      </c>
      <c r="Q431" t="s">
        <v>251</v>
      </c>
      <c r="S431" t="s">
        <v>420</v>
      </c>
      <c r="T431" t="s">
        <v>383</v>
      </c>
      <c r="U431">
        <v>1.1090112327354915E-2</v>
      </c>
      <c r="V431" t="s">
        <v>251</v>
      </c>
      <c r="X431">
        <v>2.3972602739726026E-2</v>
      </c>
      <c r="Y431">
        <v>3.3533053228252493E-2</v>
      </c>
      <c r="Z431" t="s">
        <v>383</v>
      </c>
      <c r="AA431" t="s">
        <v>25</v>
      </c>
      <c r="AC431" t="s">
        <v>22</v>
      </c>
      <c r="AD431" t="s">
        <v>383</v>
      </c>
      <c r="AE431">
        <v>2.5131362707046166E-2</v>
      </c>
      <c r="AG431" t="s">
        <v>97</v>
      </c>
      <c r="AH431" t="s">
        <v>383</v>
      </c>
      <c r="AI431">
        <v>0.17804101251486038</v>
      </c>
    </row>
    <row r="432" spans="9:35" x14ac:dyDescent="0.45">
      <c r="I432" t="s">
        <v>249</v>
      </c>
      <c r="J432" t="s">
        <v>384</v>
      </c>
      <c r="K432">
        <v>3.770368738009022E-3</v>
      </c>
      <c r="L432" t="s">
        <v>251</v>
      </c>
      <c r="N432" t="s">
        <v>419</v>
      </c>
      <c r="O432" t="s">
        <v>384</v>
      </c>
      <c r="P432">
        <v>1.1287268352343767E-3</v>
      </c>
      <c r="Q432" t="s">
        <v>251</v>
      </c>
      <c r="S432" t="s">
        <v>420</v>
      </c>
      <c r="T432" t="s">
        <v>384</v>
      </c>
      <c r="U432">
        <v>1.3284374603490527E-3</v>
      </c>
      <c r="V432" t="s">
        <v>251</v>
      </c>
      <c r="X432">
        <v>3.4246575342465752E-3</v>
      </c>
      <c r="Y432">
        <v>6.662854585684809E-3</v>
      </c>
      <c r="Z432" t="s">
        <v>384</v>
      </c>
      <c r="AA432" t="s">
        <v>25</v>
      </c>
      <c r="AC432" t="s">
        <v>22</v>
      </c>
      <c r="AD432" t="s">
        <v>384</v>
      </c>
      <c r="AE432">
        <v>1.7141318886387327E-3</v>
      </c>
      <c r="AG432" t="s">
        <v>97</v>
      </c>
      <c r="AH432" t="s">
        <v>384</v>
      </c>
      <c r="AI432">
        <v>3.1627555184013056E-2</v>
      </c>
    </row>
    <row r="433" spans="9:35" x14ac:dyDescent="0.45">
      <c r="I433" t="s">
        <v>249</v>
      </c>
      <c r="J433" t="s">
        <v>385</v>
      </c>
      <c r="K433">
        <v>5.4434138824243538E-6</v>
      </c>
      <c r="L433" t="s">
        <v>251</v>
      </c>
      <c r="N433" t="s">
        <v>419</v>
      </c>
      <c r="O433" t="s">
        <v>385</v>
      </c>
      <c r="P433">
        <v>1.6062734813735286E-3</v>
      </c>
      <c r="Q433" t="s">
        <v>251</v>
      </c>
      <c r="S433" t="s">
        <v>420</v>
      </c>
      <c r="T433" t="s">
        <v>385</v>
      </c>
      <c r="U433">
        <v>1.3904729415381214E-3</v>
      </c>
      <c r="V433" t="s">
        <v>251</v>
      </c>
      <c r="X433">
        <v>3.4246575342465752E-3</v>
      </c>
      <c r="Y433">
        <v>5.1711707232180593E-3</v>
      </c>
      <c r="Z433" t="s">
        <v>385</v>
      </c>
      <c r="AA433" t="s">
        <v>25</v>
      </c>
      <c r="AC433" t="s">
        <v>22</v>
      </c>
      <c r="AD433" t="s">
        <v>385</v>
      </c>
      <c r="AE433">
        <v>9.7962972482451994E-4</v>
      </c>
      <c r="AG433" t="s">
        <v>97</v>
      </c>
      <c r="AH433" t="s">
        <v>385</v>
      </c>
      <c r="AI433">
        <v>2.5760892893481158E-2</v>
      </c>
    </row>
    <row r="434" spans="9:35" x14ac:dyDescent="0.45">
      <c r="I434" t="s">
        <v>249</v>
      </c>
      <c r="J434" t="s">
        <v>386</v>
      </c>
      <c r="K434">
        <v>0</v>
      </c>
      <c r="L434" t="s">
        <v>251</v>
      </c>
      <c r="N434" t="s">
        <v>419</v>
      </c>
      <c r="O434" t="s">
        <v>386</v>
      </c>
      <c r="P434">
        <v>1.14434305219419E-2</v>
      </c>
      <c r="Q434" t="s">
        <v>251</v>
      </c>
      <c r="S434" t="s">
        <v>420</v>
      </c>
      <c r="T434" t="s">
        <v>386</v>
      </c>
      <c r="U434">
        <v>8.037961113677607E-3</v>
      </c>
      <c r="V434" t="s">
        <v>251</v>
      </c>
      <c r="X434">
        <v>1.7123287671232876E-2</v>
      </c>
      <c r="Y434">
        <v>1.2927926808045149E-2</v>
      </c>
      <c r="Z434" t="s">
        <v>386</v>
      </c>
      <c r="AA434" t="s">
        <v>25</v>
      </c>
      <c r="AC434" t="s">
        <v>22</v>
      </c>
      <c r="AD434" t="s">
        <v>386</v>
      </c>
      <c r="AE434">
        <v>4.8136781512206767E-3</v>
      </c>
      <c r="AG434" t="s">
        <v>97</v>
      </c>
      <c r="AH434" t="s">
        <v>386</v>
      </c>
      <c r="AI434">
        <v>0.15741855227331314</v>
      </c>
    </row>
    <row r="435" spans="9:35" x14ac:dyDescent="0.45">
      <c r="I435" t="s">
        <v>249</v>
      </c>
      <c r="J435" t="s">
        <v>411</v>
      </c>
      <c r="K435">
        <v>0</v>
      </c>
      <c r="L435" t="s">
        <v>251</v>
      </c>
      <c r="N435" t="s">
        <v>419</v>
      </c>
      <c r="O435" t="s">
        <v>411</v>
      </c>
      <c r="P435">
        <v>1.7735101237087186E-2</v>
      </c>
      <c r="Q435" t="s">
        <v>251</v>
      </c>
      <c r="S435" t="s">
        <v>420</v>
      </c>
      <c r="T435" t="s">
        <v>411</v>
      </c>
      <c r="U435">
        <v>1.9042613608245312E-2</v>
      </c>
      <c r="V435" t="s">
        <v>251</v>
      </c>
      <c r="X435">
        <v>2.4771689497716895E-2</v>
      </c>
      <c r="Y435">
        <v>9.7827942553597048E-3</v>
      </c>
      <c r="Z435" t="s">
        <v>411</v>
      </c>
      <c r="AA435" t="s">
        <v>25</v>
      </c>
      <c r="AC435" t="s">
        <v>22</v>
      </c>
      <c r="AD435" t="s">
        <v>411</v>
      </c>
      <c r="AE435">
        <v>1.9478113082872076E-2</v>
      </c>
      <c r="AG435" t="s">
        <v>97</v>
      </c>
      <c r="AH435" t="s">
        <v>411</v>
      </c>
      <c r="AI435">
        <v>0.14355804807208594</v>
      </c>
    </row>
    <row r="436" spans="9:35" x14ac:dyDescent="0.45">
      <c r="I436" t="s">
        <v>249</v>
      </c>
      <c r="J436" t="s">
        <v>412</v>
      </c>
      <c r="K436">
        <v>1.6154898979569435E-3</v>
      </c>
      <c r="L436" t="s">
        <v>251</v>
      </c>
      <c r="N436" t="s">
        <v>419</v>
      </c>
      <c r="O436" t="s">
        <v>412</v>
      </c>
      <c r="P436">
        <v>2.1091163348133345E-3</v>
      </c>
      <c r="Q436" t="s">
        <v>251</v>
      </c>
      <c r="S436" t="s">
        <v>420</v>
      </c>
      <c r="T436" t="s">
        <v>412</v>
      </c>
      <c r="U436">
        <v>2.8319565126200888E-3</v>
      </c>
      <c r="V436" t="s">
        <v>251</v>
      </c>
      <c r="X436">
        <v>3.5388127853881279E-3</v>
      </c>
      <c r="Y436">
        <v>5.9087255218821738E-3</v>
      </c>
      <c r="Z436" t="s">
        <v>412</v>
      </c>
      <c r="AA436" t="s">
        <v>25</v>
      </c>
      <c r="AC436" t="s">
        <v>22</v>
      </c>
      <c r="AD436" t="s">
        <v>412</v>
      </c>
      <c r="AE436">
        <v>3.3359779761860673E-3</v>
      </c>
      <c r="AG436" t="s">
        <v>97</v>
      </c>
      <c r="AH436" t="s">
        <v>412</v>
      </c>
      <c r="AI436">
        <v>5.3950509689007609E-2</v>
      </c>
    </row>
    <row r="437" spans="9:35" x14ac:dyDescent="0.45">
      <c r="I437" t="s">
        <v>249</v>
      </c>
      <c r="J437" t="s">
        <v>413</v>
      </c>
      <c r="K437">
        <v>6.4351954201609003E-3</v>
      </c>
      <c r="L437" t="s">
        <v>251</v>
      </c>
      <c r="N437" t="s">
        <v>419</v>
      </c>
      <c r="O437" t="s">
        <v>413</v>
      </c>
      <c r="P437">
        <v>1.5760119165755596E-3</v>
      </c>
      <c r="Q437" t="s">
        <v>251</v>
      </c>
      <c r="S437" t="s">
        <v>420</v>
      </c>
      <c r="T437" t="s">
        <v>413</v>
      </c>
      <c r="U437">
        <v>2.813179783114835E-3</v>
      </c>
      <c r="V437" t="s">
        <v>251</v>
      </c>
      <c r="X437">
        <v>3.5388127853881279E-3</v>
      </c>
      <c r="Y437">
        <v>4.521459529788099E-3</v>
      </c>
      <c r="Z437" t="s">
        <v>413</v>
      </c>
      <c r="AA437" t="s">
        <v>25</v>
      </c>
      <c r="AC437" t="s">
        <v>22</v>
      </c>
      <c r="AD437" t="s">
        <v>413</v>
      </c>
      <c r="AE437">
        <v>3.4423111459733102E-3</v>
      </c>
      <c r="AG437" t="s">
        <v>97</v>
      </c>
      <c r="AH437" t="s">
        <v>413</v>
      </c>
      <c r="AI437">
        <v>4.4327068300555439E-2</v>
      </c>
    </row>
    <row r="438" spans="9:35" x14ac:dyDescent="0.45">
      <c r="I438" t="s">
        <v>249</v>
      </c>
      <c r="J438" t="s">
        <v>414</v>
      </c>
      <c r="K438">
        <v>8.9729054957335998E-3</v>
      </c>
      <c r="L438" t="s">
        <v>251</v>
      </c>
      <c r="N438" t="s">
        <v>419</v>
      </c>
      <c r="O438" t="s">
        <v>414</v>
      </c>
      <c r="P438">
        <v>1.5050852864421545E-3</v>
      </c>
      <c r="Q438" t="s">
        <v>251</v>
      </c>
      <c r="S438" t="s">
        <v>420</v>
      </c>
      <c r="T438" t="s">
        <v>414</v>
      </c>
      <c r="U438">
        <v>2.7724472396623155E-3</v>
      </c>
      <c r="V438" t="s">
        <v>251</v>
      </c>
      <c r="X438">
        <v>3.5388127853881279E-3</v>
      </c>
      <c r="Y438">
        <v>4.4803553522445696E-3</v>
      </c>
      <c r="Z438" t="s">
        <v>414</v>
      </c>
      <c r="AA438" t="s">
        <v>25</v>
      </c>
      <c r="AC438" t="s">
        <v>22</v>
      </c>
      <c r="AD438" t="s">
        <v>414</v>
      </c>
      <c r="AE438">
        <v>3.4828434250686571E-3</v>
      </c>
      <c r="AG438" t="s">
        <v>97</v>
      </c>
      <c r="AH438" t="s">
        <v>414</v>
      </c>
      <c r="AI438">
        <v>3.9833092462189912E-2</v>
      </c>
    </row>
    <row r="439" spans="9:35" x14ac:dyDescent="0.45">
      <c r="I439" t="s">
        <v>249</v>
      </c>
      <c r="J439" t="s">
        <v>415</v>
      </c>
      <c r="K439">
        <v>6.5275103843921906E-2</v>
      </c>
      <c r="L439" t="s">
        <v>251</v>
      </c>
      <c r="N439" t="s">
        <v>419</v>
      </c>
      <c r="O439" t="s">
        <v>415</v>
      </c>
      <c r="P439">
        <v>9.2336310891315606E-3</v>
      </c>
      <c r="Q439" t="s">
        <v>251</v>
      </c>
      <c r="S439" t="s">
        <v>420</v>
      </c>
      <c r="T439" t="s">
        <v>415</v>
      </c>
      <c r="U439">
        <v>1.5945517424689779E-2</v>
      </c>
      <c r="V439" t="s">
        <v>251</v>
      </c>
      <c r="X439">
        <v>2.4771689497716895E-2</v>
      </c>
      <c r="Y439">
        <v>3.4650821669194247E-2</v>
      </c>
      <c r="Z439" t="s">
        <v>415</v>
      </c>
      <c r="AA439" t="s">
        <v>25</v>
      </c>
      <c r="AC439" t="s">
        <v>22</v>
      </c>
      <c r="AD439" t="s">
        <v>415</v>
      </c>
      <c r="AE439">
        <v>2.521487226725368E-2</v>
      </c>
      <c r="AG439" t="s">
        <v>97</v>
      </c>
      <c r="AH439" t="s">
        <v>415</v>
      </c>
      <c r="AI439">
        <v>0.12757569100527655</v>
      </c>
    </row>
    <row r="440" spans="9:35" x14ac:dyDescent="0.45">
      <c r="I440" t="s">
        <v>249</v>
      </c>
      <c r="J440" t="s">
        <v>416</v>
      </c>
      <c r="K440">
        <v>4.4126755720041997E-3</v>
      </c>
      <c r="L440" t="s">
        <v>251</v>
      </c>
      <c r="N440" t="s">
        <v>419</v>
      </c>
      <c r="O440" t="s">
        <v>416</v>
      </c>
      <c r="P440">
        <v>1.415502718704622E-3</v>
      </c>
      <c r="Q440" t="s">
        <v>251</v>
      </c>
      <c r="S440" t="s">
        <v>420</v>
      </c>
      <c r="T440" t="s">
        <v>416</v>
      </c>
      <c r="U440">
        <v>2.1843778148423437E-3</v>
      </c>
      <c r="V440" t="s">
        <v>251</v>
      </c>
      <c r="X440">
        <v>3.5388127853881279E-3</v>
      </c>
      <c r="Y440">
        <v>6.8849497385409693E-3</v>
      </c>
      <c r="Z440" t="s">
        <v>416</v>
      </c>
      <c r="AA440" t="s">
        <v>25</v>
      </c>
      <c r="AC440" t="s">
        <v>22</v>
      </c>
      <c r="AD440" t="s">
        <v>416</v>
      </c>
      <c r="AE440">
        <v>1.784427289069619E-3</v>
      </c>
      <c r="AG440" t="s">
        <v>97</v>
      </c>
      <c r="AH440" t="s">
        <v>416</v>
      </c>
      <c r="AI440">
        <v>7.7669055708102785E-3</v>
      </c>
    </row>
    <row r="441" spans="9:35" x14ac:dyDescent="0.45">
      <c r="I441" t="s">
        <v>249</v>
      </c>
      <c r="J441" t="s">
        <v>417</v>
      </c>
      <c r="K441">
        <v>4.942434988509928E-5</v>
      </c>
      <c r="L441" t="s">
        <v>251</v>
      </c>
      <c r="N441" t="s">
        <v>419</v>
      </c>
      <c r="O441" t="s">
        <v>417</v>
      </c>
      <c r="P441">
        <v>1.9914673929772148E-3</v>
      </c>
      <c r="Q441" t="s">
        <v>251</v>
      </c>
      <c r="S441" t="s">
        <v>420</v>
      </c>
      <c r="T441" t="s">
        <v>417</v>
      </c>
      <c r="U441">
        <v>2.3204971359952224E-3</v>
      </c>
      <c r="V441" t="s">
        <v>251</v>
      </c>
      <c r="X441">
        <v>3.5388127853881279E-3</v>
      </c>
      <c r="Y441">
        <v>5.3435430806586613E-3</v>
      </c>
      <c r="Z441" t="s">
        <v>417</v>
      </c>
      <c r="AA441" t="s">
        <v>25</v>
      </c>
      <c r="AC441" t="s">
        <v>22</v>
      </c>
      <c r="AD441" t="s">
        <v>417</v>
      </c>
      <c r="AE441">
        <v>9.384691566973987E-4</v>
      </c>
      <c r="AG441" t="s">
        <v>97</v>
      </c>
      <c r="AH441" t="s">
        <v>417</v>
      </c>
      <c r="AI441">
        <v>1.8056274068608102E-2</v>
      </c>
    </row>
    <row r="442" spans="9:35" x14ac:dyDescent="0.45">
      <c r="I442" t="s">
        <v>249</v>
      </c>
      <c r="J442" t="s">
        <v>418</v>
      </c>
      <c r="K442">
        <v>0</v>
      </c>
      <c r="L442" t="s">
        <v>251</v>
      </c>
      <c r="N442" t="s">
        <v>419</v>
      </c>
      <c r="O442" t="s">
        <v>418</v>
      </c>
      <c r="P442">
        <v>1.5166151400172592E-2</v>
      </c>
      <c r="Q442" t="s">
        <v>251</v>
      </c>
      <c r="S442" t="s">
        <v>420</v>
      </c>
      <c r="T442" t="s">
        <v>418</v>
      </c>
      <c r="U442">
        <v>1.3111703027212691E-2</v>
      </c>
      <c r="V442" t="s">
        <v>251</v>
      </c>
      <c r="X442">
        <v>1.7694063926940638E-2</v>
      </c>
      <c r="Y442">
        <v>1.3358857701646654E-2</v>
      </c>
      <c r="Z442" t="s">
        <v>418</v>
      </c>
      <c r="AA442" t="s">
        <v>25</v>
      </c>
      <c r="AC442" t="s">
        <v>22</v>
      </c>
      <c r="AD442" t="s">
        <v>418</v>
      </c>
      <c r="AE442">
        <v>4.5197694108912835E-3</v>
      </c>
      <c r="AG442" t="s">
        <v>97</v>
      </c>
      <c r="AH442" t="s">
        <v>418</v>
      </c>
      <c r="AI442">
        <v>0.13031366973009884</v>
      </c>
    </row>
    <row r="443" spans="9:35" x14ac:dyDescent="0.45">
      <c r="AC443" t="s">
        <v>19</v>
      </c>
      <c r="AD443" t="s">
        <v>250</v>
      </c>
      <c r="AE443">
        <v>2.2402979410861966E-2</v>
      </c>
    </row>
    <row r="444" spans="9:35" x14ac:dyDescent="0.45">
      <c r="AC444" t="s">
        <v>19</v>
      </c>
      <c r="AD444" t="s">
        <v>252</v>
      </c>
      <c r="AE444">
        <v>3.2165759704011168E-3</v>
      </c>
    </row>
    <row r="445" spans="9:35" x14ac:dyDescent="0.45">
      <c r="AC445" t="s">
        <v>19</v>
      </c>
      <c r="AD445" t="s">
        <v>253</v>
      </c>
      <c r="AE445">
        <v>3.2200513423827309E-3</v>
      </c>
    </row>
    <row r="446" spans="9:35" x14ac:dyDescent="0.45">
      <c r="AC446" t="s">
        <v>19</v>
      </c>
      <c r="AD446" t="s">
        <v>254</v>
      </c>
      <c r="AE446">
        <v>3.2221035428719649E-3</v>
      </c>
    </row>
    <row r="447" spans="9:35" x14ac:dyDescent="0.45">
      <c r="AC447" t="s">
        <v>19</v>
      </c>
      <c r="AD447" t="s">
        <v>255</v>
      </c>
      <c r="AE447">
        <v>2.2646178262585352E-2</v>
      </c>
    </row>
    <row r="448" spans="9:35" x14ac:dyDescent="0.45">
      <c r="AC448" t="s">
        <v>19</v>
      </c>
      <c r="AD448" t="s">
        <v>256</v>
      </c>
      <c r="AE448">
        <v>3.1697965810892573E-3</v>
      </c>
    </row>
    <row r="449" spans="29:31" x14ac:dyDescent="0.45">
      <c r="AC449" t="s">
        <v>19</v>
      </c>
      <c r="AD449" t="s">
        <v>257</v>
      </c>
      <c r="AE449">
        <v>3.1204196035733967E-3</v>
      </c>
    </row>
    <row r="450" spans="29:31" x14ac:dyDescent="0.45">
      <c r="AC450" t="s">
        <v>19</v>
      </c>
      <c r="AD450" t="s">
        <v>258</v>
      </c>
      <c r="AE450">
        <v>1.5615700968314109E-2</v>
      </c>
    </row>
    <row r="451" spans="29:31" x14ac:dyDescent="0.45">
      <c r="AC451" t="s">
        <v>19</v>
      </c>
      <c r="AD451" t="s">
        <v>1624</v>
      </c>
      <c r="AE451">
        <v>1.1287126528400865E-4</v>
      </c>
    </row>
    <row r="452" spans="29:31" x14ac:dyDescent="0.45">
      <c r="AC452" t="s">
        <v>19</v>
      </c>
      <c r="AD452" t="s">
        <v>1625</v>
      </c>
      <c r="AE452">
        <v>1.1382777026829264E-4</v>
      </c>
    </row>
    <row r="453" spans="29:31" x14ac:dyDescent="0.45">
      <c r="AC453" t="s">
        <v>19</v>
      </c>
      <c r="AD453" t="s">
        <v>1626</v>
      </c>
      <c r="AE453">
        <v>1.1454805872852641E-4</v>
      </c>
    </row>
    <row r="454" spans="29:31" x14ac:dyDescent="0.45">
      <c r="AC454" t="s">
        <v>19</v>
      </c>
      <c r="AD454" t="s">
        <v>1627</v>
      </c>
      <c r="AE454">
        <v>1.1494621450904197E-4</v>
      </c>
    </row>
    <row r="455" spans="29:31" x14ac:dyDescent="0.45">
      <c r="AC455" t="s">
        <v>19</v>
      </c>
      <c r="AD455" t="s">
        <v>1628</v>
      </c>
      <c r="AE455">
        <v>1.1504874253224675E-4</v>
      </c>
    </row>
    <row r="456" spans="29:31" x14ac:dyDescent="0.45">
      <c r="AC456" t="s">
        <v>19</v>
      </c>
      <c r="AD456" t="s">
        <v>1629</v>
      </c>
      <c r="AE456">
        <v>1.1515592611068475E-4</v>
      </c>
    </row>
    <row r="457" spans="29:31" x14ac:dyDescent="0.45">
      <c r="AC457" t="s">
        <v>19</v>
      </c>
      <c r="AD457" t="s">
        <v>1630</v>
      </c>
      <c r="AE457">
        <v>1.1510693697266225E-4</v>
      </c>
    </row>
    <row r="458" spans="29:31" x14ac:dyDescent="0.45">
      <c r="AC458" t="s">
        <v>19</v>
      </c>
      <c r="AD458" t="s">
        <v>1631</v>
      </c>
      <c r="AE458">
        <v>1.1512704050662397E-4</v>
      </c>
    </row>
    <row r="459" spans="29:31" x14ac:dyDescent="0.45">
      <c r="AC459" t="s">
        <v>19</v>
      </c>
      <c r="AD459" t="s">
        <v>1632</v>
      </c>
      <c r="AE459">
        <v>1.1552239237319224E-4</v>
      </c>
    </row>
    <row r="460" spans="29:31" x14ac:dyDescent="0.45">
      <c r="AC460" t="s">
        <v>19</v>
      </c>
      <c r="AD460" t="s">
        <v>1633</v>
      </c>
      <c r="AE460">
        <v>1.1561232923565257E-4</v>
      </c>
    </row>
    <row r="461" spans="29:31" x14ac:dyDescent="0.45">
      <c r="AC461" t="s">
        <v>19</v>
      </c>
      <c r="AD461" t="s">
        <v>1634</v>
      </c>
      <c r="AE461">
        <v>1.1521554896009228E-4</v>
      </c>
    </row>
    <row r="462" spans="29:31" x14ac:dyDescent="0.45">
      <c r="AC462" t="s">
        <v>19</v>
      </c>
      <c r="AD462" t="s">
        <v>1635</v>
      </c>
      <c r="AE462">
        <v>1.1538558253417905E-4</v>
      </c>
    </row>
    <row r="463" spans="29:31" x14ac:dyDescent="0.45">
      <c r="AC463" t="s">
        <v>19</v>
      </c>
      <c r="AD463" t="s">
        <v>1636</v>
      </c>
      <c r="AE463">
        <v>1.1601598703598922E-4</v>
      </c>
    </row>
    <row r="464" spans="29:31" x14ac:dyDescent="0.45">
      <c r="AC464" t="s">
        <v>19</v>
      </c>
      <c r="AD464" t="s">
        <v>1637</v>
      </c>
      <c r="AE464">
        <v>1.1596906115539962E-4</v>
      </c>
    </row>
    <row r="465" spans="29:31" x14ac:dyDescent="0.45">
      <c r="AC465" t="s">
        <v>19</v>
      </c>
      <c r="AD465" t="s">
        <v>1638</v>
      </c>
      <c r="AE465">
        <v>1.1605915672997018E-4</v>
      </c>
    </row>
    <row r="466" spans="29:31" x14ac:dyDescent="0.45">
      <c r="AC466" t="s">
        <v>19</v>
      </c>
      <c r="AD466" t="s">
        <v>1639</v>
      </c>
      <c r="AE466">
        <v>1.1542981030889483E-4</v>
      </c>
    </row>
    <row r="467" spans="29:31" x14ac:dyDescent="0.45">
      <c r="AC467" t="s">
        <v>19</v>
      </c>
      <c r="AD467" t="s">
        <v>1640</v>
      </c>
      <c r="AE467">
        <v>1.1439955709739338E-4</v>
      </c>
    </row>
    <row r="468" spans="29:31" x14ac:dyDescent="0.45">
      <c r="AC468" t="s">
        <v>19</v>
      </c>
      <c r="AD468" t="s">
        <v>1641</v>
      </c>
      <c r="AE468">
        <v>1.1289311465118283E-4</v>
      </c>
    </row>
    <row r="469" spans="29:31" x14ac:dyDescent="0.45">
      <c r="AC469" t="s">
        <v>19</v>
      </c>
      <c r="AD469" t="s">
        <v>1642</v>
      </c>
      <c r="AE469">
        <v>1.1151633999902539E-4</v>
      </c>
    </row>
    <row r="470" spans="29:31" x14ac:dyDescent="0.45">
      <c r="AC470" t="s">
        <v>19</v>
      </c>
      <c r="AD470" t="s">
        <v>1643</v>
      </c>
      <c r="AE470">
        <v>1.1136207182788756E-4</v>
      </c>
    </row>
    <row r="471" spans="29:31" x14ac:dyDescent="0.45">
      <c r="AC471" t="s">
        <v>19</v>
      </c>
      <c r="AD471" t="s">
        <v>1644</v>
      </c>
      <c r="AE471">
        <v>1.1142105982885418E-4</v>
      </c>
    </row>
    <row r="472" spans="29:31" x14ac:dyDescent="0.45">
      <c r="AC472" t="s">
        <v>19</v>
      </c>
      <c r="AD472" t="s">
        <v>1645</v>
      </c>
      <c r="AE472">
        <v>1.1138915869469915E-4</v>
      </c>
    </row>
    <row r="473" spans="29:31" x14ac:dyDescent="0.45">
      <c r="AC473" t="s">
        <v>19</v>
      </c>
      <c r="AD473" t="s">
        <v>1646</v>
      </c>
      <c r="AE473">
        <v>1.1152565110949188E-4</v>
      </c>
    </row>
    <row r="474" spans="29:31" x14ac:dyDescent="0.45">
      <c r="AC474" t="s">
        <v>19</v>
      </c>
      <c r="AD474" t="s">
        <v>1647</v>
      </c>
      <c r="AE474">
        <v>1.124654384181656E-4</v>
      </c>
    </row>
    <row r="475" spans="29:31" x14ac:dyDescent="0.45">
      <c r="AC475" t="s">
        <v>19</v>
      </c>
      <c r="AD475" t="s">
        <v>1648</v>
      </c>
      <c r="AE475">
        <v>1.1285475922454535E-4</v>
      </c>
    </row>
    <row r="476" spans="29:31" x14ac:dyDescent="0.45">
      <c r="AC476" t="s">
        <v>19</v>
      </c>
      <c r="AD476" t="s">
        <v>1649</v>
      </c>
      <c r="AE476">
        <v>1.1382777026829264E-4</v>
      </c>
    </row>
    <row r="477" spans="29:31" x14ac:dyDescent="0.45">
      <c r="AC477" t="s">
        <v>19</v>
      </c>
      <c r="AD477" t="s">
        <v>1650</v>
      </c>
      <c r="AE477">
        <v>1.1461662236014323E-4</v>
      </c>
    </row>
    <row r="478" spans="29:31" x14ac:dyDescent="0.45">
      <c r="AC478" t="s">
        <v>19</v>
      </c>
      <c r="AD478" t="s">
        <v>1651</v>
      </c>
      <c r="AE478">
        <v>1.1488907814936128E-4</v>
      </c>
    </row>
    <row r="479" spans="29:31" x14ac:dyDescent="0.45">
      <c r="AC479" t="s">
        <v>19</v>
      </c>
      <c r="AD479" t="s">
        <v>1652</v>
      </c>
      <c r="AE479">
        <v>1.1506281500601995E-4</v>
      </c>
    </row>
    <row r="480" spans="29:31" x14ac:dyDescent="0.45">
      <c r="AC480" t="s">
        <v>19</v>
      </c>
      <c r="AD480" t="s">
        <v>1653</v>
      </c>
      <c r="AE480">
        <v>1.1512063911817827E-4</v>
      </c>
    </row>
    <row r="481" spans="29:31" x14ac:dyDescent="0.45">
      <c r="AC481" t="s">
        <v>19</v>
      </c>
      <c r="AD481" t="s">
        <v>1654</v>
      </c>
      <c r="AE481">
        <v>1.1508355338842257E-4</v>
      </c>
    </row>
    <row r="482" spans="29:31" x14ac:dyDescent="0.45">
      <c r="AC482" t="s">
        <v>19</v>
      </c>
      <c r="AD482" t="s">
        <v>1655</v>
      </c>
      <c r="AE482">
        <v>1.1512704050662397E-4</v>
      </c>
    </row>
    <row r="483" spans="29:31" x14ac:dyDescent="0.45">
      <c r="AC483" t="s">
        <v>19</v>
      </c>
      <c r="AD483" t="s">
        <v>1656</v>
      </c>
      <c r="AE483">
        <v>1.156066155996845E-4</v>
      </c>
    </row>
    <row r="484" spans="29:31" x14ac:dyDescent="0.45">
      <c r="AC484" t="s">
        <v>19</v>
      </c>
      <c r="AD484" t="s">
        <v>1657</v>
      </c>
      <c r="AE484">
        <v>1.1561232923565257E-4</v>
      </c>
    </row>
    <row r="485" spans="29:31" x14ac:dyDescent="0.45">
      <c r="AC485" t="s">
        <v>19</v>
      </c>
      <c r="AD485" t="s">
        <v>1658</v>
      </c>
      <c r="AE485">
        <v>1.1521840577807632E-4</v>
      </c>
    </row>
    <row r="486" spans="29:31" x14ac:dyDescent="0.45">
      <c r="AC486" t="s">
        <v>19</v>
      </c>
      <c r="AD486" t="s">
        <v>1659</v>
      </c>
      <c r="AE486">
        <v>1.1538558253417905E-4</v>
      </c>
    </row>
    <row r="487" spans="29:31" x14ac:dyDescent="0.45">
      <c r="AC487" t="s">
        <v>19</v>
      </c>
      <c r="AD487" t="s">
        <v>1660</v>
      </c>
      <c r="AE487">
        <v>1.1593017668839473E-4</v>
      </c>
    </row>
    <row r="488" spans="29:31" x14ac:dyDescent="0.45">
      <c r="AC488" t="s">
        <v>19</v>
      </c>
      <c r="AD488" t="s">
        <v>1661</v>
      </c>
      <c r="AE488">
        <v>1.1608682554118593E-4</v>
      </c>
    </row>
    <row r="489" spans="29:31" x14ac:dyDescent="0.45">
      <c r="AC489" t="s">
        <v>19</v>
      </c>
      <c r="AD489" t="s">
        <v>1662</v>
      </c>
      <c r="AE489">
        <v>1.160989405655997E-4</v>
      </c>
    </row>
    <row r="490" spans="29:31" x14ac:dyDescent="0.45">
      <c r="AC490" t="s">
        <v>19</v>
      </c>
      <c r="AD490" t="s">
        <v>1663</v>
      </c>
      <c r="AE490">
        <v>1.1541166422429255E-4</v>
      </c>
    </row>
    <row r="491" spans="29:31" x14ac:dyDescent="0.45">
      <c r="AC491" t="s">
        <v>19</v>
      </c>
      <c r="AD491" t="s">
        <v>1664</v>
      </c>
      <c r="AE491">
        <v>1.1428041720665182E-4</v>
      </c>
    </row>
    <row r="492" spans="29:31" x14ac:dyDescent="0.45">
      <c r="AC492" t="s">
        <v>19</v>
      </c>
      <c r="AD492" t="s">
        <v>1665</v>
      </c>
      <c r="AE492">
        <v>1.1287316982933135E-4</v>
      </c>
    </row>
    <row r="493" spans="29:31" x14ac:dyDescent="0.45">
      <c r="AC493" t="s">
        <v>19</v>
      </c>
      <c r="AD493" t="s">
        <v>1666</v>
      </c>
      <c r="AE493">
        <v>1.115163399990254E-4</v>
      </c>
    </row>
    <row r="494" spans="29:31" x14ac:dyDescent="0.45">
      <c r="AC494" t="s">
        <v>19</v>
      </c>
      <c r="AD494" t="s">
        <v>1667</v>
      </c>
      <c r="AE494">
        <v>1.1136207182788756E-4</v>
      </c>
    </row>
    <row r="495" spans="29:31" x14ac:dyDescent="0.45">
      <c r="AC495" t="s">
        <v>19</v>
      </c>
      <c r="AD495" t="s">
        <v>1668</v>
      </c>
      <c r="AE495">
        <v>1.1142105982885419E-4</v>
      </c>
    </row>
    <row r="496" spans="29:31" x14ac:dyDescent="0.45">
      <c r="AC496" t="s">
        <v>19</v>
      </c>
      <c r="AD496" t="s">
        <v>1669</v>
      </c>
      <c r="AE496">
        <v>1.1138915869469915E-4</v>
      </c>
    </row>
    <row r="497" spans="29:31" x14ac:dyDescent="0.45">
      <c r="AC497" t="s">
        <v>19</v>
      </c>
      <c r="AD497" t="s">
        <v>1670</v>
      </c>
      <c r="AE497">
        <v>1.1148666083441349E-4</v>
      </c>
    </row>
    <row r="498" spans="29:31" x14ac:dyDescent="0.45">
      <c r="AC498" t="s">
        <v>19</v>
      </c>
      <c r="AD498" t="s">
        <v>1671</v>
      </c>
      <c r="AE498">
        <v>1.1241459763885713E-4</v>
      </c>
    </row>
    <row r="499" spans="29:31" x14ac:dyDescent="0.45">
      <c r="AC499" t="s">
        <v>19</v>
      </c>
      <c r="AD499" t="s">
        <v>1672</v>
      </c>
      <c r="AE499">
        <v>1.1279608864779917E-4</v>
      </c>
    </row>
    <row r="500" spans="29:31" x14ac:dyDescent="0.45">
      <c r="AC500" t="s">
        <v>19</v>
      </c>
      <c r="AD500" t="s">
        <v>1673</v>
      </c>
      <c r="AE500">
        <v>1.1375259363208315E-4</v>
      </c>
    </row>
    <row r="501" spans="29:31" x14ac:dyDescent="0.45">
      <c r="AC501" t="s">
        <v>19</v>
      </c>
      <c r="AD501" t="s">
        <v>1674</v>
      </c>
      <c r="AE501">
        <v>1.1447838411213801E-4</v>
      </c>
    </row>
    <row r="502" spans="29:31" x14ac:dyDescent="0.45">
      <c r="AC502" t="s">
        <v>19</v>
      </c>
      <c r="AD502" t="s">
        <v>1675</v>
      </c>
      <c r="AE502">
        <v>1.1486569456512158E-4</v>
      </c>
    </row>
    <row r="503" spans="29:31" x14ac:dyDescent="0.45">
      <c r="AC503" t="s">
        <v>19</v>
      </c>
      <c r="AD503" t="s">
        <v>1676</v>
      </c>
      <c r="AE503">
        <v>1.1504874253224674E-4</v>
      </c>
    </row>
    <row r="504" spans="29:31" x14ac:dyDescent="0.45">
      <c r="AC504" t="s">
        <v>19</v>
      </c>
      <c r="AD504" t="s">
        <v>1677</v>
      </c>
      <c r="AE504">
        <v>1.1514084846021346E-4</v>
      </c>
    </row>
    <row r="505" spans="29:31" x14ac:dyDescent="0.45">
      <c r="AC505" t="s">
        <v>19</v>
      </c>
      <c r="AD505" t="s">
        <v>1678</v>
      </c>
      <c r="AE505">
        <v>1.1508355338842257E-4</v>
      </c>
    </row>
    <row r="506" spans="29:31" x14ac:dyDescent="0.45">
      <c r="AC506" t="s">
        <v>19</v>
      </c>
      <c r="AD506" t="s">
        <v>1679</v>
      </c>
      <c r="AE506">
        <v>1.1512704050662396E-4</v>
      </c>
    </row>
    <row r="507" spans="29:31" x14ac:dyDescent="0.45">
      <c r="AC507" t="s">
        <v>19</v>
      </c>
      <c r="AD507" t="s">
        <v>1680</v>
      </c>
      <c r="AE507">
        <v>1.1560661559968449E-4</v>
      </c>
    </row>
    <row r="508" spans="29:31" x14ac:dyDescent="0.45">
      <c r="AC508" t="s">
        <v>19</v>
      </c>
      <c r="AD508" t="s">
        <v>1681</v>
      </c>
      <c r="AE508">
        <v>1.1561232923565255E-4</v>
      </c>
    </row>
    <row r="509" spans="29:31" x14ac:dyDescent="0.45">
      <c r="AC509" t="s">
        <v>19</v>
      </c>
      <c r="AD509" t="s">
        <v>1682</v>
      </c>
      <c r="AE509">
        <v>1.1521840577807632E-4</v>
      </c>
    </row>
    <row r="510" spans="29:31" x14ac:dyDescent="0.45">
      <c r="AC510" t="s">
        <v>19</v>
      </c>
      <c r="AD510" t="s">
        <v>1683</v>
      </c>
      <c r="AE510">
        <v>1.1538558253417904E-4</v>
      </c>
    </row>
    <row r="511" spans="29:31" x14ac:dyDescent="0.45">
      <c r="AC511" t="s">
        <v>19</v>
      </c>
      <c r="AD511" t="s">
        <v>1684</v>
      </c>
      <c r="AE511">
        <v>1.1593017668839472E-4</v>
      </c>
    </row>
    <row r="512" spans="29:31" x14ac:dyDescent="0.45">
      <c r="AC512" t="s">
        <v>19</v>
      </c>
      <c r="AD512" t="s">
        <v>1685</v>
      </c>
      <c r="AE512">
        <v>1.1608709006136963E-4</v>
      </c>
    </row>
    <row r="513" spans="29:31" x14ac:dyDescent="0.45">
      <c r="AC513" t="s">
        <v>19</v>
      </c>
      <c r="AD513" t="s">
        <v>1686</v>
      </c>
      <c r="AE513">
        <v>1.1608550294026738E-4</v>
      </c>
    </row>
    <row r="514" spans="29:31" x14ac:dyDescent="0.45">
      <c r="AC514" t="s">
        <v>19</v>
      </c>
      <c r="AD514" t="s">
        <v>1687</v>
      </c>
      <c r="AE514">
        <v>1.1541166422429255E-4</v>
      </c>
    </row>
    <row r="515" spans="29:31" x14ac:dyDescent="0.45">
      <c r="AC515" t="s">
        <v>19</v>
      </c>
      <c r="AD515" t="s">
        <v>1688</v>
      </c>
      <c r="AE515">
        <v>1.142804172066518E-4</v>
      </c>
    </row>
    <row r="516" spans="29:31" x14ac:dyDescent="0.45">
      <c r="AC516" t="s">
        <v>19</v>
      </c>
      <c r="AD516" t="s">
        <v>1689</v>
      </c>
      <c r="AE516">
        <v>1.1276730885181186E-4</v>
      </c>
    </row>
    <row r="517" spans="29:31" x14ac:dyDescent="0.45">
      <c r="AC517" t="s">
        <v>19</v>
      </c>
      <c r="AD517" t="s">
        <v>1690</v>
      </c>
      <c r="AE517">
        <v>1.1147645035532239E-4</v>
      </c>
    </row>
    <row r="518" spans="29:31" x14ac:dyDescent="0.45">
      <c r="AC518" t="s">
        <v>19</v>
      </c>
      <c r="AD518" t="s">
        <v>1691</v>
      </c>
      <c r="AE518">
        <v>1.1117886514865219E-4</v>
      </c>
    </row>
    <row r="519" spans="29:31" x14ac:dyDescent="0.45">
      <c r="AC519" t="s">
        <v>19</v>
      </c>
      <c r="AD519" t="s">
        <v>1692</v>
      </c>
      <c r="AE519">
        <v>1.1118251552718734E-4</v>
      </c>
    </row>
    <row r="520" spans="29:31" x14ac:dyDescent="0.45">
      <c r="AC520" t="s">
        <v>19</v>
      </c>
      <c r="AD520" t="s">
        <v>1693</v>
      </c>
      <c r="AE520">
        <v>1.1117071792699401E-4</v>
      </c>
    </row>
    <row r="521" spans="29:31" x14ac:dyDescent="0.45">
      <c r="AC521" t="s">
        <v>19</v>
      </c>
      <c r="AD521" t="s">
        <v>1694</v>
      </c>
      <c r="AE521">
        <v>1.1128038799515887E-4</v>
      </c>
    </row>
    <row r="522" spans="29:31" x14ac:dyDescent="0.45">
      <c r="AC522" t="s">
        <v>19</v>
      </c>
      <c r="AD522" t="s">
        <v>1695</v>
      </c>
      <c r="AE522">
        <v>1.1229879070243026E-4</v>
      </c>
    </row>
    <row r="523" spans="29:31" x14ac:dyDescent="0.45">
      <c r="AC523" t="s">
        <v>19</v>
      </c>
      <c r="AD523" t="s">
        <v>259</v>
      </c>
      <c r="AE523">
        <v>1.9200266211378644E-2</v>
      </c>
    </row>
    <row r="524" spans="29:31" x14ac:dyDescent="0.45">
      <c r="AC524" t="s">
        <v>19</v>
      </c>
      <c r="AD524" t="s">
        <v>260</v>
      </c>
      <c r="AE524">
        <v>2.7659904983130135E-3</v>
      </c>
    </row>
    <row r="525" spans="29:31" x14ac:dyDescent="0.45">
      <c r="AC525" t="s">
        <v>19</v>
      </c>
      <c r="AD525" t="s">
        <v>261</v>
      </c>
      <c r="AE525">
        <v>2.7699924770763508E-3</v>
      </c>
    </row>
    <row r="526" spans="29:31" x14ac:dyDescent="0.45">
      <c r="AC526" t="s">
        <v>19</v>
      </c>
      <c r="AD526" t="s">
        <v>262</v>
      </c>
      <c r="AE526">
        <v>2.7720574274384402E-3</v>
      </c>
    </row>
    <row r="527" spans="29:31" x14ac:dyDescent="0.45">
      <c r="AC527" t="s">
        <v>19</v>
      </c>
      <c r="AD527" t="s">
        <v>263</v>
      </c>
      <c r="AE527">
        <v>1.9439933454129359E-2</v>
      </c>
    </row>
    <row r="528" spans="29:31" x14ac:dyDescent="0.45">
      <c r="AC528" t="s">
        <v>19</v>
      </c>
      <c r="AD528" t="s">
        <v>264</v>
      </c>
      <c r="AE528">
        <v>2.7019770899922853E-3</v>
      </c>
    </row>
    <row r="529" spans="29:31" x14ac:dyDescent="0.45">
      <c r="AC529" t="s">
        <v>19</v>
      </c>
      <c r="AD529" t="s">
        <v>265</v>
      </c>
      <c r="AE529">
        <v>2.6746373947891164E-3</v>
      </c>
    </row>
    <row r="530" spans="29:31" x14ac:dyDescent="0.45">
      <c r="AC530" t="s">
        <v>19</v>
      </c>
      <c r="AD530" t="s">
        <v>266</v>
      </c>
      <c r="AE530">
        <v>1.3363990083294424E-2</v>
      </c>
    </row>
    <row r="531" spans="29:31" x14ac:dyDescent="0.45">
      <c r="AC531" t="s">
        <v>19</v>
      </c>
      <c r="AD531" t="s">
        <v>1696</v>
      </c>
      <c r="AE531">
        <v>1.124756713075712E-4</v>
      </c>
    </row>
    <row r="532" spans="29:31" x14ac:dyDescent="0.45">
      <c r="AC532" t="s">
        <v>19</v>
      </c>
      <c r="AD532" t="s">
        <v>1697</v>
      </c>
      <c r="AE532">
        <v>1.1341746896964109E-4</v>
      </c>
    </row>
    <row r="533" spans="29:31" x14ac:dyDescent="0.45">
      <c r="AC533" t="s">
        <v>19</v>
      </c>
      <c r="AD533" t="s">
        <v>1698</v>
      </c>
      <c r="AE533">
        <v>1.1426562648667876E-4</v>
      </c>
    </row>
    <row r="534" spans="29:31" x14ac:dyDescent="0.45">
      <c r="AC534" t="s">
        <v>19</v>
      </c>
      <c r="AD534" t="s">
        <v>1699</v>
      </c>
      <c r="AE534">
        <v>1.1471816761696442E-4</v>
      </c>
    </row>
    <row r="535" spans="29:31" x14ac:dyDescent="0.45">
      <c r="AC535" t="s">
        <v>19</v>
      </c>
      <c r="AD535" t="s">
        <v>1700</v>
      </c>
      <c r="AE535">
        <v>1.1488645535783873E-4</v>
      </c>
    </row>
    <row r="536" spans="29:31" x14ac:dyDescent="0.45">
      <c r="AC536" t="s">
        <v>19</v>
      </c>
      <c r="AD536" t="s">
        <v>1701</v>
      </c>
      <c r="AE536">
        <v>1.150007280772001E-4</v>
      </c>
    </row>
    <row r="537" spans="29:31" x14ac:dyDescent="0.45">
      <c r="AC537" t="s">
        <v>19</v>
      </c>
      <c r="AD537" t="s">
        <v>1702</v>
      </c>
      <c r="AE537">
        <v>1.1507140787028657E-4</v>
      </c>
    </row>
    <row r="538" spans="29:31" x14ac:dyDescent="0.45">
      <c r="AC538" t="s">
        <v>19</v>
      </c>
      <c r="AD538" t="s">
        <v>1703</v>
      </c>
      <c r="AE538">
        <v>1.150755343851524E-4</v>
      </c>
    </row>
    <row r="539" spans="29:31" x14ac:dyDescent="0.45">
      <c r="AC539" t="s">
        <v>19</v>
      </c>
      <c r="AD539" t="s">
        <v>1704</v>
      </c>
      <c r="AE539">
        <v>1.1555463334188226E-4</v>
      </c>
    </row>
    <row r="540" spans="29:31" x14ac:dyDescent="0.45">
      <c r="AC540" t="s">
        <v>19</v>
      </c>
      <c r="AD540" t="s">
        <v>1705</v>
      </c>
      <c r="AE540">
        <v>1.1573450706680292E-4</v>
      </c>
    </row>
    <row r="541" spans="29:31" x14ac:dyDescent="0.45">
      <c r="AC541" t="s">
        <v>19</v>
      </c>
      <c r="AD541" t="s">
        <v>1706</v>
      </c>
      <c r="AE541">
        <v>1.1532894472114356E-4</v>
      </c>
    </row>
    <row r="542" spans="29:31" x14ac:dyDescent="0.45">
      <c r="AC542" t="s">
        <v>19</v>
      </c>
      <c r="AD542" t="s">
        <v>1707</v>
      </c>
      <c r="AE542">
        <v>1.1535063537620752E-4</v>
      </c>
    </row>
    <row r="543" spans="29:31" x14ac:dyDescent="0.45">
      <c r="AC543" t="s">
        <v>19</v>
      </c>
      <c r="AD543" t="s">
        <v>1708</v>
      </c>
      <c r="AE543">
        <v>1.1609986234453882E-4</v>
      </c>
    </row>
    <row r="544" spans="29:31" x14ac:dyDescent="0.45">
      <c r="AC544" t="s">
        <v>19</v>
      </c>
      <c r="AD544" t="s">
        <v>1709</v>
      </c>
      <c r="AE544">
        <v>1.1602378633970473E-4</v>
      </c>
    </row>
    <row r="545" spans="29:31" x14ac:dyDescent="0.45">
      <c r="AC545" t="s">
        <v>19</v>
      </c>
      <c r="AD545" t="s">
        <v>1710</v>
      </c>
      <c r="AE545">
        <v>1.1592691904843129E-4</v>
      </c>
    </row>
    <row r="546" spans="29:31" x14ac:dyDescent="0.45">
      <c r="AC546" t="s">
        <v>19</v>
      </c>
      <c r="AD546" t="s">
        <v>1711</v>
      </c>
      <c r="AE546">
        <v>1.1520292730562562E-4</v>
      </c>
    </row>
    <row r="547" spans="29:31" x14ac:dyDescent="0.45">
      <c r="AC547" t="s">
        <v>19</v>
      </c>
      <c r="AD547" t="s">
        <v>1712</v>
      </c>
      <c r="AE547">
        <v>1.1398190213763477E-4</v>
      </c>
    </row>
    <row r="548" spans="29:31" x14ac:dyDescent="0.45">
      <c r="AC548" t="s">
        <v>19</v>
      </c>
      <c r="AD548" t="s">
        <v>1713</v>
      </c>
      <c r="AE548">
        <v>1.1243139062881867E-4</v>
      </c>
    </row>
    <row r="549" spans="29:31" x14ac:dyDescent="0.45">
      <c r="AC549" t="s">
        <v>19</v>
      </c>
      <c r="AD549" t="s">
        <v>1714</v>
      </c>
      <c r="AE549">
        <v>1.1135146052681706E-4</v>
      </c>
    </row>
    <row r="550" spans="29:31" x14ac:dyDescent="0.45">
      <c r="AC550" t="s">
        <v>19</v>
      </c>
      <c r="AD550" t="s">
        <v>1715</v>
      </c>
      <c r="AE550">
        <v>1.1111683112386908E-4</v>
      </c>
    </row>
    <row r="551" spans="29:31" x14ac:dyDescent="0.45">
      <c r="AC551" t="s">
        <v>19</v>
      </c>
      <c r="AD551" t="s">
        <v>1716</v>
      </c>
      <c r="AE551">
        <v>1.1100837784854927E-4</v>
      </c>
    </row>
    <row r="552" spans="29:31" x14ac:dyDescent="0.45">
      <c r="AC552" t="s">
        <v>19</v>
      </c>
      <c r="AD552" t="s">
        <v>1717</v>
      </c>
      <c r="AE552">
        <v>1.1103567633150782E-4</v>
      </c>
    </row>
    <row r="553" spans="29:31" x14ac:dyDescent="0.45">
      <c r="AC553" t="s">
        <v>19</v>
      </c>
      <c r="AD553" t="s">
        <v>1718</v>
      </c>
      <c r="AE553">
        <v>1.1119602846687092E-4</v>
      </c>
    </row>
    <row r="554" spans="29:31" x14ac:dyDescent="0.45">
      <c r="AC554" t="s">
        <v>19</v>
      </c>
      <c r="AD554" t="s">
        <v>1719</v>
      </c>
      <c r="AE554">
        <v>1.121246530237922E-4</v>
      </c>
    </row>
    <row r="555" spans="29:31" x14ac:dyDescent="0.45">
      <c r="AC555" t="s">
        <v>19</v>
      </c>
      <c r="AD555" t="s">
        <v>1720</v>
      </c>
      <c r="AE555">
        <v>1.1223516955654492E-4</v>
      </c>
    </row>
    <row r="556" spans="29:31" x14ac:dyDescent="0.45">
      <c r="AC556" t="s">
        <v>19</v>
      </c>
      <c r="AD556" t="s">
        <v>1721</v>
      </c>
      <c r="AE556">
        <v>1.1327219448474928E-4</v>
      </c>
    </row>
    <row r="557" spans="29:31" x14ac:dyDescent="0.45">
      <c r="AC557" t="s">
        <v>19</v>
      </c>
      <c r="AD557" t="s">
        <v>1722</v>
      </c>
      <c r="AE557">
        <v>1.1376092197616606E-4</v>
      </c>
    </row>
    <row r="558" spans="29:31" x14ac:dyDescent="0.45">
      <c r="AC558" t="s">
        <v>19</v>
      </c>
      <c r="AD558" t="s">
        <v>1723</v>
      </c>
      <c r="AE558">
        <v>1.1466325322682689E-4</v>
      </c>
    </row>
    <row r="559" spans="29:31" x14ac:dyDescent="0.45">
      <c r="AC559" t="s">
        <v>19</v>
      </c>
      <c r="AD559" t="s">
        <v>1724</v>
      </c>
      <c r="AE559">
        <v>1.1466140158554095E-4</v>
      </c>
    </row>
    <row r="560" spans="29:31" x14ac:dyDescent="0.45">
      <c r="AC560" t="s">
        <v>19</v>
      </c>
      <c r="AD560" t="s">
        <v>1725</v>
      </c>
      <c r="AE560">
        <v>1.1457130601097039E-4</v>
      </c>
    </row>
    <row r="561" spans="29:31" x14ac:dyDescent="0.45">
      <c r="AC561" t="s">
        <v>19</v>
      </c>
      <c r="AD561" t="s">
        <v>1726</v>
      </c>
      <c r="AE561">
        <v>1.1455400639095595E-4</v>
      </c>
    </row>
    <row r="562" spans="29:31" x14ac:dyDescent="0.45">
      <c r="AC562" t="s">
        <v>19</v>
      </c>
      <c r="AD562" t="s">
        <v>1727</v>
      </c>
      <c r="AE562">
        <v>1.1463341535010476E-4</v>
      </c>
    </row>
    <row r="563" spans="29:31" x14ac:dyDescent="0.45">
      <c r="AC563" t="s">
        <v>19</v>
      </c>
      <c r="AD563" t="s">
        <v>1728</v>
      </c>
      <c r="AE563">
        <v>1.1480403086859568E-4</v>
      </c>
    </row>
    <row r="564" spans="29:31" x14ac:dyDescent="0.45">
      <c r="AC564" t="s">
        <v>19</v>
      </c>
      <c r="AD564" t="s">
        <v>1729</v>
      </c>
      <c r="AE564">
        <v>1.1492809083475418E-4</v>
      </c>
    </row>
    <row r="565" spans="29:31" x14ac:dyDescent="0.45">
      <c r="AC565" t="s">
        <v>19</v>
      </c>
      <c r="AD565" t="s">
        <v>1730</v>
      </c>
      <c r="AE565">
        <v>1.1487021381855912E-4</v>
      </c>
    </row>
    <row r="566" spans="29:31" x14ac:dyDescent="0.45">
      <c r="AC566" t="s">
        <v>19</v>
      </c>
      <c r="AD566" t="s">
        <v>1731</v>
      </c>
      <c r="AE566">
        <v>1.1516928033825811E-4</v>
      </c>
    </row>
    <row r="567" spans="29:31" x14ac:dyDescent="0.45">
      <c r="AC567" t="s">
        <v>19</v>
      </c>
      <c r="AD567" t="s">
        <v>1732</v>
      </c>
      <c r="AE567">
        <v>1.1649262191330676E-4</v>
      </c>
    </row>
    <row r="568" spans="29:31" x14ac:dyDescent="0.45">
      <c r="AC568" t="s">
        <v>19</v>
      </c>
      <c r="AD568" t="s">
        <v>1733</v>
      </c>
      <c r="AE568">
        <v>1.1663133629764264E-4</v>
      </c>
    </row>
    <row r="569" spans="29:31" x14ac:dyDescent="0.45">
      <c r="AC569" t="s">
        <v>19</v>
      </c>
      <c r="AD569" t="s">
        <v>1734</v>
      </c>
      <c r="AE569">
        <v>1.1645384325437533E-4</v>
      </c>
    </row>
    <row r="570" spans="29:31" x14ac:dyDescent="0.45">
      <c r="AC570" t="s">
        <v>19</v>
      </c>
      <c r="AD570" t="s">
        <v>1735</v>
      </c>
      <c r="AE570">
        <v>1.1571699583064153E-4</v>
      </c>
    </row>
    <row r="571" spans="29:31" x14ac:dyDescent="0.45">
      <c r="AC571" t="s">
        <v>19</v>
      </c>
      <c r="AD571" t="s">
        <v>1736</v>
      </c>
      <c r="AE571">
        <v>1.1436524478786274E-4</v>
      </c>
    </row>
    <row r="572" spans="29:31" x14ac:dyDescent="0.45">
      <c r="AC572" t="s">
        <v>19</v>
      </c>
      <c r="AD572" t="s">
        <v>1737</v>
      </c>
      <c r="AE572">
        <v>1.1292927051859171E-4</v>
      </c>
    </row>
    <row r="573" spans="29:31" x14ac:dyDescent="0.45">
      <c r="AC573" t="s">
        <v>19</v>
      </c>
      <c r="AD573" t="s">
        <v>1738</v>
      </c>
      <c r="AE573">
        <v>1.1148779422949958E-4</v>
      </c>
    </row>
    <row r="574" spans="29:31" x14ac:dyDescent="0.45">
      <c r="AC574" t="s">
        <v>19</v>
      </c>
      <c r="AD574" t="s">
        <v>1739</v>
      </c>
      <c r="AE574">
        <v>1.1124813894306116E-4</v>
      </c>
    </row>
    <row r="575" spans="29:31" x14ac:dyDescent="0.45">
      <c r="AC575" t="s">
        <v>19</v>
      </c>
      <c r="AD575" t="s">
        <v>1740</v>
      </c>
      <c r="AE575">
        <v>1.1102514842819629E-4</v>
      </c>
    </row>
    <row r="576" spans="29:31" x14ac:dyDescent="0.45">
      <c r="AC576" t="s">
        <v>19</v>
      </c>
      <c r="AD576" t="s">
        <v>1741</v>
      </c>
      <c r="AE576">
        <v>1.1103567633150782E-4</v>
      </c>
    </row>
    <row r="577" spans="29:31" x14ac:dyDescent="0.45">
      <c r="AC577" t="s">
        <v>19</v>
      </c>
      <c r="AD577" t="s">
        <v>1742</v>
      </c>
      <c r="AE577">
        <v>1.1119602846687092E-4</v>
      </c>
    </row>
    <row r="578" spans="29:31" x14ac:dyDescent="0.45">
      <c r="AC578" t="s">
        <v>19</v>
      </c>
      <c r="AD578" t="s">
        <v>1743</v>
      </c>
      <c r="AE578">
        <v>1.121246530237922E-4</v>
      </c>
    </row>
    <row r="579" spans="29:31" x14ac:dyDescent="0.45">
      <c r="AC579" t="s">
        <v>19</v>
      </c>
      <c r="AD579" t="s">
        <v>1744</v>
      </c>
      <c r="AE579">
        <v>1.1223516955654494E-4</v>
      </c>
    </row>
    <row r="580" spans="29:31" x14ac:dyDescent="0.45">
      <c r="AC580" t="s">
        <v>19</v>
      </c>
      <c r="AD580" t="s">
        <v>1745</v>
      </c>
      <c r="AE580">
        <v>1.1327219448474929E-4</v>
      </c>
    </row>
    <row r="581" spans="29:31" x14ac:dyDescent="0.45">
      <c r="AC581" t="s">
        <v>19</v>
      </c>
      <c r="AD581" t="s">
        <v>1746</v>
      </c>
      <c r="AE581">
        <v>1.1376092197616608E-4</v>
      </c>
    </row>
    <row r="582" spans="29:31" x14ac:dyDescent="0.45">
      <c r="AC582" t="s">
        <v>19</v>
      </c>
      <c r="AD582" t="s">
        <v>1747</v>
      </c>
      <c r="AE582">
        <v>1.1463135209267185E-4</v>
      </c>
    </row>
    <row r="583" spans="29:31" x14ac:dyDescent="0.45">
      <c r="AC583" t="s">
        <v>19</v>
      </c>
      <c r="AD583" t="s">
        <v>1748</v>
      </c>
      <c r="AE583">
        <v>1.1466140158554095E-4</v>
      </c>
    </row>
    <row r="584" spans="29:31" x14ac:dyDescent="0.45">
      <c r="AC584" t="s">
        <v>19</v>
      </c>
      <c r="AD584" t="s">
        <v>1749</v>
      </c>
      <c r="AE584">
        <v>1.1476207796745978E-4</v>
      </c>
    </row>
    <row r="585" spans="29:31" x14ac:dyDescent="0.45">
      <c r="AC585" t="s">
        <v>19</v>
      </c>
      <c r="AD585" t="s">
        <v>1750</v>
      </c>
      <c r="AE585">
        <v>1.1474477834744535E-4</v>
      </c>
    </row>
    <row r="586" spans="29:31" x14ac:dyDescent="0.45">
      <c r="AC586" t="s">
        <v>19</v>
      </c>
      <c r="AD586" t="s">
        <v>1751</v>
      </c>
      <c r="AE586">
        <v>1.1472985940908428E-4</v>
      </c>
    </row>
    <row r="587" spans="29:31" x14ac:dyDescent="0.45">
      <c r="AC587" t="s">
        <v>19</v>
      </c>
      <c r="AD587" t="s">
        <v>1752</v>
      </c>
      <c r="AE587">
        <v>1.1489719487729724E-4</v>
      </c>
    </row>
    <row r="588" spans="29:31" x14ac:dyDescent="0.45">
      <c r="AC588" t="s">
        <v>19</v>
      </c>
      <c r="AD588" t="s">
        <v>1753</v>
      </c>
      <c r="AE588">
        <v>1.1495872227202746E-4</v>
      </c>
    </row>
    <row r="589" spans="29:31" x14ac:dyDescent="0.45">
      <c r="AC589" t="s">
        <v>19</v>
      </c>
      <c r="AD589" t="s">
        <v>1754</v>
      </c>
      <c r="AE589">
        <v>1.1487021381855915E-4</v>
      </c>
    </row>
    <row r="590" spans="29:31" x14ac:dyDescent="0.45">
      <c r="AC590" t="s">
        <v>19</v>
      </c>
      <c r="AD590" t="s">
        <v>1755</v>
      </c>
      <c r="AE590">
        <v>1.1524249952510817E-4</v>
      </c>
    </row>
    <row r="591" spans="29:31" x14ac:dyDescent="0.45">
      <c r="AC591" t="s">
        <v>19</v>
      </c>
      <c r="AD591" t="s">
        <v>1756</v>
      </c>
      <c r="AE591">
        <v>1.1682607605688763E-4</v>
      </c>
    </row>
    <row r="592" spans="29:31" x14ac:dyDescent="0.45">
      <c r="AC592" t="s">
        <v>19</v>
      </c>
      <c r="AD592" t="s">
        <v>1757</v>
      </c>
      <c r="AE592">
        <v>1.168446982778206E-4</v>
      </c>
    </row>
    <row r="593" spans="29:31" x14ac:dyDescent="0.45">
      <c r="AC593" t="s">
        <v>19</v>
      </c>
      <c r="AD593" t="s">
        <v>1758</v>
      </c>
      <c r="AE593">
        <v>1.1633010071243728E-4</v>
      </c>
    </row>
    <row r="594" spans="29:31" x14ac:dyDescent="0.45">
      <c r="AC594" t="s">
        <v>19</v>
      </c>
      <c r="AD594" t="s">
        <v>1759</v>
      </c>
      <c r="AE594">
        <v>1.1571207575522458E-4</v>
      </c>
    </row>
    <row r="595" spans="29:31" x14ac:dyDescent="0.45">
      <c r="AC595" t="s">
        <v>19</v>
      </c>
      <c r="AD595" t="s">
        <v>1760</v>
      </c>
      <c r="AE595">
        <v>1.1436032471244581E-4</v>
      </c>
    </row>
    <row r="596" spans="29:31" x14ac:dyDescent="0.45">
      <c r="AC596" t="s">
        <v>19</v>
      </c>
      <c r="AD596" t="s">
        <v>1761</v>
      </c>
      <c r="AE596">
        <v>1.129242446351013E-4</v>
      </c>
    </row>
    <row r="597" spans="29:31" x14ac:dyDescent="0.45">
      <c r="AC597" t="s">
        <v>19</v>
      </c>
      <c r="AD597" t="s">
        <v>1762</v>
      </c>
      <c r="AE597">
        <v>1.1142965269312082E-4</v>
      </c>
    </row>
    <row r="598" spans="29:31" x14ac:dyDescent="0.45">
      <c r="AC598" t="s">
        <v>19</v>
      </c>
      <c r="AD598" t="s">
        <v>1763</v>
      </c>
      <c r="AE598">
        <v>1.1116105889858488E-4</v>
      </c>
    </row>
    <row r="599" spans="29:31" x14ac:dyDescent="0.45">
      <c r="AC599" t="s">
        <v>19</v>
      </c>
      <c r="AD599" t="s">
        <v>1764</v>
      </c>
      <c r="AE599">
        <v>1.1118200889713447E-4</v>
      </c>
    </row>
    <row r="600" spans="29:31" x14ac:dyDescent="0.45">
      <c r="AC600" t="s">
        <v>19</v>
      </c>
      <c r="AD600" t="s">
        <v>1765</v>
      </c>
      <c r="AE600">
        <v>1.1115984210573983E-4</v>
      </c>
    </row>
    <row r="601" spans="29:31" x14ac:dyDescent="0.45">
      <c r="AC601" t="s">
        <v>19</v>
      </c>
      <c r="AD601" t="s">
        <v>1766</v>
      </c>
      <c r="AE601">
        <v>1.1121025965275435E-4</v>
      </c>
    </row>
    <row r="602" spans="29:31" x14ac:dyDescent="0.45">
      <c r="AC602" t="s">
        <v>19</v>
      </c>
      <c r="AD602" t="s">
        <v>1767</v>
      </c>
      <c r="AE602">
        <v>1.1222871526406249E-4</v>
      </c>
    </row>
    <row r="603" spans="29:31" x14ac:dyDescent="0.45">
      <c r="AC603" t="s">
        <v>19</v>
      </c>
      <c r="AD603" t="s">
        <v>1768</v>
      </c>
      <c r="AE603">
        <v>1.1248551145840509E-4</v>
      </c>
    </row>
    <row r="604" spans="29:31" x14ac:dyDescent="0.45">
      <c r="AC604" t="s">
        <v>19</v>
      </c>
      <c r="AD604" t="s">
        <v>1769</v>
      </c>
      <c r="AE604">
        <v>1.1340741720266023E-4</v>
      </c>
    </row>
    <row r="605" spans="29:31" x14ac:dyDescent="0.45">
      <c r="AC605" t="s">
        <v>19</v>
      </c>
      <c r="AD605" t="s">
        <v>1770</v>
      </c>
      <c r="AE605">
        <v>1.1425954252245349E-4</v>
      </c>
    </row>
    <row r="606" spans="29:31" x14ac:dyDescent="0.45">
      <c r="AC606" t="s">
        <v>19</v>
      </c>
      <c r="AD606" t="s">
        <v>1771</v>
      </c>
      <c r="AE606">
        <v>1.148265679882475E-4</v>
      </c>
    </row>
    <row r="607" spans="29:31" x14ac:dyDescent="0.45">
      <c r="AC607" t="s">
        <v>19</v>
      </c>
      <c r="AD607" t="s">
        <v>1772</v>
      </c>
      <c r="AE607">
        <v>1.1495316734816961E-4</v>
      </c>
    </row>
    <row r="608" spans="29:31" x14ac:dyDescent="0.45">
      <c r="AC608" t="s">
        <v>19</v>
      </c>
      <c r="AD608" t="s">
        <v>1773</v>
      </c>
      <c r="AE608">
        <v>1.1510770003949115E-4</v>
      </c>
    </row>
    <row r="609" spans="29:31" x14ac:dyDescent="0.45">
      <c r="AC609" t="s">
        <v>19</v>
      </c>
      <c r="AD609" t="s">
        <v>1774</v>
      </c>
      <c r="AE609">
        <v>1.1517509978229966E-4</v>
      </c>
    </row>
    <row r="610" spans="29:31" x14ac:dyDescent="0.45">
      <c r="AC610" t="s">
        <v>19</v>
      </c>
      <c r="AD610" t="s">
        <v>1775</v>
      </c>
      <c r="AE610">
        <v>1.1525540811007307E-4</v>
      </c>
    </row>
    <row r="611" spans="29:31" x14ac:dyDescent="0.45">
      <c r="AC611" t="s">
        <v>19</v>
      </c>
      <c r="AD611" t="s">
        <v>1776</v>
      </c>
      <c r="AE611">
        <v>1.1555463334188226E-4</v>
      </c>
    </row>
    <row r="612" spans="29:31" x14ac:dyDescent="0.45">
      <c r="AC612" t="s">
        <v>19</v>
      </c>
      <c r="AD612" t="s">
        <v>1777</v>
      </c>
      <c r="AE612">
        <v>1.1561891174652302E-4</v>
      </c>
    </row>
    <row r="613" spans="29:31" x14ac:dyDescent="0.45">
      <c r="AC613" t="s">
        <v>19</v>
      </c>
      <c r="AD613" t="s">
        <v>1778</v>
      </c>
      <c r="AE613">
        <v>1.1517414750963833E-4</v>
      </c>
    </row>
    <row r="614" spans="29:31" x14ac:dyDescent="0.45">
      <c r="AC614" t="s">
        <v>19</v>
      </c>
      <c r="AD614" t="s">
        <v>1779</v>
      </c>
      <c r="AE614">
        <v>1.1531291479801093E-4</v>
      </c>
    </row>
    <row r="615" spans="29:31" x14ac:dyDescent="0.45">
      <c r="AC615" t="s">
        <v>19</v>
      </c>
      <c r="AD615" t="s">
        <v>1780</v>
      </c>
      <c r="AE615">
        <v>1.159851134888468E-4</v>
      </c>
    </row>
    <row r="616" spans="29:31" x14ac:dyDescent="0.45">
      <c r="AC616" t="s">
        <v>19</v>
      </c>
      <c r="AD616" t="s">
        <v>1781</v>
      </c>
      <c r="AE616">
        <v>1.1602378633970473E-4</v>
      </c>
    </row>
    <row r="617" spans="29:31" x14ac:dyDescent="0.45">
      <c r="AC617" t="s">
        <v>19</v>
      </c>
      <c r="AD617" t="s">
        <v>1782</v>
      </c>
      <c r="AE617">
        <v>1.1590163091886891E-4</v>
      </c>
    </row>
    <row r="618" spans="29:31" x14ac:dyDescent="0.45">
      <c r="AC618" t="s">
        <v>19</v>
      </c>
      <c r="AD618" t="s">
        <v>1783</v>
      </c>
      <c r="AE618">
        <v>1.1523302970253146E-4</v>
      </c>
    </row>
    <row r="619" spans="29:31" x14ac:dyDescent="0.45">
      <c r="AC619" t="s">
        <v>19</v>
      </c>
      <c r="AD619" t="s">
        <v>1784</v>
      </c>
      <c r="AE619">
        <v>1.140167129938106E-4</v>
      </c>
    </row>
    <row r="620" spans="29:31" x14ac:dyDescent="0.45">
      <c r="AC620" t="s">
        <v>19</v>
      </c>
      <c r="AD620" t="s">
        <v>1785</v>
      </c>
      <c r="AE620">
        <v>1.1246868797472134E-4</v>
      </c>
    </row>
    <row r="621" spans="29:31" x14ac:dyDescent="0.45">
      <c r="AC621" t="s">
        <v>19</v>
      </c>
      <c r="AD621" t="s">
        <v>1786</v>
      </c>
      <c r="AE621">
        <v>1.1146044284250429E-4</v>
      </c>
    </row>
    <row r="622" spans="29:31" x14ac:dyDescent="0.45">
      <c r="AC622" t="s">
        <v>19</v>
      </c>
      <c r="AD622" t="s">
        <v>1787</v>
      </c>
      <c r="AE622">
        <v>1.1117523718043155E-4</v>
      </c>
    </row>
    <row r="623" spans="29:31" x14ac:dyDescent="0.45">
      <c r="AC623" t="s">
        <v>19</v>
      </c>
      <c r="AD623" t="s">
        <v>1788</v>
      </c>
      <c r="AE623">
        <v>1.1114217215746821E-4</v>
      </c>
    </row>
    <row r="624" spans="29:31" x14ac:dyDescent="0.45">
      <c r="AC624" t="s">
        <v>19</v>
      </c>
      <c r="AD624" t="s">
        <v>1789</v>
      </c>
      <c r="AE624">
        <v>1.111461399602238E-4</v>
      </c>
    </row>
    <row r="625" spans="29:31" x14ac:dyDescent="0.45">
      <c r="AC625" t="s">
        <v>19</v>
      </c>
      <c r="AD625" t="s">
        <v>1790</v>
      </c>
      <c r="AE625">
        <v>1.1121486230395084E-4</v>
      </c>
    </row>
    <row r="626" spans="29:31" x14ac:dyDescent="0.45">
      <c r="AC626" t="s">
        <v>19</v>
      </c>
      <c r="AD626" t="s">
        <v>1791</v>
      </c>
      <c r="AE626">
        <v>1.1222871526406248E-4</v>
      </c>
    </row>
    <row r="627" spans="29:31" x14ac:dyDescent="0.45">
      <c r="AC627" t="s">
        <v>19</v>
      </c>
      <c r="AD627" t="s">
        <v>267</v>
      </c>
      <c r="AE627">
        <v>2.4817941741787808E-2</v>
      </c>
    </row>
    <row r="628" spans="29:31" x14ac:dyDescent="0.45">
      <c r="AC628" t="s">
        <v>19</v>
      </c>
      <c r="AD628" t="s">
        <v>268</v>
      </c>
      <c r="AE628">
        <v>3.5813431856435533E-3</v>
      </c>
    </row>
    <row r="629" spans="29:31" x14ac:dyDescent="0.45">
      <c r="AC629" t="s">
        <v>19</v>
      </c>
      <c r="AD629" t="s">
        <v>269</v>
      </c>
      <c r="AE629">
        <v>3.5935791486853184E-3</v>
      </c>
    </row>
    <row r="630" spans="29:31" x14ac:dyDescent="0.45">
      <c r="AC630" t="s">
        <v>19</v>
      </c>
      <c r="AD630" t="s">
        <v>270</v>
      </c>
      <c r="AE630">
        <v>3.5992108892045106E-3</v>
      </c>
    </row>
    <row r="631" spans="29:31" x14ac:dyDescent="0.45">
      <c r="AC631" t="s">
        <v>19</v>
      </c>
      <c r="AD631" t="s">
        <v>271</v>
      </c>
      <c r="AE631">
        <v>2.5159670658659424E-2</v>
      </c>
    </row>
    <row r="632" spans="29:31" x14ac:dyDescent="0.45">
      <c r="AC632" t="s">
        <v>19</v>
      </c>
      <c r="AD632" t="s">
        <v>272</v>
      </c>
      <c r="AE632">
        <v>3.4703547488830963E-3</v>
      </c>
    </row>
    <row r="633" spans="29:31" x14ac:dyDescent="0.45">
      <c r="AC633" t="s">
        <v>19</v>
      </c>
      <c r="AD633" t="s">
        <v>273</v>
      </c>
      <c r="AE633">
        <v>3.4449947227347894E-3</v>
      </c>
    </row>
    <row r="634" spans="29:31" x14ac:dyDescent="0.45">
      <c r="AC634" t="s">
        <v>19</v>
      </c>
      <c r="AD634" t="s">
        <v>274</v>
      </c>
      <c r="AE634">
        <v>1.7239740876161678E-2</v>
      </c>
    </row>
    <row r="635" spans="29:31" x14ac:dyDescent="0.45">
      <c r="AC635" t="s">
        <v>19</v>
      </c>
      <c r="AD635" t="s">
        <v>275</v>
      </c>
      <c r="AE635">
        <v>2.3992482297509075E-2</v>
      </c>
    </row>
    <row r="636" spans="29:31" x14ac:dyDescent="0.45">
      <c r="AC636" t="s">
        <v>19</v>
      </c>
      <c r="AD636" t="s">
        <v>276</v>
      </c>
      <c r="AE636">
        <v>3.4738704666897762E-3</v>
      </c>
    </row>
    <row r="637" spans="29:31" x14ac:dyDescent="0.45">
      <c r="AC637" t="s">
        <v>19</v>
      </c>
      <c r="AD637" t="s">
        <v>277</v>
      </c>
      <c r="AE637">
        <v>3.4801538791335491E-3</v>
      </c>
    </row>
    <row r="638" spans="29:31" x14ac:dyDescent="0.45">
      <c r="AC638" t="s">
        <v>19</v>
      </c>
      <c r="AD638" t="s">
        <v>278</v>
      </c>
      <c r="AE638">
        <v>3.4821192640984906E-3</v>
      </c>
    </row>
    <row r="639" spans="29:31" x14ac:dyDescent="0.45">
      <c r="AC639" t="s">
        <v>19</v>
      </c>
      <c r="AD639" t="s">
        <v>279</v>
      </c>
      <c r="AE639">
        <v>2.431802215590554E-2</v>
      </c>
    </row>
    <row r="640" spans="29:31" x14ac:dyDescent="0.45">
      <c r="AC640" t="s">
        <v>19</v>
      </c>
      <c r="AD640" t="s">
        <v>280</v>
      </c>
      <c r="AE640">
        <v>3.3586893850175658E-3</v>
      </c>
    </row>
    <row r="641" spans="29:31" x14ac:dyDescent="0.45">
      <c r="AC641" t="s">
        <v>19</v>
      </c>
      <c r="AD641" t="s">
        <v>281</v>
      </c>
      <c r="AE641">
        <v>3.384166540703218E-3</v>
      </c>
    </row>
    <row r="642" spans="29:31" x14ac:dyDescent="0.45">
      <c r="AC642" t="s">
        <v>19</v>
      </c>
      <c r="AD642" t="s">
        <v>282</v>
      </c>
      <c r="AE642">
        <v>1.6789908068262124E-2</v>
      </c>
    </row>
    <row r="643" spans="29:31" x14ac:dyDescent="0.45">
      <c r="AC643" t="s">
        <v>19</v>
      </c>
      <c r="AD643" t="s">
        <v>283</v>
      </c>
      <c r="AE643">
        <v>2.4805099440951852E-2</v>
      </c>
    </row>
    <row r="644" spans="29:31" x14ac:dyDescent="0.45">
      <c r="AC644" t="s">
        <v>19</v>
      </c>
      <c r="AD644" t="s">
        <v>284</v>
      </c>
      <c r="AE644">
        <v>3.5794377402909392E-3</v>
      </c>
    </row>
    <row r="645" spans="29:31" x14ac:dyDescent="0.45">
      <c r="AC645" t="s">
        <v>19</v>
      </c>
      <c r="AD645" t="s">
        <v>285</v>
      </c>
      <c r="AE645">
        <v>3.5822695875696313E-3</v>
      </c>
    </row>
    <row r="646" spans="29:31" x14ac:dyDescent="0.45">
      <c r="AC646" t="s">
        <v>19</v>
      </c>
      <c r="AD646" t="s">
        <v>286</v>
      </c>
      <c r="AE646">
        <v>3.582425971902239E-3</v>
      </c>
    </row>
    <row r="647" spans="29:31" x14ac:dyDescent="0.45">
      <c r="AC647" t="s">
        <v>19</v>
      </c>
      <c r="AD647" t="s">
        <v>287</v>
      </c>
      <c r="AE647">
        <v>2.506980727527703E-2</v>
      </c>
    </row>
    <row r="648" spans="29:31" x14ac:dyDescent="0.45">
      <c r="AC648" t="s">
        <v>19</v>
      </c>
      <c r="AD648" t="s">
        <v>288</v>
      </c>
      <c r="AE648">
        <v>3.4736433689537133E-3</v>
      </c>
    </row>
    <row r="649" spans="29:31" x14ac:dyDescent="0.45">
      <c r="AC649" t="s">
        <v>19</v>
      </c>
      <c r="AD649" t="s">
        <v>289</v>
      </c>
      <c r="AE649">
        <v>3.5163132255955397E-3</v>
      </c>
    </row>
    <row r="650" spans="29:31" x14ac:dyDescent="0.45">
      <c r="AC650" t="s">
        <v>19</v>
      </c>
      <c r="AD650" t="s">
        <v>290</v>
      </c>
      <c r="AE650">
        <v>1.7465225760148372E-2</v>
      </c>
    </row>
    <row r="651" spans="29:31" x14ac:dyDescent="0.45">
      <c r="AC651" t="s">
        <v>19</v>
      </c>
      <c r="AD651" t="s">
        <v>291</v>
      </c>
      <c r="AE651">
        <v>2.4008373861375724E-2</v>
      </c>
    </row>
    <row r="652" spans="29:31" x14ac:dyDescent="0.45">
      <c r="AC652" t="s">
        <v>19</v>
      </c>
      <c r="AD652" t="s">
        <v>292</v>
      </c>
      <c r="AE652">
        <v>3.4559498795923922E-3</v>
      </c>
    </row>
    <row r="653" spans="29:31" x14ac:dyDescent="0.45">
      <c r="AC653" t="s">
        <v>19</v>
      </c>
      <c r="AD653" t="s">
        <v>293</v>
      </c>
      <c r="AE653">
        <v>3.4583274928116229E-3</v>
      </c>
    </row>
    <row r="654" spans="29:31" x14ac:dyDescent="0.45">
      <c r="AC654" t="s">
        <v>19</v>
      </c>
      <c r="AD654" t="s">
        <v>294</v>
      </c>
      <c r="AE654">
        <v>3.4586289400129751E-3</v>
      </c>
    </row>
    <row r="655" spans="29:31" x14ac:dyDescent="0.45">
      <c r="AC655" t="s">
        <v>19</v>
      </c>
      <c r="AD655" t="s">
        <v>295</v>
      </c>
      <c r="AE655">
        <v>2.4232325166451862E-2</v>
      </c>
    </row>
    <row r="656" spans="29:31" x14ac:dyDescent="0.45">
      <c r="AC656" t="s">
        <v>19</v>
      </c>
      <c r="AD656" t="s">
        <v>296</v>
      </c>
      <c r="AE656">
        <v>3.3662016200230443E-3</v>
      </c>
    </row>
    <row r="657" spans="29:31" x14ac:dyDescent="0.45">
      <c r="AC657" t="s">
        <v>19</v>
      </c>
      <c r="AD657" t="s">
        <v>297</v>
      </c>
      <c r="AE657">
        <v>3.4017293258967124E-3</v>
      </c>
    </row>
    <row r="658" spans="29:31" x14ac:dyDescent="0.45">
      <c r="AC658" t="s">
        <v>19</v>
      </c>
      <c r="AD658" t="s">
        <v>298</v>
      </c>
      <c r="AE658">
        <v>1.6923760039274597E-2</v>
      </c>
    </row>
    <row r="659" spans="29:31" x14ac:dyDescent="0.45">
      <c r="AC659" t="s">
        <v>19</v>
      </c>
      <c r="AD659" t="s">
        <v>299</v>
      </c>
      <c r="AE659">
        <v>2.4820133261090005E-2</v>
      </c>
    </row>
    <row r="660" spans="29:31" x14ac:dyDescent="0.45">
      <c r="AC660" t="s">
        <v>19</v>
      </c>
      <c r="AD660" t="s">
        <v>300</v>
      </c>
      <c r="AE660">
        <v>3.5651303084484587E-3</v>
      </c>
    </row>
    <row r="661" spans="29:31" x14ac:dyDescent="0.45">
      <c r="AC661" t="s">
        <v>19</v>
      </c>
      <c r="AD661" t="s">
        <v>301</v>
      </c>
      <c r="AE661">
        <v>3.5674991925016271E-3</v>
      </c>
    </row>
    <row r="662" spans="29:31" x14ac:dyDescent="0.45">
      <c r="AC662" t="s">
        <v>19</v>
      </c>
      <c r="AD662" t="s">
        <v>302</v>
      </c>
      <c r="AE662">
        <v>3.5679085110338947E-3</v>
      </c>
    </row>
    <row r="663" spans="29:31" x14ac:dyDescent="0.45">
      <c r="AC663" t="s">
        <v>19</v>
      </c>
      <c r="AD663" t="s">
        <v>303</v>
      </c>
      <c r="AE663">
        <v>2.5025049535034486E-2</v>
      </c>
    </row>
    <row r="664" spans="29:31" x14ac:dyDescent="0.45">
      <c r="AC664" t="s">
        <v>19</v>
      </c>
      <c r="AD664" t="s">
        <v>304</v>
      </c>
      <c r="AE664">
        <v>3.479127390160216E-3</v>
      </c>
    </row>
    <row r="665" spans="29:31" x14ac:dyDescent="0.45">
      <c r="AC665" t="s">
        <v>19</v>
      </c>
      <c r="AD665" t="s">
        <v>305</v>
      </c>
      <c r="AE665">
        <v>3.5113373780817588E-3</v>
      </c>
    </row>
    <row r="666" spans="29:31" x14ac:dyDescent="0.45">
      <c r="AC666" t="s">
        <v>19</v>
      </c>
      <c r="AD666" t="s">
        <v>306</v>
      </c>
      <c r="AE666">
        <v>1.7489296829039009E-2</v>
      </c>
    </row>
    <row r="667" spans="29:31" x14ac:dyDescent="0.45">
      <c r="AC667" t="s">
        <v>19</v>
      </c>
      <c r="AD667" t="s">
        <v>307</v>
      </c>
      <c r="AE667">
        <v>1.9250010709952581E-2</v>
      </c>
    </row>
    <row r="668" spans="29:31" x14ac:dyDescent="0.45">
      <c r="AC668" t="s">
        <v>19</v>
      </c>
      <c r="AD668" t="s">
        <v>308</v>
      </c>
      <c r="AE668">
        <v>2.7737860966005326E-3</v>
      </c>
    </row>
    <row r="669" spans="29:31" x14ac:dyDescent="0.45">
      <c r="AC669" t="s">
        <v>19</v>
      </c>
      <c r="AD669" t="s">
        <v>309</v>
      </c>
      <c r="AE669">
        <v>2.7756212318270175E-3</v>
      </c>
    </row>
    <row r="670" spans="29:31" x14ac:dyDescent="0.45">
      <c r="AC670" t="s">
        <v>19</v>
      </c>
      <c r="AD670" t="s">
        <v>310</v>
      </c>
      <c r="AE670">
        <v>2.775460615171471E-3</v>
      </c>
    </row>
    <row r="671" spans="29:31" x14ac:dyDescent="0.45">
      <c r="AC671" t="s">
        <v>19</v>
      </c>
      <c r="AD671" t="s">
        <v>311</v>
      </c>
      <c r="AE671">
        <v>1.9478345855129257E-2</v>
      </c>
    </row>
    <row r="672" spans="29:31" x14ac:dyDescent="0.45">
      <c r="AC672" t="s">
        <v>19</v>
      </c>
      <c r="AD672" t="s">
        <v>312</v>
      </c>
      <c r="AE672">
        <v>2.7020963125486317E-3</v>
      </c>
    </row>
    <row r="673" spans="29:31" x14ac:dyDescent="0.45">
      <c r="AC673" t="s">
        <v>19</v>
      </c>
      <c r="AD673" t="s">
        <v>313</v>
      </c>
      <c r="AE673">
        <v>2.6685070105811675E-3</v>
      </c>
    </row>
    <row r="674" spans="29:31" x14ac:dyDescent="0.45">
      <c r="AC674" t="s">
        <v>19</v>
      </c>
      <c r="AD674" t="s">
        <v>314</v>
      </c>
      <c r="AE674">
        <v>1.335351465088307E-2</v>
      </c>
    </row>
    <row r="675" spans="29:31" x14ac:dyDescent="0.45">
      <c r="AC675" t="s">
        <v>19</v>
      </c>
      <c r="AD675" t="s">
        <v>1792</v>
      </c>
      <c r="AE675">
        <v>1.1237008490764023E-4</v>
      </c>
    </row>
    <row r="676" spans="29:31" x14ac:dyDescent="0.45">
      <c r="AC676" t="s">
        <v>19</v>
      </c>
      <c r="AD676" t="s">
        <v>1793</v>
      </c>
      <c r="AE676">
        <v>1.1313370177396518E-4</v>
      </c>
    </row>
    <row r="677" spans="29:31" x14ac:dyDescent="0.45">
      <c r="AC677" t="s">
        <v>19</v>
      </c>
      <c r="AD677" t="s">
        <v>1794</v>
      </c>
      <c r="AE677">
        <v>1.1425368023178001E-4</v>
      </c>
    </row>
    <row r="678" spans="29:31" x14ac:dyDescent="0.45">
      <c r="AC678" t="s">
        <v>19</v>
      </c>
      <c r="AD678" t="s">
        <v>1795</v>
      </c>
      <c r="AE678">
        <v>1.1494735796153285E-4</v>
      </c>
    </row>
    <row r="679" spans="29:31" x14ac:dyDescent="0.45">
      <c r="AC679" t="s">
        <v>19</v>
      </c>
      <c r="AD679" t="s">
        <v>1796</v>
      </c>
      <c r="AE679">
        <v>1.1526912031299387E-4</v>
      </c>
    </row>
    <row r="680" spans="29:31" x14ac:dyDescent="0.45">
      <c r="AC680" t="s">
        <v>19</v>
      </c>
      <c r="AD680" t="s">
        <v>1797</v>
      </c>
      <c r="AE680">
        <v>1.1527948950419517E-4</v>
      </c>
    </row>
    <row r="681" spans="29:31" x14ac:dyDescent="0.45">
      <c r="AC681" t="s">
        <v>19</v>
      </c>
      <c r="AD681" t="s">
        <v>1798</v>
      </c>
      <c r="AE681">
        <v>1.1527948950419517E-4</v>
      </c>
    </row>
    <row r="682" spans="29:31" x14ac:dyDescent="0.45">
      <c r="AC682" t="s">
        <v>19</v>
      </c>
      <c r="AD682" t="s">
        <v>1799</v>
      </c>
      <c r="AE682">
        <v>1.1529959303815691E-4</v>
      </c>
    </row>
    <row r="683" spans="29:31" x14ac:dyDescent="0.45">
      <c r="AC683" t="s">
        <v>19</v>
      </c>
      <c r="AD683" t="s">
        <v>1800</v>
      </c>
      <c r="AE683">
        <v>1.1530128596733263E-4</v>
      </c>
    </row>
    <row r="684" spans="29:31" x14ac:dyDescent="0.45">
      <c r="AC684" t="s">
        <v>19</v>
      </c>
      <c r="AD684" t="s">
        <v>1801</v>
      </c>
      <c r="AE684">
        <v>1.1530128596733263E-4</v>
      </c>
    </row>
    <row r="685" spans="29:31" x14ac:dyDescent="0.45">
      <c r="AC685" t="s">
        <v>19</v>
      </c>
      <c r="AD685" t="s">
        <v>1802</v>
      </c>
      <c r="AE685">
        <v>1.1529223937704986E-4</v>
      </c>
    </row>
    <row r="686" spans="29:31" x14ac:dyDescent="0.45">
      <c r="AC686" t="s">
        <v>19</v>
      </c>
      <c r="AD686" t="s">
        <v>1803</v>
      </c>
      <c r="AE686">
        <v>1.153063647548598E-4</v>
      </c>
    </row>
    <row r="687" spans="29:31" x14ac:dyDescent="0.45">
      <c r="AC687" t="s">
        <v>19</v>
      </c>
      <c r="AD687" t="s">
        <v>1804</v>
      </c>
      <c r="AE687">
        <v>1.1654204434102801E-4</v>
      </c>
    </row>
    <row r="688" spans="29:31" x14ac:dyDescent="0.45">
      <c r="AC688" t="s">
        <v>19</v>
      </c>
      <c r="AD688" t="s">
        <v>1805</v>
      </c>
      <c r="AE688">
        <v>1.1662552691100589E-4</v>
      </c>
    </row>
    <row r="689" spans="29:31" x14ac:dyDescent="0.45">
      <c r="AC689" t="s">
        <v>19</v>
      </c>
      <c r="AD689" t="s">
        <v>1806</v>
      </c>
      <c r="AE689">
        <v>1.1630561620083082E-4</v>
      </c>
    </row>
    <row r="690" spans="29:31" x14ac:dyDescent="0.45">
      <c r="AC690" t="s">
        <v>19</v>
      </c>
      <c r="AD690" t="s">
        <v>1807</v>
      </c>
      <c r="AE690">
        <v>1.1540825792962367E-4</v>
      </c>
    </row>
    <row r="691" spans="29:31" x14ac:dyDescent="0.45">
      <c r="AC691" t="s">
        <v>19</v>
      </c>
      <c r="AD691" t="s">
        <v>1808</v>
      </c>
      <c r="AE691">
        <v>1.1406883352740565E-4</v>
      </c>
    </row>
    <row r="692" spans="29:31" x14ac:dyDescent="0.45">
      <c r="AC692" t="s">
        <v>19</v>
      </c>
      <c r="AD692" t="s">
        <v>1809</v>
      </c>
      <c r="AE692">
        <v>1.1232548680466725E-4</v>
      </c>
    </row>
    <row r="693" spans="29:31" x14ac:dyDescent="0.45">
      <c r="AC693" t="s">
        <v>19</v>
      </c>
      <c r="AD693" t="s">
        <v>1810</v>
      </c>
      <c r="AE693">
        <v>1.1079872920834802E-4</v>
      </c>
    </row>
    <row r="694" spans="29:31" x14ac:dyDescent="0.45">
      <c r="AC694" t="s">
        <v>19</v>
      </c>
      <c r="AD694" t="s">
        <v>1811</v>
      </c>
      <c r="AE694">
        <v>1.1052823086848939E-4</v>
      </c>
    </row>
    <row r="695" spans="29:31" x14ac:dyDescent="0.45">
      <c r="AC695" t="s">
        <v>19</v>
      </c>
      <c r="AD695" t="s">
        <v>1812</v>
      </c>
      <c r="AE695">
        <v>1.1060219071185383E-4</v>
      </c>
    </row>
    <row r="696" spans="29:31" x14ac:dyDescent="0.45">
      <c r="AC696" t="s">
        <v>19</v>
      </c>
      <c r="AD696" t="s">
        <v>1813</v>
      </c>
      <c r="AE696">
        <v>1.1057563288540965E-4</v>
      </c>
    </row>
    <row r="697" spans="29:31" x14ac:dyDescent="0.45">
      <c r="AC697" t="s">
        <v>19</v>
      </c>
      <c r="AD697" t="s">
        <v>1814</v>
      </c>
      <c r="AE697">
        <v>1.110664765382961E-4</v>
      </c>
    </row>
    <row r="698" spans="29:31" x14ac:dyDescent="0.45">
      <c r="AC698" t="s">
        <v>19</v>
      </c>
      <c r="AD698" t="s">
        <v>1815</v>
      </c>
      <c r="AE698">
        <v>1.1219433769758539E-4</v>
      </c>
    </row>
    <row r="699" spans="29:31" x14ac:dyDescent="0.45">
      <c r="AC699" t="s">
        <v>19</v>
      </c>
      <c r="AD699" t="s">
        <v>1816</v>
      </c>
      <c r="AE699">
        <v>1.1235257367147884E-4</v>
      </c>
    </row>
    <row r="700" spans="29:31" x14ac:dyDescent="0.45">
      <c r="AC700" t="s">
        <v>19</v>
      </c>
      <c r="AD700" t="s">
        <v>1817</v>
      </c>
      <c r="AE700">
        <v>1.1313370177396518E-4</v>
      </c>
    </row>
    <row r="701" spans="29:31" x14ac:dyDescent="0.45">
      <c r="AC701" t="s">
        <v>19</v>
      </c>
      <c r="AD701" t="s">
        <v>1818</v>
      </c>
      <c r="AE701">
        <v>1.1424712013122407E-4</v>
      </c>
    </row>
    <row r="702" spans="29:31" x14ac:dyDescent="0.45">
      <c r="AC702" t="s">
        <v>19</v>
      </c>
      <c r="AD702" t="s">
        <v>1819</v>
      </c>
      <c r="AE702">
        <v>1.1504390782858585E-4</v>
      </c>
    </row>
    <row r="703" spans="29:31" x14ac:dyDescent="0.45">
      <c r="AC703" t="s">
        <v>19</v>
      </c>
      <c r="AD703" t="s">
        <v>1820</v>
      </c>
      <c r="AE703">
        <v>1.1527642107006419E-4</v>
      </c>
    </row>
    <row r="704" spans="29:31" x14ac:dyDescent="0.45">
      <c r="AC704" t="s">
        <v>19</v>
      </c>
      <c r="AD704" t="s">
        <v>1821</v>
      </c>
      <c r="AE704">
        <v>1.152889593267719E-4</v>
      </c>
    </row>
    <row r="705" spans="29:31" x14ac:dyDescent="0.45">
      <c r="AC705" t="s">
        <v>19</v>
      </c>
      <c r="AD705" t="s">
        <v>1822</v>
      </c>
      <c r="AE705">
        <v>1.152889593267719E-4</v>
      </c>
    </row>
    <row r="706" spans="29:31" x14ac:dyDescent="0.45">
      <c r="AC706" t="s">
        <v>19</v>
      </c>
      <c r="AD706" t="s">
        <v>1823</v>
      </c>
      <c r="AE706">
        <v>1.1527028420180219E-4</v>
      </c>
    </row>
    <row r="707" spans="29:31" x14ac:dyDescent="0.45">
      <c r="AC707" t="s">
        <v>19</v>
      </c>
      <c r="AD707" t="s">
        <v>1824</v>
      </c>
      <c r="AE707">
        <v>1.1530964480513775E-4</v>
      </c>
    </row>
    <row r="708" spans="29:31" x14ac:dyDescent="0.45">
      <c r="AC708" t="s">
        <v>19</v>
      </c>
      <c r="AD708" t="s">
        <v>1825</v>
      </c>
      <c r="AE708">
        <v>1.153090628607336E-4</v>
      </c>
    </row>
    <row r="709" spans="29:31" x14ac:dyDescent="0.45">
      <c r="AC709" t="s">
        <v>19</v>
      </c>
      <c r="AD709" t="s">
        <v>1826</v>
      </c>
      <c r="AE709">
        <v>1.1529959303815691E-4</v>
      </c>
    </row>
    <row r="710" spans="29:31" x14ac:dyDescent="0.45">
      <c r="AC710" t="s">
        <v>19</v>
      </c>
      <c r="AD710" t="s">
        <v>1827</v>
      </c>
      <c r="AE710">
        <v>1.1531366551193011E-4</v>
      </c>
    </row>
    <row r="711" spans="29:31" x14ac:dyDescent="0.45">
      <c r="AC711" t="s">
        <v>19</v>
      </c>
      <c r="AD711" t="s">
        <v>1828</v>
      </c>
      <c r="AE711">
        <v>1.1664393751579189E-4</v>
      </c>
    </row>
    <row r="712" spans="29:31" x14ac:dyDescent="0.45">
      <c r="AC712" t="s">
        <v>19</v>
      </c>
      <c r="AD712" t="s">
        <v>1829</v>
      </c>
      <c r="AE712">
        <v>1.1679217462674121E-4</v>
      </c>
    </row>
    <row r="713" spans="29:31" x14ac:dyDescent="0.45">
      <c r="AC713" t="s">
        <v>19</v>
      </c>
      <c r="AD713" t="s">
        <v>1830</v>
      </c>
      <c r="AE713">
        <v>1.1640216606788382E-4</v>
      </c>
    </row>
    <row r="714" spans="29:31" x14ac:dyDescent="0.45">
      <c r="AC714" t="s">
        <v>19</v>
      </c>
      <c r="AD714" t="s">
        <v>1831</v>
      </c>
      <c r="AE714">
        <v>1.154581464362708E-4</v>
      </c>
    </row>
    <row r="715" spans="29:31" x14ac:dyDescent="0.45">
      <c r="AC715" t="s">
        <v>19</v>
      </c>
      <c r="AD715" t="s">
        <v>1832</v>
      </c>
      <c r="AE715">
        <v>1.1422680498111539E-4</v>
      </c>
    </row>
    <row r="716" spans="29:31" x14ac:dyDescent="0.45">
      <c r="AC716" t="s">
        <v>19</v>
      </c>
      <c r="AD716" t="s">
        <v>1833</v>
      </c>
      <c r="AE716">
        <v>1.1274961846722283E-4</v>
      </c>
    </row>
    <row r="717" spans="29:31" x14ac:dyDescent="0.45">
      <c r="AC717" t="s">
        <v>19</v>
      </c>
      <c r="AD717" t="s">
        <v>1834</v>
      </c>
      <c r="AE717">
        <v>1.1112684004421802E-4</v>
      </c>
    </row>
    <row r="718" spans="29:31" x14ac:dyDescent="0.45">
      <c r="AC718" t="s">
        <v>19</v>
      </c>
      <c r="AD718" t="s">
        <v>1835</v>
      </c>
      <c r="AE718">
        <v>1.1085972756271082E-4</v>
      </c>
    </row>
    <row r="719" spans="29:31" x14ac:dyDescent="0.45">
      <c r="AC719" t="s">
        <v>19</v>
      </c>
      <c r="AD719" t="s">
        <v>1836</v>
      </c>
      <c r="AE719">
        <v>1.107483116613335E-4</v>
      </c>
    </row>
    <row r="720" spans="29:31" x14ac:dyDescent="0.45">
      <c r="AC720" t="s">
        <v>19</v>
      </c>
      <c r="AD720" t="s">
        <v>1837</v>
      </c>
      <c r="AE720">
        <v>1.1079216910779209E-4</v>
      </c>
    </row>
    <row r="721" spans="29:31" x14ac:dyDescent="0.45">
      <c r="AC721" t="s">
        <v>19</v>
      </c>
      <c r="AD721" t="s">
        <v>1838</v>
      </c>
      <c r="AE721">
        <v>1.1133157866640712E-4</v>
      </c>
    </row>
    <row r="722" spans="29:31" x14ac:dyDescent="0.45">
      <c r="AC722" t="s">
        <v>19</v>
      </c>
      <c r="AD722" t="s">
        <v>1839</v>
      </c>
      <c r="AE722">
        <v>1.12354584024875E-4</v>
      </c>
    </row>
    <row r="723" spans="29:31" x14ac:dyDescent="0.45">
      <c r="AC723" t="s">
        <v>19</v>
      </c>
      <c r="AD723" t="s">
        <v>1840</v>
      </c>
      <c r="AE723">
        <v>1.1244573768018039E-4</v>
      </c>
    </row>
    <row r="724" spans="29:31" x14ac:dyDescent="0.45">
      <c r="AC724" t="s">
        <v>19</v>
      </c>
      <c r="AD724" t="s">
        <v>1841</v>
      </c>
      <c r="AE724">
        <v>1.1313370177396518E-4</v>
      </c>
    </row>
    <row r="725" spans="29:31" x14ac:dyDescent="0.45">
      <c r="AC725" t="s">
        <v>19</v>
      </c>
      <c r="AD725" t="s">
        <v>1842</v>
      </c>
      <c r="AE725">
        <v>1.1424712013122407E-4</v>
      </c>
    </row>
    <row r="726" spans="29:31" x14ac:dyDescent="0.45">
      <c r="AC726" t="s">
        <v>19</v>
      </c>
      <c r="AD726" t="s">
        <v>1843</v>
      </c>
      <c r="AE726">
        <v>1.1504390782858587E-4</v>
      </c>
    </row>
    <row r="727" spans="29:31" x14ac:dyDescent="0.45">
      <c r="AC727" t="s">
        <v>19</v>
      </c>
      <c r="AD727" t="s">
        <v>1844</v>
      </c>
      <c r="AE727">
        <v>1.1526573445464244E-4</v>
      </c>
    </row>
    <row r="728" spans="29:31" x14ac:dyDescent="0.45">
      <c r="AC728" t="s">
        <v>19</v>
      </c>
      <c r="AD728" t="s">
        <v>1845</v>
      </c>
      <c r="AE728">
        <v>1.1528261084236292E-4</v>
      </c>
    </row>
    <row r="729" spans="29:31" x14ac:dyDescent="0.45">
      <c r="AC729" t="s">
        <v>19</v>
      </c>
      <c r="AD729" t="s">
        <v>1846</v>
      </c>
      <c r="AE729">
        <v>1.1528954127117605E-4</v>
      </c>
    </row>
    <row r="730" spans="29:31" x14ac:dyDescent="0.45">
      <c r="AC730" t="s">
        <v>19</v>
      </c>
      <c r="AD730" t="s">
        <v>1847</v>
      </c>
      <c r="AE730">
        <v>1.1530128596733263E-4</v>
      </c>
    </row>
    <row r="731" spans="29:31" x14ac:dyDescent="0.45">
      <c r="AC731" t="s">
        <v>19</v>
      </c>
      <c r="AD731" t="s">
        <v>1848</v>
      </c>
      <c r="AE731">
        <v>1.1530128596733263E-4</v>
      </c>
    </row>
    <row r="732" spans="29:31" x14ac:dyDescent="0.45">
      <c r="AC732" t="s">
        <v>19</v>
      </c>
      <c r="AD732" t="s">
        <v>1849</v>
      </c>
      <c r="AE732">
        <v>1.1529959303815691E-4</v>
      </c>
    </row>
    <row r="733" spans="29:31" x14ac:dyDescent="0.45">
      <c r="AC733" t="s">
        <v>19</v>
      </c>
      <c r="AD733" t="s">
        <v>1850</v>
      </c>
      <c r="AE733">
        <v>1.1530128596733263E-4</v>
      </c>
    </row>
    <row r="734" spans="29:31" x14ac:dyDescent="0.45">
      <c r="AC734" t="s">
        <v>19</v>
      </c>
      <c r="AD734" t="s">
        <v>1851</v>
      </c>
      <c r="AE734">
        <v>1.1531366551193011E-4</v>
      </c>
    </row>
    <row r="735" spans="29:31" x14ac:dyDescent="0.45">
      <c r="AC735" t="s">
        <v>19</v>
      </c>
      <c r="AD735" t="s">
        <v>1852</v>
      </c>
      <c r="AE735">
        <v>1.1665018019212736E-4</v>
      </c>
    </row>
    <row r="736" spans="29:31" x14ac:dyDescent="0.45">
      <c r="AC736" t="s">
        <v>19</v>
      </c>
      <c r="AD736" t="s">
        <v>1853</v>
      </c>
      <c r="AE736">
        <v>1.167336098580685E-4</v>
      </c>
    </row>
    <row r="737" spans="29:31" x14ac:dyDescent="0.45">
      <c r="AC737" t="s">
        <v>19</v>
      </c>
      <c r="AD737" t="s">
        <v>1854</v>
      </c>
      <c r="AE737">
        <v>1.1640216606788382E-4</v>
      </c>
    </row>
    <row r="738" spans="29:31" x14ac:dyDescent="0.45">
      <c r="AC738" t="s">
        <v>19</v>
      </c>
      <c r="AD738" t="s">
        <v>1855</v>
      </c>
      <c r="AE738">
        <v>1.1540693532870515E-4</v>
      </c>
    </row>
    <row r="739" spans="29:31" x14ac:dyDescent="0.45">
      <c r="AC739" t="s">
        <v>19</v>
      </c>
      <c r="AD739" t="s">
        <v>1856</v>
      </c>
      <c r="AE739">
        <v>1.1422680498111539E-4</v>
      </c>
    </row>
    <row r="740" spans="29:31" x14ac:dyDescent="0.45">
      <c r="AC740" t="s">
        <v>19</v>
      </c>
      <c r="AD740" t="s">
        <v>1857</v>
      </c>
      <c r="AE740">
        <v>1.1251329613509912E-4</v>
      </c>
    </row>
    <row r="741" spans="29:31" x14ac:dyDescent="0.45">
      <c r="AC741" t="s">
        <v>19</v>
      </c>
      <c r="AD741" t="s">
        <v>1858</v>
      </c>
      <c r="AE741">
        <v>1.1079872920834803E-4</v>
      </c>
    </row>
    <row r="742" spans="29:31" x14ac:dyDescent="0.45">
      <c r="AC742" t="s">
        <v>19</v>
      </c>
      <c r="AD742" t="s">
        <v>1859</v>
      </c>
      <c r="AE742">
        <v>1.1061049664562222E-4</v>
      </c>
    </row>
    <row r="743" spans="29:31" x14ac:dyDescent="0.45">
      <c r="AC743" t="s">
        <v>19</v>
      </c>
      <c r="AD743" t="s">
        <v>1860</v>
      </c>
      <c r="AE743">
        <v>1.1060219071185383E-4</v>
      </c>
    </row>
    <row r="744" spans="29:31" x14ac:dyDescent="0.45">
      <c r="AC744" t="s">
        <v>19</v>
      </c>
      <c r="AD744" t="s">
        <v>1861</v>
      </c>
      <c r="AE744">
        <v>1.1053479096904532E-4</v>
      </c>
    </row>
    <row r="745" spans="29:31" x14ac:dyDescent="0.45">
      <c r="AC745" t="s">
        <v>19</v>
      </c>
      <c r="AD745" t="s">
        <v>1862</v>
      </c>
      <c r="AE745">
        <v>1.1133157866640712E-4</v>
      </c>
    </row>
    <row r="746" spans="29:31" x14ac:dyDescent="0.45">
      <c r="AC746" t="s">
        <v>19</v>
      </c>
      <c r="AD746" t="s">
        <v>1863</v>
      </c>
      <c r="AE746">
        <v>1.1233707278871361E-4</v>
      </c>
    </row>
    <row r="747" spans="29:31" x14ac:dyDescent="0.45">
      <c r="AC747" t="s">
        <v>19</v>
      </c>
      <c r="AD747" t="s">
        <v>1864</v>
      </c>
      <c r="AE747">
        <v>1.1244573768018039E-4</v>
      </c>
    </row>
    <row r="748" spans="29:31" x14ac:dyDescent="0.45">
      <c r="AC748" t="s">
        <v>19</v>
      </c>
      <c r="AD748" t="s">
        <v>1865</v>
      </c>
      <c r="AE748">
        <v>1.131337017739652E-4</v>
      </c>
    </row>
    <row r="749" spans="29:31" x14ac:dyDescent="0.45">
      <c r="AC749" t="s">
        <v>19</v>
      </c>
      <c r="AD749" t="s">
        <v>1866</v>
      </c>
      <c r="AE749">
        <v>1.1424712013122408E-4</v>
      </c>
    </row>
    <row r="750" spans="29:31" x14ac:dyDescent="0.45">
      <c r="AC750" t="s">
        <v>19</v>
      </c>
      <c r="AD750" t="s">
        <v>1867</v>
      </c>
      <c r="AE750">
        <v>1.1504390782858587E-4</v>
      </c>
    </row>
    <row r="751" spans="29:31" x14ac:dyDescent="0.45">
      <c r="AC751" t="s">
        <v>19</v>
      </c>
      <c r="AD751" t="s">
        <v>1868</v>
      </c>
      <c r="AE751">
        <v>1.1526912031299389E-4</v>
      </c>
    </row>
    <row r="752" spans="29:31" x14ac:dyDescent="0.45">
      <c r="AC752" t="s">
        <v>19</v>
      </c>
      <c r="AD752" t="s">
        <v>1869</v>
      </c>
      <c r="AE752">
        <v>1.1528112952933418E-4</v>
      </c>
    </row>
    <row r="753" spans="29:31" x14ac:dyDescent="0.45">
      <c r="AC753" t="s">
        <v>19</v>
      </c>
      <c r="AD753" t="s">
        <v>1870</v>
      </c>
      <c r="AE753">
        <v>1.1527213584308814E-4</v>
      </c>
    </row>
    <row r="754" spans="29:31" x14ac:dyDescent="0.45">
      <c r="AC754" t="s">
        <v>19</v>
      </c>
      <c r="AD754" t="s">
        <v>1871</v>
      </c>
      <c r="AE754">
        <v>1.1529959303815692E-4</v>
      </c>
    </row>
    <row r="755" spans="29:31" x14ac:dyDescent="0.45">
      <c r="AC755" t="s">
        <v>19</v>
      </c>
      <c r="AD755" t="s">
        <v>1872</v>
      </c>
      <c r="AE755">
        <v>1.1530964480513778E-4</v>
      </c>
    </row>
    <row r="756" spans="29:31" x14ac:dyDescent="0.45">
      <c r="AC756" t="s">
        <v>19</v>
      </c>
      <c r="AD756" t="s">
        <v>1873</v>
      </c>
      <c r="AE756">
        <v>1.1530906286073362E-4</v>
      </c>
    </row>
    <row r="757" spans="29:31" x14ac:dyDescent="0.45">
      <c r="AC757" t="s">
        <v>19</v>
      </c>
      <c r="AD757" t="s">
        <v>1874</v>
      </c>
      <c r="AE757">
        <v>1.1529959303815692E-4</v>
      </c>
    </row>
    <row r="758" spans="29:31" x14ac:dyDescent="0.45">
      <c r="AC758" t="s">
        <v>19</v>
      </c>
      <c r="AD758" t="s">
        <v>1875</v>
      </c>
      <c r="AE758">
        <v>1.1531366551193012E-4</v>
      </c>
    </row>
    <row r="759" spans="29:31" x14ac:dyDescent="0.45">
      <c r="AC759" t="s">
        <v>19</v>
      </c>
      <c r="AD759" t="s">
        <v>1876</v>
      </c>
      <c r="AE759">
        <v>1.1665018019212738E-4</v>
      </c>
    </row>
    <row r="760" spans="29:31" x14ac:dyDescent="0.45">
      <c r="AC760" t="s">
        <v>19</v>
      </c>
      <c r="AD760" t="s">
        <v>1877</v>
      </c>
      <c r="AE760">
        <v>1.1673360985806853E-4</v>
      </c>
    </row>
    <row r="761" spans="29:31" x14ac:dyDescent="0.45">
      <c r="AC761" t="s">
        <v>19</v>
      </c>
      <c r="AD761" t="s">
        <v>1878</v>
      </c>
      <c r="AE761">
        <v>1.1640216606788384E-4</v>
      </c>
    </row>
    <row r="762" spans="29:31" x14ac:dyDescent="0.45">
      <c r="AC762" t="s">
        <v>19</v>
      </c>
      <c r="AD762" t="s">
        <v>1879</v>
      </c>
      <c r="AE762">
        <v>1.1540693532870515E-4</v>
      </c>
    </row>
    <row r="763" spans="29:31" x14ac:dyDescent="0.45">
      <c r="AC763" t="s">
        <v>19</v>
      </c>
      <c r="AD763" t="s">
        <v>1880</v>
      </c>
      <c r="AE763">
        <v>1.1422680498111539E-4</v>
      </c>
    </row>
    <row r="764" spans="29:31" x14ac:dyDescent="0.45">
      <c r="AC764" t="s">
        <v>19</v>
      </c>
      <c r="AD764" t="s">
        <v>1881</v>
      </c>
      <c r="AE764">
        <v>1.1274961846722283E-4</v>
      </c>
    </row>
    <row r="765" spans="29:31" x14ac:dyDescent="0.45">
      <c r="AC765" t="s">
        <v>19</v>
      </c>
      <c r="AD765" t="s">
        <v>1882</v>
      </c>
      <c r="AE765">
        <v>1.1114387514404874E-4</v>
      </c>
    </row>
    <row r="766" spans="29:31" x14ac:dyDescent="0.45">
      <c r="AC766" t="s">
        <v>19</v>
      </c>
      <c r="AD766" t="s">
        <v>1883</v>
      </c>
      <c r="AE766">
        <v>1.1085073387646479E-4</v>
      </c>
    </row>
    <row r="767" spans="29:31" x14ac:dyDescent="0.45">
      <c r="AC767" t="s">
        <v>19</v>
      </c>
      <c r="AD767" t="s">
        <v>1884</v>
      </c>
      <c r="AE767">
        <v>1.1082576317112287E-4</v>
      </c>
    </row>
    <row r="768" spans="29:31" x14ac:dyDescent="0.45">
      <c r="AC768" t="s">
        <v>19</v>
      </c>
      <c r="AD768" t="s">
        <v>1885</v>
      </c>
      <c r="AE768">
        <v>1.1097198992867602E-4</v>
      </c>
    </row>
    <row r="769" spans="29:31" x14ac:dyDescent="0.45">
      <c r="AC769" t="s">
        <v>19</v>
      </c>
      <c r="AD769" t="s">
        <v>1886</v>
      </c>
      <c r="AE769">
        <v>1.1192262256488172E-4</v>
      </c>
    </row>
    <row r="770" spans="29:31" x14ac:dyDescent="0.45">
      <c r="AC770" t="s">
        <v>19</v>
      </c>
      <c r="AD770" t="s">
        <v>1887</v>
      </c>
      <c r="AE770">
        <v>1.1275739536062382E-4</v>
      </c>
    </row>
    <row r="771" spans="29:31" x14ac:dyDescent="0.45">
      <c r="AC771" t="s">
        <v>19</v>
      </c>
      <c r="AD771" t="s">
        <v>1888</v>
      </c>
      <c r="AE771">
        <v>1.1283865596105855E-4</v>
      </c>
    </row>
    <row r="772" spans="29:31" x14ac:dyDescent="0.45">
      <c r="AC772" t="s">
        <v>19</v>
      </c>
      <c r="AD772" t="s">
        <v>1889</v>
      </c>
      <c r="AE772">
        <v>1.1347313407369783E-4</v>
      </c>
    </row>
    <row r="773" spans="29:31" x14ac:dyDescent="0.45">
      <c r="AC773" t="s">
        <v>19</v>
      </c>
      <c r="AD773" t="s">
        <v>1890</v>
      </c>
      <c r="AE773">
        <v>1.1516770327456067E-4</v>
      </c>
    </row>
    <row r="774" spans="29:31" x14ac:dyDescent="0.45">
      <c r="AC774" t="s">
        <v>19</v>
      </c>
      <c r="AD774" t="s">
        <v>1891</v>
      </c>
      <c r="AE774">
        <v>1.1579223542829256E-4</v>
      </c>
    </row>
    <row r="775" spans="29:31" x14ac:dyDescent="0.45">
      <c r="AC775" t="s">
        <v>19</v>
      </c>
      <c r="AD775" t="s">
        <v>1892</v>
      </c>
      <c r="AE775">
        <v>1.158327070163997E-4</v>
      </c>
    </row>
    <row r="776" spans="29:31" x14ac:dyDescent="0.45">
      <c r="AC776" t="s">
        <v>19</v>
      </c>
      <c r="AD776" t="s">
        <v>1893</v>
      </c>
      <c r="AE776">
        <v>1.1585921193880714E-4</v>
      </c>
    </row>
    <row r="777" spans="29:31" x14ac:dyDescent="0.45">
      <c r="AC777" t="s">
        <v>19</v>
      </c>
      <c r="AD777" t="s">
        <v>1894</v>
      </c>
      <c r="AE777">
        <v>1.1585921193880714E-4</v>
      </c>
    </row>
    <row r="778" spans="29:31" x14ac:dyDescent="0.45">
      <c r="AC778" t="s">
        <v>19</v>
      </c>
      <c r="AD778" t="s">
        <v>1895</v>
      </c>
      <c r="AE778">
        <v>1.1593200789336326E-4</v>
      </c>
    </row>
    <row r="779" spans="29:31" x14ac:dyDescent="0.45">
      <c r="AC779" t="s">
        <v>19</v>
      </c>
      <c r="AD779" t="s">
        <v>1896</v>
      </c>
      <c r="AE779">
        <v>1.1589851963810596E-4</v>
      </c>
    </row>
    <row r="780" spans="29:31" x14ac:dyDescent="0.45">
      <c r="AC780" t="s">
        <v>19</v>
      </c>
      <c r="AD780" t="s">
        <v>1897</v>
      </c>
      <c r="AE780">
        <v>1.1589851963810596E-4</v>
      </c>
    </row>
    <row r="781" spans="29:31" x14ac:dyDescent="0.45">
      <c r="AC781" t="s">
        <v>19</v>
      </c>
      <c r="AD781" t="s">
        <v>1898</v>
      </c>
      <c r="AE781">
        <v>1.1582276105749233E-4</v>
      </c>
    </row>
    <row r="782" spans="29:31" x14ac:dyDescent="0.45">
      <c r="AC782" t="s">
        <v>19</v>
      </c>
      <c r="AD782" t="s">
        <v>1899</v>
      </c>
      <c r="AE782">
        <v>1.1583942582906586E-4</v>
      </c>
    </row>
    <row r="783" spans="29:31" x14ac:dyDescent="0.45">
      <c r="AC783" t="s">
        <v>19</v>
      </c>
      <c r="AD783" t="s">
        <v>1900</v>
      </c>
      <c r="AE783">
        <v>1.1776756635214187E-4</v>
      </c>
    </row>
    <row r="784" spans="29:31" x14ac:dyDescent="0.45">
      <c r="AC784" t="s">
        <v>19</v>
      </c>
      <c r="AD784" t="s">
        <v>1901</v>
      </c>
      <c r="AE784">
        <v>1.1784692240725393E-4</v>
      </c>
    </row>
    <row r="785" spans="29:31" x14ac:dyDescent="0.45">
      <c r="AC785" t="s">
        <v>19</v>
      </c>
      <c r="AD785" t="s">
        <v>1902</v>
      </c>
      <c r="AE785">
        <v>1.1742596498690284E-4</v>
      </c>
    </row>
    <row r="786" spans="29:31" x14ac:dyDescent="0.45">
      <c r="AC786" t="s">
        <v>19</v>
      </c>
      <c r="AD786" t="s">
        <v>1903</v>
      </c>
      <c r="AE786">
        <v>1.159050797386619E-4</v>
      </c>
    </row>
    <row r="787" spans="29:31" x14ac:dyDescent="0.45">
      <c r="AC787" t="s">
        <v>19</v>
      </c>
      <c r="AD787" t="s">
        <v>1904</v>
      </c>
      <c r="AE787">
        <v>1.138917637164323E-4</v>
      </c>
    </row>
    <row r="788" spans="29:31" x14ac:dyDescent="0.45">
      <c r="AC788" t="s">
        <v>19</v>
      </c>
      <c r="AD788" t="s">
        <v>1905</v>
      </c>
      <c r="AE788">
        <v>1.1244462669540883E-4</v>
      </c>
    </row>
    <row r="789" spans="29:31" x14ac:dyDescent="0.45">
      <c r="AC789" t="s">
        <v>19</v>
      </c>
      <c r="AD789" t="s">
        <v>1906</v>
      </c>
      <c r="AE789">
        <v>1.1104817174158359E-4</v>
      </c>
    </row>
    <row r="790" spans="29:31" x14ac:dyDescent="0.45">
      <c r="AC790" t="s">
        <v>19</v>
      </c>
      <c r="AD790" t="s">
        <v>1907</v>
      </c>
      <c r="AE790">
        <v>1.108752813495128E-4</v>
      </c>
    </row>
    <row r="791" spans="29:31" x14ac:dyDescent="0.45">
      <c r="AC791" t="s">
        <v>19</v>
      </c>
      <c r="AD791" t="s">
        <v>1908</v>
      </c>
      <c r="AE791">
        <v>1.1094733664755454E-4</v>
      </c>
    </row>
    <row r="792" spans="29:31" x14ac:dyDescent="0.45">
      <c r="AC792" t="s">
        <v>19</v>
      </c>
      <c r="AD792" t="s">
        <v>1909</v>
      </c>
      <c r="AE792">
        <v>1.1086840382473641E-4</v>
      </c>
    </row>
    <row r="793" spans="29:31" x14ac:dyDescent="0.45">
      <c r="AC793" t="s">
        <v>19</v>
      </c>
      <c r="AD793" t="s">
        <v>1910</v>
      </c>
      <c r="AE793">
        <v>1.1170793798378523E-4</v>
      </c>
    </row>
    <row r="794" spans="29:31" x14ac:dyDescent="0.45">
      <c r="AC794" t="s">
        <v>19</v>
      </c>
      <c r="AD794" t="s">
        <v>1911</v>
      </c>
      <c r="AE794">
        <v>1.1266423135192226E-4</v>
      </c>
    </row>
    <row r="795" spans="29:31" x14ac:dyDescent="0.45">
      <c r="AC795" t="s">
        <v>19</v>
      </c>
      <c r="AD795" t="s">
        <v>1912</v>
      </c>
      <c r="AE795">
        <v>1.1276808197604556E-4</v>
      </c>
    </row>
    <row r="796" spans="29:31" x14ac:dyDescent="0.45">
      <c r="AC796" t="s">
        <v>19</v>
      </c>
      <c r="AD796" t="s">
        <v>1913</v>
      </c>
      <c r="AE796">
        <v>1.1349006336545505E-4</v>
      </c>
    </row>
    <row r="797" spans="29:31" x14ac:dyDescent="0.45">
      <c r="AC797" t="s">
        <v>19</v>
      </c>
      <c r="AD797" t="s">
        <v>1914</v>
      </c>
      <c r="AE797">
        <v>1.1516770327456066E-4</v>
      </c>
    </row>
    <row r="798" spans="29:31" x14ac:dyDescent="0.45">
      <c r="AC798" t="s">
        <v>19</v>
      </c>
      <c r="AD798" t="s">
        <v>1915</v>
      </c>
      <c r="AE798">
        <v>1.1579223542829255E-4</v>
      </c>
    </row>
    <row r="799" spans="29:31" x14ac:dyDescent="0.45">
      <c r="AC799" t="s">
        <v>19</v>
      </c>
      <c r="AD799" t="s">
        <v>1916</v>
      </c>
      <c r="AE799">
        <v>1.158327070163997E-4</v>
      </c>
    </row>
    <row r="800" spans="29:31" x14ac:dyDescent="0.45">
      <c r="AC800" t="s">
        <v>19</v>
      </c>
      <c r="AD800" t="s">
        <v>1917</v>
      </c>
      <c r="AE800">
        <v>1.1588852077516184E-4</v>
      </c>
    </row>
    <row r="801" spans="29:31" x14ac:dyDescent="0.45">
      <c r="AC801" t="s">
        <v>19</v>
      </c>
      <c r="AD801" t="s">
        <v>1918</v>
      </c>
      <c r="AE801">
        <v>1.1589021370433757E-4</v>
      </c>
    </row>
    <row r="802" spans="29:31" x14ac:dyDescent="0.45">
      <c r="AC802" t="s">
        <v>19</v>
      </c>
      <c r="AD802" t="s">
        <v>1919</v>
      </c>
      <c r="AE802">
        <v>1.1584429300044606E-4</v>
      </c>
    </row>
    <row r="803" spans="29:31" x14ac:dyDescent="0.45">
      <c r="AC803" t="s">
        <v>19</v>
      </c>
      <c r="AD803" t="s">
        <v>1920</v>
      </c>
      <c r="AE803">
        <v>1.1583836774833103E-4</v>
      </c>
    </row>
    <row r="804" spans="29:31" x14ac:dyDescent="0.45">
      <c r="AC804" t="s">
        <v>19</v>
      </c>
      <c r="AD804" t="s">
        <v>1921</v>
      </c>
      <c r="AE804">
        <v>1.1583836774833103E-4</v>
      </c>
    </row>
    <row r="805" spans="29:31" x14ac:dyDescent="0.45">
      <c r="AC805" t="s">
        <v>19</v>
      </c>
      <c r="AD805" t="s">
        <v>1922</v>
      </c>
      <c r="AE805">
        <v>1.1582445398666805E-4</v>
      </c>
    </row>
    <row r="806" spans="29:31" x14ac:dyDescent="0.45">
      <c r="AC806" t="s">
        <v>19</v>
      </c>
      <c r="AD806" t="s">
        <v>1923</v>
      </c>
      <c r="AE806">
        <v>1.158687875694573E-4</v>
      </c>
    </row>
    <row r="807" spans="29:31" x14ac:dyDescent="0.45">
      <c r="AC807" t="s">
        <v>19</v>
      </c>
      <c r="AD807" t="s">
        <v>1924</v>
      </c>
      <c r="AE807">
        <v>1.1776756635214186E-4</v>
      </c>
    </row>
    <row r="808" spans="29:31" x14ac:dyDescent="0.45">
      <c r="AC808" t="s">
        <v>19</v>
      </c>
      <c r="AD808" t="s">
        <v>1925</v>
      </c>
      <c r="AE808">
        <v>1.1784692240725391E-4</v>
      </c>
    </row>
    <row r="809" spans="29:31" x14ac:dyDescent="0.45">
      <c r="AC809" t="s">
        <v>19</v>
      </c>
      <c r="AD809" t="s">
        <v>1926</v>
      </c>
      <c r="AE809">
        <v>1.1742596498690283E-4</v>
      </c>
    </row>
    <row r="810" spans="29:31" x14ac:dyDescent="0.45">
      <c r="AC810" t="s">
        <v>19</v>
      </c>
      <c r="AD810" t="s">
        <v>1927</v>
      </c>
      <c r="AE810">
        <v>1.1601485561490024E-4</v>
      </c>
    </row>
    <row r="811" spans="29:31" x14ac:dyDescent="0.45">
      <c r="AC811" t="s">
        <v>19</v>
      </c>
      <c r="AD811" t="s">
        <v>1928</v>
      </c>
      <c r="AE811">
        <v>1.1394530260161455E-4</v>
      </c>
    </row>
    <row r="812" spans="29:31" x14ac:dyDescent="0.45">
      <c r="AC812" t="s">
        <v>19</v>
      </c>
      <c r="AD812" t="s">
        <v>1929</v>
      </c>
      <c r="AE812">
        <v>1.1244462669540882E-4</v>
      </c>
    </row>
    <row r="813" spans="29:31" x14ac:dyDescent="0.45">
      <c r="AC813" t="s">
        <v>19</v>
      </c>
      <c r="AD813" t="s">
        <v>1930</v>
      </c>
      <c r="AE813">
        <v>1.1098918374061695E-4</v>
      </c>
    </row>
    <row r="814" spans="29:31" x14ac:dyDescent="0.45">
      <c r="AC814" t="s">
        <v>19</v>
      </c>
      <c r="AD814" t="s">
        <v>1931</v>
      </c>
      <c r="AE814">
        <v>1.1072207125910977E-4</v>
      </c>
    </row>
    <row r="815" spans="29:31" x14ac:dyDescent="0.45">
      <c r="AC815" t="s">
        <v>19</v>
      </c>
      <c r="AD815" t="s">
        <v>1932</v>
      </c>
      <c r="AE815">
        <v>1.107237641882855E-4</v>
      </c>
    </row>
    <row r="816" spans="29:31" x14ac:dyDescent="0.45">
      <c r="AC816" t="s">
        <v>19</v>
      </c>
      <c r="AD816" t="s">
        <v>1933</v>
      </c>
      <c r="AE816">
        <v>1.1067059563136042E-4</v>
      </c>
    </row>
    <row r="817" spans="29:31" x14ac:dyDescent="0.45">
      <c r="AC817" t="s">
        <v>19</v>
      </c>
      <c r="AD817" t="s">
        <v>1934</v>
      </c>
      <c r="AE817">
        <v>1.1125587298983021E-4</v>
      </c>
    </row>
    <row r="818" spans="29:31" x14ac:dyDescent="0.45">
      <c r="AC818" t="s">
        <v>19</v>
      </c>
      <c r="AD818" t="s">
        <v>1935</v>
      </c>
      <c r="AE818">
        <v>1.1233707278871361E-4</v>
      </c>
    </row>
    <row r="819" spans="29:31" x14ac:dyDescent="0.45">
      <c r="AC819" t="s">
        <v>19</v>
      </c>
      <c r="AD819" t="s">
        <v>1936</v>
      </c>
      <c r="AE819">
        <v>1.1244573768018039E-4</v>
      </c>
    </row>
    <row r="820" spans="29:31" x14ac:dyDescent="0.45">
      <c r="AC820" t="s">
        <v>19</v>
      </c>
      <c r="AD820" t="s">
        <v>1937</v>
      </c>
      <c r="AE820">
        <v>1.1313370177396518E-4</v>
      </c>
    </row>
    <row r="821" spans="29:31" x14ac:dyDescent="0.45">
      <c r="AC821" t="s">
        <v>19</v>
      </c>
      <c r="AD821" t="s">
        <v>1938</v>
      </c>
      <c r="AE821">
        <v>1.1424712013122407E-4</v>
      </c>
    </row>
    <row r="822" spans="29:31" x14ac:dyDescent="0.45">
      <c r="AC822" t="s">
        <v>19</v>
      </c>
      <c r="AD822" t="s">
        <v>1939</v>
      </c>
      <c r="AE822">
        <v>1.1505120858565617E-4</v>
      </c>
    </row>
    <row r="823" spans="29:31" x14ac:dyDescent="0.45">
      <c r="AC823" t="s">
        <v>19</v>
      </c>
      <c r="AD823" t="s">
        <v>1940</v>
      </c>
      <c r="AE823">
        <v>1.1527642107006419E-4</v>
      </c>
    </row>
    <row r="824" spans="29:31" x14ac:dyDescent="0.45">
      <c r="AC824" t="s">
        <v>19</v>
      </c>
      <c r="AD824" t="s">
        <v>1941</v>
      </c>
      <c r="AE824">
        <v>1.152889593267719E-4</v>
      </c>
    </row>
    <row r="825" spans="29:31" x14ac:dyDescent="0.45">
      <c r="AC825" t="s">
        <v>19</v>
      </c>
      <c r="AD825" t="s">
        <v>1942</v>
      </c>
      <c r="AE825">
        <v>1.152889593267719E-4</v>
      </c>
    </row>
    <row r="826" spans="29:31" x14ac:dyDescent="0.45">
      <c r="AC826" t="s">
        <v>19</v>
      </c>
      <c r="AD826" t="s">
        <v>1943</v>
      </c>
      <c r="AE826">
        <v>1.1530128596733263E-4</v>
      </c>
    </row>
    <row r="827" spans="29:31" x14ac:dyDescent="0.45">
      <c r="AC827" t="s">
        <v>19</v>
      </c>
      <c r="AD827" t="s">
        <v>1944</v>
      </c>
      <c r="AE827">
        <v>1.153090628607336E-4</v>
      </c>
    </row>
    <row r="828" spans="29:31" x14ac:dyDescent="0.45">
      <c r="AC828" t="s">
        <v>19</v>
      </c>
      <c r="AD828" t="s">
        <v>1945</v>
      </c>
      <c r="AE828">
        <v>1.153090628607336E-4</v>
      </c>
    </row>
    <row r="829" spans="29:31" x14ac:dyDescent="0.45">
      <c r="AC829" t="s">
        <v>19</v>
      </c>
      <c r="AD829" t="s">
        <v>1946</v>
      </c>
      <c r="AE829">
        <v>1.1530964480513778E-4</v>
      </c>
    </row>
    <row r="830" spans="29:31" x14ac:dyDescent="0.45">
      <c r="AC830" t="s">
        <v>19</v>
      </c>
      <c r="AD830" t="s">
        <v>1947</v>
      </c>
      <c r="AE830">
        <v>1.1532318823854356E-4</v>
      </c>
    </row>
    <row r="831" spans="29:31" x14ac:dyDescent="0.45">
      <c r="AC831" t="s">
        <v>19</v>
      </c>
      <c r="AD831" t="s">
        <v>1948</v>
      </c>
      <c r="AE831">
        <v>1.1664393751579189E-4</v>
      </c>
    </row>
    <row r="832" spans="29:31" x14ac:dyDescent="0.45">
      <c r="AC832" t="s">
        <v>19</v>
      </c>
      <c r="AD832" t="s">
        <v>1949</v>
      </c>
      <c r="AE832">
        <v>1.1672742008576977E-4</v>
      </c>
    </row>
    <row r="833" spans="29:31" x14ac:dyDescent="0.45">
      <c r="AC833" t="s">
        <v>19</v>
      </c>
      <c r="AD833" t="s">
        <v>1950</v>
      </c>
      <c r="AE833">
        <v>1.1640216606788382E-4</v>
      </c>
    </row>
    <row r="834" spans="29:31" x14ac:dyDescent="0.45">
      <c r="AC834" t="s">
        <v>19</v>
      </c>
      <c r="AD834" t="s">
        <v>1951</v>
      </c>
      <c r="AE834">
        <v>1.1540693532870515E-4</v>
      </c>
    </row>
    <row r="835" spans="29:31" x14ac:dyDescent="0.45">
      <c r="AC835" t="s">
        <v>19</v>
      </c>
      <c r="AD835" t="s">
        <v>1952</v>
      </c>
      <c r="AE835">
        <v>1.1422680498111539E-4</v>
      </c>
    </row>
    <row r="836" spans="29:31" x14ac:dyDescent="0.45">
      <c r="AC836" t="s">
        <v>19</v>
      </c>
      <c r="AD836" t="s">
        <v>1953</v>
      </c>
      <c r="AE836">
        <v>1.1274961846722283E-4</v>
      </c>
    </row>
    <row r="837" spans="29:31" x14ac:dyDescent="0.45">
      <c r="AC837" t="s">
        <v>19</v>
      </c>
      <c r="AD837" t="s">
        <v>1954</v>
      </c>
      <c r="AE837">
        <v>1.1108483423904537E-4</v>
      </c>
    </row>
    <row r="838" spans="29:31" x14ac:dyDescent="0.45">
      <c r="AC838" t="s">
        <v>19</v>
      </c>
      <c r="AD838" t="s">
        <v>1955</v>
      </c>
      <c r="AE838">
        <v>1.1072207125910978E-4</v>
      </c>
    </row>
    <row r="839" spans="29:31" x14ac:dyDescent="0.45">
      <c r="AC839" t="s">
        <v>19</v>
      </c>
      <c r="AD839" t="s">
        <v>1956</v>
      </c>
      <c r="AE839">
        <v>1.107237641882855E-4</v>
      </c>
    </row>
    <row r="840" spans="29:31" x14ac:dyDescent="0.45">
      <c r="AC840" t="s">
        <v>19</v>
      </c>
      <c r="AD840" t="s">
        <v>1957</v>
      </c>
      <c r="AE840">
        <v>1.107642886804294E-4</v>
      </c>
    </row>
    <row r="841" spans="29:31" x14ac:dyDescent="0.45">
      <c r="AC841" t="s">
        <v>19</v>
      </c>
      <c r="AD841" t="s">
        <v>1958</v>
      </c>
      <c r="AE841">
        <v>1.1133157866640712E-4</v>
      </c>
    </row>
    <row r="842" spans="29:31" x14ac:dyDescent="0.45">
      <c r="AC842" t="s">
        <v>19</v>
      </c>
      <c r="AD842" t="s">
        <v>1959</v>
      </c>
      <c r="AE842">
        <v>1.1243023679741516E-4</v>
      </c>
    </row>
    <row r="843" spans="29:31" x14ac:dyDescent="0.45">
      <c r="AC843" t="s">
        <v>19</v>
      </c>
      <c r="AD843" t="s">
        <v>339</v>
      </c>
      <c r="AE843">
        <v>2.4047245922384015E-2</v>
      </c>
    </row>
    <row r="844" spans="29:31" x14ac:dyDescent="0.45">
      <c r="AC844" t="s">
        <v>19</v>
      </c>
      <c r="AD844" t="s">
        <v>340</v>
      </c>
      <c r="AE844">
        <v>3.4613336324393596E-3</v>
      </c>
    </row>
    <row r="845" spans="29:31" x14ac:dyDescent="0.45">
      <c r="AC845" t="s">
        <v>19</v>
      </c>
      <c r="AD845" t="s">
        <v>341</v>
      </c>
      <c r="AE845">
        <v>3.4645307820917511E-3</v>
      </c>
    </row>
    <row r="846" spans="29:31" x14ac:dyDescent="0.45">
      <c r="AC846" t="s">
        <v>19</v>
      </c>
      <c r="AD846" t="s">
        <v>342</v>
      </c>
      <c r="AE846">
        <v>3.4648546606046815E-3</v>
      </c>
    </row>
    <row r="847" spans="29:31" x14ac:dyDescent="0.45">
      <c r="AC847" t="s">
        <v>19</v>
      </c>
      <c r="AD847" t="s">
        <v>343</v>
      </c>
      <c r="AE847">
        <v>2.4296747813948808E-2</v>
      </c>
    </row>
    <row r="848" spans="29:31" x14ac:dyDescent="0.45">
      <c r="AC848" t="s">
        <v>19</v>
      </c>
      <c r="AD848" t="s">
        <v>344</v>
      </c>
      <c r="AE848">
        <v>3.3643197440800989E-3</v>
      </c>
    </row>
    <row r="849" spans="29:31" x14ac:dyDescent="0.45">
      <c r="AC849" t="s">
        <v>19</v>
      </c>
      <c r="AD849" t="s">
        <v>345</v>
      </c>
      <c r="AE849">
        <v>3.3496627865089753E-3</v>
      </c>
    </row>
    <row r="850" spans="29:31" x14ac:dyDescent="0.45">
      <c r="AC850" t="s">
        <v>19</v>
      </c>
      <c r="AD850" t="s">
        <v>346</v>
      </c>
      <c r="AE850">
        <v>1.673032560778015E-2</v>
      </c>
    </row>
    <row r="851" spans="29:31" x14ac:dyDescent="0.45">
      <c r="AC851" t="s">
        <v>19</v>
      </c>
      <c r="AD851" t="s">
        <v>371</v>
      </c>
      <c r="AE851">
        <v>2.4846814757333059E-2</v>
      </c>
    </row>
    <row r="852" spans="29:31" x14ac:dyDescent="0.45">
      <c r="AC852" t="s">
        <v>19</v>
      </c>
      <c r="AD852" t="s">
        <v>372</v>
      </c>
      <c r="AE852">
        <v>3.5755023763067648E-3</v>
      </c>
    </row>
    <row r="853" spans="29:31" x14ac:dyDescent="0.45">
      <c r="AC853" t="s">
        <v>19</v>
      </c>
      <c r="AD853" t="s">
        <v>373</v>
      </c>
      <c r="AE853">
        <v>3.5813273223681366E-3</v>
      </c>
    </row>
    <row r="854" spans="29:31" x14ac:dyDescent="0.45">
      <c r="AC854" t="s">
        <v>19</v>
      </c>
      <c r="AD854" t="s">
        <v>374</v>
      </c>
      <c r="AE854">
        <v>3.5825068178672857E-3</v>
      </c>
    </row>
    <row r="855" spans="29:31" x14ac:dyDescent="0.45">
      <c r="AC855" t="s">
        <v>19</v>
      </c>
      <c r="AD855" t="s">
        <v>375</v>
      </c>
      <c r="AE855">
        <v>2.5148154722202914E-2</v>
      </c>
    </row>
    <row r="856" spans="29:31" x14ac:dyDescent="0.45">
      <c r="AC856" t="s">
        <v>19</v>
      </c>
      <c r="AD856" t="s">
        <v>376</v>
      </c>
      <c r="AE856">
        <v>3.4718163366417561E-3</v>
      </c>
    </row>
    <row r="857" spans="29:31" x14ac:dyDescent="0.45">
      <c r="AC857" t="s">
        <v>19</v>
      </c>
      <c r="AD857" t="s">
        <v>377</v>
      </c>
      <c r="AE857">
        <v>3.4418135051330631E-3</v>
      </c>
    </row>
    <row r="858" spans="29:31" x14ac:dyDescent="0.45">
      <c r="AC858" t="s">
        <v>19</v>
      </c>
      <c r="AD858" t="s">
        <v>378</v>
      </c>
      <c r="AE858">
        <v>1.7242212486628189E-2</v>
      </c>
    </row>
    <row r="859" spans="29:31" x14ac:dyDescent="0.45">
      <c r="AC859" t="s">
        <v>19</v>
      </c>
      <c r="AD859" t="s">
        <v>379</v>
      </c>
      <c r="AE859">
        <v>2.4019439855612758E-2</v>
      </c>
    </row>
    <row r="860" spans="29:31" x14ac:dyDescent="0.45">
      <c r="AC860" t="s">
        <v>19</v>
      </c>
      <c r="AD860" t="s">
        <v>380</v>
      </c>
      <c r="AE860">
        <v>3.4608594654614547E-3</v>
      </c>
    </row>
    <row r="861" spans="29:31" x14ac:dyDescent="0.45">
      <c r="AC861" t="s">
        <v>19</v>
      </c>
      <c r="AD861" t="s">
        <v>381</v>
      </c>
      <c r="AE861">
        <v>3.4625467339052473E-3</v>
      </c>
    </row>
    <row r="862" spans="29:31" x14ac:dyDescent="0.45">
      <c r="AC862" t="s">
        <v>19</v>
      </c>
      <c r="AD862" t="s">
        <v>382</v>
      </c>
      <c r="AE862">
        <v>3.4628481282025633E-3</v>
      </c>
    </row>
    <row r="863" spans="29:31" x14ac:dyDescent="0.45">
      <c r="AC863" t="s">
        <v>19</v>
      </c>
      <c r="AD863" t="s">
        <v>383</v>
      </c>
      <c r="AE863">
        <v>2.4268179929048471E-2</v>
      </c>
    </row>
    <row r="864" spans="29:31" x14ac:dyDescent="0.45">
      <c r="AC864" t="s">
        <v>19</v>
      </c>
      <c r="AD864" t="s">
        <v>384</v>
      </c>
      <c r="AE864">
        <v>3.3777992284088777E-3</v>
      </c>
    </row>
    <row r="865" spans="29:31" x14ac:dyDescent="0.45">
      <c r="AC865" t="s">
        <v>19</v>
      </c>
      <c r="AD865" t="s">
        <v>385</v>
      </c>
      <c r="AE865">
        <v>3.342921871858872E-3</v>
      </c>
    </row>
    <row r="866" spans="29:31" x14ac:dyDescent="0.45">
      <c r="AC866" t="s">
        <v>19</v>
      </c>
      <c r="AD866" t="s">
        <v>386</v>
      </c>
      <c r="AE866">
        <v>1.671059833394074E-2</v>
      </c>
    </row>
    <row r="867" spans="29:31" x14ac:dyDescent="0.45">
      <c r="AC867" t="s">
        <v>19</v>
      </c>
      <c r="AD867" t="s">
        <v>411</v>
      </c>
      <c r="AE867">
        <v>2.4805278682473533E-2</v>
      </c>
    </row>
    <row r="868" spans="29:31" x14ac:dyDescent="0.45">
      <c r="AC868" t="s">
        <v>19</v>
      </c>
      <c r="AD868" t="s">
        <v>412</v>
      </c>
      <c r="AE868">
        <v>3.5698886224987637E-3</v>
      </c>
    </row>
    <row r="869" spans="29:31" x14ac:dyDescent="0.45">
      <c r="AC869" t="s">
        <v>19</v>
      </c>
      <c r="AD869" t="s">
        <v>413</v>
      </c>
      <c r="AE869">
        <v>3.5749377837653602E-3</v>
      </c>
    </row>
    <row r="870" spans="29:31" x14ac:dyDescent="0.45">
      <c r="AC870" t="s">
        <v>19</v>
      </c>
      <c r="AD870" t="s">
        <v>414</v>
      </c>
      <c r="AE870">
        <v>3.5768624326220112E-3</v>
      </c>
    </row>
    <row r="871" spans="29:31" x14ac:dyDescent="0.45">
      <c r="AC871" t="s">
        <v>19</v>
      </c>
      <c r="AD871" t="s">
        <v>415</v>
      </c>
      <c r="AE871">
        <v>2.5077684953513202E-2</v>
      </c>
    </row>
    <row r="872" spans="29:31" x14ac:dyDescent="0.45">
      <c r="AC872" t="s">
        <v>19</v>
      </c>
      <c r="AD872" t="s">
        <v>416</v>
      </c>
      <c r="AE872">
        <v>3.4962142493165835E-3</v>
      </c>
    </row>
    <row r="873" spans="29:31" x14ac:dyDescent="0.45">
      <c r="AC873" t="s">
        <v>19</v>
      </c>
      <c r="AD873" t="s">
        <v>417</v>
      </c>
      <c r="AE873">
        <v>3.4560444787390446E-3</v>
      </c>
    </row>
    <row r="874" spans="29:31" x14ac:dyDescent="0.45">
      <c r="AC874" t="s">
        <v>19</v>
      </c>
      <c r="AD874" t="s">
        <v>418</v>
      </c>
      <c r="AE874">
        <v>1.7272027717116094E-2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64DFC-78D2-477A-ABBE-6D3C6DC15B01}">
  <dimension ref="A9:AN97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105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122</v>
      </c>
      <c r="K10" t="s">
        <v>248</v>
      </c>
      <c r="L10" t="s">
        <v>30</v>
      </c>
      <c r="N10" t="s">
        <v>13</v>
      </c>
      <c r="O10" t="s">
        <v>122</v>
      </c>
      <c r="P10" t="s">
        <v>248</v>
      </c>
      <c r="Q10" t="s">
        <v>30</v>
      </c>
      <c r="S10" t="s">
        <v>13</v>
      </c>
      <c r="T10" t="s">
        <v>122</v>
      </c>
      <c r="U10" t="s">
        <v>248</v>
      </c>
      <c r="V10" t="s">
        <v>30</v>
      </c>
      <c r="X10" t="s">
        <v>421</v>
      </c>
      <c r="Y10" t="s">
        <v>248</v>
      </c>
      <c r="Z10" t="s">
        <v>122</v>
      </c>
      <c r="AA10" t="s">
        <v>13</v>
      </c>
      <c r="AC10" t="s">
        <v>13</v>
      </c>
      <c r="AD10" t="s">
        <v>122</v>
      </c>
      <c r="AE10" t="s">
        <v>248</v>
      </c>
      <c r="AG10" t="s">
        <v>13</v>
      </c>
      <c r="AH10" t="s">
        <v>122</v>
      </c>
      <c r="AI10" t="s">
        <v>427</v>
      </c>
      <c r="AK10" t="s">
        <v>47</v>
      </c>
      <c r="AL10" t="s">
        <v>122</v>
      </c>
      <c r="AM10" t="s">
        <v>428</v>
      </c>
      <c r="AN10" t="s">
        <v>429</v>
      </c>
    </row>
    <row r="11" spans="1:40" x14ac:dyDescent="0.45">
      <c r="A11" t="str">
        <f>IFERROR(IF(Veda!D5=A10,"ok","x"),"")</f>
        <v>x</v>
      </c>
      <c r="C11" t="s">
        <v>151</v>
      </c>
      <c r="D11" t="s">
        <v>152</v>
      </c>
      <c r="E11" t="s">
        <v>1311</v>
      </c>
      <c r="F11" t="s">
        <v>154</v>
      </c>
      <c r="G11" t="s">
        <v>155</v>
      </c>
      <c r="I11" t="s">
        <v>249</v>
      </c>
      <c r="J11" t="s">
        <v>250</v>
      </c>
      <c r="K11">
        <v>0</v>
      </c>
      <c r="L11" t="s">
        <v>251</v>
      </c>
      <c r="N11" t="s">
        <v>419</v>
      </c>
      <c r="O11" t="s">
        <v>250</v>
      </c>
      <c r="P11">
        <v>1.6534281361282488E-2</v>
      </c>
      <c r="Q11" t="s">
        <v>251</v>
      </c>
      <c r="S11" t="s">
        <v>420</v>
      </c>
      <c r="T11" t="s">
        <v>250</v>
      </c>
      <c r="U11">
        <v>1.7647212124224758E-2</v>
      </c>
      <c r="V11" t="s">
        <v>251</v>
      </c>
      <c r="X11">
        <v>2.2374429223744292E-2</v>
      </c>
      <c r="Y11">
        <v>8.8360722306474754E-3</v>
      </c>
      <c r="Z11" t="s">
        <v>250</v>
      </c>
      <c r="AA11" t="s">
        <v>25</v>
      </c>
      <c r="AC11" t="s">
        <v>22</v>
      </c>
      <c r="AD11" t="s">
        <v>250</v>
      </c>
      <c r="AE11">
        <v>1.7535550180817903E-2</v>
      </c>
      <c r="AG11" t="s">
        <v>97</v>
      </c>
      <c r="AH11" t="s">
        <v>250</v>
      </c>
      <c r="AI11">
        <v>0.10315035207274637</v>
      </c>
      <c r="AK11">
        <v>2020</v>
      </c>
      <c r="AL11" t="s">
        <v>151</v>
      </c>
      <c r="AM11">
        <v>0.2698110913113228</v>
      </c>
      <c r="AN11" t="s">
        <v>430</v>
      </c>
    </row>
    <row r="12" spans="1:40" x14ac:dyDescent="0.45">
      <c r="C12" t="s">
        <v>156</v>
      </c>
      <c r="D12" t="s">
        <v>155</v>
      </c>
      <c r="E12" t="s">
        <v>1312</v>
      </c>
      <c r="F12" t="s">
        <v>1313</v>
      </c>
      <c r="G12" t="s">
        <v>155</v>
      </c>
      <c r="I12" t="s">
        <v>249</v>
      </c>
      <c r="J12" t="s">
        <v>252</v>
      </c>
      <c r="K12">
        <v>1.4220819234940043E-3</v>
      </c>
      <c r="L12" t="s">
        <v>251</v>
      </c>
      <c r="N12" t="s">
        <v>419</v>
      </c>
      <c r="O12" t="s">
        <v>252</v>
      </c>
      <c r="P12">
        <v>1.7773785158014582E-3</v>
      </c>
      <c r="Q12" t="s">
        <v>251</v>
      </c>
      <c r="S12" t="s">
        <v>420</v>
      </c>
      <c r="T12" t="s">
        <v>252</v>
      </c>
      <c r="U12">
        <v>2.3461545018590331E-3</v>
      </c>
      <c r="V12" t="s">
        <v>251</v>
      </c>
      <c r="X12">
        <v>3.1963470319634705E-3</v>
      </c>
      <c r="Y12">
        <v>5.3369133746032542E-3</v>
      </c>
      <c r="Z12" t="s">
        <v>252</v>
      </c>
      <c r="AA12" t="s">
        <v>25</v>
      </c>
      <c r="AC12" t="s">
        <v>22</v>
      </c>
      <c r="AD12" t="s">
        <v>252</v>
      </c>
      <c r="AE12">
        <v>2.8451978337477894E-3</v>
      </c>
      <c r="AG12" t="s">
        <v>97</v>
      </c>
      <c r="AH12" t="s">
        <v>252</v>
      </c>
      <c r="AI12">
        <v>2.9990121533755465E-2</v>
      </c>
      <c r="AK12">
        <v>2020</v>
      </c>
      <c r="AL12" t="s">
        <v>156</v>
      </c>
      <c r="AM12">
        <v>0.28091924024938381</v>
      </c>
      <c r="AN12" t="s">
        <v>430</v>
      </c>
    </row>
    <row r="13" spans="1:40" x14ac:dyDescent="0.45">
      <c r="C13" t="s">
        <v>159</v>
      </c>
      <c r="D13" t="s">
        <v>160</v>
      </c>
      <c r="E13" t="s">
        <v>1314</v>
      </c>
      <c r="F13" t="s">
        <v>158</v>
      </c>
      <c r="G13" t="s">
        <v>155</v>
      </c>
      <c r="I13" t="s">
        <v>249</v>
      </c>
      <c r="J13" t="s">
        <v>253</v>
      </c>
      <c r="K13">
        <v>5.7078242027104997E-3</v>
      </c>
      <c r="L13" t="s">
        <v>251</v>
      </c>
      <c r="N13" t="s">
        <v>419</v>
      </c>
      <c r="O13" t="s">
        <v>253</v>
      </c>
      <c r="P13">
        <v>1.2112340331030048E-3</v>
      </c>
      <c r="Q13" t="s">
        <v>251</v>
      </c>
      <c r="S13" t="s">
        <v>420</v>
      </c>
      <c r="T13" t="s">
        <v>253</v>
      </c>
      <c r="U13">
        <v>2.2729993597109593E-3</v>
      </c>
      <c r="V13" t="s">
        <v>251</v>
      </c>
      <c r="X13">
        <v>3.1963470319634705E-3</v>
      </c>
      <c r="Y13">
        <v>4.0838989301311864E-3</v>
      </c>
      <c r="Z13" t="s">
        <v>253</v>
      </c>
      <c r="AA13" t="s">
        <v>25</v>
      </c>
      <c r="AC13" t="s">
        <v>22</v>
      </c>
      <c r="AD13" t="s">
        <v>253</v>
      </c>
      <c r="AE13">
        <v>2.9183876764726801E-3</v>
      </c>
      <c r="AG13" t="s">
        <v>97</v>
      </c>
      <c r="AH13" t="s">
        <v>253</v>
      </c>
      <c r="AI13">
        <v>5.8805228892234718E-2</v>
      </c>
      <c r="AK13">
        <v>2020</v>
      </c>
      <c r="AL13" t="s">
        <v>159</v>
      </c>
      <c r="AM13">
        <v>0.28179619937607281</v>
      </c>
      <c r="AN13" t="s">
        <v>430</v>
      </c>
    </row>
    <row r="14" spans="1:40" x14ac:dyDescent="0.45">
      <c r="C14" t="s">
        <v>163</v>
      </c>
      <c r="D14" t="s">
        <v>164</v>
      </c>
      <c r="E14" t="s">
        <v>1315</v>
      </c>
      <c r="F14" t="s">
        <v>162</v>
      </c>
      <c r="G14" t="s">
        <v>155</v>
      </c>
      <c r="I14" t="s">
        <v>249</v>
      </c>
      <c r="J14" t="s">
        <v>254</v>
      </c>
      <c r="K14">
        <v>8.1737947096809996E-3</v>
      </c>
      <c r="L14" t="s">
        <v>251</v>
      </c>
      <c r="N14" t="s">
        <v>419</v>
      </c>
      <c r="O14" t="s">
        <v>254</v>
      </c>
      <c r="P14">
        <v>9.4318397115850713E-4</v>
      </c>
      <c r="Q14" t="s">
        <v>251</v>
      </c>
      <c r="S14" t="s">
        <v>420</v>
      </c>
      <c r="T14" t="s">
        <v>254</v>
      </c>
      <c r="U14">
        <v>2.1895007798553739E-3</v>
      </c>
      <c r="V14" t="s">
        <v>251</v>
      </c>
      <c r="X14">
        <v>3.1963470319634705E-3</v>
      </c>
      <c r="Y14">
        <v>4.0467725762209023E-3</v>
      </c>
      <c r="Z14" t="s">
        <v>254</v>
      </c>
      <c r="AA14" t="s">
        <v>25</v>
      </c>
      <c r="AC14" t="s">
        <v>22</v>
      </c>
      <c r="AD14" t="s">
        <v>254</v>
      </c>
      <c r="AE14">
        <v>2.9616061382205525E-3</v>
      </c>
      <c r="AG14" t="s">
        <v>97</v>
      </c>
      <c r="AH14" t="s">
        <v>254</v>
      </c>
      <c r="AI14">
        <v>6.344270461711865E-2</v>
      </c>
      <c r="AK14">
        <v>2020</v>
      </c>
      <c r="AL14" t="s">
        <v>163</v>
      </c>
      <c r="AM14">
        <v>0.3265308588275096</v>
      </c>
      <c r="AN14" t="s">
        <v>430</v>
      </c>
    </row>
    <row r="15" spans="1:40" x14ac:dyDescent="0.45">
      <c r="C15" t="s">
        <v>167</v>
      </c>
      <c r="D15" t="s">
        <v>435</v>
      </c>
      <c r="E15" t="s">
        <v>1316</v>
      </c>
      <c r="F15" t="s">
        <v>162</v>
      </c>
      <c r="G15" t="s">
        <v>155</v>
      </c>
      <c r="I15" t="s">
        <v>249</v>
      </c>
      <c r="J15" t="s">
        <v>255</v>
      </c>
      <c r="K15">
        <v>6.1913779496867903E-2</v>
      </c>
      <c r="L15" t="s">
        <v>251</v>
      </c>
      <c r="N15" t="s">
        <v>419</v>
      </c>
      <c r="O15" t="s">
        <v>255</v>
      </c>
      <c r="P15">
        <v>5.9066067167927415E-3</v>
      </c>
      <c r="Q15" t="s">
        <v>251</v>
      </c>
      <c r="S15" t="s">
        <v>420</v>
      </c>
      <c r="T15" t="s">
        <v>255</v>
      </c>
      <c r="U15">
        <v>1.3246037100442759E-2</v>
      </c>
      <c r="V15" t="s">
        <v>251</v>
      </c>
      <c r="X15">
        <v>2.2374429223744292E-2</v>
      </c>
      <c r="Y15">
        <v>3.1297516346368993E-2</v>
      </c>
      <c r="Z15" t="s">
        <v>255</v>
      </c>
      <c r="AA15" t="s">
        <v>25</v>
      </c>
      <c r="AC15" t="s">
        <v>22</v>
      </c>
      <c r="AD15" t="s">
        <v>255</v>
      </c>
      <c r="AE15">
        <v>2.2657213646678446E-2</v>
      </c>
      <c r="AG15" t="s">
        <v>97</v>
      </c>
      <c r="AH15" t="s">
        <v>255</v>
      </c>
      <c r="AI15">
        <v>8.543767429288418E-2</v>
      </c>
      <c r="AK15">
        <v>2020</v>
      </c>
      <c r="AL15" t="s">
        <v>167</v>
      </c>
      <c r="AM15">
        <v>0.43263316916658479</v>
      </c>
      <c r="AN15" t="s">
        <v>430</v>
      </c>
    </row>
    <row r="16" spans="1:40" x14ac:dyDescent="0.45">
      <c r="C16" t="s">
        <v>169</v>
      </c>
      <c r="E16" t="s">
        <v>1317</v>
      </c>
      <c r="G16" t="s">
        <v>155</v>
      </c>
      <c r="I16" t="s">
        <v>249</v>
      </c>
      <c r="J16" t="s">
        <v>256</v>
      </c>
      <c r="K16">
        <v>5.7282587289227997E-3</v>
      </c>
      <c r="L16" t="s">
        <v>251</v>
      </c>
      <c r="N16" t="s">
        <v>419</v>
      </c>
      <c r="O16" t="s">
        <v>256</v>
      </c>
      <c r="P16">
        <v>1.046753196707632E-3</v>
      </c>
      <c r="Q16" t="s">
        <v>251</v>
      </c>
      <c r="S16" t="s">
        <v>420</v>
      </c>
      <c r="T16" t="s">
        <v>256</v>
      </c>
      <c r="U16">
        <v>2.0716541997032279E-3</v>
      </c>
      <c r="V16" t="s">
        <v>251</v>
      </c>
      <c r="X16">
        <v>3.1963470319634705E-3</v>
      </c>
      <c r="Y16">
        <v>6.2186642799724884E-3</v>
      </c>
      <c r="Z16" t="s">
        <v>256</v>
      </c>
      <c r="AA16" t="s">
        <v>25</v>
      </c>
      <c r="AC16" t="s">
        <v>22</v>
      </c>
      <c r="AD16" t="s">
        <v>256</v>
      </c>
      <c r="AE16">
        <v>1.8600439668770468E-3</v>
      </c>
      <c r="AG16" t="s">
        <v>97</v>
      </c>
      <c r="AH16" t="s">
        <v>256</v>
      </c>
      <c r="AI16">
        <v>0.12747288680582058</v>
      </c>
      <c r="AK16">
        <v>2020</v>
      </c>
      <c r="AL16" t="s">
        <v>169</v>
      </c>
      <c r="AM16">
        <v>0.53857957566091541</v>
      </c>
      <c r="AN16" t="s">
        <v>430</v>
      </c>
    </row>
    <row r="17" spans="3:40" x14ac:dyDescent="0.45">
      <c r="C17" t="s">
        <v>171</v>
      </c>
      <c r="E17" t="s">
        <v>1318</v>
      </c>
      <c r="G17" t="s">
        <v>155</v>
      </c>
      <c r="I17" t="s">
        <v>249</v>
      </c>
      <c r="J17" t="s">
        <v>257</v>
      </c>
      <c r="K17">
        <v>1.6993322674735715E-3</v>
      </c>
      <c r="L17" t="s">
        <v>251</v>
      </c>
      <c r="N17" t="s">
        <v>419</v>
      </c>
      <c r="O17" t="s">
        <v>257</v>
      </c>
      <c r="P17">
        <v>1.5871901314538914E-3</v>
      </c>
      <c r="Q17" t="s">
        <v>251</v>
      </c>
      <c r="S17" t="s">
        <v>420</v>
      </c>
      <c r="T17" t="s">
        <v>257</v>
      </c>
      <c r="U17">
        <v>2.1927650641661378E-3</v>
      </c>
      <c r="V17" t="s">
        <v>251</v>
      </c>
      <c r="X17">
        <v>3.1963470319634705E-3</v>
      </c>
      <c r="Y17">
        <v>4.8264260083368555E-3</v>
      </c>
      <c r="Z17" t="s">
        <v>257</v>
      </c>
      <c r="AA17" t="s">
        <v>25</v>
      </c>
      <c r="AC17" t="s">
        <v>22</v>
      </c>
      <c r="AD17" t="s">
        <v>257</v>
      </c>
      <c r="AE17">
        <v>8.2018600699966461E-4</v>
      </c>
      <c r="AG17" t="s">
        <v>97</v>
      </c>
      <c r="AH17" t="s">
        <v>257</v>
      </c>
      <c r="AI17">
        <v>2.6434178770731842E-2</v>
      </c>
      <c r="AK17">
        <v>2020</v>
      </c>
      <c r="AL17" t="s">
        <v>171</v>
      </c>
      <c r="AM17">
        <v>0.55540744690304811</v>
      </c>
      <c r="AN17" t="s">
        <v>430</v>
      </c>
    </row>
    <row r="18" spans="3:40" x14ac:dyDescent="0.45">
      <c r="C18" t="s">
        <v>158</v>
      </c>
      <c r="E18" t="s">
        <v>1319</v>
      </c>
      <c r="G18" t="s">
        <v>155</v>
      </c>
      <c r="I18" t="s">
        <v>249</v>
      </c>
      <c r="J18" t="s">
        <v>258</v>
      </c>
      <c r="K18">
        <v>0</v>
      </c>
      <c r="L18" t="s">
        <v>251</v>
      </c>
      <c r="N18" t="s">
        <v>419</v>
      </c>
      <c r="O18" t="s">
        <v>258</v>
      </c>
      <c r="P18">
        <v>1.3445260805011574E-2</v>
      </c>
      <c r="Q18" t="s">
        <v>251</v>
      </c>
      <c r="S18" t="s">
        <v>420</v>
      </c>
      <c r="T18" t="s">
        <v>258</v>
      </c>
      <c r="U18">
        <v>1.1967646107759388E-2</v>
      </c>
      <c r="V18" t="s">
        <v>251</v>
      </c>
      <c r="X18">
        <v>1.5981735159817351E-2</v>
      </c>
      <c r="Y18">
        <v>1.2066065020842141E-2</v>
      </c>
      <c r="Z18" t="s">
        <v>258</v>
      </c>
      <c r="AA18" t="s">
        <v>25</v>
      </c>
      <c r="AC18" t="s">
        <v>22</v>
      </c>
      <c r="AD18" t="s">
        <v>258</v>
      </c>
      <c r="AE18">
        <v>4.3874023346792213E-3</v>
      </c>
      <c r="AG18" t="s">
        <v>97</v>
      </c>
      <c r="AH18" t="s">
        <v>258</v>
      </c>
      <c r="AI18">
        <v>0.14443570876995038</v>
      </c>
      <c r="AK18">
        <v>2020</v>
      </c>
      <c r="AL18" t="s">
        <v>158</v>
      </c>
      <c r="AM18">
        <v>0.59107045138840164</v>
      </c>
      <c r="AN18" t="s">
        <v>430</v>
      </c>
    </row>
    <row r="19" spans="3:40" x14ac:dyDescent="0.45">
      <c r="C19" t="s">
        <v>162</v>
      </c>
      <c r="E19" t="s">
        <v>1320</v>
      </c>
      <c r="G19" t="s">
        <v>155</v>
      </c>
      <c r="I19" t="s">
        <v>249</v>
      </c>
      <c r="J19" t="s">
        <v>1624</v>
      </c>
      <c r="K19">
        <v>0</v>
      </c>
      <c r="L19" t="s">
        <v>251</v>
      </c>
      <c r="N19" t="s">
        <v>419</v>
      </c>
      <c r="O19" t="s">
        <v>1624</v>
      </c>
      <c r="P19">
        <v>8.5809271561571154E-5</v>
      </c>
      <c r="Q19" t="s">
        <v>251</v>
      </c>
      <c r="S19" t="s">
        <v>420</v>
      </c>
      <c r="T19" t="s">
        <v>1624</v>
      </c>
      <c r="U19">
        <v>7.0701551321084515E-5</v>
      </c>
      <c r="V19" t="s">
        <v>251</v>
      </c>
      <c r="X19">
        <v>1.1415525114155251E-4</v>
      </c>
      <c r="Y19">
        <v>2.1546544680075254E-5</v>
      </c>
      <c r="Z19" t="s">
        <v>1624</v>
      </c>
      <c r="AA19" t="s">
        <v>25</v>
      </c>
      <c r="AC19" t="s">
        <v>22</v>
      </c>
      <c r="AD19" t="s">
        <v>1624</v>
      </c>
      <c r="AE19">
        <v>5.9359275558770157E-5</v>
      </c>
      <c r="AG19" t="s">
        <v>97</v>
      </c>
      <c r="AH19" t="s">
        <v>1624</v>
      </c>
      <c r="AI19">
        <v>0</v>
      </c>
      <c r="AK19">
        <v>2020</v>
      </c>
      <c r="AL19" t="s">
        <v>162</v>
      </c>
      <c r="AM19">
        <v>0.61228311826397963</v>
      </c>
      <c r="AN19" t="s">
        <v>430</v>
      </c>
    </row>
    <row r="20" spans="3:40" x14ac:dyDescent="0.45">
      <c r="C20" t="s">
        <v>175</v>
      </c>
      <c r="E20" t="s">
        <v>1321</v>
      </c>
      <c r="G20" t="s">
        <v>155</v>
      </c>
      <c r="I20" t="s">
        <v>249</v>
      </c>
      <c r="J20" t="s">
        <v>1625</v>
      </c>
      <c r="K20">
        <v>0</v>
      </c>
      <c r="L20" t="s">
        <v>251</v>
      </c>
      <c r="N20" t="s">
        <v>419</v>
      </c>
      <c r="O20" t="s">
        <v>1625</v>
      </c>
      <c r="P20">
        <v>7.8574174228746946E-5</v>
      </c>
      <c r="Q20" t="s">
        <v>251</v>
      </c>
      <c r="S20" t="s">
        <v>420</v>
      </c>
      <c r="T20" t="s">
        <v>1625</v>
      </c>
      <c r="U20">
        <v>6.8299216845767733E-5</v>
      </c>
      <c r="V20" t="s">
        <v>251</v>
      </c>
      <c r="X20">
        <v>1.1415525114155251E-4</v>
      </c>
      <c r="Y20">
        <v>1.4916838624667481E-5</v>
      </c>
      <c r="Z20" t="s">
        <v>1625</v>
      </c>
      <c r="AA20" t="s">
        <v>25</v>
      </c>
      <c r="AC20" t="s">
        <v>22</v>
      </c>
      <c r="AD20" t="s">
        <v>1625</v>
      </c>
      <c r="AE20">
        <v>7.9502860111927697E-5</v>
      </c>
      <c r="AG20" t="s">
        <v>97</v>
      </c>
      <c r="AH20" t="s">
        <v>1625</v>
      </c>
      <c r="AI20">
        <v>0</v>
      </c>
      <c r="AK20">
        <v>2020</v>
      </c>
      <c r="AL20" t="s">
        <v>175</v>
      </c>
      <c r="AM20">
        <v>0.41918646255735309</v>
      </c>
      <c r="AN20" t="s">
        <v>430</v>
      </c>
    </row>
    <row r="21" spans="3:40" x14ac:dyDescent="0.45">
      <c r="C21" t="s">
        <v>166</v>
      </c>
      <c r="E21" t="s">
        <v>1322</v>
      </c>
      <c r="G21" t="s">
        <v>155</v>
      </c>
      <c r="I21" t="s">
        <v>249</v>
      </c>
      <c r="J21" t="s">
        <v>1626</v>
      </c>
      <c r="K21">
        <v>0</v>
      </c>
      <c r="L21" t="s">
        <v>251</v>
      </c>
      <c r="N21" t="s">
        <v>419</v>
      </c>
      <c r="O21" t="s">
        <v>1626</v>
      </c>
      <c r="P21">
        <v>7.3572495325552309E-5</v>
      </c>
      <c r="Q21" t="s">
        <v>251</v>
      </c>
      <c r="S21" t="s">
        <v>420</v>
      </c>
      <c r="T21" t="s">
        <v>1626</v>
      </c>
      <c r="U21">
        <v>6.7444542120545327E-5</v>
      </c>
      <c r="V21" t="s">
        <v>251</v>
      </c>
      <c r="X21">
        <v>1.1415525114155251E-4</v>
      </c>
      <c r="Y21">
        <v>1.6574265138519424E-5</v>
      </c>
      <c r="Z21" t="s">
        <v>1626</v>
      </c>
      <c r="AA21" t="s">
        <v>25</v>
      </c>
      <c r="AC21" t="s">
        <v>22</v>
      </c>
      <c r="AD21" t="s">
        <v>1626</v>
      </c>
      <c r="AE21">
        <v>9.4671826024053765E-5</v>
      </c>
      <c r="AG21" t="s">
        <v>97</v>
      </c>
      <c r="AH21" t="s">
        <v>1626</v>
      </c>
      <c r="AI21">
        <v>0</v>
      </c>
      <c r="AK21">
        <v>2020</v>
      </c>
      <c r="AL21" t="s">
        <v>166</v>
      </c>
      <c r="AM21">
        <v>0.28001304915180508</v>
      </c>
      <c r="AN21" t="s">
        <v>430</v>
      </c>
    </row>
    <row r="22" spans="3:40" x14ac:dyDescent="0.45">
      <c r="C22" t="s">
        <v>178</v>
      </c>
      <c r="E22" t="s">
        <v>1323</v>
      </c>
      <c r="G22" t="s">
        <v>155</v>
      </c>
      <c r="I22" t="s">
        <v>249</v>
      </c>
      <c r="J22" t="s">
        <v>1627</v>
      </c>
      <c r="K22">
        <v>0</v>
      </c>
      <c r="L22" t="s">
        <v>251</v>
      </c>
      <c r="N22" t="s">
        <v>419</v>
      </c>
      <c r="O22" t="s">
        <v>1627</v>
      </c>
      <c r="P22">
        <v>6.7276220556189981E-5</v>
      </c>
      <c r="Q22" t="s">
        <v>251</v>
      </c>
      <c r="S22" t="s">
        <v>420</v>
      </c>
      <c r="T22" t="s">
        <v>1627</v>
      </c>
      <c r="U22">
        <v>6.4204701132275553E-5</v>
      </c>
      <c r="V22" t="s">
        <v>251</v>
      </c>
      <c r="X22">
        <v>1.1415525114155251E-4</v>
      </c>
      <c r="Y22">
        <v>1.4585353321897093E-5</v>
      </c>
      <c r="Z22" t="s">
        <v>1627</v>
      </c>
      <c r="AA22" t="s">
        <v>25</v>
      </c>
      <c r="AC22" t="s">
        <v>22</v>
      </c>
      <c r="AD22" t="s">
        <v>1627</v>
      </c>
      <c r="AE22">
        <v>1.0305681592156833E-4</v>
      </c>
      <c r="AG22" t="s">
        <v>97</v>
      </c>
      <c r="AH22" t="s">
        <v>1627</v>
      </c>
      <c r="AI22">
        <v>0</v>
      </c>
      <c r="AK22">
        <v>2020</v>
      </c>
      <c r="AL22" t="s">
        <v>178</v>
      </c>
      <c r="AM22">
        <v>0.25899526208215817</v>
      </c>
      <c r="AN22" t="s">
        <v>430</v>
      </c>
    </row>
    <row r="23" spans="3:40" x14ac:dyDescent="0.45">
      <c r="E23" t="s">
        <v>1324</v>
      </c>
      <c r="G23" t="s">
        <v>155</v>
      </c>
      <c r="I23" t="s">
        <v>249</v>
      </c>
      <c r="J23" t="s">
        <v>1628</v>
      </c>
      <c r="K23">
        <v>0</v>
      </c>
      <c r="L23" t="s">
        <v>251</v>
      </c>
      <c r="N23" t="s">
        <v>419</v>
      </c>
      <c r="O23" t="s">
        <v>1628</v>
      </c>
      <c r="P23">
        <v>6.4990247345323761E-5</v>
      </c>
      <c r="Q23" t="s">
        <v>251</v>
      </c>
      <c r="S23" t="s">
        <v>420</v>
      </c>
      <c r="T23" t="s">
        <v>1628</v>
      </c>
      <c r="U23">
        <v>6.2087938193274294E-5</v>
      </c>
      <c r="V23" t="s">
        <v>251</v>
      </c>
      <c r="X23">
        <v>1.1415525114155251E-4</v>
      </c>
      <c r="Y23">
        <v>2.1215059377304864E-5</v>
      </c>
      <c r="Z23" t="s">
        <v>1628</v>
      </c>
      <c r="AA23" t="s">
        <v>25</v>
      </c>
      <c r="AC23" t="s">
        <v>22</v>
      </c>
      <c r="AD23" t="s">
        <v>1628</v>
      </c>
      <c r="AE23">
        <v>1.0521601209767561E-4</v>
      </c>
      <c r="AG23" t="s">
        <v>97</v>
      </c>
      <c r="AH23" t="s">
        <v>1628</v>
      </c>
      <c r="AI23">
        <v>0</v>
      </c>
      <c r="AK23">
        <v>2021</v>
      </c>
      <c r="AL23" t="s">
        <v>151</v>
      </c>
      <c r="AM23">
        <v>0.24537183889815969</v>
      </c>
      <c r="AN23" t="s">
        <v>430</v>
      </c>
    </row>
    <row r="24" spans="3:40" x14ac:dyDescent="0.45">
      <c r="E24" t="s">
        <v>1325</v>
      </c>
      <c r="G24" t="s">
        <v>155</v>
      </c>
      <c r="I24" t="s">
        <v>249</v>
      </c>
      <c r="J24" t="s">
        <v>1629</v>
      </c>
      <c r="K24">
        <v>0</v>
      </c>
      <c r="L24" t="s">
        <v>251</v>
      </c>
      <c r="N24" t="s">
        <v>419</v>
      </c>
      <c r="O24" t="s">
        <v>1629</v>
      </c>
      <c r="P24">
        <v>6.0782031171106767E-5</v>
      </c>
      <c r="Q24" t="s">
        <v>251</v>
      </c>
      <c r="S24" t="s">
        <v>420</v>
      </c>
      <c r="T24" t="s">
        <v>1629</v>
      </c>
      <c r="U24">
        <v>6.1546733857671147E-5</v>
      </c>
      <c r="V24" t="s">
        <v>251</v>
      </c>
      <c r="X24">
        <v>1.1415525114155251E-4</v>
      </c>
      <c r="Y24">
        <v>5.7678442682047593E-5</v>
      </c>
      <c r="Z24" t="s">
        <v>1629</v>
      </c>
      <c r="AA24" t="s">
        <v>25</v>
      </c>
      <c r="AC24" t="s">
        <v>22</v>
      </c>
      <c r="AD24" t="s">
        <v>1629</v>
      </c>
      <c r="AE24">
        <v>1.0747325226939559E-4</v>
      </c>
      <c r="AG24" t="s">
        <v>97</v>
      </c>
      <c r="AH24" t="s">
        <v>1629</v>
      </c>
      <c r="AI24">
        <v>0</v>
      </c>
      <c r="AK24">
        <v>2021</v>
      </c>
      <c r="AL24" t="s">
        <v>156</v>
      </c>
      <c r="AM24">
        <v>0.24748569799873779</v>
      </c>
      <c r="AN24" t="s">
        <v>430</v>
      </c>
    </row>
    <row r="25" spans="3:40" x14ac:dyDescent="0.45">
      <c r="E25" t="s">
        <v>1326</v>
      </c>
      <c r="G25" t="s">
        <v>155</v>
      </c>
      <c r="I25" t="s">
        <v>249</v>
      </c>
      <c r="J25" t="s">
        <v>1630</v>
      </c>
      <c r="K25">
        <v>0</v>
      </c>
      <c r="L25" t="s">
        <v>251</v>
      </c>
      <c r="N25" t="s">
        <v>419</v>
      </c>
      <c r="O25" t="s">
        <v>1630</v>
      </c>
      <c r="P25">
        <v>5.4208528086520862E-5</v>
      </c>
      <c r="Q25" t="s">
        <v>251</v>
      </c>
      <c r="S25" t="s">
        <v>420</v>
      </c>
      <c r="T25" t="s">
        <v>1630</v>
      </c>
      <c r="U25">
        <v>6.0413337797758365E-5</v>
      </c>
      <c r="V25" t="s">
        <v>251</v>
      </c>
      <c r="X25">
        <v>1.1415525114155251E-4</v>
      </c>
      <c r="Y25">
        <v>1.6905750441289813E-4</v>
      </c>
      <c r="Z25" t="s">
        <v>1630</v>
      </c>
      <c r="AA25" t="s">
        <v>25</v>
      </c>
      <c r="AC25" t="s">
        <v>22</v>
      </c>
      <c r="AD25" t="s">
        <v>1630</v>
      </c>
      <c r="AE25">
        <v>1.0644156204283455E-4</v>
      </c>
      <c r="AG25" t="s">
        <v>97</v>
      </c>
      <c r="AH25" t="s">
        <v>1630</v>
      </c>
      <c r="AI25">
        <v>0</v>
      </c>
      <c r="AK25">
        <v>2021</v>
      </c>
      <c r="AL25" t="s">
        <v>159</v>
      </c>
      <c r="AM25">
        <v>0.25370413787713708</v>
      </c>
      <c r="AN25" t="s">
        <v>430</v>
      </c>
    </row>
    <row r="26" spans="3:40" x14ac:dyDescent="0.45">
      <c r="E26" t="s">
        <v>1327</v>
      </c>
      <c r="G26" t="s">
        <v>155</v>
      </c>
      <c r="I26" t="s">
        <v>249</v>
      </c>
      <c r="J26" t="s">
        <v>1631</v>
      </c>
      <c r="K26">
        <v>4.9579274731957067E-5</v>
      </c>
      <c r="L26" t="s">
        <v>251</v>
      </c>
      <c r="N26" t="s">
        <v>419</v>
      </c>
      <c r="O26" t="s">
        <v>1631</v>
      </c>
      <c r="P26">
        <v>4.7383299813161477E-5</v>
      </c>
      <c r="Q26" t="s">
        <v>251</v>
      </c>
      <c r="S26" t="s">
        <v>420</v>
      </c>
      <c r="T26" t="s">
        <v>1631</v>
      </c>
      <c r="U26">
        <v>5.8472212970843447E-5</v>
      </c>
      <c r="V26" t="s">
        <v>251</v>
      </c>
      <c r="X26">
        <v>1.1415525114155251E-4</v>
      </c>
      <c r="Y26">
        <v>1.9060404909297337E-4</v>
      </c>
      <c r="Z26" t="s">
        <v>1631</v>
      </c>
      <c r="AA26" t="s">
        <v>25</v>
      </c>
      <c r="AC26" t="s">
        <v>22</v>
      </c>
      <c r="AD26" t="s">
        <v>1631</v>
      </c>
      <c r="AE26">
        <v>1.0686493384207124E-4</v>
      </c>
      <c r="AG26" t="s">
        <v>97</v>
      </c>
      <c r="AH26" t="s">
        <v>1631</v>
      </c>
      <c r="AI26">
        <v>0</v>
      </c>
      <c r="AK26">
        <v>2021</v>
      </c>
      <c r="AL26" t="s">
        <v>163</v>
      </c>
      <c r="AM26">
        <v>0.25859816635789279</v>
      </c>
      <c r="AN26" t="s">
        <v>430</v>
      </c>
    </row>
    <row r="27" spans="3:40" x14ac:dyDescent="0.45">
      <c r="E27" t="s">
        <v>1328</v>
      </c>
      <c r="G27" t="s">
        <v>155</v>
      </c>
      <c r="I27" t="s">
        <v>249</v>
      </c>
      <c r="J27" t="s">
        <v>1632</v>
      </c>
      <c r="K27">
        <v>1.719354885096E-4</v>
      </c>
      <c r="L27" t="s">
        <v>251</v>
      </c>
      <c r="N27" t="s">
        <v>419</v>
      </c>
      <c r="O27" t="s">
        <v>1632</v>
      </c>
      <c r="P27">
        <v>3.0477325305648168E-5</v>
      </c>
      <c r="Q27" t="s">
        <v>251</v>
      </c>
      <c r="S27" t="s">
        <v>420</v>
      </c>
      <c r="T27" t="s">
        <v>1632</v>
      </c>
      <c r="U27">
        <v>5.5412671934771709E-5</v>
      </c>
      <c r="V27" t="s">
        <v>251</v>
      </c>
      <c r="X27">
        <v>1.1415525114155251E-4</v>
      </c>
      <c r="Y27">
        <v>1.4585353321897094E-4</v>
      </c>
      <c r="Z27" t="s">
        <v>1632</v>
      </c>
      <c r="AA27" t="s">
        <v>25</v>
      </c>
      <c r="AC27" t="s">
        <v>22</v>
      </c>
      <c r="AD27" t="s">
        <v>1632</v>
      </c>
      <c r="AE27">
        <v>1.1519087451495543E-4</v>
      </c>
      <c r="AG27" t="s">
        <v>97</v>
      </c>
      <c r="AH27" t="s">
        <v>1632</v>
      </c>
      <c r="AI27">
        <v>0</v>
      </c>
      <c r="AK27">
        <v>2021</v>
      </c>
      <c r="AL27" t="s">
        <v>167</v>
      </c>
      <c r="AM27">
        <v>0.35369172562486489</v>
      </c>
      <c r="AN27" t="s">
        <v>430</v>
      </c>
    </row>
    <row r="28" spans="3:40" x14ac:dyDescent="0.45">
      <c r="E28" t="s">
        <v>1329</v>
      </c>
      <c r="G28" t="s">
        <v>155</v>
      </c>
      <c r="I28" t="s">
        <v>249</v>
      </c>
      <c r="J28" t="s">
        <v>1633</v>
      </c>
      <c r="K28">
        <v>2.7280873643039999E-4</v>
      </c>
      <c r="L28" t="s">
        <v>251</v>
      </c>
      <c r="N28" t="s">
        <v>419</v>
      </c>
      <c r="O28" t="s">
        <v>1633</v>
      </c>
      <c r="P28">
        <v>1.6313377040743019E-5</v>
      </c>
      <c r="Q28" t="s">
        <v>251</v>
      </c>
      <c r="S28" t="s">
        <v>420</v>
      </c>
      <c r="T28" t="s">
        <v>1633</v>
      </c>
      <c r="U28">
        <v>5.1509132136017078E-5</v>
      </c>
      <c r="V28" t="s">
        <v>251</v>
      </c>
      <c r="X28">
        <v>1.1415525114155251E-4</v>
      </c>
      <c r="Y28">
        <v>1.4452759200788939E-4</v>
      </c>
      <c r="Z28" t="s">
        <v>1633</v>
      </c>
      <c r="AA28" t="s">
        <v>25</v>
      </c>
      <c r="AC28" t="s">
        <v>22</v>
      </c>
      <c r="AD28" t="s">
        <v>1633</v>
      </c>
      <c r="AE28">
        <v>1.1708490624838285E-4</v>
      </c>
      <c r="AG28" t="s">
        <v>97</v>
      </c>
      <c r="AH28" t="s">
        <v>1633</v>
      </c>
      <c r="AI28">
        <v>0</v>
      </c>
      <c r="AK28">
        <v>2021</v>
      </c>
      <c r="AL28" t="s">
        <v>169</v>
      </c>
      <c r="AM28">
        <v>0.49671037005367918</v>
      </c>
      <c r="AN28" t="s">
        <v>430</v>
      </c>
    </row>
    <row r="29" spans="3:40" x14ac:dyDescent="0.45">
      <c r="E29" t="s">
        <v>1330</v>
      </c>
      <c r="G29" t="s">
        <v>155</v>
      </c>
      <c r="I29" t="s">
        <v>249</v>
      </c>
      <c r="J29" t="s">
        <v>1634</v>
      </c>
      <c r="K29">
        <v>3.2137201209010002E-4</v>
      </c>
      <c r="L29" t="s">
        <v>251</v>
      </c>
      <c r="N29" t="s">
        <v>419</v>
      </c>
      <c r="O29" t="s">
        <v>1634</v>
      </c>
      <c r="P29">
        <v>1.2598588754390644E-5</v>
      </c>
      <c r="Q29" t="s">
        <v>251</v>
      </c>
      <c r="S29" t="s">
        <v>420</v>
      </c>
      <c r="T29" t="s">
        <v>1634</v>
      </c>
      <c r="U29">
        <v>4.7398524137545136E-5</v>
      </c>
      <c r="V29" t="s">
        <v>251</v>
      </c>
      <c r="X29">
        <v>1.1415525114155251E-4</v>
      </c>
      <c r="Y29">
        <v>1.408812536774151E-4</v>
      </c>
      <c r="Z29" t="s">
        <v>1634</v>
      </c>
      <c r="AA29" t="s">
        <v>25</v>
      </c>
      <c r="AC29" t="s">
        <v>22</v>
      </c>
      <c r="AD29" t="s">
        <v>1634</v>
      </c>
      <c r="AE29">
        <v>1.0872888389502659E-4</v>
      </c>
      <c r="AG29" t="s">
        <v>97</v>
      </c>
      <c r="AH29" t="s">
        <v>1634</v>
      </c>
      <c r="AI29">
        <v>0</v>
      </c>
      <c r="AK29">
        <v>2021</v>
      </c>
      <c r="AL29" t="s">
        <v>171</v>
      </c>
      <c r="AM29">
        <v>0.57377934693164512</v>
      </c>
      <c r="AN29" t="s">
        <v>430</v>
      </c>
    </row>
    <row r="30" spans="3:40" x14ac:dyDescent="0.45">
      <c r="E30" t="s">
        <v>1331</v>
      </c>
      <c r="G30" t="s">
        <v>155</v>
      </c>
      <c r="I30" t="s">
        <v>249</v>
      </c>
      <c r="J30" t="s">
        <v>1635</v>
      </c>
      <c r="K30">
        <v>3.364341198898E-4</v>
      </c>
      <c r="L30" t="s">
        <v>251</v>
      </c>
      <c r="N30" t="s">
        <v>419</v>
      </c>
      <c r="O30" t="s">
        <v>1635</v>
      </c>
      <c r="P30">
        <v>9.330077952716658E-6</v>
      </c>
      <c r="Q30" t="s">
        <v>251</v>
      </c>
      <c r="S30" t="s">
        <v>420</v>
      </c>
      <c r="T30" t="s">
        <v>1635</v>
      </c>
      <c r="U30">
        <v>4.2607773880280293E-5</v>
      </c>
      <c r="V30" t="s">
        <v>251</v>
      </c>
      <c r="X30">
        <v>1.1415525114155251E-4</v>
      </c>
      <c r="Y30">
        <v>1.4054976837464471E-4</v>
      </c>
      <c r="Z30" t="s">
        <v>1635</v>
      </c>
      <c r="AA30" t="s">
        <v>25</v>
      </c>
      <c r="AC30" t="s">
        <v>22</v>
      </c>
      <c r="AD30" t="s">
        <v>1635</v>
      </c>
      <c r="AE30">
        <v>1.1230971800751819E-4</v>
      </c>
      <c r="AG30" t="s">
        <v>97</v>
      </c>
      <c r="AH30" t="s">
        <v>1635</v>
      </c>
      <c r="AI30">
        <v>0</v>
      </c>
      <c r="AK30">
        <v>2021</v>
      </c>
      <c r="AL30" t="s">
        <v>158</v>
      </c>
      <c r="AM30">
        <v>0.62492242342329907</v>
      </c>
      <c r="AN30" t="s">
        <v>430</v>
      </c>
    </row>
    <row r="31" spans="3:40" x14ac:dyDescent="0.45">
      <c r="E31" t="s">
        <v>1332</v>
      </c>
      <c r="G31" t="s">
        <v>155</v>
      </c>
      <c r="I31" t="s">
        <v>249</v>
      </c>
      <c r="J31" t="s">
        <v>1636</v>
      </c>
      <c r="K31">
        <v>3.191273256333E-4</v>
      </c>
      <c r="L31" t="s">
        <v>251</v>
      </c>
      <c r="N31" t="s">
        <v>419</v>
      </c>
      <c r="O31" t="s">
        <v>1636</v>
      </c>
      <c r="P31">
        <v>6.229886877580664E-6</v>
      </c>
      <c r="Q31" t="s">
        <v>251</v>
      </c>
      <c r="S31" t="s">
        <v>420</v>
      </c>
      <c r="T31" t="s">
        <v>1636</v>
      </c>
      <c r="U31">
        <v>3.7687013155221738E-5</v>
      </c>
      <c r="V31" t="s">
        <v>251</v>
      </c>
      <c r="X31">
        <v>1.1415525114155251E-4</v>
      </c>
      <c r="Y31">
        <v>1.4253868019126702E-4</v>
      </c>
      <c r="Z31" t="s">
        <v>1636</v>
      </c>
      <c r="AA31" t="s">
        <v>25</v>
      </c>
      <c r="AC31" t="s">
        <v>22</v>
      </c>
      <c r="AD31" t="s">
        <v>1636</v>
      </c>
      <c r="AE31">
        <v>1.2558576632253066E-4</v>
      </c>
      <c r="AG31" t="s">
        <v>97</v>
      </c>
      <c r="AH31" t="s">
        <v>1636</v>
      </c>
      <c r="AI31">
        <v>0</v>
      </c>
      <c r="AK31">
        <v>2021</v>
      </c>
      <c r="AL31" t="s">
        <v>162</v>
      </c>
      <c r="AM31">
        <v>0.57271626051018953</v>
      </c>
      <c r="AN31" t="s">
        <v>430</v>
      </c>
    </row>
    <row r="32" spans="3:40" x14ac:dyDescent="0.45">
      <c r="E32" t="s">
        <v>1333</v>
      </c>
      <c r="G32" t="s">
        <v>155</v>
      </c>
      <c r="I32" t="s">
        <v>249</v>
      </c>
      <c r="J32" t="s">
        <v>1637</v>
      </c>
      <c r="K32">
        <v>3.116878564896E-4</v>
      </c>
      <c r="L32" t="s">
        <v>251</v>
      </c>
      <c r="N32" t="s">
        <v>419</v>
      </c>
      <c r="O32" t="s">
        <v>1637</v>
      </c>
      <c r="P32">
        <v>5.0710646423762206E-6</v>
      </c>
      <c r="Q32" t="s">
        <v>251</v>
      </c>
      <c r="S32" t="s">
        <v>420</v>
      </c>
      <c r="T32" t="s">
        <v>1637</v>
      </c>
      <c r="U32">
        <v>3.3849328850382235E-5</v>
      </c>
      <c r="V32" t="s">
        <v>251</v>
      </c>
      <c r="X32">
        <v>1.1415525114155251E-4</v>
      </c>
      <c r="Y32">
        <v>1.4883690094390442E-4</v>
      </c>
      <c r="Z32" t="s">
        <v>1637</v>
      </c>
      <c r="AA32" t="s">
        <v>25</v>
      </c>
      <c r="AC32" t="s">
        <v>22</v>
      </c>
      <c r="AD32" t="s">
        <v>1637</v>
      </c>
      <c r="AE32">
        <v>1.2459752741220706E-4</v>
      </c>
      <c r="AG32" t="s">
        <v>97</v>
      </c>
      <c r="AH32" t="s">
        <v>1637</v>
      </c>
      <c r="AI32">
        <v>0</v>
      </c>
      <c r="AK32">
        <v>2021</v>
      </c>
      <c r="AL32" t="s">
        <v>175</v>
      </c>
      <c r="AM32">
        <v>0.48298602012623709</v>
      </c>
      <c r="AN32" t="s">
        <v>430</v>
      </c>
    </row>
    <row r="33" spans="5:40" x14ac:dyDescent="0.45">
      <c r="E33" t="s">
        <v>1334</v>
      </c>
      <c r="G33" t="s">
        <v>155</v>
      </c>
      <c r="I33" t="s">
        <v>249</v>
      </c>
      <c r="J33" t="s">
        <v>1638</v>
      </c>
      <c r="K33">
        <v>3.338776780316E-4</v>
      </c>
      <c r="L33" t="s">
        <v>251</v>
      </c>
      <c r="N33" t="s">
        <v>419</v>
      </c>
      <c r="O33" t="s">
        <v>1638</v>
      </c>
      <c r="P33">
        <v>5.6379949758625118E-6</v>
      </c>
      <c r="Q33" t="s">
        <v>251</v>
      </c>
      <c r="S33" t="s">
        <v>420</v>
      </c>
      <c r="T33" t="s">
        <v>1638</v>
      </c>
      <c r="U33">
        <v>3.0950443174123999E-5</v>
      </c>
      <c r="V33" t="s">
        <v>251</v>
      </c>
      <c r="X33">
        <v>1.1415525114155251E-4</v>
      </c>
      <c r="Y33">
        <v>1.5049432745775637E-4</v>
      </c>
      <c r="Z33" t="s">
        <v>1638</v>
      </c>
      <c r="AA33" t="s">
        <v>25</v>
      </c>
      <c r="AC33" t="s">
        <v>22</v>
      </c>
      <c r="AD33" t="s">
        <v>1638</v>
      </c>
      <c r="AE33">
        <v>1.2649490155457581E-4</v>
      </c>
      <c r="AG33" t="s">
        <v>97</v>
      </c>
      <c r="AH33" t="s">
        <v>1638</v>
      </c>
      <c r="AI33">
        <v>0</v>
      </c>
      <c r="AK33">
        <v>2021</v>
      </c>
      <c r="AL33" t="s">
        <v>166</v>
      </c>
      <c r="AM33">
        <v>0.3141180941522968</v>
      </c>
      <c r="AN33" t="s">
        <v>430</v>
      </c>
    </row>
    <row r="34" spans="5:40" x14ac:dyDescent="0.45">
      <c r="E34" t="s">
        <v>1335</v>
      </c>
      <c r="G34" t="s">
        <v>155</v>
      </c>
      <c r="I34" t="s">
        <v>249</v>
      </c>
      <c r="J34" t="s">
        <v>1639</v>
      </c>
      <c r="K34">
        <v>3.3378218233020001E-4</v>
      </c>
      <c r="L34" t="s">
        <v>251</v>
      </c>
      <c r="N34" t="s">
        <v>419</v>
      </c>
      <c r="O34" t="s">
        <v>1639</v>
      </c>
      <c r="P34">
        <v>7.2312219322781172E-6</v>
      </c>
      <c r="Q34" t="s">
        <v>251</v>
      </c>
      <c r="S34" t="s">
        <v>420</v>
      </c>
      <c r="T34" t="s">
        <v>1639</v>
      </c>
      <c r="U34">
        <v>3.0652579048151405E-5</v>
      </c>
      <c r="V34" t="s">
        <v>251</v>
      </c>
      <c r="X34">
        <v>1.1415525114155251E-4</v>
      </c>
      <c r="Y34">
        <v>1.7237235744060203E-4</v>
      </c>
      <c r="Z34" t="s">
        <v>1639</v>
      </c>
      <c r="AA34" t="s">
        <v>25</v>
      </c>
      <c r="AC34" t="s">
        <v>22</v>
      </c>
      <c r="AD34" t="s">
        <v>1639</v>
      </c>
      <c r="AE34">
        <v>1.1324113596583895E-4</v>
      </c>
      <c r="AG34" t="s">
        <v>97</v>
      </c>
      <c r="AH34" t="s">
        <v>1639</v>
      </c>
      <c r="AI34">
        <v>0</v>
      </c>
      <c r="AK34">
        <v>2021</v>
      </c>
      <c r="AL34" t="s">
        <v>178</v>
      </c>
      <c r="AM34">
        <v>0.2580139476938495</v>
      </c>
      <c r="AN34" t="s">
        <v>430</v>
      </c>
    </row>
    <row r="35" spans="5:40" x14ac:dyDescent="0.45">
      <c r="E35" t="s">
        <v>1336</v>
      </c>
      <c r="G35" t="s">
        <v>155</v>
      </c>
      <c r="I35" t="s">
        <v>249</v>
      </c>
      <c r="J35" t="s">
        <v>1640</v>
      </c>
      <c r="K35">
        <v>3.0191999967140002E-4</v>
      </c>
      <c r="L35" t="s">
        <v>251</v>
      </c>
      <c r="N35" t="s">
        <v>419</v>
      </c>
      <c r="O35" t="s">
        <v>1640</v>
      </c>
      <c r="P35">
        <v>9.5099756253991198E-6</v>
      </c>
      <c r="Q35" t="s">
        <v>251</v>
      </c>
      <c r="S35" t="s">
        <v>420</v>
      </c>
      <c r="T35" t="s">
        <v>1640</v>
      </c>
      <c r="U35">
        <v>3.3438395011833905E-5</v>
      </c>
      <c r="V35" t="s">
        <v>251</v>
      </c>
      <c r="X35">
        <v>1.1415525114155251E-4</v>
      </c>
      <c r="Y35">
        <v>2.2209515285616027E-4</v>
      </c>
      <c r="Z35" t="s">
        <v>1640</v>
      </c>
      <c r="AA35" t="s">
        <v>25</v>
      </c>
      <c r="AC35" t="s">
        <v>22</v>
      </c>
      <c r="AD35" t="s">
        <v>1640</v>
      </c>
      <c r="AE35">
        <v>9.154444539127096E-5</v>
      </c>
      <c r="AG35" t="s">
        <v>97</v>
      </c>
      <c r="AH35" t="s">
        <v>1640</v>
      </c>
      <c r="AI35">
        <v>0</v>
      </c>
      <c r="AK35">
        <v>2022</v>
      </c>
      <c r="AL35" t="s">
        <v>151</v>
      </c>
      <c r="AM35">
        <v>0.22856863093367569</v>
      </c>
      <c r="AN35" t="s">
        <v>430</v>
      </c>
    </row>
    <row r="36" spans="5:40" x14ac:dyDescent="0.45">
      <c r="E36" t="s">
        <v>1337</v>
      </c>
      <c r="G36" t="s">
        <v>155</v>
      </c>
      <c r="I36" t="s">
        <v>249</v>
      </c>
      <c r="J36" t="s">
        <v>1641</v>
      </c>
      <c r="K36">
        <v>2.2459887024820001E-4</v>
      </c>
      <c r="L36" t="s">
        <v>251</v>
      </c>
      <c r="N36" t="s">
        <v>419</v>
      </c>
      <c r="O36" t="s">
        <v>1641</v>
      </c>
      <c r="P36">
        <v>1.3335021179674559E-5</v>
      </c>
      <c r="Q36" t="s">
        <v>251</v>
      </c>
      <c r="S36" t="s">
        <v>420</v>
      </c>
      <c r="T36" t="s">
        <v>1641</v>
      </c>
      <c r="U36">
        <v>3.8119897146914713E-5</v>
      </c>
      <c r="V36" t="s">
        <v>251</v>
      </c>
      <c r="X36">
        <v>1.1415525114155251E-4</v>
      </c>
      <c r="Y36">
        <v>2.2209515285616027E-4</v>
      </c>
      <c r="Z36" t="s">
        <v>1641</v>
      </c>
      <c r="AA36" t="s">
        <v>25</v>
      </c>
      <c r="AC36" t="s">
        <v>22</v>
      </c>
      <c r="AD36" t="s">
        <v>1641</v>
      </c>
      <c r="AE36">
        <v>5.9819413856361667E-5</v>
      </c>
      <c r="AG36" t="s">
        <v>97</v>
      </c>
      <c r="AH36" t="s">
        <v>1641</v>
      </c>
      <c r="AI36">
        <v>0</v>
      </c>
      <c r="AK36">
        <v>2022</v>
      </c>
      <c r="AL36" t="s">
        <v>156</v>
      </c>
      <c r="AM36">
        <v>0.25211270446340328</v>
      </c>
      <c r="AN36" t="s">
        <v>430</v>
      </c>
    </row>
    <row r="37" spans="5:40" x14ac:dyDescent="0.45">
      <c r="E37" t="s">
        <v>1338</v>
      </c>
      <c r="G37" t="s">
        <v>155</v>
      </c>
      <c r="I37" t="s">
        <v>249</v>
      </c>
      <c r="J37" t="s">
        <v>1642</v>
      </c>
      <c r="K37">
        <v>1.061334633178E-4</v>
      </c>
      <c r="L37" t="s">
        <v>251</v>
      </c>
      <c r="N37" t="s">
        <v>419</v>
      </c>
      <c r="O37" t="s">
        <v>1642</v>
      </c>
      <c r="P37">
        <v>2.6857705982685822E-5</v>
      </c>
      <c r="Q37" t="s">
        <v>251</v>
      </c>
      <c r="S37" t="s">
        <v>420</v>
      </c>
      <c r="T37" t="s">
        <v>1642</v>
      </c>
      <c r="U37">
        <v>4.2855338982258301E-5</v>
      </c>
      <c r="V37" t="s">
        <v>251</v>
      </c>
      <c r="X37">
        <v>1.1415525114155251E-4</v>
      </c>
      <c r="Y37">
        <v>1.7237235744060203E-4</v>
      </c>
      <c r="Z37" t="s">
        <v>1642</v>
      </c>
      <c r="AA37" t="s">
        <v>25</v>
      </c>
      <c r="AC37" t="s">
        <v>22</v>
      </c>
      <c r="AD37" t="s">
        <v>1642</v>
      </c>
      <c r="AE37">
        <v>3.0825130426529159E-5</v>
      </c>
      <c r="AG37" t="s">
        <v>97</v>
      </c>
      <c r="AH37" t="s">
        <v>1642</v>
      </c>
      <c r="AI37">
        <v>0</v>
      </c>
      <c r="AK37">
        <v>2022</v>
      </c>
      <c r="AL37" t="s">
        <v>159</v>
      </c>
      <c r="AM37">
        <v>0.3193698678799306</v>
      </c>
      <c r="AN37" t="s">
        <v>430</v>
      </c>
    </row>
    <row r="38" spans="5:40" x14ac:dyDescent="0.45">
      <c r="E38" t="s">
        <v>1339</v>
      </c>
      <c r="G38" t="s">
        <v>155</v>
      </c>
      <c r="I38" t="s">
        <v>249</v>
      </c>
      <c r="J38" t="s">
        <v>1643</v>
      </c>
      <c r="K38">
        <v>0</v>
      </c>
      <c r="L38" t="s">
        <v>251</v>
      </c>
      <c r="N38" t="s">
        <v>419</v>
      </c>
      <c r="O38" t="s">
        <v>1643</v>
      </c>
      <c r="P38">
        <v>4.5630584210178825E-5</v>
      </c>
      <c r="Q38" t="s">
        <v>251</v>
      </c>
      <c r="S38" t="s">
        <v>420</v>
      </c>
      <c r="T38" t="s">
        <v>1643</v>
      </c>
      <c r="U38">
        <v>4.5928017038916581E-5</v>
      </c>
      <c r="V38" t="s">
        <v>251</v>
      </c>
      <c r="X38">
        <v>1.1415525114155251E-4</v>
      </c>
      <c r="Y38">
        <v>1.5579809230208258E-4</v>
      </c>
      <c r="Z38" t="s">
        <v>1643</v>
      </c>
      <c r="AA38" t="s">
        <v>25</v>
      </c>
      <c r="AC38" t="s">
        <v>22</v>
      </c>
      <c r="AD38" t="s">
        <v>1643</v>
      </c>
      <c r="AE38">
        <v>2.7576308935544232E-5</v>
      </c>
      <c r="AG38" t="s">
        <v>97</v>
      </c>
      <c r="AH38" t="s">
        <v>1643</v>
      </c>
      <c r="AI38">
        <v>0</v>
      </c>
      <c r="AK38">
        <v>2022</v>
      </c>
      <c r="AL38" t="s">
        <v>163</v>
      </c>
      <c r="AM38">
        <v>0.3594286789966587</v>
      </c>
      <c r="AN38" t="s">
        <v>430</v>
      </c>
    </row>
    <row r="39" spans="5:40" x14ac:dyDescent="0.45">
      <c r="E39" t="s">
        <v>1340</v>
      </c>
      <c r="G39" t="s">
        <v>155</v>
      </c>
      <c r="I39" t="s">
        <v>249</v>
      </c>
      <c r="J39" t="s">
        <v>1644</v>
      </c>
      <c r="K39">
        <v>0</v>
      </c>
      <c r="L39" t="s">
        <v>251</v>
      </c>
      <c r="N39" t="s">
        <v>419</v>
      </c>
      <c r="O39" t="s">
        <v>1644</v>
      </c>
      <c r="P39">
        <v>6.2598676406875294E-5</v>
      </c>
      <c r="Q39" t="s">
        <v>251</v>
      </c>
      <c r="S39" t="s">
        <v>420</v>
      </c>
      <c r="T39" t="s">
        <v>1644</v>
      </c>
      <c r="U39">
        <v>4.6998615878011201E-5</v>
      </c>
      <c r="V39" t="s">
        <v>251</v>
      </c>
      <c r="X39">
        <v>1.1415525114155251E-4</v>
      </c>
      <c r="Y39">
        <v>1.093901499142282E-4</v>
      </c>
      <c r="Z39" t="s">
        <v>1644</v>
      </c>
      <c r="AA39" t="s">
        <v>25</v>
      </c>
      <c r="AC39" t="s">
        <v>22</v>
      </c>
      <c r="AD39" t="s">
        <v>1644</v>
      </c>
      <c r="AE39">
        <v>2.8818570925409885E-5</v>
      </c>
      <c r="AG39" t="s">
        <v>97</v>
      </c>
      <c r="AH39" t="s">
        <v>1644</v>
      </c>
      <c r="AI39">
        <v>0</v>
      </c>
      <c r="AK39">
        <v>2022</v>
      </c>
      <c r="AL39" t="s">
        <v>167</v>
      </c>
      <c r="AM39">
        <v>0.3851224877375633</v>
      </c>
      <c r="AN39" t="s">
        <v>430</v>
      </c>
    </row>
    <row r="40" spans="5:40" x14ac:dyDescent="0.45">
      <c r="E40" t="s">
        <v>1341</v>
      </c>
      <c r="G40" t="s">
        <v>155</v>
      </c>
      <c r="I40" t="s">
        <v>249</v>
      </c>
      <c r="J40" t="s">
        <v>1645</v>
      </c>
      <c r="K40">
        <v>0</v>
      </c>
      <c r="L40" t="s">
        <v>251</v>
      </c>
      <c r="N40" t="s">
        <v>419</v>
      </c>
      <c r="O40" t="s">
        <v>1645</v>
      </c>
      <c r="P40">
        <v>7.5658894593583185E-5</v>
      </c>
      <c r="Q40" t="s">
        <v>251</v>
      </c>
      <c r="S40" t="s">
        <v>420</v>
      </c>
      <c r="T40" t="s">
        <v>1645</v>
      </c>
      <c r="U40">
        <v>4.7083153975449134E-5</v>
      </c>
      <c r="V40" t="s">
        <v>251</v>
      </c>
      <c r="X40">
        <v>1.1415525114155251E-4</v>
      </c>
      <c r="Y40">
        <v>7.9556472664893237E-5</v>
      </c>
      <c r="Z40" t="s">
        <v>1645</v>
      </c>
      <c r="AA40" t="s">
        <v>25</v>
      </c>
      <c r="AC40" t="s">
        <v>22</v>
      </c>
      <c r="AD40" t="s">
        <v>1645</v>
      </c>
      <c r="AE40">
        <v>2.8146746728200017E-5</v>
      </c>
      <c r="AG40" t="s">
        <v>97</v>
      </c>
      <c r="AH40" t="s">
        <v>1645</v>
      </c>
      <c r="AI40">
        <v>0</v>
      </c>
      <c r="AK40">
        <v>2022</v>
      </c>
      <c r="AL40" t="s">
        <v>169</v>
      </c>
      <c r="AM40">
        <v>0.43060849922349292</v>
      </c>
      <c r="AN40" t="s">
        <v>430</v>
      </c>
    </row>
    <row r="41" spans="5:40" x14ac:dyDescent="0.45">
      <c r="E41" t="s">
        <v>1342</v>
      </c>
      <c r="G41" t="s">
        <v>155</v>
      </c>
      <c r="I41" t="s">
        <v>249</v>
      </c>
      <c r="J41" t="s">
        <v>1646</v>
      </c>
      <c r="K41">
        <v>0</v>
      </c>
      <c r="L41" t="s">
        <v>251</v>
      </c>
      <c r="N41" t="s">
        <v>419</v>
      </c>
      <c r="O41" t="s">
        <v>1646</v>
      </c>
      <c r="P41">
        <v>7.7667839129804664E-5</v>
      </c>
      <c r="Q41" t="s">
        <v>251</v>
      </c>
      <c r="S41" t="s">
        <v>420</v>
      </c>
      <c r="T41" t="s">
        <v>1646</v>
      </c>
      <c r="U41">
        <v>4.5599776191024481E-5</v>
      </c>
      <c r="V41" t="s">
        <v>251</v>
      </c>
      <c r="X41">
        <v>1.1415525114155251E-4</v>
      </c>
      <c r="Y41">
        <v>5.6352501470966035E-5</v>
      </c>
      <c r="Z41" t="s">
        <v>1646</v>
      </c>
      <c r="AA41" t="s">
        <v>25</v>
      </c>
      <c r="AC41" t="s">
        <v>22</v>
      </c>
      <c r="AD41" t="s">
        <v>1646</v>
      </c>
      <c r="AE41">
        <v>3.1021218417754579E-5</v>
      </c>
      <c r="AG41" t="s">
        <v>97</v>
      </c>
      <c r="AH41" t="s">
        <v>1646</v>
      </c>
      <c r="AI41">
        <v>0</v>
      </c>
      <c r="AK41">
        <v>2022</v>
      </c>
      <c r="AL41" t="s">
        <v>171</v>
      </c>
      <c r="AM41">
        <v>0.58949643171063837</v>
      </c>
      <c r="AN41" t="s">
        <v>430</v>
      </c>
    </row>
    <row r="42" spans="5:40" x14ac:dyDescent="0.45">
      <c r="E42" t="s">
        <v>1343</v>
      </c>
      <c r="G42" t="s">
        <v>155</v>
      </c>
      <c r="I42" t="s">
        <v>249</v>
      </c>
      <c r="J42" t="s">
        <v>1647</v>
      </c>
      <c r="K42">
        <v>0</v>
      </c>
      <c r="L42" t="s">
        <v>251</v>
      </c>
      <c r="N42" t="s">
        <v>419</v>
      </c>
      <c r="O42" t="s">
        <v>1647</v>
      </c>
      <c r="P42">
        <v>7.8043664461395707E-5</v>
      </c>
      <c r="Q42" t="s">
        <v>251</v>
      </c>
      <c r="S42" t="s">
        <v>420</v>
      </c>
      <c r="T42" t="s">
        <v>1647</v>
      </c>
      <c r="U42">
        <v>4.3641782147626001E-5</v>
      </c>
      <c r="V42" t="s">
        <v>251</v>
      </c>
      <c r="X42">
        <v>1.1415525114155251E-4</v>
      </c>
      <c r="Y42">
        <v>2.9833677249334962E-5</v>
      </c>
      <c r="Z42" t="s">
        <v>1647</v>
      </c>
      <c r="AA42" t="s">
        <v>25</v>
      </c>
      <c r="AC42" t="s">
        <v>22</v>
      </c>
      <c r="AD42" t="s">
        <v>1647</v>
      </c>
      <c r="AE42">
        <v>5.0812735895757357E-5</v>
      </c>
      <c r="AG42" t="s">
        <v>97</v>
      </c>
      <c r="AH42" t="s">
        <v>1647</v>
      </c>
      <c r="AI42">
        <v>0</v>
      </c>
      <c r="AK42">
        <v>2022</v>
      </c>
      <c r="AL42" t="s">
        <v>158</v>
      </c>
      <c r="AM42">
        <v>0.70961593638562115</v>
      </c>
      <c r="AN42" t="s">
        <v>430</v>
      </c>
    </row>
    <row r="43" spans="5:40" x14ac:dyDescent="0.45">
      <c r="E43" t="s">
        <v>1344</v>
      </c>
      <c r="G43" t="s">
        <v>155</v>
      </c>
      <c r="I43" t="s">
        <v>249</v>
      </c>
      <c r="J43" t="s">
        <v>1648</v>
      </c>
      <c r="K43">
        <v>0</v>
      </c>
      <c r="L43" t="s">
        <v>251</v>
      </c>
      <c r="N43" t="s">
        <v>419</v>
      </c>
      <c r="O43" t="s">
        <v>1648</v>
      </c>
      <c r="P43">
        <v>7.6328546651527042E-5</v>
      </c>
      <c r="Q43" t="s">
        <v>251</v>
      </c>
      <c r="S43" t="s">
        <v>420</v>
      </c>
      <c r="T43" t="s">
        <v>1648</v>
      </c>
      <c r="U43">
        <v>4.1339868878667899E-5</v>
      </c>
      <c r="V43" t="s">
        <v>251</v>
      </c>
      <c r="X43">
        <v>1.1415525114155251E-4</v>
      </c>
      <c r="Y43">
        <v>2.1546544680075254E-5</v>
      </c>
      <c r="Z43" t="s">
        <v>1648</v>
      </c>
      <c r="AA43" t="s">
        <v>25</v>
      </c>
      <c r="AC43" t="s">
        <v>22</v>
      </c>
      <c r="AD43" t="s">
        <v>1648</v>
      </c>
      <c r="AE43">
        <v>5.9011665028870536E-5</v>
      </c>
      <c r="AG43" t="s">
        <v>97</v>
      </c>
      <c r="AH43" t="s">
        <v>1648</v>
      </c>
      <c r="AI43">
        <v>0</v>
      </c>
      <c r="AK43">
        <v>2022</v>
      </c>
      <c r="AL43" t="s">
        <v>162</v>
      </c>
      <c r="AM43">
        <v>0.69297378700174128</v>
      </c>
      <c r="AN43" t="s">
        <v>430</v>
      </c>
    </row>
    <row r="44" spans="5:40" x14ac:dyDescent="0.45">
      <c r="E44" t="s">
        <v>1345</v>
      </c>
      <c r="G44" t="s">
        <v>155</v>
      </c>
      <c r="I44" t="s">
        <v>249</v>
      </c>
      <c r="J44" t="s">
        <v>1649</v>
      </c>
      <c r="K44">
        <v>0</v>
      </c>
      <c r="L44" t="s">
        <v>251</v>
      </c>
      <c r="N44" t="s">
        <v>419</v>
      </c>
      <c r="O44" t="s">
        <v>1649</v>
      </c>
      <c r="P44">
        <v>6.7227475322915751E-5</v>
      </c>
      <c r="Q44" t="s">
        <v>251</v>
      </c>
      <c r="S44" t="s">
        <v>420</v>
      </c>
      <c r="T44" t="s">
        <v>1649</v>
      </c>
      <c r="U44">
        <v>3.9511771272174201E-5</v>
      </c>
      <c r="V44" t="s">
        <v>251</v>
      </c>
      <c r="X44">
        <v>1.1415525114155251E-4</v>
      </c>
      <c r="Y44">
        <v>1.4916838624667481E-5</v>
      </c>
      <c r="Z44" t="s">
        <v>1649</v>
      </c>
      <c r="AA44" t="s">
        <v>25</v>
      </c>
      <c r="AC44" t="s">
        <v>22</v>
      </c>
      <c r="AD44" t="s">
        <v>1649</v>
      </c>
      <c r="AE44">
        <v>7.9502860111927697E-5</v>
      </c>
      <c r="AG44" t="s">
        <v>97</v>
      </c>
      <c r="AH44" t="s">
        <v>1649</v>
      </c>
      <c r="AI44">
        <v>0</v>
      </c>
      <c r="AK44">
        <v>2022</v>
      </c>
      <c r="AL44" t="s">
        <v>175</v>
      </c>
      <c r="AM44">
        <v>0.49755662126035521</v>
      </c>
      <c r="AN44" t="s">
        <v>430</v>
      </c>
    </row>
    <row r="45" spans="5:40" x14ac:dyDescent="0.45">
      <c r="E45" t="s">
        <v>1346</v>
      </c>
      <c r="G45" t="s">
        <v>155</v>
      </c>
      <c r="I45" t="s">
        <v>249</v>
      </c>
      <c r="J45" t="s">
        <v>1650</v>
      </c>
      <c r="K45">
        <v>0</v>
      </c>
      <c r="L45" t="s">
        <v>251</v>
      </c>
      <c r="N45" t="s">
        <v>419</v>
      </c>
      <c r="O45" t="s">
        <v>1650</v>
      </c>
      <c r="P45">
        <v>5.2912868256254624E-5</v>
      </c>
      <c r="Q45" t="s">
        <v>251</v>
      </c>
      <c r="S45" t="s">
        <v>420</v>
      </c>
      <c r="T45" t="s">
        <v>1650</v>
      </c>
      <c r="U45">
        <v>3.887074046250373E-5</v>
      </c>
      <c r="V45" t="s">
        <v>251</v>
      </c>
      <c r="X45">
        <v>1.1415525114155251E-4</v>
      </c>
      <c r="Y45">
        <v>1.6574265138519424E-5</v>
      </c>
      <c r="Z45" t="s">
        <v>1650</v>
      </c>
      <c r="AA45" t="s">
        <v>25</v>
      </c>
      <c r="AC45" t="s">
        <v>22</v>
      </c>
      <c r="AD45" t="s">
        <v>1650</v>
      </c>
      <c r="AE45">
        <v>9.6115746686713718E-5</v>
      </c>
      <c r="AG45" t="s">
        <v>97</v>
      </c>
      <c r="AH45" t="s">
        <v>1650</v>
      </c>
      <c r="AI45">
        <v>0</v>
      </c>
      <c r="AK45">
        <v>2022</v>
      </c>
      <c r="AL45" t="s">
        <v>166</v>
      </c>
      <c r="AM45">
        <v>0.32030919102075389</v>
      </c>
      <c r="AN45" t="s">
        <v>430</v>
      </c>
    </row>
    <row r="46" spans="5:40" x14ac:dyDescent="0.45">
      <c r="E46" t="s">
        <v>1347</v>
      </c>
      <c r="G46" t="s">
        <v>155</v>
      </c>
      <c r="I46" t="s">
        <v>249</v>
      </c>
      <c r="J46" t="s">
        <v>1651</v>
      </c>
      <c r="K46">
        <v>0</v>
      </c>
      <c r="L46" t="s">
        <v>251</v>
      </c>
      <c r="N46" t="s">
        <v>419</v>
      </c>
      <c r="O46" t="s">
        <v>1651</v>
      </c>
      <c r="P46">
        <v>4.1558219854586153E-5</v>
      </c>
      <c r="Q46" t="s">
        <v>251</v>
      </c>
      <c r="S46" t="s">
        <v>420</v>
      </c>
      <c r="T46" t="s">
        <v>1651</v>
      </c>
      <c r="U46">
        <v>3.4553851165038529E-5</v>
      </c>
      <c r="V46" t="s">
        <v>251</v>
      </c>
      <c r="X46">
        <v>1.1415525114155251E-4</v>
      </c>
      <c r="Y46">
        <v>1.4585353321897093E-5</v>
      </c>
      <c r="Z46" t="s">
        <v>1651</v>
      </c>
      <c r="AA46" t="s">
        <v>25</v>
      </c>
      <c r="AC46" t="s">
        <v>22</v>
      </c>
      <c r="AD46" t="s">
        <v>1651</v>
      </c>
      <c r="AE46">
        <v>1.0185354870268504E-4</v>
      </c>
      <c r="AG46" t="s">
        <v>97</v>
      </c>
      <c r="AH46" t="s">
        <v>1651</v>
      </c>
      <c r="AI46">
        <v>0</v>
      </c>
      <c r="AK46">
        <v>2022</v>
      </c>
      <c r="AL46" t="s">
        <v>178</v>
      </c>
      <c r="AM46">
        <v>0.26614155656660882</v>
      </c>
      <c r="AN46" t="s">
        <v>430</v>
      </c>
    </row>
    <row r="47" spans="5:40" x14ac:dyDescent="0.45">
      <c r="E47" t="s">
        <v>1348</v>
      </c>
      <c r="G47" t="s">
        <v>155</v>
      </c>
      <c r="I47" t="s">
        <v>249</v>
      </c>
      <c r="J47" t="s">
        <v>1652</v>
      </c>
      <c r="K47">
        <v>0</v>
      </c>
      <c r="L47" t="s">
        <v>251</v>
      </c>
      <c r="N47" t="s">
        <v>419</v>
      </c>
      <c r="O47" t="s">
        <v>1652</v>
      </c>
      <c r="P47">
        <v>3.5941395657401949E-5</v>
      </c>
      <c r="Q47" t="s">
        <v>251</v>
      </c>
      <c r="S47" t="s">
        <v>420</v>
      </c>
      <c r="T47" t="s">
        <v>1652</v>
      </c>
      <c r="U47">
        <v>3.2071514371789057E-5</v>
      </c>
      <c r="V47" t="s">
        <v>251</v>
      </c>
      <c r="X47">
        <v>1.1415525114155251E-4</v>
      </c>
      <c r="Y47">
        <v>2.1215059377304864E-5</v>
      </c>
      <c r="Z47" t="s">
        <v>1652</v>
      </c>
      <c r="AA47" t="s">
        <v>25</v>
      </c>
      <c r="AC47" t="s">
        <v>22</v>
      </c>
      <c r="AD47" t="s">
        <v>1652</v>
      </c>
      <c r="AE47">
        <v>1.055123723571413E-4</v>
      </c>
      <c r="AG47" t="s">
        <v>97</v>
      </c>
      <c r="AH47" t="s">
        <v>1652</v>
      </c>
      <c r="AI47">
        <v>0</v>
      </c>
      <c r="AK47">
        <v>2025</v>
      </c>
      <c r="AL47" t="s">
        <v>151</v>
      </c>
      <c r="AM47">
        <v>0.2868</v>
      </c>
      <c r="AN47" t="s">
        <v>430</v>
      </c>
    </row>
    <row r="48" spans="5:40" x14ac:dyDescent="0.45">
      <c r="E48" t="s">
        <v>1349</v>
      </c>
      <c r="G48" t="s">
        <v>155</v>
      </c>
      <c r="I48" t="s">
        <v>249</v>
      </c>
      <c r="J48" t="s">
        <v>1653</v>
      </c>
      <c r="K48">
        <v>0</v>
      </c>
      <c r="L48" t="s">
        <v>251</v>
      </c>
      <c r="N48" t="s">
        <v>419</v>
      </c>
      <c r="O48" t="s">
        <v>1653</v>
      </c>
      <c r="P48">
        <v>3.2446742156875378E-5</v>
      </c>
      <c r="Q48" t="s">
        <v>251</v>
      </c>
      <c r="S48" t="s">
        <v>420</v>
      </c>
      <c r="T48" t="s">
        <v>1653</v>
      </c>
      <c r="U48">
        <v>3.0701005036181883E-5</v>
      </c>
      <c r="V48" t="s">
        <v>251</v>
      </c>
      <c r="X48">
        <v>1.1415525114155251E-4</v>
      </c>
      <c r="Y48">
        <v>5.7678442682047593E-5</v>
      </c>
      <c r="Z48" t="s">
        <v>1653</v>
      </c>
      <c r="AA48" t="s">
        <v>25</v>
      </c>
      <c r="AC48" t="s">
        <v>22</v>
      </c>
      <c r="AD48" t="s">
        <v>1653</v>
      </c>
      <c r="AE48">
        <v>1.0673012334810373E-4</v>
      </c>
      <c r="AG48" t="s">
        <v>97</v>
      </c>
      <c r="AH48" t="s">
        <v>1653</v>
      </c>
      <c r="AI48">
        <v>0</v>
      </c>
      <c r="AK48">
        <v>2025</v>
      </c>
      <c r="AL48" t="s">
        <v>156</v>
      </c>
      <c r="AM48">
        <v>0.30309999999999998</v>
      </c>
      <c r="AN48" t="s">
        <v>430</v>
      </c>
    </row>
    <row r="49" spans="5:40" x14ac:dyDescent="0.45">
      <c r="E49" t="s">
        <v>1350</v>
      </c>
      <c r="G49" t="s">
        <v>155</v>
      </c>
      <c r="I49" t="s">
        <v>249</v>
      </c>
      <c r="J49" t="s">
        <v>1654</v>
      </c>
      <c r="K49">
        <v>0</v>
      </c>
      <c r="L49" t="s">
        <v>251</v>
      </c>
      <c r="N49" t="s">
        <v>419</v>
      </c>
      <c r="O49" t="s">
        <v>1654</v>
      </c>
      <c r="P49">
        <v>3.1781173855077246E-5</v>
      </c>
      <c r="Q49" t="s">
        <v>251</v>
      </c>
      <c r="S49" t="s">
        <v>420</v>
      </c>
      <c r="T49" t="s">
        <v>1654</v>
      </c>
      <c r="U49">
        <v>3.0213406804209717E-5</v>
      </c>
      <c r="V49" t="s">
        <v>251</v>
      </c>
      <c r="X49">
        <v>1.1415525114155251E-4</v>
      </c>
      <c r="Y49">
        <v>1.6905750441289813E-4</v>
      </c>
      <c r="Z49" t="s">
        <v>1654</v>
      </c>
      <c r="AA49" t="s">
        <v>25</v>
      </c>
      <c r="AC49" t="s">
        <v>22</v>
      </c>
      <c r="AD49" t="s">
        <v>1654</v>
      </c>
      <c r="AE49">
        <v>1.0594911379214342E-4</v>
      </c>
      <c r="AG49" t="s">
        <v>97</v>
      </c>
      <c r="AH49" t="s">
        <v>1654</v>
      </c>
      <c r="AI49">
        <v>0</v>
      </c>
      <c r="AK49">
        <v>2025</v>
      </c>
      <c r="AL49" t="s">
        <v>159</v>
      </c>
      <c r="AM49">
        <v>0.30990000000000001</v>
      </c>
      <c r="AN49" t="s">
        <v>430</v>
      </c>
    </row>
    <row r="50" spans="5:40" x14ac:dyDescent="0.45">
      <c r="E50" t="s">
        <v>1351</v>
      </c>
      <c r="G50" t="s">
        <v>155</v>
      </c>
      <c r="I50" t="s">
        <v>249</v>
      </c>
      <c r="J50" t="s">
        <v>1655</v>
      </c>
      <c r="K50">
        <v>1.6318286718366594E-5</v>
      </c>
      <c r="L50" t="s">
        <v>251</v>
      </c>
      <c r="N50" t="s">
        <v>419</v>
      </c>
      <c r="O50" t="s">
        <v>1655</v>
      </c>
      <c r="P50">
        <v>3.3316584634803972E-5</v>
      </c>
      <c r="Q50" t="s">
        <v>251</v>
      </c>
      <c r="S50" t="s">
        <v>420</v>
      </c>
      <c r="T50" t="s">
        <v>1655</v>
      </c>
      <c r="U50">
        <v>3.1220359872913942E-5</v>
      </c>
      <c r="V50" t="s">
        <v>251</v>
      </c>
      <c r="X50">
        <v>1.1415525114155251E-4</v>
      </c>
      <c r="Y50">
        <v>1.9060404909297337E-4</v>
      </c>
      <c r="Z50" t="s">
        <v>1655</v>
      </c>
      <c r="AA50" t="s">
        <v>25</v>
      </c>
      <c r="AC50" t="s">
        <v>22</v>
      </c>
      <c r="AD50" t="s">
        <v>1655</v>
      </c>
      <c r="AE50">
        <v>1.0686493384207124E-4</v>
      </c>
      <c r="AG50" t="s">
        <v>97</v>
      </c>
      <c r="AH50" t="s">
        <v>1655</v>
      </c>
      <c r="AI50">
        <v>0</v>
      </c>
      <c r="AK50">
        <v>2025</v>
      </c>
      <c r="AL50" t="s">
        <v>163</v>
      </c>
      <c r="AM50">
        <v>0.3392</v>
      </c>
      <c r="AN50" t="s">
        <v>430</v>
      </c>
    </row>
    <row r="51" spans="5:40" x14ac:dyDescent="0.45">
      <c r="E51" t="s">
        <v>1352</v>
      </c>
      <c r="G51" t="s">
        <v>155</v>
      </c>
      <c r="I51" t="s">
        <v>249</v>
      </c>
      <c r="J51" t="s">
        <v>1656</v>
      </c>
      <c r="K51">
        <v>9.65642877903091E-5</v>
      </c>
      <c r="L51" t="s">
        <v>251</v>
      </c>
      <c r="N51" t="s">
        <v>419</v>
      </c>
      <c r="O51" t="s">
        <v>1656</v>
      </c>
      <c r="P51">
        <v>2.8332986751462186E-5</v>
      </c>
      <c r="Q51" t="s">
        <v>251</v>
      </c>
      <c r="S51" t="s">
        <v>420</v>
      </c>
      <c r="T51" t="s">
        <v>1656</v>
      </c>
      <c r="U51">
        <v>3.3370906179853256E-5</v>
      </c>
      <c r="V51" t="s">
        <v>251</v>
      </c>
      <c r="X51">
        <v>1.1415525114155251E-4</v>
      </c>
      <c r="Y51">
        <v>1.4585353321897094E-4</v>
      </c>
      <c r="Z51" t="s">
        <v>1656</v>
      </c>
      <c r="AA51" t="s">
        <v>25</v>
      </c>
      <c r="AC51" t="s">
        <v>22</v>
      </c>
      <c r="AD51" t="s">
        <v>1656</v>
      </c>
      <c r="AE51">
        <v>1.1696457952649452E-4</v>
      </c>
      <c r="AG51" t="s">
        <v>97</v>
      </c>
      <c r="AH51" t="s">
        <v>1656</v>
      </c>
      <c r="AI51">
        <v>0</v>
      </c>
      <c r="AK51">
        <v>2025</v>
      </c>
      <c r="AL51" t="s">
        <v>167</v>
      </c>
      <c r="AM51">
        <v>0.43769999999999998</v>
      </c>
      <c r="AN51" t="s">
        <v>430</v>
      </c>
    </row>
    <row r="52" spans="5:40" x14ac:dyDescent="0.45">
      <c r="E52" t="s">
        <v>1353</v>
      </c>
      <c r="G52" t="s">
        <v>155</v>
      </c>
      <c r="I52" t="s">
        <v>249</v>
      </c>
      <c r="J52" t="s">
        <v>1657</v>
      </c>
      <c r="K52">
        <v>1.768295332502E-4</v>
      </c>
      <c r="L52" t="s">
        <v>251</v>
      </c>
      <c r="N52" t="s">
        <v>419</v>
      </c>
      <c r="O52" t="s">
        <v>1657</v>
      </c>
      <c r="P52">
        <v>2.5780836965267096E-5</v>
      </c>
      <c r="Q52" t="s">
        <v>251</v>
      </c>
      <c r="S52" t="s">
        <v>420</v>
      </c>
      <c r="T52" t="s">
        <v>1657</v>
      </c>
      <c r="U52">
        <v>3.6287300045797154E-5</v>
      </c>
      <c r="V52" t="s">
        <v>251</v>
      </c>
      <c r="X52">
        <v>1.1415525114155251E-4</v>
      </c>
      <c r="Y52">
        <v>1.4452759200788939E-4</v>
      </c>
      <c r="Z52" t="s">
        <v>1657</v>
      </c>
      <c r="AA52" t="s">
        <v>25</v>
      </c>
      <c r="AC52" t="s">
        <v>22</v>
      </c>
      <c r="AD52" t="s">
        <v>1657</v>
      </c>
      <c r="AE52">
        <v>1.1708490624838285E-4</v>
      </c>
      <c r="AG52" t="s">
        <v>97</v>
      </c>
      <c r="AH52" t="s">
        <v>1657</v>
      </c>
      <c r="AI52">
        <v>0</v>
      </c>
      <c r="AK52">
        <v>2025</v>
      </c>
      <c r="AL52" t="s">
        <v>169</v>
      </c>
      <c r="AM52">
        <v>0.49469999999999997</v>
      </c>
      <c r="AN52" t="s">
        <v>430</v>
      </c>
    </row>
    <row r="53" spans="5:40" x14ac:dyDescent="0.45">
      <c r="E53" t="s">
        <v>1354</v>
      </c>
      <c r="G53" t="s">
        <v>155</v>
      </c>
      <c r="I53" t="s">
        <v>249</v>
      </c>
      <c r="J53" t="s">
        <v>1658</v>
      </c>
      <c r="K53">
        <v>2.2894565347530001E-4</v>
      </c>
      <c r="L53" t="s">
        <v>251</v>
      </c>
      <c r="N53" t="s">
        <v>419</v>
      </c>
      <c r="O53" t="s">
        <v>1658</v>
      </c>
      <c r="P53">
        <v>3.1192032332832465E-5</v>
      </c>
      <c r="Q53" t="s">
        <v>251</v>
      </c>
      <c r="S53" t="s">
        <v>420</v>
      </c>
      <c r="T53" t="s">
        <v>1658</v>
      </c>
      <c r="U53">
        <v>3.7425819590129727E-5</v>
      </c>
      <c r="V53" t="s">
        <v>251</v>
      </c>
      <c r="X53">
        <v>1.1415525114155251E-4</v>
      </c>
      <c r="Y53">
        <v>1.408812536774151E-4</v>
      </c>
      <c r="Z53" t="s">
        <v>1658</v>
      </c>
      <c r="AA53" t="s">
        <v>25</v>
      </c>
      <c r="AC53" t="s">
        <v>22</v>
      </c>
      <c r="AD53" t="s">
        <v>1658</v>
      </c>
      <c r="AE53">
        <v>1.0878904725597075E-4</v>
      </c>
      <c r="AG53" t="s">
        <v>97</v>
      </c>
      <c r="AH53" t="s">
        <v>1658</v>
      </c>
      <c r="AI53">
        <v>0</v>
      </c>
      <c r="AK53">
        <v>2025</v>
      </c>
      <c r="AL53" t="s">
        <v>171</v>
      </c>
      <c r="AM53">
        <v>0.67</v>
      </c>
      <c r="AN53" t="s">
        <v>430</v>
      </c>
    </row>
    <row r="54" spans="5:40" x14ac:dyDescent="0.45">
      <c r="E54" t="s">
        <v>1355</v>
      </c>
      <c r="G54" t="s">
        <v>155</v>
      </c>
      <c r="I54" t="s">
        <v>249</v>
      </c>
      <c r="J54" t="s">
        <v>1659</v>
      </c>
      <c r="K54">
        <v>2.6520095458380002E-4</v>
      </c>
      <c r="L54" t="s">
        <v>251</v>
      </c>
      <c r="N54" t="s">
        <v>419</v>
      </c>
      <c r="O54" t="s">
        <v>1659</v>
      </c>
      <c r="P54">
        <v>3.2001170169087115E-5</v>
      </c>
      <c r="Q54" t="s">
        <v>251</v>
      </c>
      <c r="S54" t="s">
        <v>420</v>
      </c>
      <c r="T54" t="s">
        <v>1659</v>
      </c>
      <c r="U54">
        <v>3.7653756985919823E-5</v>
      </c>
      <c r="V54" t="s">
        <v>251</v>
      </c>
      <c r="X54">
        <v>1.1415525114155251E-4</v>
      </c>
      <c r="Y54">
        <v>1.4054976837464471E-4</v>
      </c>
      <c r="Z54" t="s">
        <v>1659</v>
      </c>
      <c r="AA54" t="s">
        <v>25</v>
      </c>
      <c r="AC54" t="s">
        <v>22</v>
      </c>
      <c r="AD54" t="s">
        <v>1659</v>
      </c>
      <c r="AE54">
        <v>1.1230971800751819E-4</v>
      </c>
      <c r="AG54" t="s">
        <v>97</v>
      </c>
      <c r="AH54" t="s">
        <v>1659</v>
      </c>
      <c r="AI54">
        <v>0</v>
      </c>
      <c r="AK54">
        <v>2025</v>
      </c>
      <c r="AL54" t="s">
        <v>158</v>
      </c>
      <c r="AM54">
        <v>0.70209999999999995</v>
      </c>
      <c r="AN54" t="s">
        <v>430</v>
      </c>
    </row>
    <row r="55" spans="5:40" x14ac:dyDescent="0.45">
      <c r="E55" t="s">
        <v>1356</v>
      </c>
      <c r="G55" t="s">
        <v>155</v>
      </c>
      <c r="I55" t="s">
        <v>249</v>
      </c>
      <c r="J55" t="s">
        <v>1660</v>
      </c>
      <c r="K55">
        <v>2.8476499717039998E-4</v>
      </c>
      <c r="L55" t="s">
        <v>251</v>
      </c>
      <c r="N55" t="s">
        <v>419</v>
      </c>
      <c r="O55" t="s">
        <v>1660</v>
      </c>
      <c r="P55">
        <v>2.7930592761812571E-5</v>
      </c>
      <c r="Q55" t="s">
        <v>251</v>
      </c>
      <c r="S55" t="s">
        <v>420</v>
      </c>
      <c r="T55" t="s">
        <v>1660</v>
      </c>
      <c r="U55">
        <v>3.8923682043505854E-5</v>
      </c>
      <c r="V55" t="s">
        <v>251</v>
      </c>
      <c r="X55">
        <v>1.1415525114155251E-4</v>
      </c>
      <c r="Y55">
        <v>1.4253868019126702E-4</v>
      </c>
      <c r="Z55" t="s">
        <v>1660</v>
      </c>
      <c r="AA55" t="s">
        <v>25</v>
      </c>
      <c r="AC55" t="s">
        <v>22</v>
      </c>
      <c r="AD55" t="s">
        <v>1660</v>
      </c>
      <c r="AE55">
        <v>1.2377863722157811E-4</v>
      </c>
      <c r="AG55" t="s">
        <v>97</v>
      </c>
      <c r="AH55" t="s">
        <v>1660</v>
      </c>
      <c r="AI55">
        <v>0</v>
      </c>
      <c r="AK55">
        <v>2025</v>
      </c>
      <c r="AL55" t="s">
        <v>162</v>
      </c>
      <c r="AM55">
        <v>0.76329999999999998</v>
      </c>
      <c r="AN55" t="s">
        <v>430</v>
      </c>
    </row>
    <row r="56" spans="5:40" x14ac:dyDescent="0.45">
      <c r="E56" t="s">
        <v>1357</v>
      </c>
      <c r="G56" t="s">
        <v>155</v>
      </c>
      <c r="I56" t="s">
        <v>249</v>
      </c>
      <c r="J56" t="s">
        <v>1661</v>
      </c>
      <c r="K56">
        <v>2.883274081772E-4</v>
      </c>
      <c r="L56" t="s">
        <v>251</v>
      </c>
      <c r="N56" t="s">
        <v>419</v>
      </c>
      <c r="O56" t="s">
        <v>1661</v>
      </c>
      <c r="P56">
        <v>2.3766181313119611E-5</v>
      </c>
      <c r="Q56" t="s">
        <v>251</v>
      </c>
      <c r="S56" t="s">
        <v>420</v>
      </c>
      <c r="T56" t="s">
        <v>1661</v>
      </c>
      <c r="U56">
        <v>4.0413793998483567E-5</v>
      </c>
      <c r="V56" t="s">
        <v>251</v>
      </c>
      <c r="X56">
        <v>1.1415525114155251E-4</v>
      </c>
      <c r="Y56">
        <v>1.4883690094390442E-4</v>
      </c>
      <c r="Z56" t="s">
        <v>1661</v>
      </c>
      <c r="AA56" t="s">
        <v>25</v>
      </c>
      <c r="AC56" t="s">
        <v>22</v>
      </c>
      <c r="AD56" t="s">
        <v>1661</v>
      </c>
      <c r="AE56">
        <v>1.2707759484668319E-4</v>
      </c>
      <c r="AG56" t="s">
        <v>97</v>
      </c>
      <c r="AH56" t="s">
        <v>1661</v>
      </c>
      <c r="AI56">
        <v>0</v>
      </c>
      <c r="AK56">
        <v>2025</v>
      </c>
      <c r="AL56" t="s">
        <v>175</v>
      </c>
      <c r="AM56">
        <v>0.5343</v>
      </c>
      <c r="AN56" t="s">
        <v>430</v>
      </c>
    </row>
    <row r="57" spans="5:40" x14ac:dyDescent="0.45">
      <c r="E57" t="s">
        <v>1358</v>
      </c>
      <c r="G57" t="s">
        <v>155</v>
      </c>
      <c r="I57" t="s">
        <v>249</v>
      </c>
      <c r="J57" t="s">
        <v>1662</v>
      </c>
      <c r="K57">
        <v>3.0699912595090001E-4</v>
      </c>
      <c r="L57" t="s">
        <v>251</v>
      </c>
      <c r="N57" t="s">
        <v>419</v>
      </c>
      <c r="O57" t="s">
        <v>1662</v>
      </c>
      <c r="P57">
        <v>2.0981462509669548E-5</v>
      </c>
      <c r="Q57" t="s">
        <v>251</v>
      </c>
      <c r="S57" t="s">
        <v>420</v>
      </c>
      <c r="T57" t="s">
        <v>1662</v>
      </c>
      <c r="U57">
        <v>4.1603618805675125E-5</v>
      </c>
      <c r="V57" t="s">
        <v>251</v>
      </c>
      <c r="X57">
        <v>1.1415525114155251E-4</v>
      </c>
      <c r="Y57">
        <v>1.5049432745775637E-4</v>
      </c>
      <c r="Z57" t="s">
        <v>1662</v>
      </c>
      <c r="AA57" t="s">
        <v>25</v>
      </c>
      <c r="AC57" t="s">
        <v>22</v>
      </c>
      <c r="AD57" t="s">
        <v>1662</v>
      </c>
      <c r="AE57">
        <v>1.27332732062539E-4</v>
      </c>
      <c r="AG57" t="s">
        <v>97</v>
      </c>
      <c r="AH57" t="s">
        <v>1662</v>
      </c>
      <c r="AI57">
        <v>0</v>
      </c>
      <c r="AK57">
        <v>2025</v>
      </c>
      <c r="AL57" t="s">
        <v>166</v>
      </c>
      <c r="AM57">
        <v>0.37019999999999997</v>
      </c>
      <c r="AN57" t="s">
        <v>430</v>
      </c>
    </row>
    <row r="58" spans="5:40" x14ac:dyDescent="0.45">
      <c r="E58" t="s">
        <v>1359</v>
      </c>
      <c r="G58" t="s">
        <v>155</v>
      </c>
      <c r="I58" t="s">
        <v>249</v>
      </c>
      <c r="J58" t="s">
        <v>1663</v>
      </c>
      <c r="K58">
        <v>3.0438561246059998E-4</v>
      </c>
      <c r="L58" t="s">
        <v>251</v>
      </c>
      <c r="N58" t="s">
        <v>419</v>
      </c>
      <c r="O58" t="s">
        <v>1663</v>
      </c>
      <c r="P58">
        <v>1.4043377999252903E-5</v>
      </c>
      <c r="Q58" t="s">
        <v>251</v>
      </c>
      <c r="S58" t="s">
        <v>420</v>
      </c>
      <c r="T58" t="s">
        <v>1663</v>
      </c>
      <c r="U58">
        <v>4.0101143335756751E-5</v>
      </c>
      <c r="V58" t="s">
        <v>251</v>
      </c>
      <c r="X58">
        <v>1.1415525114155251E-4</v>
      </c>
      <c r="Y58">
        <v>1.7237235744060203E-4</v>
      </c>
      <c r="Z58" t="s">
        <v>1663</v>
      </c>
      <c r="AA58" t="s">
        <v>25</v>
      </c>
      <c r="AC58" t="s">
        <v>22</v>
      </c>
      <c r="AD58" t="s">
        <v>1663</v>
      </c>
      <c r="AE58">
        <v>1.1285898721021215E-4</v>
      </c>
      <c r="AG58" t="s">
        <v>97</v>
      </c>
      <c r="AH58" t="s">
        <v>1663</v>
      </c>
      <c r="AI58">
        <v>0</v>
      </c>
      <c r="AK58">
        <v>2025</v>
      </c>
      <c r="AL58" t="s">
        <v>178</v>
      </c>
      <c r="AM58">
        <v>0.314</v>
      </c>
      <c r="AN58" t="s">
        <v>430</v>
      </c>
    </row>
    <row r="59" spans="5:40" x14ac:dyDescent="0.45">
      <c r="E59" t="s">
        <v>1360</v>
      </c>
      <c r="G59" t="s">
        <v>155</v>
      </c>
      <c r="I59" t="s">
        <v>249</v>
      </c>
      <c r="J59" t="s">
        <v>1664</v>
      </c>
      <c r="K59">
        <v>2.6998888371090001E-4</v>
      </c>
      <c r="L59" t="s">
        <v>251</v>
      </c>
      <c r="N59" t="s">
        <v>419</v>
      </c>
      <c r="O59" t="s">
        <v>1664</v>
      </c>
      <c r="P59">
        <v>1.6295482529869128E-5</v>
      </c>
      <c r="Q59" t="s">
        <v>251</v>
      </c>
      <c r="S59" t="s">
        <v>420</v>
      </c>
      <c r="T59" t="s">
        <v>1664</v>
      </c>
      <c r="U59">
        <v>4.4403803615624127E-5</v>
      </c>
      <c r="V59" t="s">
        <v>251</v>
      </c>
      <c r="X59">
        <v>1.1415525114155251E-4</v>
      </c>
      <c r="Y59">
        <v>2.2209515285616027E-4</v>
      </c>
      <c r="Z59" t="s">
        <v>1664</v>
      </c>
      <c r="AA59" t="s">
        <v>25</v>
      </c>
      <c r="AC59" t="s">
        <v>22</v>
      </c>
      <c r="AD59" t="s">
        <v>1664</v>
      </c>
      <c r="AE59">
        <v>8.903541041263651E-5</v>
      </c>
      <c r="AG59" t="s">
        <v>97</v>
      </c>
      <c r="AH59" t="s">
        <v>1664</v>
      </c>
      <c r="AI59">
        <v>0</v>
      </c>
      <c r="AK59">
        <v>2026</v>
      </c>
      <c r="AL59" t="s">
        <v>151</v>
      </c>
      <c r="AM59">
        <v>0.25640000000000002</v>
      </c>
      <c r="AN59" t="s">
        <v>430</v>
      </c>
    </row>
    <row r="60" spans="5:40" x14ac:dyDescent="0.45">
      <c r="E60" t="s">
        <v>1361</v>
      </c>
      <c r="G60" t="s">
        <v>155</v>
      </c>
      <c r="I60" t="s">
        <v>249</v>
      </c>
      <c r="J60" t="s">
        <v>1665</v>
      </c>
      <c r="K60">
        <v>1.89437564711E-4</v>
      </c>
      <c r="L60" t="s">
        <v>251</v>
      </c>
      <c r="N60" t="s">
        <v>419</v>
      </c>
      <c r="O60" t="s">
        <v>1665</v>
      </c>
      <c r="P60">
        <v>2.3270379187868939E-5</v>
      </c>
      <c r="Q60" t="s">
        <v>251</v>
      </c>
      <c r="S60" t="s">
        <v>420</v>
      </c>
      <c r="T60" t="s">
        <v>1665</v>
      </c>
      <c r="U60">
        <v>4.9749807074877904E-5</v>
      </c>
      <c r="V60" t="s">
        <v>251</v>
      </c>
      <c r="X60">
        <v>1.1415525114155251E-4</v>
      </c>
      <c r="Y60">
        <v>2.2209515285616027E-4</v>
      </c>
      <c r="Z60" t="s">
        <v>1665</v>
      </c>
      <c r="AA60" t="s">
        <v>25</v>
      </c>
      <c r="AC60" t="s">
        <v>22</v>
      </c>
      <c r="AD60" t="s">
        <v>1665</v>
      </c>
      <c r="AE60">
        <v>5.9399384466066261E-5</v>
      </c>
      <c r="AG60" t="s">
        <v>97</v>
      </c>
      <c r="AH60" t="s">
        <v>1665</v>
      </c>
      <c r="AI60">
        <v>0</v>
      </c>
      <c r="AK60">
        <v>2026</v>
      </c>
      <c r="AL60" t="s">
        <v>156</v>
      </c>
      <c r="AM60">
        <v>0.2974</v>
      </c>
      <c r="AN60" t="s">
        <v>430</v>
      </c>
    </row>
    <row r="61" spans="5:40" x14ac:dyDescent="0.45">
      <c r="E61" t="s">
        <v>1362</v>
      </c>
      <c r="G61" t="s">
        <v>155</v>
      </c>
      <c r="I61" t="s">
        <v>249</v>
      </c>
      <c r="J61" t="s">
        <v>1666</v>
      </c>
      <c r="K61">
        <v>8.1722563758347705E-5</v>
      </c>
      <c r="L61" t="s">
        <v>251</v>
      </c>
      <c r="N61" t="s">
        <v>419</v>
      </c>
      <c r="O61" t="s">
        <v>1666</v>
      </c>
      <c r="P61">
        <v>4.4054094003367314E-5</v>
      </c>
      <c r="Q61" t="s">
        <v>251</v>
      </c>
      <c r="S61" t="s">
        <v>420</v>
      </c>
      <c r="T61" t="s">
        <v>1666</v>
      </c>
      <c r="U61">
        <v>5.5147147619474803E-5</v>
      </c>
      <c r="V61" t="s">
        <v>251</v>
      </c>
      <c r="X61">
        <v>1.1415525114155251E-4</v>
      </c>
      <c r="Y61">
        <v>1.7237235744060203E-4</v>
      </c>
      <c r="Z61" t="s">
        <v>1666</v>
      </c>
      <c r="AA61" t="s">
        <v>25</v>
      </c>
      <c r="AC61" t="s">
        <v>22</v>
      </c>
      <c r="AD61" t="s">
        <v>1666</v>
      </c>
      <c r="AE61">
        <v>3.0825130426529139E-5</v>
      </c>
      <c r="AG61" t="s">
        <v>97</v>
      </c>
      <c r="AH61" t="s">
        <v>1666</v>
      </c>
      <c r="AI61">
        <v>0</v>
      </c>
      <c r="AK61">
        <v>2026</v>
      </c>
      <c r="AL61" t="s">
        <v>159</v>
      </c>
      <c r="AM61">
        <v>0.30530000000000002</v>
      </c>
      <c r="AN61" t="s">
        <v>430</v>
      </c>
    </row>
    <row r="62" spans="5:40" x14ac:dyDescent="0.45">
      <c r="E62" t="s">
        <v>1363</v>
      </c>
      <c r="G62" t="s">
        <v>155</v>
      </c>
      <c r="I62" t="s">
        <v>249</v>
      </c>
      <c r="J62" t="s">
        <v>1667</v>
      </c>
      <c r="K62">
        <v>0</v>
      </c>
      <c r="L62" t="s">
        <v>251</v>
      </c>
      <c r="N62" t="s">
        <v>419</v>
      </c>
      <c r="O62" t="s">
        <v>1667</v>
      </c>
      <c r="P62">
        <v>7.2055289696803832E-5</v>
      </c>
      <c r="Q62" t="s">
        <v>251</v>
      </c>
      <c r="S62" t="s">
        <v>420</v>
      </c>
      <c r="T62" t="s">
        <v>1667</v>
      </c>
      <c r="U62">
        <v>6.0034289086818043E-5</v>
      </c>
      <c r="V62" t="s">
        <v>251</v>
      </c>
      <c r="X62">
        <v>1.1415525114155251E-4</v>
      </c>
      <c r="Y62">
        <v>1.5579809230208258E-4</v>
      </c>
      <c r="Z62" t="s">
        <v>1667</v>
      </c>
      <c r="AA62" t="s">
        <v>25</v>
      </c>
      <c r="AC62" t="s">
        <v>22</v>
      </c>
      <c r="AD62" t="s">
        <v>1667</v>
      </c>
      <c r="AE62">
        <v>2.7576308935544232E-5</v>
      </c>
      <c r="AG62" t="s">
        <v>97</v>
      </c>
      <c r="AH62" t="s">
        <v>1667</v>
      </c>
      <c r="AI62">
        <v>0</v>
      </c>
      <c r="AK62">
        <v>2026</v>
      </c>
      <c r="AL62" t="s">
        <v>163</v>
      </c>
      <c r="AM62">
        <v>0.34670000000000001</v>
      </c>
      <c r="AN62" t="s">
        <v>430</v>
      </c>
    </row>
    <row r="63" spans="5:40" x14ac:dyDescent="0.45">
      <c r="E63" t="s">
        <v>1364</v>
      </c>
      <c r="G63" t="s">
        <v>155</v>
      </c>
      <c r="I63" t="s">
        <v>249</v>
      </c>
      <c r="J63" t="s">
        <v>1668</v>
      </c>
      <c r="K63">
        <v>0</v>
      </c>
      <c r="L63" t="s">
        <v>251</v>
      </c>
      <c r="N63" t="s">
        <v>419</v>
      </c>
      <c r="O63" t="s">
        <v>1668</v>
      </c>
      <c r="P63">
        <v>9.5328142474158183E-5</v>
      </c>
      <c r="Q63" t="s">
        <v>251</v>
      </c>
      <c r="S63" t="s">
        <v>420</v>
      </c>
      <c r="T63" t="s">
        <v>1668</v>
      </c>
      <c r="U63">
        <v>6.2572023184305763E-5</v>
      </c>
      <c r="V63" t="s">
        <v>251</v>
      </c>
      <c r="X63">
        <v>1.1415525114155251E-4</v>
      </c>
      <c r="Y63">
        <v>1.093901499142282E-4</v>
      </c>
      <c r="Z63" t="s">
        <v>1668</v>
      </c>
      <c r="AA63" t="s">
        <v>25</v>
      </c>
      <c r="AC63" t="s">
        <v>22</v>
      </c>
      <c r="AD63" t="s">
        <v>1668</v>
      </c>
      <c r="AE63">
        <v>2.8818570925409868E-5</v>
      </c>
      <c r="AG63" t="s">
        <v>97</v>
      </c>
      <c r="AH63" t="s">
        <v>1668</v>
      </c>
      <c r="AI63">
        <v>0</v>
      </c>
      <c r="AK63">
        <v>2026</v>
      </c>
      <c r="AL63" t="s">
        <v>167</v>
      </c>
      <c r="AM63">
        <v>0.41049999999999998</v>
      </c>
      <c r="AN63" t="s">
        <v>430</v>
      </c>
    </row>
    <row r="64" spans="5:40" x14ac:dyDescent="0.45">
      <c r="E64" t="s">
        <v>1365</v>
      </c>
      <c r="G64" t="s">
        <v>155</v>
      </c>
      <c r="I64" t="s">
        <v>249</v>
      </c>
      <c r="J64" t="s">
        <v>1669</v>
      </c>
      <c r="K64">
        <v>0</v>
      </c>
      <c r="L64" t="s">
        <v>251</v>
      </c>
      <c r="N64" t="s">
        <v>419</v>
      </c>
      <c r="O64" t="s">
        <v>1669</v>
      </c>
      <c r="P64">
        <v>1.09630370863E-4</v>
      </c>
      <c r="Q64" t="s">
        <v>251</v>
      </c>
      <c r="S64" t="s">
        <v>420</v>
      </c>
      <c r="T64" t="s">
        <v>1669</v>
      </c>
      <c r="U64">
        <v>6.3217602228850381E-5</v>
      </c>
      <c r="V64" t="s">
        <v>251</v>
      </c>
      <c r="X64">
        <v>1.1415525114155251E-4</v>
      </c>
      <c r="Y64">
        <v>7.9556472664893237E-5</v>
      </c>
      <c r="Z64" t="s">
        <v>1669</v>
      </c>
      <c r="AA64" t="s">
        <v>25</v>
      </c>
      <c r="AC64" t="s">
        <v>22</v>
      </c>
      <c r="AD64" t="s">
        <v>1669</v>
      </c>
      <c r="AE64">
        <v>2.8146746728200017E-5</v>
      </c>
      <c r="AG64" t="s">
        <v>97</v>
      </c>
      <c r="AH64" t="s">
        <v>1669</v>
      </c>
      <c r="AI64">
        <v>0</v>
      </c>
      <c r="AK64">
        <v>2026</v>
      </c>
      <c r="AL64" t="s">
        <v>169</v>
      </c>
      <c r="AM64">
        <v>0.50549999999999995</v>
      </c>
      <c r="AN64" t="s">
        <v>430</v>
      </c>
    </row>
    <row r="65" spans="5:40" x14ac:dyDescent="0.45">
      <c r="E65" t="s">
        <v>1366</v>
      </c>
      <c r="G65" t="s">
        <v>155</v>
      </c>
      <c r="I65" t="s">
        <v>249</v>
      </c>
      <c r="J65" t="s">
        <v>1670</v>
      </c>
      <c r="K65">
        <v>0</v>
      </c>
      <c r="L65" t="s">
        <v>251</v>
      </c>
      <c r="N65" t="s">
        <v>419</v>
      </c>
      <c r="O65" t="s">
        <v>1670</v>
      </c>
      <c r="P65">
        <v>1.15626144583E-4</v>
      </c>
      <c r="Q65" t="s">
        <v>251</v>
      </c>
      <c r="S65" t="s">
        <v>420</v>
      </c>
      <c r="T65" t="s">
        <v>1670</v>
      </c>
      <c r="U65">
        <v>6.409042756140477E-5</v>
      </c>
      <c r="V65" t="s">
        <v>251</v>
      </c>
      <c r="X65">
        <v>1.1415525114155251E-4</v>
      </c>
      <c r="Y65">
        <v>5.6352501470966035E-5</v>
      </c>
      <c r="Z65" t="s">
        <v>1670</v>
      </c>
      <c r="AA65" t="s">
        <v>25</v>
      </c>
      <c r="AC65" t="s">
        <v>22</v>
      </c>
      <c r="AD65" t="s">
        <v>1670</v>
      </c>
      <c r="AE65">
        <v>3.0200099954498094E-5</v>
      </c>
      <c r="AG65" t="s">
        <v>97</v>
      </c>
      <c r="AH65" t="s">
        <v>1670</v>
      </c>
      <c r="AI65">
        <v>0</v>
      </c>
      <c r="AK65">
        <v>2026</v>
      </c>
      <c r="AL65" t="s">
        <v>171</v>
      </c>
      <c r="AM65">
        <v>0.57340000000000002</v>
      </c>
      <c r="AN65" t="s">
        <v>430</v>
      </c>
    </row>
    <row r="66" spans="5:40" x14ac:dyDescent="0.45">
      <c r="E66" t="s">
        <v>1367</v>
      </c>
      <c r="G66" t="s">
        <v>155</v>
      </c>
      <c r="I66" t="s">
        <v>249</v>
      </c>
      <c r="J66" t="s">
        <v>1671</v>
      </c>
      <c r="K66">
        <v>0</v>
      </c>
      <c r="L66" t="s">
        <v>251</v>
      </c>
      <c r="N66" t="s">
        <v>419</v>
      </c>
      <c r="O66" t="s">
        <v>1671</v>
      </c>
      <c r="P66">
        <v>1.101644816826E-4</v>
      </c>
      <c r="Q66" t="s">
        <v>251</v>
      </c>
      <c r="S66" t="s">
        <v>420</v>
      </c>
      <c r="T66" t="s">
        <v>1671</v>
      </c>
      <c r="U66">
        <v>6.4236743504143492E-5</v>
      </c>
      <c r="V66" t="s">
        <v>251</v>
      </c>
      <c r="X66">
        <v>1.1415525114155251E-4</v>
      </c>
      <c r="Y66">
        <v>2.9833677249334962E-5</v>
      </c>
      <c r="Z66" t="s">
        <v>1671</v>
      </c>
      <c r="AA66" t="s">
        <v>25</v>
      </c>
      <c r="AC66" t="s">
        <v>22</v>
      </c>
      <c r="AD66" t="s">
        <v>1671</v>
      </c>
      <c r="AE66">
        <v>4.9742050898213981E-5</v>
      </c>
      <c r="AG66" t="s">
        <v>97</v>
      </c>
      <c r="AH66" t="s">
        <v>1671</v>
      </c>
      <c r="AI66">
        <v>0</v>
      </c>
      <c r="AK66">
        <v>2026</v>
      </c>
      <c r="AL66" t="s">
        <v>158</v>
      </c>
      <c r="AM66">
        <v>0.76170000000000004</v>
      </c>
      <c r="AN66" t="s">
        <v>430</v>
      </c>
    </row>
    <row r="67" spans="5:40" x14ac:dyDescent="0.45">
      <c r="E67" t="s">
        <v>1368</v>
      </c>
      <c r="G67" t="s">
        <v>155</v>
      </c>
      <c r="I67" t="s">
        <v>249</v>
      </c>
      <c r="J67" t="s">
        <v>1672</v>
      </c>
      <c r="K67">
        <v>0</v>
      </c>
      <c r="L67" t="s">
        <v>251</v>
      </c>
      <c r="N67" t="s">
        <v>419</v>
      </c>
      <c r="O67" t="s">
        <v>1672</v>
      </c>
      <c r="P67">
        <v>9.7792295193242478E-5</v>
      </c>
      <c r="Q67" t="s">
        <v>251</v>
      </c>
      <c r="S67" t="s">
        <v>420</v>
      </c>
      <c r="T67" t="s">
        <v>1672</v>
      </c>
      <c r="U67">
        <v>6.4565155791243868E-5</v>
      </c>
      <c r="V67" t="s">
        <v>251</v>
      </c>
      <c r="X67">
        <v>1.1415525114155251E-4</v>
      </c>
      <c r="Y67">
        <v>2.1546544680075254E-5</v>
      </c>
      <c r="Z67" t="s">
        <v>1672</v>
      </c>
      <c r="AA67" t="s">
        <v>25</v>
      </c>
      <c r="AC67" t="s">
        <v>22</v>
      </c>
      <c r="AD67" t="s">
        <v>1672</v>
      </c>
      <c r="AE67">
        <v>5.7776087856887588E-5</v>
      </c>
      <c r="AG67" t="s">
        <v>97</v>
      </c>
      <c r="AH67" t="s">
        <v>1672</v>
      </c>
      <c r="AI67">
        <v>0</v>
      </c>
      <c r="AK67">
        <v>2026</v>
      </c>
      <c r="AL67" t="s">
        <v>162</v>
      </c>
      <c r="AM67">
        <v>0.75239999999999996</v>
      </c>
      <c r="AN67" t="s">
        <v>430</v>
      </c>
    </row>
    <row r="68" spans="5:40" x14ac:dyDescent="0.45">
      <c r="E68" t="s">
        <v>1369</v>
      </c>
      <c r="G68" t="s">
        <v>155</v>
      </c>
      <c r="I68" t="s">
        <v>249</v>
      </c>
      <c r="J68" t="s">
        <v>1673</v>
      </c>
      <c r="K68">
        <v>0</v>
      </c>
      <c r="L68" t="s">
        <v>251</v>
      </c>
      <c r="N68" t="s">
        <v>419</v>
      </c>
      <c r="O68" t="s">
        <v>1673</v>
      </c>
      <c r="P68">
        <v>8.8016382397015249E-5</v>
      </c>
      <c r="Q68" t="s">
        <v>251</v>
      </c>
      <c r="S68" t="s">
        <v>420</v>
      </c>
      <c r="T68" t="s">
        <v>1673</v>
      </c>
      <c r="U68">
        <v>6.4592376943729276E-5</v>
      </c>
      <c r="V68" t="s">
        <v>251</v>
      </c>
      <c r="X68">
        <v>1.1415525114155251E-4</v>
      </c>
      <c r="Y68">
        <v>1.4916838624667481E-5</v>
      </c>
      <c r="Z68" t="s">
        <v>1673</v>
      </c>
      <c r="AA68" t="s">
        <v>25</v>
      </c>
      <c r="AC68" t="s">
        <v>22</v>
      </c>
      <c r="AD68" t="s">
        <v>1673</v>
      </c>
      <c r="AE68">
        <v>7.7919672410045108E-5</v>
      </c>
      <c r="AG68" t="s">
        <v>97</v>
      </c>
      <c r="AH68" t="s">
        <v>1673</v>
      </c>
      <c r="AI68">
        <v>0</v>
      </c>
      <c r="AK68">
        <v>2026</v>
      </c>
      <c r="AL68" t="s">
        <v>175</v>
      </c>
      <c r="AM68">
        <v>0.48809999999999998</v>
      </c>
      <c r="AN68" t="s">
        <v>430</v>
      </c>
    </row>
    <row r="69" spans="5:40" x14ac:dyDescent="0.45">
      <c r="E69" t="s">
        <v>1370</v>
      </c>
      <c r="G69" t="s">
        <v>155</v>
      </c>
      <c r="I69" t="s">
        <v>249</v>
      </c>
      <c r="J69" t="s">
        <v>1674</v>
      </c>
      <c r="K69">
        <v>0</v>
      </c>
      <c r="L69" t="s">
        <v>251</v>
      </c>
      <c r="N69" t="s">
        <v>419</v>
      </c>
      <c r="O69" t="s">
        <v>1674</v>
      </c>
      <c r="P69">
        <v>7.9408472347666415E-5</v>
      </c>
      <c r="Q69" t="s">
        <v>251</v>
      </c>
      <c r="S69" t="s">
        <v>420</v>
      </c>
      <c r="T69" t="s">
        <v>1674</v>
      </c>
      <c r="U69">
        <v>6.5798020696643925E-5</v>
      </c>
      <c r="V69" t="s">
        <v>251</v>
      </c>
      <c r="X69">
        <v>1.1415525114155251E-4</v>
      </c>
      <c r="Y69">
        <v>1.6574265138519424E-5</v>
      </c>
      <c r="Z69" t="s">
        <v>1674</v>
      </c>
      <c r="AA69" t="s">
        <v>25</v>
      </c>
      <c r="AC69" t="s">
        <v>22</v>
      </c>
      <c r="AD69" t="s">
        <v>1674</v>
      </c>
      <c r="AE69">
        <v>9.3204508498804422E-5</v>
      </c>
      <c r="AG69" t="s">
        <v>97</v>
      </c>
      <c r="AH69" t="s">
        <v>1674</v>
      </c>
      <c r="AI69">
        <v>0</v>
      </c>
      <c r="AK69">
        <v>2026</v>
      </c>
      <c r="AL69" t="s">
        <v>166</v>
      </c>
      <c r="AM69">
        <v>0.35849999999999999</v>
      </c>
      <c r="AN69" t="s">
        <v>430</v>
      </c>
    </row>
    <row r="70" spans="5:40" x14ac:dyDescent="0.45">
      <c r="E70" t="s">
        <v>1371</v>
      </c>
      <c r="G70" t="s">
        <v>155</v>
      </c>
      <c r="I70" t="s">
        <v>249</v>
      </c>
      <c r="J70" t="s">
        <v>1675</v>
      </c>
      <c r="K70">
        <v>0</v>
      </c>
      <c r="L70" t="s">
        <v>251</v>
      </c>
      <c r="N70" t="s">
        <v>419</v>
      </c>
      <c r="O70" t="s">
        <v>1675</v>
      </c>
      <c r="P70">
        <v>6.6121103065221748E-5</v>
      </c>
      <c r="Q70" t="s">
        <v>251</v>
      </c>
      <c r="S70" t="s">
        <v>420</v>
      </c>
      <c r="T70" t="s">
        <v>1675</v>
      </c>
      <c r="U70">
        <v>6.4572249410536648E-5</v>
      </c>
      <c r="V70" t="s">
        <v>251</v>
      </c>
      <c r="X70">
        <v>1.1415525114155251E-4</v>
      </c>
      <c r="Y70">
        <v>1.4585353321897093E-5</v>
      </c>
      <c r="Z70" t="s">
        <v>1675</v>
      </c>
      <c r="AA70" t="s">
        <v>25</v>
      </c>
      <c r="AC70" t="s">
        <v>22</v>
      </c>
      <c r="AD70" t="s">
        <v>1675</v>
      </c>
      <c r="AE70">
        <v>1.0136110045199391E-4</v>
      </c>
      <c r="AG70" t="s">
        <v>97</v>
      </c>
      <c r="AH70" t="s">
        <v>1675</v>
      </c>
      <c r="AI70">
        <v>0</v>
      </c>
      <c r="AK70">
        <v>2026</v>
      </c>
      <c r="AL70" t="s">
        <v>178</v>
      </c>
      <c r="AM70">
        <v>0.28820000000000001</v>
      </c>
      <c r="AN70" t="s">
        <v>430</v>
      </c>
    </row>
    <row r="71" spans="5:40" x14ac:dyDescent="0.45">
      <c r="E71" t="s">
        <v>1372</v>
      </c>
      <c r="G71" t="s">
        <v>155</v>
      </c>
      <c r="I71" t="s">
        <v>249</v>
      </c>
      <c r="J71" t="s">
        <v>1676</v>
      </c>
      <c r="K71">
        <v>0</v>
      </c>
      <c r="L71" t="s">
        <v>251</v>
      </c>
      <c r="N71" t="s">
        <v>419</v>
      </c>
      <c r="O71" t="s">
        <v>1676</v>
      </c>
      <c r="P71">
        <v>6.1192384516587969E-5</v>
      </c>
      <c r="Q71" t="s">
        <v>251</v>
      </c>
      <c r="S71" t="s">
        <v>420</v>
      </c>
      <c r="T71" t="s">
        <v>1676</v>
      </c>
      <c r="U71">
        <v>6.578585026508472E-5</v>
      </c>
      <c r="V71" t="s">
        <v>251</v>
      </c>
      <c r="X71">
        <v>1.1415525114155251E-4</v>
      </c>
      <c r="Y71">
        <v>2.1215059377304864E-5</v>
      </c>
      <c r="Z71" t="s">
        <v>1676</v>
      </c>
      <c r="AA71" t="s">
        <v>25</v>
      </c>
      <c r="AC71" t="s">
        <v>22</v>
      </c>
      <c r="AD71" t="s">
        <v>1676</v>
      </c>
      <c r="AE71">
        <v>1.0521601209767562E-4</v>
      </c>
      <c r="AG71" t="s">
        <v>97</v>
      </c>
      <c r="AH71" t="s">
        <v>1676</v>
      </c>
      <c r="AI71">
        <v>0</v>
      </c>
      <c r="AK71">
        <v>2027</v>
      </c>
      <c r="AL71" t="s">
        <v>151</v>
      </c>
      <c r="AM71">
        <v>0.30059999999999998</v>
      </c>
      <c r="AN71" t="s">
        <v>430</v>
      </c>
    </row>
    <row r="72" spans="5:40" x14ac:dyDescent="0.45">
      <c r="E72" t="s">
        <v>1373</v>
      </c>
      <c r="G72" t="s">
        <v>155</v>
      </c>
      <c r="I72" t="s">
        <v>249</v>
      </c>
      <c r="J72" t="s">
        <v>1677</v>
      </c>
      <c r="K72">
        <v>0</v>
      </c>
      <c r="L72" t="s">
        <v>251</v>
      </c>
      <c r="N72" t="s">
        <v>419</v>
      </c>
      <c r="O72" t="s">
        <v>1677</v>
      </c>
      <c r="P72">
        <v>5.8648342138807166E-5</v>
      </c>
      <c r="Q72" t="s">
        <v>251</v>
      </c>
      <c r="S72" t="s">
        <v>420</v>
      </c>
      <c r="T72" t="s">
        <v>1677</v>
      </c>
      <c r="U72">
        <v>6.5692194194075229E-5</v>
      </c>
      <c r="V72" t="s">
        <v>251</v>
      </c>
      <c r="X72">
        <v>1.1415525114155251E-4</v>
      </c>
      <c r="Y72">
        <v>5.7678442682047593E-5</v>
      </c>
      <c r="Z72" t="s">
        <v>1677</v>
      </c>
      <c r="AA72" t="s">
        <v>25</v>
      </c>
      <c r="AC72" t="s">
        <v>22</v>
      </c>
      <c r="AD72" t="s">
        <v>1677</v>
      </c>
      <c r="AE72">
        <v>1.0715572341996805E-4</v>
      </c>
      <c r="AG72" t="s">
        <v>97</v>
      </c>
      <c r="AH72" t="s">
        <v>1677</v>
      </c>
      <c r="AI72">
        <v>0</v>
      </c>
      <c r="AK72">
        <v>2027</v>
      </c>
      <c r="AL72" t="s">
        <v>156</v>
      </c>
      <c r="AM72">
        <v>0.2923</v>
      </c>
      <c r="AN72" t="s">
        <v>430</v>
      </c>
    </row>
    <row r="73" spans="5:40" x14ac:dyDescent="0.45">
      <c r="E73" t="s">
        <v>1374</v>
      </c>
      <c r="G73" t="s">
        <v>155</v>
      </c>
      <c r="I73" t="s">
        <v>249</v>
      </c>
      <c r="J73" t="s">
        <v>1678</v>
      </c>
      <c r="K73">
        <v>0</v>
      </c>
      <c r="L73" t="s">
        <v>251</v>
      </c>
      <c r="N73" t="s">
        <v>419</v>
      </c>
      <c r="O73" t="s">
        <v>1678</v>
      </c>
      <c r="P73">
        <v>6.1966256230806588E-5</v>
      </c>
      <c r="Q73" t="s">
        <v>251</v>
      </c>
      <c r="S73" t="s">
        <v>420</v>
      </c>
      <c r="T73" t="s">
        <v>1678</v>
      </c>
      <c r="U73">
        <v>6.4745154684397836E-5</v>
      </c>
      <c r="V73" t="s">
        <v>251</v>
      </c>
      <c r="X73">
        <v>1.1415525114155251E-4</v>
      </c>
      <c r="Y73">
        <v>1.6905750441289813E-4</v>
      </c>
      <c r="Z73" t="s">
        <v>1678</v>
      </c>
      <c r="AA73" t="s">
        <v>25</v>
      </c>
      <c r="AC73" t="s">
        <v>22</v>
      </c>
      <c r="AD73" t="s">
        <v>1678</v>
      </c>
      <c r="AE73">
        <v>1.0594911379214338E-4</v>
      </c>
      <c r="AG73" t="s">
        <v>97</v>
      </c>
      <c r="AH73" t="s">
        <v>1678</v>
      </c>
      <c r="AI73">
        <v>0</v>
      </c>
      <c r="AK73">
        <v>2027</v>
      </c>
      <c r="AL73" t="s">
        <v>159</v>
      </c>
      <c r="AM73">
        <v>0.33539999999999998</v>
      </c>
      <c r="AN73" t="s">
        <v>430</v>
      </c>
    </row>
    <row r="74" spans="5:40" x14ac:dyDescent="0.45">
      <c r="E74" t="s">
        <v>1375</v>
      </c>
      <c r="G74" t="s">
        <v>155</v>
      </c>
      <c r="I74" t="s">
        <v>249</v>
      </c>
      <c r="J74" t="s">
        <v>1679</v>
      </c>
      <c r="K74">
        <v>2.7684962798016641E-5</v>
      </c>
      <c r="L74" t="s">
        <v>251</v>
      </c>
      <c r="N74" t="s">
        <v>419</v>
      </c>
      <c r="O74" t="s">
        <v>1679</v>
      </c>
      <c r="P74">
        <v>6.6036775568197259E-5</v>
      </c>
      <c r="Q74" t="s">
        <v>251</v>
      </c>
      <c r="S74" t="s">
        <v>420</v>
      </c>
      <c r="T74" t="s">
        <v>1679</v>
      </c>
      <c r="U74">
        <v>6.3618868923606868E-5</v>
      </c>
      <c r="V74" t="s">
        <v>251</v>
      </c>
      <c r="X74">
        <v>1.1415525114155251E-4</v>
      </c>
      <c r="Y74">
        <v>1.9060404909297337E-4</v>
      </c>
      <c r="Z74" t="s">
        <v>1679</v>
      </c>
      <c r="AA74" t="s">
        <v>25</v>
      </c>
      <c r="AC74" t="s">
        <v>22</v>
      </c>
      <c r="AD74" t="s">
        <v>1679</v>
      </c>
      <c r="AE74">
        <v>1.0686493384207124E-4</v>
      </c>
      <c r="AG74" t="s">
        <v>97</v>
      </c>
      <c r="AH74" t="s">
        <v>1679</v>
      </c>
      <c r="AI74">
        <v>0</v>
      </c>
      <c r="AK74">
        <v>2027</v>
      </c>
      <c r="AL74" t="s">
        <v>163</v>
      </c>
      <c r="AM74">
        <v>0.32800000000000001</v>
      </c>
      <c r="AN74" t="s">
        <v>430</v>
      </c>
    </row>
    <row r="75" spans="5:40" x14ac:dyDescent="0.45">
      <c r="E75" t="s">
        <v>1376</v>
      </c>
      <c r="G75" t="s">
        <v>155</v>
      </c>
      <c r="I75" t="s">
        <v>249</v>
      </c>
      <c r="J75" t="s">
        <v>1680</v>
      </c>
      <c r="K75">
        <v>1.144547162779E-4</v>
      </c>
      <c r="L75" t="s">
        <v>251</v>
      </c>
      <c r="N75" t="s">
        <v>419</v>
      </c>
      <c r="O75" t="s">
        <v>1680</v>
      </c>
      <c r="P75">
        <v>5.6397938950545721E-5</v>
      </c>
      <c r="Q75" t="s">
        <v>251</v>
      </c>
      <c r="S75" t="s">
        <v>420</v>
      </c>
      <c r="T75" t="s">
        <v>1680</v>
      </c>
      <c r="U75">
        <v>6.1856405114834879E-5</v>
      </c>
      <c r="V75" t="s">
        <v>251</v>
      </c>
      <c r="X75">
        <v>1.1415525114155251E-4</v>
      </c>
      <c r="Y75">
        <v>1.4585353321897094E-4</v>
      </c>
      <c r="Z75" t="s">
        <v>1680</v>
      </c>
      <c r="AA75" t="s">
        <v>25</v>
      </c>
      <c r="AC75" t="s">
        <v>22</v>
      </c>
      <c r="AD75" t="s">
        <v>1680</v>
      </c>
      <c r="AE75">
        <v>1.1696457952649454E-4</v>
      </c>
      <c r="AG75" t="s">
        <v>97</v>
      </c>
      <c r="AH75" t="s">
        <v>1680</v>
      </c>
      <c r="AI75">
        <v>0</v>
      </c>
      <c r="AK75">
        <v>2027</v>
      </c>
      <c r="AL75" t="s">
        <v>167</v>
      </c>
      <c r="AM75">
        <v>0.43840000000000001</v>
      </c>
      <c r="AN75" t="s">
        <v>430</v>
      </c>
    </row>
    <row r="76" spans="5:40" x14ac:dyDescent="0.45">
      <c r="E76" t="s">
        <v>1377</v>
      </c>
      <c r="G76" t="s">
        <v>155</v>
      </c>
      <c r="I76" t="s">
        <v>249</v>
      </c>
      <c r="J76" t="s">
        <v>1681</v>
      </c>
      <c r="K76">
        <v>2.0281348407390001E-4</v>
      </c>
      <c r="L76" t="s">
        <v>251</v>
      </c>
      <c r="N76" t="s">
        <v>419</v>
      </c>
      <c r="O76" t="s">
        <v>1681</v>
      </c>
      <c r="P76">
        <v>5.7884014382642331E-5</v>
      </c>
      <c r="Q76" t="s">
        <v>251</v>
      </c>
      <c r="S76" t="s">
        <v>420</v>
      </c>
      <c r="T76" t="s">
        <v>1681</v>
      </c>
      <c r="U76">
        <v>5.9793450879508888E-5</v>
      </c>
      <c r="V76" t="s">
        <v>251</v>
      </c>
      <c r="X76">
        <v>1.1415525114155251E-4</v>
      </c>
      <c r="Y76">
        <v>1.4452759200788939E-4</v>
      </c>
      <c r="Z76" t="s">
        <v>1681</v>
      </c>
      <c r="AA76" t="s">
        <v>25</v>
      </c>
      <c r="AC76" t="s">
        <v>22</v>
      </c>
      <c r="AD76" t="s">
        <v>1681</v>
      </c>
      <c r="AE76">
        <v>1.1708490624838288E-4</v>
      </c>
      <c r="AG76" t="s">
        <v>97</v>
      </c>
      <c r="AH76" t="s">
        <v>1681</v>
      </c>
      <c r="AI76">
        <v>0</v>
      </c>
      <c r="AK76">
        <v>2027</v>
      </c>
      <c r="AL76" t="s">
        <v>169</v>
      </c>
      <c r="AM76">
        <v>0.49719999999999998</v>
      </c>
      <c r="AN76" t="s">
        <v>430</v>
      </c>
    </row>
    <row r="77" spans="5:40" x14ac:dyDescent="0.45">
      <c r="E77" t="s">
        <v>1378</v>
      </c>
      <c r="G77" t="s">
        <v>155</v>
      </c>
      <c r="I77" t="s">
        <v>249</v>
      </c>
      <c r="J77" t="s">
        <v>1682</v>
      </c>
      <c r="K77">
        <v>2.5662919153849998E-4</v>
      </c>
      <c r="L77" t="s">
        <v>251</v>
      </c>
      <c r="N77" t="s">
        <v>419</v>
      </c>
      <c r="O77" t="s">
        <v>1682</v>
      </c>
      <c r="P77">
        <v>6.1732155459785722E-5</v>
      </c>
      <c r="Q77" t="s">
        <v>251</v>
      </c>
      <c r="S77" t="s">
        <v>420</v>
      </c>
      <c r="T77" t="s">
        <v>1682</v>
      </c>
      <c r="U77">
        <v>5.6591929192199781E-5</v>
      </c>
      <c r="V77" t="s">
        <v>251</v>
      </c>
      <c r="X77">
        <v>1.1415525114155251E-4</v>
      </c>
      <c r="Y77">
        <v>1.408812536774151E-4</v>
      </c>
      <c r="Z77" t="s">
        <v>1682</v>
      </c>
      <c r="AA77" t="s">
        <v>25</v>
      </c>
      <c r="AC77" t="s">
        <v>22</v>
      </c>
      <c r="AD77" t="s">
        <v>1682</v>
      </c>
      <c r="AE77">
        <v>1.0878904725597075E-4</v>
      </c>
      <c r="AG77" t="s">
        <v>97</v>
      </c>
      <c r="AH77" t="s">
        <v>1682</v>
      </c>
      <c r="AI77">
        <v>0</v>
      </c>
      <c r="AK77">
        <v>2027</v>
      </c>
      <c r="AL77" t="s">
        <v>171</v>
      </c>
      <c r="AM77">
        <v>0.58409999999999995</v>
      </c>
      <c r="AN77" t="s">
        <v>430</v>
      </c>
    </row>
    <row r="78" spans="5:40" x14ac:dyDescent="0.45">
      <c r="E78" t="s">
        <v>1379</v>
      </c>
      <c r="G78" t="s">
        <v>155</v>
      </c>
      <c r="I78" t="s">
        <v>249</v>
      </c>
      <c r="J78" t="s">
        <v>1683</v>
      </c>
      <c r="K78">
        <v>2.9003548539740002E-4</v>
      </c>
      <c r="L78" t="s">
        <v>251</v>
      </c>
      <c r="N78" t="s">
        <v>419</v>
      </c>
      <c r="O78" t="s">
        <v>1683</v>
      </c>
      <c r="P78">
        <v>5.7918565177450003E-5</v>
      </c>
      <c r="Q78" t="s">
        <v>251</v>
      </c>
      <c r="S78" t="s">
        <v>420</v>
      </c>
      <c r="T78" t="s">
        <v>1683</v>
      </c>
      <c r="U78">
        <v>5.446780580655403E-5</v>
      </c>
      <c r="V78" t="s">
        <v>251</v>
      </c>
      <c r="X78">
        <v>1.1415525114155251E-4</v>
      </c>
      <c r="Y78">
        <v>1.4054976837464471E-4</v>
      </c>
      <c r="Z78" t="s">
        <v>1683</v>
      </c>
      <c r="AA78" t="s">
        <v>25</v>
      </c>
      <c r="AC78" t="s">
        <v>22</v>
      </c>
      <c r="AD78" t="s">
        <v>1683</v>
      </c>
      <c r="AE78">
        <v>1.1230971800751821E-4</v>
      </c>
      <c r="AG78" t="s">
        <v>97</v>
      </c>
      <c r="AH78" t="s">
        <v>1683</v>
      </c>
      <c r="AI78">
        <v>0</v>
      </c>
      <c r="AK78">
        <v>2027</v>
      </c>
      <c r="AL78" t="s">
        <v>158</v>
      </c>
      <c r="AM78">
        <v>0.70130000000000003</v>
      </c>
      <c r="AN78" t="s">
        <v>430</v>
      </c>
    </row>
    <row r="79" spans="5:40" x14ac:dyDescent="0.45">
      <c r="E79" t="s">
        <v>1380</v>
      </c>
      <c r="G79" t="s">
        <v>155</v>
      </c>
      <c r="I79" t="s">
        <v>249</v>
      </c>
      <c r="J79" t="s">
        <v>1684</v>
      </c>
      <c r="K79">
        <v>2.8644003294250002E-4</v>
      </c>
      <c r="L79" t="s">
        <v>251</v>
      </c>
      <c r="N79" t="s">
        <v>419</v>
      </c>
      <c r="O79" t="s">
        <v>1684</v>
      </c>
      <c r="P79">
        <v>4.7547899749648495E-5</v>
      </c>
      <c r="Q79" t="s">
        <v>251</v>
      </c>
      <c r="S79" t="s">
        <v>420</v>
      </c>
      <c r="T79" t="s">
        <v>1684</v>
      </c>
      <c r="U79">
        <v>5.4156970476163211E-5</v>
      </c>
      <c r="V79" t="s">
        <v>251</v>
      </c>
      <c r="X79">
        <v>1.1415525114155251E-4</v>
      </c>
      <c r="Y79">
        <v>1.4253868019126702E-4</v>
      </c>
      <c r="Z79" t="s">
        <v>1684</v>
      </c>
      <c r="AA79" t="s">
        <v>25</v>
      </c>
      <c r="AC79" t="s">
        <v>22</v>
      </c>
      <c r="AD79" t="s">
        <v>1684</v>
      </c>
      <c r="AE79">
        <v>1.2377863722157816E-4</v>
      </c>
      <c r="AG79" t="s">
        <v>97</v>
      </c>
      <c r="AH79" t="s">
        <v>1684</v>
      </c>
      <c r="AI79">
        <v>0</v>
      </c>
      <c r="AK79">
        <v>2027</v>
      </c>
      <c r="AL79" t="s">
        <v>162</v>
      </c>
      <c r="AM79">
        <v>0.6401</v>
      </c>
      <c r="AN79" t="s">
        <v>430</v>
      </c>
    </row>
    <row r="80" spans="5:40" x14ac:dyDescent="0.45">
      <c r="E80" t="s">
        <v>1381</v>
      </c>
      <c r="G80" t="s">
        <v>155</v>
      </c>
      <c r="I80" t="s">
        <v>249</v>
      </c>
      <c r="J80" t="s">
        <v>1685</v>
      </c>
      <c r="K80">
        <v>2.8245313270129998E-4</v>
      </c>
      <c r="L80" t="s">
        <v>251</v>
      </c>
      <c r="N80" t="s">
        <v>419</v>
      </c>
      <c r="O80" t="s">
        <v>1685</v>
      </c>
      <c r="P80">
        <v>3.968821932709463E-5</v>
      </c>
      <c r="Q80" t="s">
        <v>251</v>
      </c>
      <c r="S80" t="s">
        <v>420</v>
      </c>
      <c r="T80" t="s">
        <v>1685</v>
      </c>
      <c r="U80">
        <v>5.523543726708747E-5</v>
      </c>
      <c r="V80" t="s">
        <v>251</v>
      </c>
      <c r="X80">
        <v>1.1415525114155251E-4</v>
      </c>
      <c r="Y80">
        <v>1.4883690094390442E-4</v>
      </c>
      <c r="Z80" t="s">
        <v>1685</v>
      </c>
      <c r="AA80" t="s">
        <v>25</v>
      </c>
      <c r="AC80" t="s">
        <v>22</v>
      </c>
      <c r="AD80" t="s">
        <v>1685</v>
      </c>
      <c r="AE80">
        <v>1.2708316552825211E-4</v>
      </c>
      <c r="AG80" t="s">
        <v>97</v>
      </c>
      <c r="AH80" t="s">
        <v>1685</v>
      </c>
      <c r="AI80">
        <v>0</v>
      </c>
      <c r="AK80">
        <v>2027</v>
      </c>
      <c r="AL80" t="s">
        <v>175</v>
      </c>
      <c r="AM80">
        <v>0.47910000000000003</v>
      </c>
      <c r="AN80" t="s">
        <v>430</v>
      </c>
    </row>
    <row r="81" spans="5:40" x14ac:dyDescent="0.45">
      <c r="E81" t="s">
        <v>1382</v>
      </c>
      <c r="G81" t="s">
        <v>155</v>
      </c>
      <c r="I81" t="s">
        <v>249</v>
      </c>
      <c r="J81" t="s">
        <v>1686</v>
      </c>
      <c r="K81">
        <v>2.918264891759E-4</v>
      </c>
      <c r="L81" t="s">
        <v>251</v>
      </c>
      <c r="N81" t="s">
        <v>419</v>
      </c>
      <c r="O81" t="s">
        <v>1686</v>
      </c>
      <c r="P81">
        <v>3.6006893361017914E-5</v>
      </c>
      <c r="Q81" t="s">
        <v>251</v>
      </c>
      <c r="S81" t="s">
        <v>420</v>
      </c>
      <c r="T81" t="s">
        <v>1686</v>
      </c>
      <c r="U81">
        <v>5.7584288739442772E-5</v>
      </c>
      <c r="V81" t="s">
        <v>251</v>
      </c>
      <c r="X81">
        <v>1.1415525114155251E-4</v>
      </c>
      <c r="Y81">
        <v>1.5049432745775637E-4</v>
      </c>
      <c r="Z81" t="s">
        <v>1686</v>
      </c>
      <c r="AA81" t="s">
        <v>25</v>
      </c>
      <c r="AC81" t="s">
        <v>22</v>
      </c>
      <c r="AD81" t="s">
        <v>1686</v>
      </c>
      <c r="AE81">
        <v>1.2704974143883867E-4</v>
      </c>
      <c r="AG81" t="s">
        <v>97</v>
      </c>
      <c r="AH81" t="s">
        <v>1686</v>
      </c>
      <c r="AI81">
        <v>0</v>
      </c>
      <c r="AK81">
        <v>2027</v>
      </c>
      <c r="AL81" t="s">
        <v>166</v>
      </c>
      <c r="AM81">
        <v>0.3034</v>
      </c>
      <c r="AN81" t="s">
        <v>430</v>
      </c>
    </row>
    <row r="82" spans="5:40" x14ac:dyDescent="0.45">
      <c r="E82" t="s">
        <v>1383</v>
      </c>
      <c r="G82" t="s">
        <v>155</v>
      </c>
      <c r="I82" t="s">
        <v>249</v>
      </c>
      <c r="J82" t="s">
        <v>1687</v>
      </c>
      <c r="K82">
        <v>2.8260418377619998E-4</v>
      </c>
      <c r="L82" t="s">
        <v>251</v>
      </c>
      <c r="N82" t="s">
        <v>419</v>
      </c>
      <c r="O82" t="s">
        <v>1687</v>
      </c>
      <c r="P82">
        <v>2.8687491595381412E-5</v>
      </c>
      <c r="Q82" t="s">
        <v>251</v>
      </c>
      <c r="S82" t="s">
        <v>420</v>
      </c>
      <c r="T82" t="s">
        <v>1687</v>
      </c>
      <c r="U82">
        <v>6.0461750878584925E-5</v>
      </c>
      <c r="V82" t="s">
        <v>251</v>
      </c>
      <c r="X82">
        <v>1.1415525114155251E-4</v>
      </c>
      <c r="Y82">
        <v>1.7237235744060203E-4</v>
      </c>
      <c r="Z82" t="s">
        <v>1687</v>
      </c>
      <c r="AA82" t="s">
        <v>25</v>
      </c>
      <c r="AC82" t="s">
        <v>22</v>
      </c>
      <c r="AD82" t="s">
        <v>1687</v>
      </c>
      <c r="AE82">
        <v>1.1285898721021215E-4</v>
      </c>
      <c r="AG82" t="s">
        <v>97</v>
      </c>
      <c r="AH82" t="s">
        <v>1687</v>
      </c>
      <c r="AI82">
        <v>0</v>
      </c>
      <c r="AK82">
        <v>2027</v>
      </c>
      <c r="AL82" t="s">
        <v>178</v>
      </c>
      <c r="AM82">
        <v>0.30459999999999998</v>
      </c>
      <c r="AN82" t="s">
        <v>430</v>
      </c>
    </row>
    <row r="83" spans="5:40" x14ac:dyDescent="0.45">
      <c r="E83" t="s">
        <v>1384</v>
      </c>
      <c r="G83" t="s">
        <v>155</v>
      </c>
      <c r="I83" t="s">
        <v>249</v>
      </c>
      <c r="J83" t="s">
        <v>1688</v>
      </c>
      <c r="K83">
        <v>2.4439062622910003E-4</v>
      </c>
      <c r="L83" t="s">
        <v>251</v>
      </c>
      <c r="N83" t="s">
        <v>419</v>
      </c>
      <c r="O83" t="s">
        <v>1688</v>
      </c>
      <c r="P83">
        <v>3.2077721638277859E-5</v>
      </c>
      <c r="Q83" t="s">
        <v>251</v>
      </c>
      <c r="S83" t="s">
        <v>420</v>
      </c>
      <c r="T83" t="s">
        <v>1688</v>
      </c>
      <c r="U83">
        <v>6.3691184006620458E-5</v>
      </c>
      <c r="V83" t="s">
        <v>251</v>
      </c>
      <c r="X83">
        <v>1.1415525114155251E-4</v>
      </c>
      <c r="Y83">
        <v>2.2209515285616027E-4</v>
      </c>
      <c r="Z83" t="s">
        <v>1688</v>
      </c>
      <c r="AA83" t="s">
        <v>25</v>
      </c>
      <c r="AC83" t="s">
        <v>22</v>
      </c>
      <c r="AD83" t="s">
        <v>1688</v>
      </c>
      <c r="AE83">
        <v>8.9035410412636524E-5</v>
      </c>
      <c r="AG83" t="s">
        <v>97</v>
      </c>
      <c r="AH83" t="s">
        <v>1688</v>
      </c>
      <c r="AI83">
        <v>0</v>
      </c>
      <c r="AK83">
        <v>2028</v>
      </c>
      <c r="AL83" t="s">
        <v>151</v>
      </c>
      <c r="AM83">
        <v>0.25540000000000002</v>
      </c>
      <c r="AN83" t="s">
        <v>430</v>
      </c>
    </row>
    <row r="84" spans="5:40" x14ac:dyDescent="0.45">
      <c r="E84" t="s">
        <v>1385</v>
      </c>
      <c r="G84" t="s">
        <v>155</v>
      </c>
      <c r="I84" t="s">
        <v>249</v>
      </c>
      <c r="J84" t="s">
        <v>1689</v>
      </c>
      <c r="K84">
        <v>1.622679534105E-4</v>
      </c>
      <c r="L84" t="s">
        <v>251</v>
      </c>
      <c r="N84" t="s">
        <v>419</v>
      </c>
      <c r="O84" t="s">
        <v>1689</v>
      </c>
      <c r="P84">
        <v>3.9620134921512138E-5</v>
      </c>
      <c r="Q84" t="s">
        <v>251</v>
      </c>
      <c r="S84" t="s">
        <v>420</v>
      </c>
      <c r="T84" t="s">
        <v>1689</v>
      </c>
      <c r="U84">
        <v>6.8257766795334131E-5</v>
      </c>
      <c r="V84" t="s">
        <v>251</v>
      </c>
      <c r="X84">
        <v>1.1415525114155251E-4</v>
      </c>
      <c r="Y84">
        <v>2.2209515285616027E-4</v>
      </c>
      <c r="Z84" t="s">
        <v>1689</v>
      </c>
      <c r="AA84" t="s">
        <v>25</v>
      </c>
      <c r="AC84" t="s">
        <v>22</v>
      </c>
      <c r="AD84" t="s">
        <v>1689</v>
      </c>
      <c r="AE84">
        <v>5.716999770219083E-5</v>
      </c>
      <c r="AG84" t="s">
        <v>97</v>
      </c>
      <c r="AH84" t="s">
        <v>1689</v>
      </c>
      <c r="AI84">
        <v>0</v>
      </c>
      <c r="AK84">
        <v>2028</v>
      </c>
      <c r="AL84" t="s">
        <v>156</v>
      </c>
      <c r="AM84">
        <v>0.25409999999999999</v>
      </c>
      <c r="AN84" t="s">
        <v>430</v>
      </c>
    </row>
    <row r="85" spans="5:40" x14ac:dyDescent="0.45">
      <c r="E85" t="s">
        <v>1386</v>
      </c>
      <c r="G85" t="s">
        <v>155</v>
      </c>
      <c r="I85" t="s">
        <v>249</v>
      </c>
      <c r="J85" t="s">
        <v>1690</v>
      </c>
      <c r="K85">
        <v>5.9971839943846842E-5</v>
      </c>
      <c r="L85" t="s">
        <v>251</v>
      </c>
      <c r="N85" t="s">
        <v>419</v>
      </c>
      <c r="O85" t="s">
        <v>1690</v>
      </c>
      <c r="P85">
        <v>5.8824622538342678E-5</v>
      </c>
      <c r="Q85" t="s">
        <v>251</v>
      </c>
      <c r="S85" t="s">
        <v>420</v>
      </c>
      <c r="T85" t="s">
        <v>1690</v>
      </c>
      <c r="U85">
        <v>7.3011885588544089E-5</v>
      </c>
      <c r="V85" t="s">
        <v>251</v>
      </c>
      <c r="X85">
        <v>1.1415525114155251E-4</v>
      </c>
      <c r="Y85">
        <v>1.7237235744060203E-4</v>
      </c>
      <c r="Z85" t="s">
        <v>1690</v>
      </c>
      <c r="AA85" t="s">
        <v>25</v>
      </c>
      <c r="AC85" t="s">
        <v>22</v>
      </c>
      <c r="AD85" t="s">
        <v>1690</v>
      </c>
      <c r="AE85">
        <v>2.9985071645938404E-5</v>
      </c>
      <c r="AG85" t="s">
        <v>97</v>
      </c>
      <c r="AH85" t="s">
        <v>1690</v>
      </c>
      <c r="AI85">
        <v>0</v>
      </c>
      <c r="AK85">
        <v>2028</v>
      </c>
      <c r="AL85" t="s">
        <v>159</v>
      </c>
      <c r="AM85">
        <v>0.24859999999999999</v>
      </c>
      <c r="AN85" t="s">
        <v>430</v>
      </c>
    </row>
    <row r="86" spans="5:40" x14ac:dyDescent="0.45">
      <c r="E86" t="s">
        <v>1387</v>
      </c>
      <c r="G86" t="s">
        <v>155</v>
      </c>
      <c r="I86" t="s">
        <v>249</v>
      </c>
      <c r="J86" t="s">
        <v>1691</v>
      </c>
      <c r="K86">
        <v>0</v>
      </c>
      <c r="L86" t="s">
        <v>251</v>
      </c>
      <c r="N86" t="s">
        <v>419</v>
      </c>
      <c r="O86" t="s">
        <v>1691</v>
      </c>
      <c r="P86">
        <v>8.3188350519888902E-5</v>
      </c>
      <c r="Q86" t="s">
        <v>251</v>
      </c>
      <c r="S86" t="s">
        <v>420</v>
      </c>
      <c r="T86" t="s">
        <v>1691</v>
      </c>
      <c r="U86">
        <v>7.5666227936603962E-5</v>
      </c>
      <c r="V86" t="s">
        <v>251</v>
      </c>
      <c r="X86">
        <v>1.1415525114155251E-4</v>
      </c>
      <c r="Y86">
        <v>1.5579809230208258E-4</v>
      </c>
      <c r="Z86" t="s">
        <v>1691</v>
      </c>
      <c r="AA86" t="s">
        <v>25</v>
      </c>
      <c r="AC86" t="s">
        <v>22</v>
      </c>
      <c r="AD86" t="s">
        <v>1691</v>
      </c>
      <c r="AE86">
        <v>2.3718054880921204E-5</v>
      </c>
      <c r="AG86" t="s">
        <v>97</v>
      </c>
      <c r="AH86" t="s">
        <v>1691</v>
      </c>
      <c r="AI86">
        <v>0</v>
      </c>
      <c r="AK86">
        <v>2028</v>
      </c>
      <c r="AL86" t="s">
        <v>163</v>
      </c>
      <c r="AM86">
        <v>0.33439999999999998</v>
      </c>
      <c r="AN86" t="s">
        <v>430</v>
      </c>
    </row>
    <row r="87" spans="5:40" x14ac:dyDescent="0.45">
      <c r="E87" t="s">
        <v>1388</v>
      </c>
      <c r="G87" t="s">
        <v>155</v>
      </c>
      <c r="I87" t="s">
        <v>249</v>
      </c>
      <c r="J87" t="s">
        <v>1692</v>
      </c>
      <c r="K87">
        <v>0</v>
      </c>
      <c r="L87" t="s">
        <v>251</v>
      </c>
      <c r="N87" t="s">
        <v>419</v>
      </c>
      <c r="O87" t="s">
        <v>1692</v>
      </c>
      <c r="P87">
        <v>1.029008601871E-4</v>
      </c>
      <c r="Q87" t="s">
        <v>251</v>
      </c>
      <c r="S87" t="s">
        <v>420</v>
      </c>
      <c r="T87" t="s">
        <v>1692</v>
      </c>
      <c r="U87">
        <v>7.7550857801163639E-5</v>
      </c>
      <c r="V87" t="s">
        <v>251</v>
      </c>
      <c r="X87">
        <v>1.1415525114155251E-4</v>
      </c>
      <c r="Y87">
        <v>1.093901499142282E-4</v>
      </c>
      <c r="Z87" t="s">
        <v>1692</v>
      </c>
      <c r="AA87" t="s">
        <v>25</v>
      </c>
      <c r="AC87" t="s">
        <v>22</v>
      </c>
      <c r="AD87" t="s">
        <v>1692</v>
      </c>
      <c r="AE87">
        <v>2.379493028657208E-5</v>
      </c>
      <c r="AG87" t="s">
        <v>97</v>
      </c>
      <c r="AH87" t="s">
        <v>1692</v>
      </c>
      <c r="AI87">
        <v>0</v>
      </c>
      <c r="AK87">
        <v>2028</v>
      </c>
      <c r="AL87" t="s">
        <v>167</v>
      </c>
      <c r="AM87">
        <v>0.39839999999999998</v>
      </c>
      <c r="AN87" t="s">
        <v>430</v>
      </c>
    </row>
    <row r="88" spans="5:40" x14ac:dyDescent="0.45">
      <c r="E88" t="s">
        <v>1389</v>
      </c>
      <c r="G88" t="s">
        <v>155</v>
      </c>
      <c r="I88" t="s">
        <v>249</v>
      </c>
      <c r="J88" t="s">
        <v>1693</v>
      </c>
      <c r="K88">
        <v>0</v>
      </c>
      <c r="L88" t="s">
        <v>251</v>
      </c>
      <c r="N88" t="s">
        <v>419</v>
      </c>
      <c r="O88" t="s">
        <v>1693</v>
      </c>
      <c r="P88">
        <v>1.127167316789E-4</v>
      </c>
      <c r="Q88" t="s">
        <v>251</v>
      </c>
      <c r="S88" t="s">
        <v>420</v>
      </c>
      <c r="T88" t="s">
        <v>1693</v>
      </c>
      <c r="U88">
        <v>7.839787925767058E-5</v>
      </c>
      <c r="V88" t="s">
        <v>251</v>
      </c>
      <c r="X88">
        <v>1.1415525114155251E-4</v>
      </c>
      <c r="Y88">
        <v>7.9556472664893237E-5</v>
      </c>
      <c r="Z88" t="s">
        <v>1693</v>
      </c>
      <c r="AA88" t="s">
        <v>25</v>
      </c>
      <c r="AC88" t="s">
        <v>22</v>
      </c>
      <c r="AD88" t="s">
        <v>1693</v>
      </c>
      <c r="AE88">
        <v>2.3546477888598951E-5</v>
      </c>
      <c r="AG88" t="s">
        <v>97</v>
      </c>
      <c r="AH88" t="s">
        <v>1693</v>
      </c>
      <c r="AI88">
        <v>0</v>
      </c>
      <c r="AK88">
        <v>2028</v>
      </c>
      <c r="AL88" t="s">
        <v>169</v>
      </c>
      <c r="AM88">
        <v>0.5161</v>
      </c>
      <c r="AN88" t="s">
        <v>430</v>
      </c>
    </row>
    <row r="89" spans="5:40" x14ac:dyDescent="0.45">
      <c r="E89" t="s">
        <v>1390</v>
      </c>
      <c r="G89" t="s">
        <v>155</v>
      </c>
      <c r="I89" t="s">
        <v>249</v>
      </c>
      <c r="J89" t="s">
        <v>1694</v>
      </c>
      <c r="K89">
        <v>0</v>
      </c>
      <c r="L89" t="s">
        <v>251</v>
      </c>
      <c r="N89" t="s">
        <v>419</v>
      </c>
      <c r="O89" t="s">
        <v>1694</v>
      </c>
      <c r="P89">
        <v>1.130031077145E-4</v>
      </c>
      <c r="Q89" t="s">
        <v>251</v>
      </c>
      <c r="S89" t="s">
        <v>420</v>
      </c>
      <c r="T89" t="s">
        <v>1694</v>
      </c>
      <c r="U89">
        <v>7.6619198748511321E-5</v>
      </c>
      <c r="V89" t="s">
        <v>251</v>
      </c>
      <c r="X89">
        <v>1.1415525114155251E-4</v>
      </c>
      <c r="Y89">
        <v>5.6352501470966035E-5</v>
      </c>
      <c r="Z89" t="s">
        <v>1694</v>
      </c>
      <c r="AA89" t="s">
        <v>25</v>
      </c>
      <c r="AC89" t="s">
        <v>22</v>
      </c>
      <c r="AD89" t="s">
        <v>1694</v>
      </c>
      <c r="AE89">
        <v>2.5856082467066644E-5</v>
      </c>
      <c r="AG89" t="s">
        <v>97</v>
      </c>
      <c r="AH89" t="s">
        <v>1694</v>
      </c>
      <c r="AI89">
        <v>0</v>
      </c>
      <c r="AK89">
        <v>2028</v>
      </c>
      <c r="AL89" t="s">
        <v>171</v>
      </c>
      <c r="AM89">
        <v>0.59350000000000003</v>
      </c>
      <c r="AN89" t="s">
        <v>430</v>
      </c>
    </row>
    <row r="90" spans="5:40" x14ac:dyDescent="0.45">
      <c r="E90" t="s">
        <v>1391</v>
      </c>
      <c r="G90" t="s">
        <v>155</v>
      </c>
      <c r="I90" t="s">
        <v>249</v>
      </c>
      <c r="J90" t="s">
        <v>1695</v>
      </c>
      <c r="K90">
        <v>0</v>
      </c>
      <c r="L90" t="s">
        <v>251</v>
      </c>
      <c r="N90" t="s">
        <v>419</v>
      </c>
      <c r="O90" t="s">
        <v>1695</v>
      </c>
      <c r="P90">
        <v>1.0942455728829999E-4</v>
      </c>
      <c r="Q90" t="s">
        <v>251</v>
      </c>
      <c r="S90" t="s">
        <v>420</v>
      </c>
      <c r="T90" t="s">
        <v>1695</v>
      </c>
      <c r="U90">
        <v>7.4796928415776407E-5</v>
      </c>
      <c r="V90" t="s">
        <v>251</v>
      </c>
      <c r="X90">
        <v>1.1415525114155251E-4</v>
      </c>
      <c r="Y90">
        <v>2.9833677249334962E-5</v>
      </c>
      <c r="Z90" t="s">
        <v>1695</v>
      </c>
      <c r="AA90" t="s">
        <v>25</v>
      </c>
      <c r="AC90" t="s">
        <v>22</v>
      </c>
      <c r="AD90" t="s">
        <v>1695</v>
      </c>
      <c r="AE90">
        <v>4.7303206507347752E-5</v>
      </c>
      <c r="AG90" t="s">
        <v>97</v>
      </c>
      <c r="AH90" t="s">
        <v>1695</v>
      </c>
      <c r="AI90">
        <v>0</v>
      </c>
      <c r="AK90">
        <v>2028</v>
      </c>
      <c r="AL90" t="s">
        <v>158</v>
      </c>
      <c r="AM90">
        <v>0.58140000000000003</v>
      </c>
      <c r="AN90" t="s">
        <v>430</v>
      </c>
    </row>
    <row r="91" spans="5:40" x14ac:dyDescent="0.45">
      <c r="E91" t="s">
        <v>1392</v>
      </c>
      <c r="G91" t="s">
        <v>155</v>
      </c>
      <c r="I91" t="s">
        <v>249</v>
      </c>
      <c r="J91" t="s">
        <v>259</v>
      </c>
      <c r="K91">
        <v>0</v>
      </c>
      <c r="L91" t="s">
        <v>251</v>
      </c>
      <c r="N91" t="s">
        <v>419</v>
      </c>
      <c r="O91" t="s">
        <v>259</v>
      </c>
      <c r="P91">
        <v>1.4654608629173699E-2</v>
      </c>
      <c r="Q91" t="s">
        <v>251</v>
      </c>
      <c r="S91" t="s">
        <v>420</v>
      </c>
      <c r="T91" t="s">
        <v>259</v>
      </c>
      <c r="U91">
        <v>1.2703464735891786E-2</v>
      </c>
      <c r="V91" t="s">
        <v>251</v>
      </c>
      <c r="X91">
        <v>1.9178082191780823E-2</v>
      </c>
      <c r="Y91">
        <v>7.5737761976978363E-3</v>
      </c>
      <c r="Z91" t="s">
        <v>259</v>
      </c>
      <c r="AA91" t="s">
        <v>25</v>
      </c>
      <c r="AC91" t="s">
        <v>22</v>
      </c>
      <c r="AD91" t="s">
        <v>259</v>
      </c>
      <c r="AE91">
        <v>1.5281734637876689E-2</v>
      </c>
      <c r="AG91" t="s">
        <v>97</v>
      </c>
      <c r="AH91" t="s">
        <v>259</v>
      </c>
      <c r="AI91">
        <v>0.14396344881583967</v>
      </c>
      <c r="AK91">
        <v>2028</v>
      </c>
      <c r="AL91" t="s">
        <v>162</v>
      </c>
      <c r="AM91">
        <v>0.67200000000000004</v>
      </c>
      <c r="AN91" t="s">
        <v>430</v>
      </c>
    </row>
    <row r="92" spans="5:40" x14ac:dyDescent="0.45">
      <c r="E92" t="s">
        <v>1393</v>
      </c>
      <c r="G92" t="s">
        <v>155</v>
      </c>
      <c r="I92" t="s">
        <v>249</v>
      </c>
      <c r="J92" t="s">
        <v>260</v>
      </c>
      <c r="K92">
        <v>1.2328382500637102E-3</v>
      </c>
      <c r="L92" t="s">
        <v>251</v>
      </c>
      <c r="N92" t="s">
        <v>419</v>
      </c>
      <c r="O92" t="s">
        <v>260</v>
      </c>
      <c r="P92">
        <v>1.4495831264856865E-3</v>
      </c>
      <c r="Q92" t="s">
        <v>251</v>
      </c>
      <c r="S92" t="s">
        <v>420</v>
      </c>
      <c r="T92" t="s">
        <v>260</v>
      </c>
      <c r="U92">
        <v>1.8828305116088226E-3</v>
      </c>
      <c r="V92" t="s">
        <v>251</v>
      </c>
      <c r="X92">
        <v>2.7397260273972603E-3</v>
      </c>
      <c r="Y92">
        <v>4.5744971782313605E-3</v>
      </c>
      <c r="Z92" t="s">
        <v>260</v>
      </c>
      <c r="AA92" t="s">
        <v>25</v>
      </c>
      <c r="AC92" t="s">
        <v>22</v>
      </c>
      <c r="AD92" t="s">
        <v>260</v>
      </c>
      <c r="AE92">
        <v>2.6694825885100974E-3</v>
      </c>
      <c r="AG92" t="s">
        <v>97</v>
      </c>
      <c r="AH92" t="s">
        <v>260</v>
      </c>
      <c r="AI92">
        <v>4.6259465952494416E-2</v>
      </c>
      <c r="AK92">
        <v>2028</v>
      </c>
      <c r="AL92" t="s">
        <v>175</v>
      </c>
      <c r="AM92">
        <v>0.48330000000000001</v>
      </c>
      <c r="AN92" t="s">
        <v>430</v>
      </c>
    </row>
    <row r="93" spans="5:40" x14ac:dyDescent="0.45">
      <c r="E93" t="s">
        <v>1394</v>
      </c>
      <c r="G93" t="s">
        <v>155</v>
      </c>
      <c r="I93" t="s">
        <v>249</v>
      </c>
      <c r="J93" t="s">
        <v>261</v>
      </c>
      <c r="K93">
        <v>5.0581373249709996E-3</v>
      </c>
      <c r="L93" t="s">
        <v>251</v>
      </c>
      <c r="N93" t="s">
        <v>419</v>
      </c>
      <c r="O93" t="s">
        <v>261</v>
      </c>
      <c r="P93">
        <v>1.0103803709188457E-3</v>
      </c>
      <c r="Q93" t="s">
        <v>251</v>
      </c>
      <c r="S93" t="s">
        <v>420</v>
      </c>
      <c r="T93" t="s">
        <v>261</v>
      </c>
      <c r="U93">
        <v>1.8485712801002089E-3</v>
      </c>
      <c r="V93" t="s">
        <v>251</v>
      </c>
      <c r="X93">
        <v>2.7397260273972603E-3</v>
      </c>
      <c r="Y93">
        <v>3.5004847972553029E-3</v>
      </c>
      <c r="Z93" t="s">
        <v>261</v>
      </c>
      <c r="AA93" t="s">
        <v>25</v>
      </c>
      <c r="AC93" t="s">
        <v>22</v>
      </c>
      <c r="AD93" t="s">
        <v>261</v>
      </c>
      <c r="AE93">
        <v>2.7537625441023624E-3</v>
      </c>
      <c r="AG93" t="s">
        <v>97</v>
      </c>
      <c r="AH93" t="s">
        <v>261</v>
      </c>
      <c r="AI93">
        <v>4.0442410616230884E-2</v>
      </c>
      <c r="AK93">
        <v>2028</v>
      </c>
      <c r="AL93" t="s">
        <v>166</v>
      </c>
      <c r="AM93">
        <v>0.26340000000000002</v>
      </c>
      <c r="AN93" t="s">
        <v>430</v>
      </c>
    </row>
    <row r="94" spans="5:40" x14ac:dyDescent="0.45">
      <c r="E94" t="s">
        <v>1395</v>
      </c>
      <c r="G94" t="s">
        <v>155</v>
      </c>
      <c r="I94" t="s">
        <v>249</v>
      </c>
      <c r="J94" t="s">
        <v>262</v>
      </c>
      <c r="K94">
        <v>7.1285083266177003E-3</v>
      </c>
      <c r="L94" t="s">
        <v>251</v>
      </c>
      <c r="N94" t="s">
        <v>419</v>
      </c>
      <c r="O94" t="s">
        <v>262</v>
      </c>
      <c r="P94">
        <v>9.2694327666745973E-4</v>
      </c>
      <c r="Q94" t="s">
        <v>251</v>
      </c>
      <c r="S94" t="s">
        <v>420</v>
      </c>
      <c r="T94" t="s">
        <v>262</v>
      </c>
      <c r="U94">
        <v>1.7767090462132836E-3</v>
      </c>
      <c r="V94" t="s">
        <v>251</v>
      </c>
      <c r="X94">
        <v>2.7397260273972603E-3</v>
      </c>
      <c r="Y94">
        <v>3.4686622081893455E-3</v>
      </c>
      <c r="Z94" t="s">
        <v>262</v>
      </c>
      <c r="AA94" t="s">
        <v>25</v>
      </c>
      <c r="AC94" t="s">
        <v>22</v>
      </c>
      <c r="AD94" t="s">
        <v>262</v>
      </c>
      <c r="AE94">
        <v>2.7972495127018561E-3</v>
      </c>
      <c r="AG94" t="s">
        <v>97</v>
      </c>
      <c r="AH94" t="s">
        <v>262</v>
      </c>
      <c r="AI94">
        <v>5.0518812525552903E-2</v>
      </c>
      <c r="AK94">
        <v>2028</v>
      </c>
      <c r="AL94" t="s">
        <v>178</v>
      </c>
      <c r="AM94">
        <v>0.23949999999999999</v>
      </c>
      <c r="AN94" t="s">
        <v>430</v>
      </c>
    </row>
    <row r="95" spans="5:40" x14ac:dyDescent="0.45">
      <c r="E95" t="s">
        <v>1396</v>
      </c>
      <c r="G95" t="s">
        <v>155</v>
      </c>
      <c r="I95" t="s">
        <v>249</v>
      </c>
      <c r="J95" t="s">
        <v>263</v>
      </c>
      <c r="K95">
        <v>5.4564848041251501E-2</v>
      </c>
      <c r="L95" t="s">
        <v>251</v>
      </c>
      <c r="N95" t="s">
        <v>419</v>
      </c>
      <c r="O95" t="s">
        <v>263</v>
      </c>
      <c r="P95">
        <v>6.9226986652987689E-3</v>
      </c>
      <c r="Q95" t="s">
        <v>251</v>
      </c>
      <c r="S95" t="s">
        <v>420</v>
      </c>
      <c r="T95" t="s">
        <v>263</v>
      </c>
      <c r="U95">
        <v>1.0567214613323394E-2</v>
      </c>
      <c r="V95" t="s">
        <v>251</v>
      </c>
      <c r="X95">
        <v>1.9178082191780823E-2</v>
      </c>
      <c r="Y95">
        <v>2.6826442582601997E-2</v>
      </c>
      <c r="Z95" t="s">
        <v>263</v>
      </c>
      <c r="AA95" t="s">
        <v>25</v>
      </c>
      <c r="AC95" t="s">
        <v>22</v>
      </c>
      <c r="AD95" t="s">
        <v>263</v>
      </c>
      <c r="AE95">
        <v>2.032902393411079E-2</v>
      </c>
      <c r="AG95" t="s">
        <v>97</v>
      </c>
      <c r="AH95" t="s">
        <v>263</v>
      </c>
      <c r="AI95">
        <v>0.18491685685503745</v>
      </c>
      <c r="AK95">
        <v>2029</v>
      </c>
      <c r="AL95" t="s">
        <v>151</v>
      </c>
      <c r="AM95">
        <v>0.2417</v>
      </c>
      <c r="AN95" t="s">
        <v>430</v>
      </c>
    </row>
    <row r="96" spans="5:40" x14ac:dyDescent="0.45">
      <c r="E96" t="s">
        <v>1397</v>
      </c>
      <c r="G96" t="s">
        <v>155</v>
      </c>
      <c r="I96" t="s">
        <v>249</v>
      </c>
      <c r="J96" t="s">
        <v>264</v>
      </c>
      <c r="K96">
        <v>5.2789118191189999E-3</v>
      </c>
      <c r="L96" t="s">
        <v>251</v>
      </c>
      <c r="N96" t="s">
        <v>419</v>
      </c>
      <c r="O96" t="s">
        <v>264</v>
      </c>
      <c r="P96">
        <v>1.2917695679563735E-3</v>
      </c>
      <c r="Q96" t="s">
        <v>251</v>
      </c>
      <c r="S96" t="s">
        <v>420</v>
      </c>
      <c r="T96" t="s">
        <v>264</v>
      </c>
      <c r="U96">
        <v>1.6323375240967605E-3</v>
      </c>
      <c r="V96" t="s">
        <v>251</v>
      </c>
      <c r="X96">
        <v>2.7397260273972603E-3</v>
      </c>
      <c r="Y96">
        <v>5.3302836685478472E-3</v>
      </c>
      <c r="Z96" t="s">
        <v>264</v>
      </c>
      <c r="AA96" t="s">
        <v>25</v>
      </c>
      <c r="AC96" t="s">
        <v>22</v>
      </c>
      <c r="AD96" t="s">
        <v>264</v>
      </c>
      <c r="AE96">
        <v>1.3213876760621093E-3</v>
      </c>
      <c r="AG96" t="s">
        <v>97</v>
      </c>
      <c r="AH96" t="s">
        <v>264</v>
      </c>
      <c r="AI96">
        <v>3.9976832093647108E-2</v>
      </c>
      <c r="AK96">
        <v>2029</v>
      </c>
      <c r="AL96" t="s">
        <v>156</v>
      </c>
      <c r="AM96">
        <v>0.26079999999999998</v>
      </c>
      <c r="AN96" t="s">
        <v>430</v>
      </c>
    </row>
    <row r="97" spans="5:40" x14ac:dyDescent="0.45">
      <c r="E97" t="s">
        <v>1398</v>
      </c>
      <c r="G97" t="s">
        <v>155</v>
      </c>
      <c r="I97" t="s">
        <v>249</v>
      </c>
      <c r="J97" t="s">
        <v>265</v>
      </c>
      <c r="K97">
        <v>2.3246908894984596E-3</v>
      </c>
      <c r="L97" t="s">
        <v>251</v>
      </c>
      <c r="N97" t="s">
        <v>419</v>
      </c>
      <c r="O97" t="s">
        <v>265</v>
      </c>
      <c r="P97">
        <v>1.6925792132394199E-3</v>
      </c>
      <c r="Q97" t="s">
        <v>251</v>
      </c>
      <c r="S97" t="s">
        <v>420</v>
      </c>
      <c r="T97" t="s">
        <v>265</v>
      </c>
      <c r="U97">
        <v>1.7112230026547917E-3</v>
      </c>
      <c r="V97" t="s">
        <v>251</v>
      </c>
      <c r="X97">
        <v>2.7397260273972603E-3</v>
      </c>
      <c r="Y97">
        <v>4.1369365785744487E-3</v>
      </c>
      <c r="Z97" t="s">
        <v>265</v>
      </c>
      <c r="AA97" t="s">
        <v>25</v>
      </c>
      <c r="AC97" t="s">
        <v>22</v>
      </c>
      <c r="AD97" t="s">
        <v>265</v>
      </c>
      <c r="AE97">
        <v>7.4562542596276222E-4</v>
      </c>
      <c r="AG97" t="s">
        <v>97</v>
      </c>
      <c r="AH97" t="s">
        <v>265</v>
      </c>
      <c r="AI97">
        <v>3.9185589617337868E-2</v>
      </c>
      <c r="AK97">
        <v>2029</v>
      </c>
      <c r="AL97" t="s">
        <v>159</v>
      </c>
      <c r="AM97">
        <v>0.27239999999999998</v>
      </c>
      <c r="AN97" t="s">
        <v>430</v>
      </c>
    </row>
    <row r="98" spans="5:40" x14ac:dyDescent="0.45">
      <c r="E98" t="s">
        <v>1399</v>
      </c>
      <c r="G98" t="s">
        <v>155</v>
      </c>
      <c r="I98" t="s">
        <v>249</v>
      </c>
      <c r="J98" t="s">
        <v>266</v>
      </c>
      <c r="K98">
        <v>0</v>
      </c>
      <c r="L98" t="s">
        <v>251</v>
      </c>
      <c r="N98" t="s">
        <v>419</v>
      </c>
      <c r="O98" t="s">
        <v>266</v>
      </c>
      <c r="P98">
        <v>1.3923549745748465E-2</v>
      </c>
      <c r="Q98" t="s">
        <v>251</v>
      </c>
      <c r="S98" t="s">
        <v>420</v>
      </c>
      <c r="T98" t="s">
        <v>266</v>
      </c>
      <c r="U98">
        <v>8.9984085475876968E-3</v>
      </c>
      <c r="V98" t="s">
        <v>251</v>
      </c>
      <c r="X98">
        <v>1.3698630136986301E-2</v>
      </c>
      <c r="Y98">
        <v>1.0342341446436119E-2</v>
      </c>
      <c r="Z98" t="s">
        <v>266</v>
      </c>
      <c r="AA98" t="s">
        <v>25</v>
      </c>
      <c r="AC98" t="s">
        <v>22</v>
      </c>
      <c r="AD98" t="s">
        <v>266</v>
      </c>
      <c r="AE98">
        <v>3.5344445588898371E-3</v>
      </c>
      <c r="AG98" t="s">
        <v>97</v>
      </c>
      <c r="AH98" t="s">
        <v>266</v>
      </c>
      <c r="AI98">
        <v>0.15665279972470936</v>
      </c>
      <c r="AK98">
        <v>2029</v>
      </c>
      <c r="AL98" t="s">
        <v>163</v>
      </c>
      <c r="AM98">
        <v>0.2833</v>
      </c>
      <c r="AN98" t="s">
        <v>430</v>
      </c>
    </row>
    <row r="99" spans="5:40" x14ac:dyDescent="0.45">
      <c r="E99" t="s">
        <v>1400</v>
      </c>
      <c r="G99" t="s">
        <v>155</v>
      </c>
      <c r="I99" t="s">
        <v>249</v>
      </c>
      <c r="J99" t="s">
        <v>1696</v>
      </c>
      <c r="K99">
        <v>0</v>
      </c>
      <c r="L99" t="s">
        <v>251</v>
      </c>
      <c r="N99" t="s">
        <v>419</v>
      </c>
      <c r="O99" t="s">
        <v>1696</v>
      </c>
      <c r="P99">
        <v>1.038224375726E-4</v>
      </c>
      <c r="Q99" t="s">
        <v>251</v>
      </c>
      <c r="S99" t="s">
        <v>420</v>
      </c>
      <c r="T99" t="s">
        <v>1696</v>
      </c>
      <c r="U99">
        <v>7.2105375350856938E-5</v>
      </c>
      <c r="V99" t="s">
        <v>251</v>
      </c>
      <c r="X99">
        <v>1.1415525114155251E-4</v>
      </c>
      <c r="Y99">
        <v>2.1546544680075254E-5</v>
      </c>
      <c r="Z99" t="s">
        <v>1696</v>
      </c>
      <c r="AA99" t="s">
        <v>25</v>
      </c>
      <c r="AC99" t="s">
        <v>22</v>
      </c>
      <c r="AD99" t="s">
        <v>1696</v>
      </c>
      <c r="AE99">
        <v>5.2810606891025266E-5</v>
      </c>
      <c r="AG99" t="s">
        <v>97</v>
      </c>
      <c r="AH99" t="s">
        <v>1696</v>
      </c>
      <c r="AI99">
        <v>0</v>
      </c>
      <c r="AK99">
        <v>2029</v>
      </c>
      <c r="AL99" t="s">
        <v>167</v>
      </c>
      <c r="AM99">
        <v>0.36370000000000002</v>
      </c>
      <c r="AN99" t="s">
        <v>430</v>
      </c>
    </row>
    <row r="100" spans="5:40" x14ac:dyDescent="0.45">
      <c r="E100" t="s">
        <v>1401</v>
      </c>
      <c r="G100" t="s">
        <v>155</v>
      </c>
      <c r="I100" t="s">
        <v>249</v>
      </c>
      <c r="J100" t="s">
        <v>1697</v>
      </c>
      <c r="K100">
        <v>0</v>
      </c>
      <c r="L100" t="s">
        <v>251</v>
      </c>
      <c r="N100" t="s">
        <v>419</v>
      </c>
      <c r="O100" t="s">
        <v>1697</v>
      </c>
      <c r="P100">
        <v>9.9587451512741685E-5</v>
      </c>
      <c r="Q100" t="s">
        <v>251</v>
      </c>
      <c r="S100" t="s">
        <v>420</v>
      </c>
      <c r="T100" t="s">
        <v>1697</v>
      </c>
      <c r="U100">
        <v>6.9787078343347137E-5</v>
      </c>
      <c r="V100" t="s">
        <v>251</v>
      </c>
      <c r="X100">
        <v>1.1415525114155251E-4</v>
      </c>
      <c r="Y100">
        <v>1.4916838624667481E-5</v>
      </c>
      <c r="Z100" t="s">
        <v>1697</v>
      </c>
      <c r="AA100" t="s">
        <v>25</v>
      </c>
      <c r="AC100" t="s">
        <v>22</v>
      </c>
      <c r="AD100" t="s">
        <v>1697</v>
      </c>
      <c r="AE100">
        <v>7.2644461548951732E-5</v>
      </c>
      <c r="AG100" t="s">
        <v>97</v>
      </c>
      <c r="AH100" t="s">
        <v>1697</v>
      </c>
      <c r="AI100">
        <v>0</v>
      </c>
      <c r="AK100">
        <v>2029</v>
      </c>
      <c r="AL100" t="s">
        <v>169</v>
      </c>
      <c r="AM100">
        <v>0.43809999999999999</v>
      </c>
      <c r="AN100" t="s">
        <v>430</v>
      </c>
    </row>
    <row r="101" spans="5:40" x14ac:dyDescent="0.45">
      <c r="E101" t="s">
        <v>1402</v>
      </c>
      <c r="G101" t="s">
        <v>155</v>
      </c>
      <c r="I101" t="s">
        <v>249</v>
      </c>
      <c r="J101" t="s">
        <v>1698</v>
      </c>
      <c r="K101">
        <v>0</v>
      </c>
      <c r="L101" t="s">
        <v>251</v>
      </c>
      <c r="N101" t="s">
        <v>419</v>
      </c>
      <c r="O101" t="s">
        <v>1698</v>
      </c>
      <c r="P101">
        <v>8.853053854712658E-5</v>
      </c>
      <c r="Q101" t="s">
        <v>251</v>
      </c>
      <c r="S101" t="s">
        <v>420</v>
      </c>
      <c r="T101" t="s">
        <v>1698</v>
      </c>
      <c r="U101">
        <v>6.6527988755229407E-5</v>
      </c>
      <c r="V101" t="s">
        <v>251</v>
      </c>
      <c r="X101">
        <v>1.1415525114155251E-4</v>
      </c>
      <c r="Y101">
        <v>1.6574265138519424E-5</v>
      </c>
      <c r="Z101" t="s">
        <v>1698</v>
      </c>
      <c r="AA101" t="s">
        <v>25</v>
      </c>
      <c r="AC101" t="s">
        <v>22</v>
      </c>
      <c r="AD101" t="s">
        <v>1698</v>
      </c>
      <c r="AE101">
        <v>9.0506294931486084E-5</v>
      </c>
      <c r="AG101" t="s">
        <v>97</v>
      </c>
      <c r="AH101" t="s">
        <v>1698</v>
      </c>
      <c r="AI101">
        <v>0</v>
      </c>
      <c r="AK101">
        <v>2029</v>
      </c>
      <c r="AL101" t="s">
        <v>171</v>
      </c>
      <c r="AM101">
        <v>0.60219999999999996</v>
      </c>
      <c r="AN101" t="s">
        <v>430</v>
      </c>
    </row>
    <row r="102" spans="5:40" x14ac:dyDescent="0.45">
      <c r="E102" t="s">
        <v>1403</v>
      </c>
      <c r="G102" t="s">
        <v>155</v>
      </c>
      <c r="I102" t="s">
        <v>249</v>
      </c>
      <c r="J102" t="s">
        <v>1699</v>
      </c>
      <c r="K102">
        <v>0</v>
      </c>
      <c r="L102" t="s">
        <v>251</v>
      </c>
      <c r="N102" t="s">
        <v>419</v>
      </c>
      <c r="O102" t="s">
        <v>1699</v>
      </c>
      <c r="P102">
        <v>8.002202036169726E-5</v>
      </c>
      <c r="Q102" t="s">
        <v>251</v>
      </c>
      <c r="S102" t="s">
        <v>420</v>
      </c>
      <c r="T102" t="s">
        <v>1699</v>
      </c>
      <c r="U102">
        <v>5.9629862955438168E-5</v>
      </c>
      <c r="V102" t="s">
        <v>251</v>
      </c>
      <c r="X102">
        <v>1.1415525114155251E-4</v>
      </c>
      <c r="Y102">
        <v>1.4585353321897093E-5</v>
      </c>
      <c r="Z102" t="s">
        <v>1699</v>
      </c>
      <c r="AA102" t="s">
        <v>25</v>
      </c>
      <c r="AC102" t="s">
        <v>22</v>
      </c>
      <c r="AD102" t="s">
        <v>1699</v>
      </c>
      <c r="AE102">
        <v>1.0003661695956738E-4</v>
      </c>
      <c r="AG102" t="s">
        <v>97</v>
      </c>
      <c r="AH102" t="s">
        <v>1699</v>
      </c>
      <c r="AI102">
        <v>0</v>
      </c>
      <c r="AK102">
        <v>2029</v>
      </c>
      <c r="AL102" t="s">
        <v>158</v>
      </c>
      <c r="AM102">
        <v>0.62319999999999998</v>
      </c>
      <c r="AN102" t="s">
        <v>430</v>
      </c>
    </row>
    <row r="103" spans="5:40" x14ac:dyDescent="0.45">
      <c r="E103" t="s">
        <v>1404</v>
      </c>
      <c r="G103" t="s">
        <v>155</v>
      </c>
      <c r="I103" t="s">
        <v>249</v>
      </c>
      <c r="J103" t="s">
        <v>1700</v>
      </c>
      <c r="K103">
        <v>0</v>
      </c>
      <c r="L103" t="s">
        <v>251</v>
      </c>
      <c r="N103" t="s">
        <v>419</v>
      </c>
      <c r="O103" t="s">
        <v>1700</v>
      </c>
      <c r="P103">
        <v>7.2574436333433943E-5</v>
      </c>
      <c r="Q103" t="s">
        <v>251</v>
      </c>
      <c r="S103" t="s">
        <v>420</v>
      </c>
      <c r="T103" t="s">
        <v>1700</v>
      </c>
      <c r="U103">
        <v>6.004310182685683E-5</v>
      </c>
      <c r="V103" t="s">
        <v>251</v>
      </c>
      <c r="X103">
        <v>1.1415525114155251E-4</v>
      </c>
      <c r="Y103">
        <v>2.1215059377304864E-5</v>
      </c>
      <c r="Z103" t="s">
        <v>1700</v>
      </c>
      <c r="AA103" t="s">
        <v>25</v>
      </c>
      <c r="AC103" t="s">
        <v>22</v>
      </c>
      <c r="AD103" t="s">
        <v>1700</v>
      </c>
      <c r="AE103">
        <v>1.0358068457370422E-4</v>
      </c>
      <c r="AG103" t="s">
        <v>97</v>
      </c>
      <c r="AH103" t="s">
        <v>1700</v>
      </c>
      <c r="AI103">
        <v>0</v>
      </c>
      <c r="AK103">
        <v>2029</v>
      </c>
      <c r="AL103" t="s">
        <v>162</v>
      </c>
      <c r="AM103">
        <v>0.56759999999999999</v>
      </c>
      <c r="AN103" t="s">
        <v>430</v>
      </c>
    </row>
    <row r="104" spans="5:40" x14ac:dyDescent="0.45">
      <c r="E104" t="s">
        <v>1405</v>
      </c>
      <c r="G104" t="s">
        <v>155</v>
      </c>
      <c r="I104" t="s">
        <v>249</v>
      </c>
      <c r="J104" t="s">
        <v>1701</v>
      </c>
      <c r="K104">
        <v>0</v>
      </c>
      <c r="L104" t="s">
        <v>251</v>
      </c>
      <c r="N104" t="s">
        <v>419</v>
      </c>
      <c r="O104" t="s">
        <v>1701</v>
      </c>
      <c r="P104">
        <v>6.7509418314606404E-5</v>
      </c>
      <c r="Q104" t="s">
        <v>251</v>
      </c>
      <c r="S104" t="s">
        <v>420</v>
      </c>
      <c r="T104" t="s">
        <v>1701</v>
      </c>
      <c r="U104">
        <v>5.9532165238052528E-5</v>
      </c>
      <c r="V104" t="s">
        <v>251</v>
      </c>
      <c r="X104">
        <v>1.1415525114155251E-4</v>
      </c>
      <c r="Y104">
        <v>5.7678442682047593E-5</v>
      </c>
      <c r="Z104" t="s">
        <v>1701</v>
      </c>
      <c r="AA104" t="s">
        <v>25</v>
      </c>
      <c r="AC104" t="s">
        <v>22</v>
      </c>
      <c r="AD104" t="s">
        <v>1701</v>
      </c>
      <c r="AE104">
        <v>1.0598721901147082E-4</v>
      </c>
      <c r="AG104" t="s">
        <v>97</v>
      </c>
      <c r="AH104" t="s">
        <v>1701</v>
      </c>
      <c r="AI104">
        <v>0</v>
      </c>
      <c r="AK104">
        <v>2029</v>
      </c>
      <c r="AL104" t="s">
        <v>175</v>
      </c>
      <c r="AM104">
        <v>0.42130000000000001</v>
      </c>
      <c r="AN104" t="s">
        <v>430</v>
      </c>
    </row>
    <row r="105" spans="5:40" x14ac:dyDescent="0.45">
      <c r="E105" t="s">
        <v>1406</v>
      </c>
      <c r="G105" t="s">
        <v>155</v>
      </c>
      <c r="I105" t="s">
        <v>249</v>
      </c>
      <c r="J105" t="s">
        <v>1702</v>
      </c>
      <c r="K105">
        <v>0</v>
      </c>
      <c r="L105" t="s">
        <v>251</v>
      </c>
      <c r="N105" t="s">
        <v>419</v>
      </c>
      <c r="O105" t="s">
        <v>1702</v>
      </c>
      <c r="P105">
        <v>6.388600213796658E-5</v>
      </c>
      <c r="Q105" t="s">
        <v>251</v>
      </c>
      <c r="S105" t="s">
        <v>420</v>
      </c>
      <c r="T105" t="s">
        <v>1702</v>
      </c>
      <c r="U105">
        <v>5.7815237028906005E-5</v>
      </c>
      <c r="V105" t="s">
        <v>251</v>
      </c>
      <c r="X105">
        <v>1.1415525114155251E-4</v>
      </c>
      <c r="Y105">
        <v>1.6905750441289813E-4</v>
      </c>
      <c r="Z105" t="s">
        <v>1702</v>
      </c>
      <c r="AA105" t="s">
        <v>25</v>
      </c>
      <c r="AC105" t="s">
        <v>22</v>
      </c>
      <c r="AD105" t="s">
        <v>1702</v>
      </c>
      <c r="AE105">
        <v>1.0747570512668203E-4</v>
      </c>
      <c r="AG105" t="s">
        <v>97</v>
      </c>
      <c r="AH105" t="s">
        <v>1702</v>
      </c>
      <c r="AI105">
        <v>0</v>
      </c>
      <c r="AK105">
        <v>2029</v>
      </c>
      <c r="AL105" t="s">
        <v>166</v>
      </c>
      <c r="AM105">
        <v>0.26490000000000002</v>
      </c>
      <c r="AN105" t="s">
        <v>430</v>
      </c>
    </row>
    <row r="106" spans="5:40" x14ac:dyDescent="0.45">
      <c r="E106" t="s">
        <v>1407</v>
      </c>
      <c r="G106" t="s">
        <v>155</v>
      </c>
      <c r="I106" t="s">
        <v>249</v>
      </c>
      <c r="J106" t="s">
        <v>1703</v>
      </c>
      <c r="K106">
        <v>4.1444766925867537E-5</v>
      </c>
      <c r="L106" t="s">
        <v>251</v>
      </c>
      <c r="N106" t="s">
        <v>419</v>
      </c>
      <c r="O106" t="s">
        <v>1703</v>
      </c>
      <c r="P106">
        <v>6.2006477143584384E-5</v>
      </c>
      <c r="Q106" t="s">
        <v>251</v>
      </c>
      <c r="S106" t="s">
        <v>420</v>
      </c>
      <c r="T106" t="s">
        <v>1703</v>
      </c>
      <c r="U106">
        <v>5.561014925056774E-5</v>
      </c>
      <c r="V106" t="s">
        <v>251</v>
      </c>
      <c r="X106">
        <v>1.1415525114155251E-4</v>
      </c>
      <c r="Y106">
        <v>1.9060404909297337E-4</v>
      </c>
      <c r="Z106" t="s">
        <v>1703</v>
      </c>
      <c r="AA106" t="s">
        <v>25</v>
      </c>
      <c r="AC106" t="s">
        <v>22</v>
      </c>
      <c r="AD106" t="s">
        <v>1703</v>
      </c>
      <c r="AE106">
        <v>1.0756260775915692E-4</v>
      </c>
      <c r="AG106" t="s">
        <v>97</v>
      </c>
      <c r="AH106" t="s">
        <v>1703</v>
      </c>
      <c r="AI106">
        <v>0</v>
      </c>
      <c r="AK106">
        <v>2029</v>
      </c>
      <c r="AL106" t="s">
        <v>178</v>
      </c>
      <c r="AM106">
        <v>0.2467</v>
      </c>
      <c r="AN106" t="s">
        <v>430</v>
      </c>
    </row>
    <row r="107" spans="5:40" x14ac:dyDescent="0.45">
      <c r="E107" t="s">
        <v>1408</v>
      </c>
      <c r="G107" t="s">
        <v>155</v>
      </c>
      <c r="I107" t="s">
        <v>249</v>
      </c>
      <c r="J107" t="s">
        <v>1704</v>
      </c>
      <c r="K107">
        <v>1.8448398309150001E-4</v>
      </c>
      <c r="L107" t="s">
        <v>251</v>
      </c>
      <c r="N107" t="s">
        <v>419</v>
      </c>
      <c r="O107" t="s">
        <v>1704</v>
      </c>
      <c r="P107">
        <v>4.2552281859615978E-5</v>
      </c>
      <c r="Q107" t="s">
        <v>251</v>
      </c>
      <c r="S107" t="s">
        <v>420</v>
      </c>
      <c r="T107" t="s">
        <v>1704</v>
      </c>
      <c r="U107">
        <v>5.2886439615217752E-5</v>
      </c>
      <c r="V107" t="s">
        <v>251</v>
      </c>
      <c r="X107">
        <v>1.1415525114155251E-4</v>
      </c>
      <c r="Y107">
        <v>1.4585353321897094E-4</v>
      </c>
      <c r="Z107" t="s">
        <v>1704</v>
      </c>
      <c r="AA107" t="s">
        <v>25</v>
      </c>
      <c r="AC107" t="s">
        <v>22</v>
      </c>
      <c r="AD107" t="s">
        <v>1704</v>
      </c>
      <c r="AE107">
        <v>1.1765222621675617E-4</v>
      </c>
      <c r="AG107" t="s">
        <v>97</v>
      </c>
      <c r="AH107" t="s">
        <v>1704</v>
      </c>
      <c r="AI107">
        <v>0</v>
      </c>
      <c r="AK107">
        <v>2030</v>
      </c>
      <c r="AL107" t="s">
        <v>151</v>
      </c>
      <c r="AM107">
        <v>0.23350000000000001</v>
      </c>
      <c r="AN107" t="s">
        <v>430</v>
      </c>
    </row>
    <row r="108" spans="5:40" x14ac:dyDescent="0.45">
      <c r="E108" t="s">
        <v>1409</v>
      </c>
      <c r="G108" t="s">
        <v>155</v>
      </c>
      <c r="I108" t="s">
        <v>249</v>
      </c>
      <c r="J108" t="s">
        <v>1705</v>
      </c>
      <c r="K108">
        <v>2.7311456806810002E-4</v>
      </c>
      <c r="L108" t="s">
        <v>251</v>
      </c>
      <c r="N108" t="s">
        <v>419</v>
      </c>
      <c r="O108" t="s">
        <v>1705</v>
      </c>
      <c r="P108">
        <v>3.7607922154161172E-5</v>
      </c>
      <c r="Q108" t="s">
        <v>251</v>
      </c>
      <c r="S108" t="s">
        <v>420</v>
      </c>
      <c r="T108" t="s">
        <v>1705</v>
      </c>
      <c r="U108">
        <v>5.049562932409154E-5</v>
      </c>
      <c r="V108" t="s">
        <v>251</v>
      </c>
      <c r="X108">
        <v>1.1415525114155251E-4</v>
      </c>
      <c r="Y108">
        <v>1.4452759200788939E-4</v>
      </c>
      <c r="Z108" t="s">
        <v>1705</v>
      </c>
      <c r="AA108" t="s">
        <v>25</v>
      </c>
      <c r="AC108" t="s">
        <v>22</v>
      </c>
      <c r="AD108" t="s">
        <v>1705</v>
      </c>
      <c r="AE108">
        <v>1.21440289683611E-4</v>
      </c>
      <c r="AG108" t="s">
        <v>97</v>
      </c>
      <c r="AH108" t="s">
        <v>1705</v>
      </c>
      <c r="AI108">
        <v>0</v>
      </c>
      <c r="AK108">
        <v>2030</v>
      </c>
      <c r="AL108" t="s">
        <v>156</v>
      </c>
      <c r="AM108">
        <v>0.26919999999999999</v>
      </c>
      <c r="AN108" t="s">
        <v>430</v>
      </c>
    </row>
    <row r="109" spans="5:40" x14ac:dyDescent="0.45">
      <c r="E109" t="s">
        <v>1410</v>
      </c>
      <c r="G109" t="s">
        <v>155</v>
      </c>
      <c r="I109" t="s">
        <v>249</v>
      </c>
      <c r="J109" t="s">
        <v>1706</v>
      </c>
      <c r="K109">
        <v>3.1639783764190002E-4</v>
      </c>
      <c r="L109" t="s">
        <v>251</v>
      </c>
      <c r="N109" t="s">
        <v>419</v>
      </c>
      <c r="O109" t="s">
        <v>1706</v>
      </c>
      <c r="P109">
        <v>3.9354200494897597E-5</v>
      </c>
      <c r="Q109" t="s">
        <v>251</v>
      </c>
      <c r="S109" t="s">
        <v>420</v>
      </c>
      <c r="T109" t="s">
        <v>1706</v>
      </c>
      <c r="U109">
        <v>4.8113264343469421E-5</v>
      </c>
      <c r="V109" t="s">
        <v>251</v>
      </c>
      <c r="X109">
        <v>1.1415525114155251E-4</v>
      </c>
      <c r="Y109">
        <v>1.408812536774151E-4</v>
      </c>
      <c r="Z109" t="s">
        <v>1706</v>
      </c>
      <c r="AA109" t="s">
        <v>25</v>
      </c>
      <c r="AC109" t="s">
        <v>22</v>
      </c>
      <c r="AD109" t="s">
        <v>1706</v>
      </c>
      <c r="AE109">
        <v>1.1289932070216712E-4</v>
      </c>
      <c r="AG109" t="s">
        <v>97</v>
      </c>
      <c r="AH109" t="s">
        <v>1706</v>
      </c>
      <c r="AI109">
        <v>0</v>
      </c>
      <c r="AK109">
        <v>2030</v>
      </c>
      <c r="AL109" t="s">
        <v>159</v>
      </c>
      <c r="AM109">
        <v>0.29170000000000001</v>
      </c>
      <c r="AN109" t="s">
        <v>430</v>
      </c>
    </row>
    <row r="110" spans="5:40" x14ac:dyDescent="0.45">
      <c r="E110" t="s">
        <v>1411</v>
      </c>
      <c r="G110" t="s">
        <v>155</v>
      </c>
      <c r="I110" t="s">
        <v>249</v>
      </c>
      <c r="J110" t="s">
        <v>1707</v>
      </c>
      <c r="K110">
        <v>3.171985761962E-4</v>
      </c>
      <c r="L110" t="s">
        <v>251</v>
      </c>
      <c r="N110" t="s">
        <v>419</v>
      </c>
      <c r="O110" t="s">
        <v>1707</v>
      </c>
      <c r="P110">
        <v>3.6860269498439735E-5</v>
      </c>
      <c r="Q110" t="s">
        <v>251</v>
      </c>
      <c r="S110" t="s">
        <v>420</v>
      </c>
      <c r="T110" t="s">
        <v>1707</v>
      </c>
      <c r="U110">
        <v>4.5465367419245554E-5</v>
      </c>
      <c r="V110" t="s">
        <v>251</v>
      </c>
      <c r="X110">
        <v>1.1415525114155251E-4</v>
      </c>
      <c r="Y110">
        <v>1.4054976837464471E-4</v>
      </c>
      <c r="Z110" t="s">
        <v>1707</v>
      </c>
      <c r="AA110" t="s">
        <v>25</v>
      </c>
      <c r="AC110" t="s">
        <v>22</v>
      </c>
      <c r="AD110" t="s">
        <v>1707</v>
      </c>
      <c r="AE110">
        <v>1.1335611659081729E-4</v>
      </c>
      <c r="AG110" t="s">
        <v>97</v>
      </c>
      <c r="AH110" t="s">
        <v>1707</v>
      </c>
      <c r="AI110">
        <v>0</v>
      </c>
      <c r="AK110">
        <v>2030</v>
      </c>
      <c r="AL110" t="s">
        <v>163</v>
      </c>
      <c r="AM110">
        <v>0.32640000000000002</v>
      </c>
      <c r="AN110" t="s">
        <v>430</v>
      </c>
    </row>
    <row r="111" spans="5:40" x14ac:dyDescent="0.45">
      <c r="E111" t="s">
        <v>1412</v>
      </c>
      <c r="G111" t="s">
        <v>155</v>
      </c>
      <c r="I111" t="s">
        <v>249</v>
      </c>
      <c r="J111" t="s">
        <v>1708</v>
      </c>
      <c r="K111">
        <v>3.0494934322419998E-4</v>
      </c>
      <c r="L111" t="s">
        <v>251</v>
      </c>
      <c r="N111" t="s">
        <v>419</v>
      </c>
      <c r="O111" t="s">
        <v>1708</v>
      </c>
      <c r="P111">
        <v>3.4208759405004777E-5</v>
      </c>
      <c r="Q111" t="s">
        <v>251</v>
      </c>
      <c r="S111" t="s">
        <v>420</v>
      </c>
      <c r="T111" t="s">
        <v>1708</v>
      </c>
      <c r="U111">
        <v>4.4537819400620602E-5</v>
      </c>
      <c r="V111" t="s">
        <v>251</v>
      </c>
      <c r="X111">
        <v>1.1415525114155251E-4</v>
      </c>
      <c r="Y111">
        <v>1.4253868019126702E-4</v>
      </c>
      <c r="Z111" t="s">
        <v>1708</v>
      </c>
      <c r="AA111" t="s">
        <v>25</v>
      </c>
      <c r="AC111" t="s">
        <v>22</v>
      </c>
      <c r="AD111" t="s">
        <v>1708</v>
      </c>
      <c r="AE111">
        <v>1.291345150665815E-4</v>
      </c>
      <c r="AG111" t="s">
        <v>97</v>
      </c>
      <c r="AH111" t="s">
        <v>1708</v>
      </c>
      <c r="AI111">
        <v>0</v>
      </c>
      <c r="AK111">
        <v>2030</v>
      </c>
      <c r="AL111" t="s">
        <v>167</v>
      </c>
      <c r="AM111">
        <v>0.37280000000000002</v>
      </c>
      <c r="AN111" t="s">
        <v>430</v>
      </c>
    </row>
    <row r="112" spans="5:40" x14ac:dyDescent="0.45">
      <c r="E112" t="s">
        <v>1413</v>
      </c>
      <c r="G112" t="s">
        <v>155</v>
      </c>
      <c r="I112" t="s">
        <v>249</v>
      </c>
      <c r="J112" t="s">
        <v>1709</v>
      </c>
      <c r="K112">
        <v>2.9387180499000003E-4</v>
      </c>
      <c r="L112" t="s">
        <v>251</v>
      </c>
      <c r="N112" t="s">
        <v>419</v>
      </c>
      <c r="O112" t="s">
        <v>1709</v>
      </c>
      <c r="P112">
        <v>3.3450469367834191E-5</v>
      </c>
      <c r="Q112" t="s">
        <v>251</v>
      </c>
      <c r="S112" t="s">
        <v>420</v>
      </c>
      <c r="T112" t="s">
        <v>1709</v>
      </c>
      <c r="U112">
        <v>4.5226138778358153E-5</v>
      </c>
      <c r="V112" t="s">
        <v>251</v>
      </c>
      <c r="X112">
        <v>1.1415525114155251E-4</v>
      </c>
      <c r="Y112">
        <v>1.4883690094390442E-4</v>
      </c>
      <c r="Z112" t="s">
        <v>1709</v>
      </c>
      <c r="AA112" t="s">
        <v>25</v>
      </c>
      <c r="AC112" t="s">
        <v>22</v>
      </c>
      <c r="AD112" t="s">
        <v>1709</v>
      </c>
      <c r="AE112">
        <v>1.2753238704736462E-4</v>
      </c>
      <c r="AG112" t="s">
        <v>97</v>
      </c>
      <c r="AH112" t="s">
        <v>1709</v>
      </c>
      <c r="AI112">
        <v>0</v>
      </c>
      <c r="AK112">
        <v>2030</v>
      </c>
      <c r="AL112" t="s">
        <v>169</v>
      </c>
      <c r="AM112">
        <v>0.42849999999999999</v>
      </c>
      <c r="AN112" t="s">
        <v>430</v>
      </c>
    </row>
    <row r="113" spans="5:40" x14ac:dyDescent="0.45">
      <c r="E113" t="s">
        <v>1414</v>
      </c>
      <c r="G113" t="s">
        <v>155</v>
      </c>
      <c r="I113" t="s">
        <v>249</v>
      </c>
      <c r="J113" t="s">
        <v>1710</v>
      </c>
      <c r="K113">
        <v>3.065854268576E-4</v>
      </c>
      <c r="L113" t="s">
        <v>251</v>
      </c>
      <c r="N113" t="s">
        <v>419</v>
      </c>
      <c r="O113" t="s">
        <v>1710</v>
      </c>
      <c r="P113">
        <v>3.3300585833629779E-5</v>
      </c>
      <c r="Q113" t="s">
        <v>251</v>
      </c>
      <c r="S113" t="s">
        <v>420</v>
      </c>
      <c r="T113" t="s">
        <v>1710</v>
      </c>
      <c r="U113">
        <v>4.7136631885640611E-5</v>
      </c>
      <c r="V113" t="s">
        <v>251</v>
      </c>
      <c r="X113">
        <v>1.1415525114155251E-4</v>
      </c>
      <c r="Y113">
        <v>1.5049432745775637E-4</v>
      </c>
      <c r="Z113" t="s">
        <v>1710</v>
      </c>
      <c r="AA113" t="s">
        <v>25</v>
      </c>
      <c r="AC113" t="s">
        <v>22</v>
      </c>
      <c r="AD113" t="s">
        <v>1710</v>
      </c>
      <c r="AE113">
        <v>1.2549240345683193E-4</v>
      </c>
      <c r="AG113" t="s">
        <v>97</v>
      </c>
      <c r="AH113" t="s">
        <v>1710</v>
      </c>
      <c r="AI113">
        <v>0</v>
      </c>
      <c r="AK113">
        <v>2030</v>
      </c>
      <c r="AL113" t="s">
        <v>171</v>
      </c>
      <c r="AM113">
        <v>0.55489999999999995</v>
      </c>
      <c r="AN113" t="s">
        <v>430</v>
      </c>
    </row>
    <row r="114" spans="5:40" x14ac:dyDescent="0.45">
      <c r="E114" t="s">
        <v>1415</v>
      </c>
      <c r="G114" t="s">
        <v>155</v>
      </c>
      <c r="I114" t="s">
        <v>249</v>
      </c>
      <c r="J114" t="s">
        <v>1711</v>
      </c>
      <c r="K114">
        <v>2.8507841801550001E-4</v>
      </c>
      <c r="L114" t="s">
        <v>251</v>
      </c>
      <c r="N114" t="s">
        <v>419</v>
      </c>
      <c r="O114" t="s">
        <v>1711</v>
      </c>
      <c r="P114">
        <v>2.4248744254816355E-5</v>
      </c>
      <c r="Q114" t="s">
        <v>251</v>
      </c>
      <c r="S114" t="s">
        <v>420</v>
      </c>
      <c r="T114" t="s">
        <v>1711</v>
      </c>
      <c r="U114">
        <v>4.7494975900323256E-5</v>
      </c>
      <c r="V114" t="s">
        <v>251</v>
      </c>
      <c r="X114">
        <v>1.1415525114155251E-4</v>
      </c>
      <c r="Y114">
        <v>1.7237235744060203E-4</v>
      </c>
      <c r="Z114" t="s">
        <v>1711</v>
      </c>
      <c r="AA114" t="s">
        <v>25</v>
      </c>
      <c r="AC114" t="s">
        <v>22</v>
      </c>
      <c r="AD114" t="s">
        <v>1711</v>
      </c>
      <c r="AE114">
        <v>1.1024544800274117E-4</v>
      </c>
      <c r="AG114" t="s">
        <v>97</v>
      </c>
      <c r="AH114" t="s">
        <v>1711</v>
      </c>
      <c r="AI114">
        <v>0</v>
      </c>
      <c r="AK114">
        <v>2030</v>
      </c>
      <c r="AL114" t="s">
        <v>158</v>
      </c>
      <c r="AM114">
        <v>0.69620000000000004</v>
      </c>
      <c r="AN114" t="s">
        <v>430</v>
      </c>
    </row>
    <row r="115" spans="5:40" x14ac:dyDescent="0.45">
      <c r="E115" t="s">
        <v>1416</v>
      </c>
      <c r="G115" t="s">
        <v>155</v>
      </c>
      <c r="I115" t="s">
        <v>249</v>
      </c>
      <c r="J115" t="s">
        <v>1712</v>
      </c>
      <c r="K115">
        <v>2.2291807203959999E-4</v>
      </c>
      <c r="L115" t="s">
        <v>251</v>
      </c>
      <c r="N115" t="s">
        <v>419</v>
      </c>
      <c r="O115" t="s">
        <v>1712</v>
      </c>
      <c r="P115">
        <v>2.824251019452258E-5</v>
      </c>
      <c r="Q115" t="s">
        <v>251</v>
      </c>
      <c r="S115" t="s">
        <v>420</v>
      </c>
      <c r="T115" t="s">
        <v>1712</v>
      </c>
      <c r="U115">
        <v>5.3293782177473201E-5</v>
      </c>
      <c r="V115" t="s">
        <v>251</v>
      </c>
      <c r="X115">
        <v>1.1415525114155251E-4</v>
      </c>
      <c r="Y115">
        <v>2.2209515285616027E-4</v>
      </c>
      <c r="Z115" t="s">
        <v>1712</v>
      </c>
      <c r="AA115" t="s">
        <v>25</v>
      </c>
      <c r="AC115" t="s">
        <v>22</v>
      </c>
      <c r="AD115" t="s">
        <v>1712</v>
      </c>
      <c r="AE115">
        <v>8.453118188067947E-5</v>
      </c>
      <c r="AG115" t="s">
        <v>97</v>
      </c>
      <c r="AH115" t="s">
        <v>1712</v>
      </c>
      <c r="AI115">
        <v>0</v>
      </c>
      <c r="AK115">
        <v>2030</v>
      </c>
      <c r="AL115" t="s">
        <v>162</v>
      </c>
      <c r="AM115">
        <v>0.57189999999999996</v>
      </c>
      <c r="AN115" t="s">
        <v>430</v>
      </c>
    </row>
    <row r="116" spans="5:40" x14ac:dyDescent="0.45">
      <c r="E116" t="s">
        <v>1417</v>
      </c>
      <c r="G116" t="s">
        <v>155</v>
      </c>
      <c r="I116" t="s">
        <v>249</v>
      </c>
      <c r="J116" t="s">
        <v>1713</v>
      </c>
      <c r="K116">
        <v>1.382130132051E-4</v>
      </c>
      <c r="L116" t="s">
        <v>251</v>
      </c>
      <c r="N116" t="s">
        <v>419</v>
      </c>
      <c r="O116" t="s">
        <v>1713</v>
      </c>
      <c r="P116">
        <v>3.4837518483270862E-5</v>
      </c>
      <c r="Q116" t="s">
        <v>251</v>
      </c>
      <c r="S116" t="s">
        <v>420</v>
      </c>
      <c r="T116" t="s">
        <v>1713</v>
      </c>
      <c r="U116">
        <v>6.1410140652806117E-5</v>
      </c>
      <c r="V116" t="s">
        <v>251</v>
      </c>
      <c r="X116">
        <v>1.1415525114155251E-4</v>
      </c>
      <c r="Y116">
        <v>2.2209515285616027E-4</v>
      </c>
      <c r="Z116" t="s">
        <v>1713</v>
      </c>
      <c r="AA116" t="s">
        <v>25</v>
      </c>
      <c r="AC116" t="s">
        <v>22</v>
      </c>
      <c r="AD116" t="s">
        <v>1713</v>
      </c>
      <c r="AE116">
        <v>5.1878074796390707E-5</v>
      </c>
      <c r="AG116" t="s">
        <v>97</v>
      </c>
      <c r="AH116" t="s">
        <v>1713</v>
      </c>
      <c r="AI116">
        <v>0</v>
      </c>
      <c r="AK116">
        <v>2030</v>
      </c>
      <c r="AL116" t="s">
        <v>175</v>
      </c>
      <c r="AM116">
        <v>0.4728</v>
      </c>
      <c r="AN116" t="s">
        <v>430</v>
      </c>
    </row>
    <row r="117" spans="5:40" x14ac:dyDescent="0.45">
      <c r="E117" t="s">
        <v>1418</v>
      </c>
      <c r="G117" t="s">
        <v>155</v>
      </c>
      <c r="I117" t="s">
        <v>249</v>
      </c>
      <c r="J117" t="s">
        <v>1714</v>
      </c>
      <c r="K117">
        <v>4.4444768104811041E-5</v>
      </c>
      <c r="L117" t="s">
        <v>251</v>
      </c>
      <c r="N117" t="s">
        <v>419</v>
      </c>
      <c r="O117" t="s">
        <v>1714</v>
      </c>
      <c r="P117">
        <v>5.0699544195858668E-5</v>
      </c>
      <c r="Q117" t="s">
        <v>251</v>
      </c>
      <c r="S117" t="s">
        <v>420</v>
      </c>
      <c r="T117" t="s">
        <v>1714</v>
      </c>
      <c r="U117">
        <v>6.9444463462006275E-5</v>
      </c>
      <c r="V117" t="s">
        <v>251</v>
      </c>
      <c r="X117">
        <v>1.1415525114155251E-4</v>
      </c>
      <c r="Y117">
        <v>1.7237235744060203E-4</v>
      </c>
      <c r="Z117" t="s">
        <v>1714</v>
      </c>
      <c r="AA117" t="s">
        <v>25</v>
      </c>
      <c r="AC117" t="s">
        <v>22</v>
      </c>
      <c r="AD117" t="s">
        <v>1714</v>
      </c>
      <c r="AE117">
        <v>2.9135210223182498E-5</v>
      </c>
      <c r="AG117" t="s">
        <v>97</v>
      </c>
      <c r="AH117" t="s">
        <v>1714</v>
      </c>
      <c r="AI117">
        <v>0</v>
      </c>
      <c r="AK117">
        <v>2030</v>
      </c>
      <c r="AL117" t="s">
        <v>166</v>
      </c>
      <c r="AM117">
        <v>0.2646</v>
      </c>
      <c r="AN117" t="s">
        <v>430</v>
      </c>
    </row>
    <row r="118" spans="5:40" x14ac:dyDescent="0.45">
      <c r="E118" t="s">
        <v>1419</v>
      </c>
      <c r="G118" t="s">
        <v>155</v>
      </c>
      <c r="I118" t="s">
        <v>249</v>
      </c>
      <c r="J118" t="s">
        <v>1715</v>
      </c>
      <c r="K118">
        <v>0</v>
      </c>
      <c r="L118" t="s">
        <v>251</v>
      </c>
      <c r="N118" t="s">
        <v>419</v>
      </c>
      <c r="O118" t="s">
        <v>1715</v>
      </c>
      <c r="P118">
        <v>7.4359380947282329E-5</v>
      </c>
      <c r="Q118" t="s">
        <v>251</v>
      </c>
      <c r="S118" t="s">
        <v>420</v>
      </c>
      <c r="T118" t="s">
        <v>1715</v>
      </c>
      <c r="U118">
        <v>7.4090244069989822E-5</v>
      </c>
      <c r="V118" t="s">
        <v>251</v>
      </c>
      <c r="X118">
        <v>1.1415525114155251E-4</v>
      </c>
      <c r="Y118">
        <v>1.5579809230208258E-4</v>
      </c>
      <c r="Z118" t="s">
        <v>1715</v>
      </c>
      <c r="AA118" t="s">
        <v>25</v>
      </c>
      <c r="AC118" t="s">
        <v>22</v>
      </c>
      <c r="AD118" t="s">
        <v>1715</v>
      </c>
      <c r="AE118">
        <v>2.4194015671564489E-5</v>
      </c>
      <c r="AG118" t="s">
        <v>97</v>
      </c>
      <c r="AH118" t="s">
        <v>1715</v>
      </c>
      <c r="AI118">
        <v>0</v>
      </c>
      <c r="AK118">
        <v>2030</v>
      </c>
      <c r="AL118" t="s">
        <v>178</v>
      </c>
      <c r="AM118">
        <v>0.26090000000000002</v>
      </c>
      <c r="AN118" t="s">
        <v>430</v>
      </c>
    </row>
    <row r="119" spans="5:40" x14ac:dyDescent="0.45">
      <c r="E119" t="s">
        <v>1420</v>
      </c>
      <c r="G119" t="s">
        <v>155</v>
      </c>
      <c r="I119" t="s">
        <v>249</v>
      </c>
      <c r="J119" t="s">
        <v>1716</v>
      </c>
      <c r="K119">
        <v>0</v>
      </c>
      <c r="L119" t="s">
        <v>251</v>
      </c>
      <c r="N119" t="s">
        <v>419</v>
      </c>
      <c r="O119" t="s">
        <v>1716</v>
      </c>
      <c r="P119">
        <v>9.3053758039406505E-5</v>
      </c>
      <c r="Q119" t="s">
        <v>251</v>
      </c>
      <c r="S119" t="s">
        <v>420</v>
      </c>
      <c r="T119" t="s">
        <v>1716</v>
      </c>
      <c r="U119">
        <v>7.7141399141920875E-5</v>
      </c>
      <c r="V119" t="s">
        <v>251</v>
      </c>
      <c r="X119">
        <v>1.1415525114155251E-4</v>
      </c>
      <c r="Y119">
        <v>1.093901499142282E-4</v>
      </c>
      <c r="Z119" t="s">
        <v>1716</v>
      </c>
      <c r="AA119" t="s">
        <v>25</v>
      </c>
      <c r="AC119" t="s">
        <v>22</v>
      </c>
      <c r="AD119" t="s">
        <v>1716</v>
      </c>
      <c r="AE119">
        <v>2.1910036228313767E-5</v>
      </c>
      <c r="AG119" t="s">
        <v>97</v>
      </c>
      <c r="AH119" t="s">
        <v>1716</v>
      </c>
      <c r="AI119">
        <v>0</v>
      </c>
      <c r="AK119">
        <v>2031</v>
      </c>
      <c r="AL119" t="s">
        <v>151</v>
      </c>
      <c r="AM119">
        <v>0.23710000000000001</v>
      </c>
      <c r="AN119" t="s">
        <v>430</v>
      </c>
    </row>
    <row r="120" spans="5:40" x14ac:dyDescent="0.45">
      <c r="E120" t="s">
        <v>1421</v>
      </c>
      <c r="G120" t="s">
        <v>155</v>
      </c>
      <c r="I120" t="s">
        <v>249</v>
      </c>
      <c r="J120" t="s">
        <v>1717</v>
      </c>
      <c r="K120">
        <v>0</v>
      </c>
      <c r="L120" t="s">
        <v>251</v>
      </c>
      <c r="N120" t="s">
        <v>419</v>
      </c>
      <c r="O120" t="s">
        <v>1717</v>
      </c>
      <c r="P120">
        <v>1.056998585389E-4</v>
      </c>
      <c r="Q120" t="s">
        <v>251</v>
      </c>
      <c r="S120" t="s">
        <v>420</v>
      </c>
      <c r="T120" t="s">
        <v>1717</v>
      </c>
      <c r="U120">
        <v>7.8974458781170761E-5</v>
      </c>
      <c r="V120" t="s">
        <v>251</v>
      </c>
      <c r="X120">
        <v>1.1415525114155251E-4</v>
      </c>
      <c r="Y120">
        <v>7.9556472664893237E-5</v>
      </c>
      <c r="Z120" t="s">
        <v>1717</v>
      </c>
      <c r="AA120" t="s">
        <v>25</v>
      </c>
      <c r="AC120" t="s">
        <v>22</v>
      </c>
      <c r="AD120" t="s">
        <v>1717</v>
      </c>
      <c r="AE120">
        <v>2.2484930566224674E-5</v>
      </c>
      <c r="AG120" t="s">
        <v>97</v>
      </c>
      <c r="AH120" t="s">
        <v>1717</v>
      </c>
      <c r="AI120">
        <v>0</v>
      </c>
      <c r="AK120">
        <v>2031</v>
      </c>
      <c r="AL120" t="s">
        <v>156</v>
      </c>
      <c r="AM120">
        <v>0.28249999999999997</v>
      </c>
      <c r="AN120" t="s">
        <v>430</v>
      </c>
    </row>
    <row r="121" spans="5:40" x14ac:dyDescent="0.45">
      <c r="E121" t="s">
        <v>1422</v>
      </c>
      <c r="G121" t="s">
        <v>155</v>
      </c>
      <c r="I121" t="s">
        <v>249</v>
      </c>
      <c r="J121" t="s">
        <v>1718</v>
      </c>
      <c r="K121">
        <v>0</v>
      </c>
      <c r="L121" t="s">
        <v>251</v>
      </c>
      <c r="N121" t="s">
        <v>419</v>
      </c>
      <c r="O121" t="s">
        <v>1718</v>
      </c>
      <c r="P121">
        <v>1.0489728343000001E-4</v>
      </c>
      <c r="Q121" t="s">
        <v>251</v>
      </c>
      <c r="S121" t="s">
        <v>420</v>
      </c>
      <c r="T121" t="s">
        <v>1718</v>
      </c>
      <c r="U121">
        <v>7.9789815426213183E-5</v>
      </c>
      <c r="V121" t="s">
        <v>251</v>
      </c>
      <c r="X121">
        <v>1.1415525114155251E-4</v>
      </c>
      <c r="Y121">
        <v>5.6352501470966035E-5</v>
      </c>
      <c r="Z121" t="s">
        <v>1718</v>
      </c>
      <c r="AA121" t="s">
        <v>25</v>
      </c>
      <c r="AC121" t="s">
        <v>22</v>
      </c>
      <c r="AD121" t="s">
        <v>1718</v>
      </c>
      <c r="AE121">
        <v>2.5861877733294408E-5</v>
      </c>
      <c r="AG121" t="s">
        <v>97</v>
      </c>
      <c r="AH121" t="s">
        <v>1718</v>
      </c>
      <c r="AI121">
        <v>0</v>
      </c>
      <c r="AK121">
        <v>2031</v>
      </c>
      <c r="AL121" t="s">
        <v>159</v>
      </c>
      <c r="AM121">
        <v>0.28789999999999999</v>
      </c>
      <c r="AN121" t="s">
        <v>430</v>
      </c>
    </row>
    <row r="122" spans="5:40" x14ac:dyDescent="0.45">
      <c r="E122" t="s">
        <v>1423</v>
      </c>
      <c r="G122" t="s">
        <v>155</v>
      </c>
      <c r="I122" t="s">
        <v>249</v>
      </c>
      <c r="J122" t="s">
        <v>1719</v>
      </c>
      <c r="K122">
        <v>0</v>
      </c>
      <c r="L122" t="s">
        <v>251</v>
      </c>
      <c r="N122" t="s">
        <v>419</v>
      </c>
      <c r="O122" t="s">
        <v>1719</v>
      </c>
      <c r="P122">
        <v>9.5556695496095439E-5</v>
      </c>
      <c r="Q122" t="s">
        <v>251</v>
      </c>
      <c r="S122" t="s">
        <v>420</v>
      </c>
      <c r="T122" t="s">
        <v>1719</v>
      </c>
      <c r="U122">
        <v>7.9506213038266723E-5</v>
      </c>
      <c r="V122" t="s">
        <v>251</v>
      </c>
      <c r="X122">
        <v>1.1415525114155251E-4</v>
      </c>
      <c r="Y122">
        <v>2.9833677249334962E-5</v>
      </c>
      <c r="Z122" t="s">
        <v>1719</v>
      </c>
      <c r="AA122" t="s">
        <v>25</v>
      </c>
      <c r="AC122" t="s">
        <v>22</v>
      </c>
      <c r="AD122" t="s">
        <v>1719</v>
      </c>
      <c r="AE122">
        <v>4.5418312449089413E-5</v>
      </c>
      <c r="AG122" t="s">
        <v>97</v>
      </c>
      <c r="AH122" t="s">
        <v>1719</v>
      </c>
      <c r="AI122">
        <v>0</v>
      </c>
      <c r="AK122">
        <v>2031</v>
      </c>
      <c r="AL122" t="s">
        <v>163</v>
      </c>
      <c r="AM122">
        <v>0.30680000000000002</v>
      </c>
      <c r="AN122" t="s">
        <v>430</v>
      </c>
    </row>
    <row r="123" spans="5:40" x14ac:dyDescent="0.45">
      <c r="E123" t="s">
        <v>1424</v>
      </c>
      <c r="G123" t="s">
        <v>155</v>
      </c>
      <c r="I123" t="s">
        <v>249</v>
      </c>
      <c r="J123" t="s">
        <v>1720</v>
      </c>
      <c r="K123">
        <v>0</v>
      </c>
      <c r="L123" t="s">
        <v>251</v>
      </c>
      <c r="N123" t="s">
        <v>419</v>
      </c>
      <c r="O123" t="s">
        <v>1720</v>
      </c>
      <c r="P123">
        <v>8.3226081559909114E-5</v>
      </c>
      <c r="Q123" t="s">
        <v>251</v>
      </c>
      <c r="S123" t="s">
        <v>420</v>
      </c>
      <c r="T123" t="s">
        <v>1720</v>
      </c>
      <c r="U123">
        <v>8.0502151567450847E-5</v>
      </c>
      <c r="V123" t="s">
        <v>251</v>
      </c>
      <c r="X123">
        <v>1.1415525114155251E-4</v>
      </c>
      <c r="Y123">
        <v>2.1546544680075254E-5</v>
      </c>
      <c r="Z123" t="s">
        <v>1720</v>
      </c>
      <c r="AA123" t="s">
        <v>25</v>
      </c>
      <c r="AC123" t="s">
        <v>22</v>
      </c>
      <c r="AD123" t="s">
        <v>1720</v>
      </c>
      <c r="AE123">
        <v>4.7745743208577598E-5</v>
      </c>
      <c r="AG123" t="s">
        <v>97</v>
      </c>
      <c r="AH123" t="s">
        <v>1720</v>
      </c>
      <c r="AI123">
        <v>0</v>
      </c>
      <c r="AK123">
        <v>2031</v>
      </c>
      <c r="AL123" t="s">
        <v>167</v>
      </c>
      <c r="AM123">
        <v>0.41089999999999999</v>
      </c>
      <c r="AN123" t="s">
        <v>430</v>
      </c>
    </row>
    <row r="124" spans="5:40" x14ac:dyDescent="0.45">
      <c r="E124" t="s">
        <v>1425</v>
      </c>
      <c r="G124" t="s">
        <v>155</v>
      </c>
      <c r="I124" t="s">
        <v>249</v>
      </c>
      <c r="J124" t="s">
        <v>1721</v>
      </c>
      <c r="K124">
        <v>0</v>
      </c>
      <c r="L124" t="s">
        <v>251</v>
      </c>
      <c r="N124" t="s">
        <v>419</v>
      </c>
      <c r="O124" t="s">
        <v>1721</v>
      </c>
      <c r="P124">
        <v>7.908183735189729E-5</v>
      </c>
      <c r="Q124" t="s">
        <v>251</v>
      </c>
      <c r="S124" t="s">
        <v>420</v>
      </c>
      <c r="T124" t="s">
        <v>1721</v>
      </c>
      <c r="U124">
        <v>8.1737837808730385E-5</v>
      </c>
      <c r="V124" t="s">
        <v>251</v>
      </c>
      <c r="X124">
        <v>1.1415525114155251E-4</v>
      </c>
      <c r="Y124">
        <v>1.4916838624667481E-5</v>
      </c>
      <c r="Z124" t="s">
        <v>1721</v>
      </c>
      <c r="AA124" t="s">
        <v>25</v>
      </c>
      <c r="AC124" t="s">
        <v>22</v>
      </c>
      <c r="AD124" t="s">
        <v>1721</v>
      </c>
      <c r="AE124">
        <v>6.9585043231309542E-5</v>
      </c>
      <c r="AG124" t="s">
        <v>97</v>
      </c>
      <c r="AH124" t="s">
        <v>1721</v>
      </c>
      <c r="AI124">
        <v>0</v>
      </c>
      <c r="AK124">
        <v>2031</v>
      </c>
      <c r="AL124" t="s">
        <v>169</v>
      </c>
      <c r="AM124">
        <v>0.4637</v>
      </c>
      <c r="AN124" t="s">
        <v>430</v>
      </c>
    </row>
    <row r="125" spans="5:40" x14ac:dyDescent="0.45">
      <c r="E125" t="s">
        <v>1426</v>
      </c>
      <c r="G125" t="s">
        <v>155</v>
      </c>
      <c r="I125" t="s">
        <v>249</v>
      </c>
      <c r="J125" t="s">
        <v>1722</v>
      </c>
      <c r="K125">
        <v>0</v>
      </c>
      <c r="L125" t="s">
        <v>251</v>
      </c>
      <c r="N125" t="s">
        <v>419</v>
      </c>
      <c r="O125" t="s">
        <v>1722</v>
      </c>
      <c r="P125">
        <v>7.250758489331518E-5</v>
      </c>
      <c r="Q125" t="s">
        <v>251</v>
      </c>
      <c r="S125" t="s">
        <v>420</v>
      </c>
      <c r="T125" t="s">
        <v>1722</v>
      </c>
      <c r="U125">
        <v>8.0987835003062085E-5</v>
      </c>
      <c r="V125" t="s">
        <v>251</v>
      </c>
      <c r="X125">
        <v>1.1415525114155251E-4</v>
      </c>
      <c r="Y125">
        <v>1.6574265138519424E-5</v>
      </c>
      <c r="Z125" t="s">
        <v>1722</v>
      </c>
      <c r="AA125" t="s">
        <v>25</v>
      </c>
      <c r="AC125" t="s">
        <v>22</v>
      </c>
      <c r="AD125" t="s">
        <v>1722</v>
      </c>
      <c r="AE125">
        <v>7.9877434498016919E-5</v>
      </c>
      <c r="AG125" t="s">
        <v>97</v>
      </c>
      <c r="AH125" t="s">
        <v>1722</v>
      </c>
      <c r="AI125">
        <v>0</v>
      </c>
      <c r="AK125">
        <v>2031</v>
      </c>
      <c r="AL125" t="s">
        <v>171</v>
      </c>
      <c r="AM125">
        <v>0.54390000000000005</v>
      </c>
      <c r="AN125" t="s">
        <v>430</v>
      </c>
    </row>
    <row r="126" spans="5:40" x14ac:dyDescent="0.45">
      <c r="E126" t="s">
        <v>1427</v>
      </c>
      <c r="G126" t="s">
        <v>155</v>
      </c>
      <c r="I126" t="s">
        <v>249</v>
      </c>
      <c r="J126" t="s">
        <v>1723</v>
      </c>
      <c r="K126">
        <v>0</v>
      </c>
      <c r="L126" t="s">
        <v>251</v>
      </c>
      <c r="N126" t="s">
        <v>419</v>
      </c>
      <c r="O126" t="s">
        <v>1723</v>
      </c>
      <c r="P126">
        <v>5.7201202683779723E-5</v>
      </c>
      <c r="Q126" t="s">
        <v>251</v>
      </c>
      <c r="S126" t="s">
        <v>420</v>
      </c>
      <c r="T126" t="s">
        <v>1723</v>
      </c>
      <c r="U126">
        <v>7.1330697860940581E-5</v>
      </c>
      <c r="V126" t="s">
        <v>251</v>
      </c>
      <c r="X126">
        <v>1.1415525114155251E-4</v>
      </c>
      <c r="Y126">
        <v>1.4585353321897093E-5</v>
      </c>
      <c r="Z126" t="s">
        <v>1723</v>
      </c>
      <c r="AA126" t="s">
        <v>25</v>
      </c>
      <c r="AC126" t="s">
        <v>22</v>
      </c>
      <c r="AD126" t="s">
        <v>1723</v>
      </c>
      <c r="AE126">
        <v>9.8880143465862862E-5</v>
      </c>
      <c r="AG126" t="s">
        <v>97</v>
      </c>
      <c r="AH126" t="s">
        <v>1723</v>
      </c>
      <c r="AI126">
        <v>0</v>
      </c>
      <c r="AK126">
        <v>2031</v>
      </c>
      <c r="AL126" t="s">
        <v>158</v>
      </c>
      <c r="AM126">
        <v>0.67930000000000001</v>
      </c>
      <c r="AN126" t="s">
        <v>430</v>
      </c>
    </row>
    <row r="127" spans="5:40" x14ac:dyDescent="0.45">
      <c r="E127" t="s">
        <v>1428</v>
      </c>
      <c r="G127" t="s">
        <v>155</v>
      </c>
      <c r="I127" t="s">
        <v>249</v>
      </c>
      <c r="J127" t="s">
        <v>1724</v>
      </c>
      <c r="K127">
        <v>0</v>
      </c>
      <c r="L127" t="s">
        <v>251</v>
      </c>
      <c r="N127" t="s">
        <v>419</v>
      </c>
      <c r="O127" t="s">
        <v>1724</v>
      </c>
      <c r="P127">
        <v>5.0212706895753934E-5</v>
      </c>
      <c r="Q127" t="s">
        <v>251</v>
      </c>
      <c r="S127" t="s">
        <v>420</v>
      </c>
      <c r="T127" t="s">
        <v>1724</v>
      </c>
      <c r="U127">
        <v>6.8383699653691332E-5</v>
      </c>
      <c r="V127" t="s">
        <v>251</v>
      </c>
      <c r="X127">
        <v>1.1415525114155251E-4</v>
      </c>
      <c r="Y127">
        <v>2.1215059377304864E-5</v>
      </c>
      <c r="Z127" t="s">
        <v>1724</v>
      </c>
      <c r="AA127" t="s">
        <v>25</v>
      </c>
      <c r="AC127" t="s">
        <v>22</v>
      </c>
      <c r="AD127" t="s">
        <v>1724</v>
      </c>
      <c r="AE127">
        <v>9.884114869488053E-5</v>
      </c>
      <c r="AG127" t="s">
        <v>97</v>
      </c>
      <c r="AH127" t="s">
        <v>1724</v>
      </c>
      <c r="AI127">
        <v>0</v>
      </c>
      <c r="AK127">
        <v>2031</v>
      </c>
      <c r="AL127" t="s">
        <v>162</v>
      </c>
      <c r="AM127">
        <v>0.55269999999999997</v>
      </c>
      <c r="AN127" t="s">
        <v>430</v>
      </c>
    </row>
    <row r="128" spans="5:40" x14ac:dyDescent="0.45">
      <c r="E128" t="s">
        <v>1429</v>
      </c>
      <c r="G128" t="s">
        <v>155</v>
      </c>
      <c r="I128" t="s">
        <v>249</v>
      </c>
      <c r="J128" t="s">
        <v>1725</v>
      </c>
      <c r="K128">
        <v>0</v>
      </c>
      <c r="L128" t="s">
        <v>251</v>
      </c>
      <c r="N128" t="s">
        <v>419</v>
      </c>
      <c r="O128" t="s">
        <v>1725</v>
      </c>
      <c r="P128">
        <v>4.7688911739046472E-5</v>
      </c>
      <c r="Q128" t="s">
        <v>251</v>
      </c>
      <c r="S128" t="s">
        <v>420</v>
      </c>
      <c r="T128" t="s">
        <v>1725</v>
      </c>
      <c r="U128">
        <v>6.5044024738254044E-5</v>
      </c>
      <c r="V128" t="s">
        <v>251</v>
      </c>
      <c r="X128">
        <v>1.1415525114155251E-4</v>
      </c>
      <c r="Y128">
        <v>5.7678442682047593E-5</v>
      </c>
      <c r="Z128" t="s">
        <v>1725</v>
      </c>
      <c r="AA128" t="s">
        <v>25</v>
      </c>
      <c r="AC128" t="s">
        <v>22</v>
      </c>
      <c r="AD128" t="s">
        <v>1725</v>
      </c>
      <c r="AE128">
        <v>9.6943774552511766E-5</v>
      </c>
      <c r="AG128" t="s">
        <v>97</v>
      </c>
      <c r="AH128" t="s">
        <v>1725</v>
      </c>
      <c r="AI128">
        <v>0</v>
      </c>
      <c r="AK128">
        <v>2031</v>
      </c>
      <c r="AL128" t="s">
        <v>175</v>
      </c>
      <c r="AM128">
        <v>0.4325</v>
      </c>
      <c r="AN128" t="s">
        <v>430</v>
      </c>
    </row>
    <row r="129" spans="5:40" x14ac:dyDescent="0.45">
      <c r="E129" t="s">
        <v>1430</v>
      </c>
      <c r="G129" t="s">
        <v>155</v>
      </c>
      <c r="I129" t="s">
        <v>249</v>
      </c>
      <c r="J129" t="s">
        <v>1726</v>
      </c>
      <c r="K129">
        <v>0</v>
      </c>
      <c r="L129" t="s">
        <v>251</v>
      </c>
      <c r="N129" t="s">
        <v>419</v>
      </c>
      <c r="O129" t="s">
        <v>1726</v>
      </c>
      <c r="P129">
        <v>4.7700503250406097E-5</v>
      </c>
      <c r="Q129" t="s">
        <v>251</v>
      </c>
      <c r="S129" t="s">
        <v>420</v>
      </c>
      <c r="T129" t="s">
        <v>1726</v>
      </c>
      <c r="U129">
        <v>6.3605427289113758E-5</v>
      </c>
      <c r="V129" t="s">
        <v>251</v>
      </c>
      <c r="X129">
        <v>1.1415525114155251E-4</v>
      </c>
      <c r="Y129">
        <v>1.6905750441289813E-4</v>
      </c>
      <c r="Z129" t="s">
        <v>1726</v>
      </c>
      <c r="AA129" t="s">
        <v>25</v>
      </c>
      <c r="AC129" t="s">
        <v>22</v>
      </c>
      <c r="AD129" t="s">
        <v>1726</v>
      </c>
      <c r="AE129">
        <v>9.6579451977905459E-5</v>
      </c>
      <c r="AG129" t="s">
        <v>97</v>
      </c>
      <c r="AH129" t="s">
        <v>1726</v>
      </c>
      <c r="AI129">
        <v>0</v>
      </c>
      <c r="AK129">
        <v>2031</v>
      </c>
      <c r="AL129" t="s">
        <v>166</v>
      </c>
      <c r="AM129">
        <v>0.28139999999999998</v>
      </c>
      <c r="AN129" t="s">
        <v>430</v>
      </c>
    </row>
    <row r="130" spans="5:40" x14ac:dyDescent="0.45">
      <c r="E130" t="s">
        <v>1431</v>
      </c>
      <c r="G130" t="s">
        <v>155</v>
      </c>
      <c r="I130" t="s">
        <v>249</v>
      </c>
      <c r="J130" t="s">
        <v>1727</v>
      </c>
      <c r="K130">
        <v>3.7462290612891527E-5</v>
      </c>
      <c r="L130" t="s">
        <v>251</v>
      </c>
      <c r="N130" t="s">
        <v>419</v>
      </c>
      <c r="O130" t="s">
        <v>1727</v>
      </c>
      <c r="P130">
        <v>4.6511764556766851E-5</v>
      </c>
      <c r="Q130" t="s">
        <v>251</v>
      </c>
      <c r="S130" t="s">
        <v>420</v>
      </c>
      <c r="T130" t="s">
        <v>1727</v>
      </c>
      <c r="U130">
        <v>6.1971163884299069E-5</v>
      </c>
      <c r="V130" t="s">
        <v>251</v>
      </c>
      <c r="X130">
        <v>1.1415525114155251E-4</v>
      </c>
      <c r="Y130">
        <v>1.9060404909297337E-4</v>
      </c>
      <c r="Z130" t="s">
        <v>1727</v>
      </c>
      <c r="AA130" t="s">
        <v>25</v>
      </c>
      <c r="AC130" t="s">
        <v>22</v>
      </c>
      <c r="AD130" t="s">
        <v>1727</v>
      </c>
      <c r="AE130">
        <v>9.8251770584890471E-5</v>
      </c>
      <c r="AG130" t="s">
        <v>97</v>
      </c>
      <c r="AH130" t="s">
        <v>1727</v>
      </c>
      <c r="AI130">
        <v>0</v>
      </c>
      <c r="AK130">
        <v>2031</v>
      </c>
      <c r="AL130" t="s">
        <v>178</v>
      </c>
      <c r="AM130">
        <v>0.24030000000000001</v>
      </c>
      <c r="AN130" t="s">
        <v>430</v>
      </c>
    </row>
    <row r="131" spans="5:40" x14ac:dyDescent="0.45">
      <c r="E131" t="s">
        <v>1432</v>
      </c>
      <c r="G131" t="s">
        <v>155</v>
      </c>
      <c r="I131" t="s">
        <v>249</v>
      </c>
      <c r="J131" t="s">
        <v>1728</v>
      </c>
      <c r="K131">
        <v>1.5101536506869999E-4</v>
      </c>
      <c r="L131" t="s">
        <v>251</v>
      </c>
      <c r="N131" t="s">
        <v>419</v>
      </c>
      <c r="O131" t="s">
        <v>1728</v>
      </c>
      <c r="P131">
        <v>2.9577722296744163E-5</v>
      </c>
      <c r="Q131" t="s">
        <v>251</v>
      </c>
      <c r="S131" t="s">
        <v>420</v>
      </c>
      <c r="T131" t="s">
        <v>1728</v>
      </c>
      <c r="U131">
        <v>6.1112116138526456E-5</v>
      </c>
      <c r="V131" t="s">
        <v>251</v>
      </c>
      <c r="X131">
        <v>1.1415525114155251E-4</v>
      </c>
      <c r="Y131">
        <v>1.4585353321897094E-4</v>
      </c>
      <c r="Z131" t="s">
        <v>1728</v>
      </c>
      <c r="AA131" t="s">
        <v>25</v>
      </c>
      <c r="AC131" t="s">
        <v>22</v>
      </c>
      <c r="AD131" t="s">
        <v>1728</v>
      </c>
      <c r="AE131">
        <v>1.0184486019683367E-4</v>
      </c>
      <c r="AG131" t="s">
        <v>97</v>
      </c>
      <c r="AH131" t="s">
        <v>1728</v>
      </c>
      <c r="AI131">
        <v>0</v>
      </c>
      <c r="AK131">
        <v>2032</v>
      </c>
      <c r="AL131" t="s">
        <v>151</v>
      </c>
      <c r="AM131">
        <v>0.22370000000000001</v>
      </c>
      <c r="AN131" t="s">
        <v>430</v>
      </c>
    </row>
    <row r="132" spans="5:40" x14ac:dyDescent="0.45">
      <c r="E132" t="s">
        <v>1433</v>
      </c>
      <c r="G132" t="s">
        <v>155</v>
      </c>
      <c r="I132" t="s">
        <v>249</v>
      </c>
      <c r="J132" t="s">
        <v>1729</v>
      </c>
      <c r="K132">
        <v>2.3587422279899999E-4</v>
      </c>
      <c r="L132" t="s">
        <v>251</v>
      </c>
      <c r="N132" t="s">
        <v>419</v>
      </c>
      <c r="O132" t="s">
        <v>1729</v>
      </c>
      <c r="P132">
        <v>2.9774726180345558E-5</v>
      </c>
      <c r="Q132" t="s">
        <v>251</v>
      </c>
      <c r="S132" t="s">
        <v>420</v>
      </c>
      <c r="T132" t="s">
        <v>1729</v>
      </c>
      <c r="U132">
        <v>6.2601852729161594E-5</v>
      </c>
      <c r="V132" t="s">
        <v>251</v>
      </c>
      <c r="X132">
        <v>1.1415525114155251E-4</v>
      </c>
      <c r="Y132">
        <v>1.4452759200788939E-4</v>
      </c>
      <c r="Z132" t="s">
        <v>1729</v>
      </c>
      <c r="AA132" t="s">
        <v>25</v>
      </c>
      <c r="AC132" t="s">
        <v>22</v>
      </c>
      <c r="AD132" t="s">
        <v>1729</v>
      </c>
      <c r="AE132">
        <v>1.0445750985264972E-4</v>
      </c>
      <c r="AG132" t="s">
        <v>97</v>
      </c>
      <c r="AH132" t="s">
        <v>1729</v>
      </c>
      <c r="AI132">
        <v>0</v>
      </c>
      <c r="AK132">
        <v>2032</v>
      </c>
      <c r="AL132" t="s">
        <v>156</v>
      </c>
      <c r="AM132">
        <v>0.27400000000000002</v>
      </c>
      <c r="AN132" t="s">
        <v>430</v>
      </c>
    </row>
    <row r="133" spans="5:40" x14ac:dyDescent="0.45">
      <c r="E133" t="s">
        <v>1434</v>
      </c>
      <c r="G133" t="s">
        <v>155</v>
      </c>
      <c r="I133" t="s">
        <v>249</v>
      </c>
      <c r="J133" t="s">
        <v>1730</v>
      </c>
      <c r="K133">
        <v>2.9064030495089998E-4</v>
      </c>
      <c r="L133" t="s">
        <v>251</v>
      </c>
      <c r="N133" t="s">
        <v>419</v>
      </c>
      <c r="O133" t="s">
        <v>1730</v>
      </c>
      <c r="P133">
        <v>3.3283384011550924E-5</v>
      </c>
      <c r="Q133" t="s">
        <v>251</v>
      </c>
      <c r="S133" t="s">
        <v>420</v>
      </c>
      <c r="T133" t="s">
        <v>1730</v>
      </c>
      <c r="U133">
        <v>6.2841173913848522E-5</v>
      </c>
      <c r="V133" t="s">
        <v>251</v>
      </c>
      <c r="X133">
        <v>1.1415525114155251E-4</v>
      </c>
      <c r="Y133">
        <v>1.408812536774151E-4</v>
      </c>
      <c r="Z133" t="s">
        <v>1730</v>
      </c>
      <c r="AA133" t="s">
        <v>25</v>
      </c>
      <c r="AC133" t="s">
        <v>22</v>
      </c>
      <c r="AD133" t="s">
        <v>1730</v>
      </c>
      <c r="AE133">
        <v>1.0323864472537349E-4</v>
      </c>
      <c r="AG133" t="s">
        <v>97</v>
      </c>
      <c r="AH133" t="s">
        <v>1730</v>
      </c>
      <c r="AI133">
        <v>0</v>
      </c>
      <c r="AK133">
        <v>2032</v>
      </c>
      <c r="AL133" t="s">
        <v>159</v>
      </c>
      <c r="AM133">
        <v>0.26619999999999999</v>
      </c>
      <c r="AN133" t="s">
        <v>430</v>
      </c>
    </row>
    <row r="134" spans="5:40" x14ac:dyDescent="0.45">
      <c r="E134" t="s">
        <v>1435</v>
      </c>
      <c r="G134" t="s">
        <v>155</v>
      </c>
      <c r="I134" t="s">
        <v>249</v>
      </c>
      <c r="J134" t="s">
        <v>1731</v>
      </c>
      <c r="K134">
        <v>3.1233373107489998E-4</v>
      </c>
      <c r="L134" t="s">
        <v>251</v>
      </c>
      <c r="N134" t="s">
        <v>419</v>
      </c>
      <c r="O134" t="s">
        <v>1731</v>
      </c>
      <c r="P134">
        <v>3.2627216811917247E-5</v>
      </c>
      <c r="Q134" t="s">
        <v>251</v>
      </c>
      <c r="S134" t="s">
        <v>420</v>
      </c>
      <c r="T134" t="s">
        <v>1731</v>
      </c>
      <c r="U134">
        <v>6.1638887179030661E-5</v>
      </c>
      <c r="V134" t="s">
        <v>251</v>
      </c>
      <c r="X134">
        <v>1.1415525114155251E-4</v>
      </c>
      <c r="Y134">
        <v>1.4054976837464471E-4</v>
      </c>
      <c r="Z134" t="s">
        <v>1731</v>
      </c>
      <c r="AA134" t="s">
        <v>25</v>
      </c>
      <c r="AC134" t="s">
        <v>22</v>
      </c>
      <c r="AD134" t="s">
        <v>1731</v>
      </c>
      <c r="AE134">
        <v>1.0953685730717656E-4</v>
      </c>
      <c r="AG134" t="s">
        <v>97</v>
      </c>
      <c r="AH134" t="s">
        <v>1731</v>
      </c>
      <c r="AI134">
        <v>0</v>
      </c>
      <c r="AK134">
        <v>2032</v>
      </c>
      <c r="AL134" t="s">
        <v>163</v>
      </c>
      <c r="AM134">
        <v>0.30599999999999999</v>
      </c>
      <c r="AN134" t="s">
        <v>430</v>
      </c>
    </row>
    <row r="135" spans="5:40" x14ac:dyDescent="0.45">
      <c r="E135" t="s">
        <v>1436</v>
      </c>
      <c r="G135" t="s">
        <v>155</v>
      </c>
      <c r="I135" t="s">
        <v>249</v>
      </c>
      <c r="J135" t="s">
        <v>1732</v>
      </c>
      <c r="K135">
        <v>3.0565144474760001E-4</v>
      </c>
      <c r="L135" t="s">
        <v>251</v>
      </c>
      <c r="N135" t="s">
        <v>419</v>
      </c>
      <c r="O135" t="s">
        <v>1732</v>
      </c>
      <c r="P135">
        <v>3.0299542613280651E-5</v>
      </c>
      <c r="Q135" t="s">
        <v>251</v>
      </c>
      <c r="S135" t="s">
        <v>420</v>
      </c>
      <c r="T135" t="s">
        <v>1732</v>
      </c>
      <c r="U135">
        <v>6.0193190220775706E-5</v>
      </c>
      <c r="V135" t="s">
        <v>251</v>
      </c>
      <c r="X135">
        <v>1.1415525114155251E-4</v>
      </c>
      <c r="Y135">
        <v>1.4253868019126702E-4</v>
      </c>
      <c r="Z135" t="s">
        <v>1732</v>
      </c>
      <c r="AA135" t="s">
        <v>25</v>
      </c>
      <c r="AC135" t="s">
        <v>22</v>
      </c>
      <c r="AD135" t="s">
        <v>1732</v>
      </c>
      <c r="AE135">
        <v>1.3740586306009038E-4</v>
      </c>
      <c r="AG135" t="s">
        <v>97</v>
      </c>
      <c r="AH135" t="s">
        <v>1732</v>
      </c>
      <c r="AI135">
        <v>0</v>
      </c>
      <c r="AK135">
        <v>2032</v>
      </c>
      <c r="AL135" t="s">
        <v>167</v>
      </c>
      <c r="AM135">
        <v>0.41270000000000001</v>
      </c>
      <c r="AN135" t="s">
        <v>430</v>
      </c>
    </row>
    <row r="136" spans="5:40" x14ac:dyDescent="0.45">
      <c r="E136" t="s">
        <v>1437</v>
      </c>
      <c r="G136" t="s">
        <v>155</v>
      </c>
      <c r="I136" t="s">
        <v>249</v>
      </c>
      <c r="J136" t="s">
        <v>1733</v>
      </c>
      <c r="K136">
        <v>2.977901402312E-4</v>
      </c>
      <c r="L136" t="s">
        <v>251</v>
      </c>
      <c r="N136" t="s">
        <v>419</v>
      </c>
      <c r="O136" t="s">
        <v>1733</v>
      </c>
      <c r="P136">
        <v>2.8922879835281771E-5</v>
      </c>
      <c r="Q136" t="s">
        <v>251</v>
      </c>
      <c r="S136" t="s">
        <v>420</v>
      </c>
      <c r="T136" t="s">
        <v>1733</v>
      </c>
      <c r="U136">
        <v>5.8652707977128257E-5</v>
      </c>
      <c r="V136" t="s">
        <v>251</v>
      </c>
      <c r="X136">
        <v>1.1415525114155251E-4</v>
      </c>
      <c r="Y136">
        <v>1.4883690094390442E-4</v>
      </c>
      <c r="Z136" t="s">
        <v>1733</v>
      </c>
      <c r="AA136" t="s">
        <v>25</v>
      </c>
      <c r="AC136" t="s">
        <v>22</v>
      </c>
      <c r="AD136" t="s">
        <v>1733</v>
      </c>
      <c r="AE136">
        <v>1.4032712847482378E-4</v>
      </c>
      <c r="AG136" t="s">
        <v>97</v>
      </c>
      <c r="AH136" t="s">
        <v>1733</v>
      </c>
      <c r="AI136">
        <v>0</v>
      </c>
      <c r="AK136">
        <v>2032</v>
      </c>
      <c r="AL136" t="s">
        <v>169</v>
      </c>
      <c r="AM136">
        <v>0.51</v>
      </c>
      <c r="AN136" t="s">
        <v>430</v>
      </c>
    </row>
    <row r="137" spans="5:40" x14ac:dyDescent="0.45">
      <c r="E137" t="s">
        <v>1438</v>
      </c>
      <c r="G137" t="s">
        <v>155</v>
      </c>
      <c r="I137" t="s">
        <v>249</v>
      </c>
      <c r="J137" t="s">
        <v>1734</v>
      </c>
      <c r="K137">
        <v>3.1275091715120002E-4</v>
      </c>
      <c r="L137" t="s">
        <v>251</v>
      </c>
      <c r="N137" t="s">
        <v>419</v>
      </c>
      <c r="O137" t="s">
        <v>1734</v>
      </c>
      <c r="P137">
        <v>2.8492633054649321E-5</v>
      </c>
      <c r="Q137" t="s">
        <v>251</v>
      </c>
      <c r="S137" t="s">
        <v>420</v>
      </c>
      <c r="T137" t="s">
        <v>1734</v>
      </c>
      <c r="U137">
        <v>5.6969769960148173E-5</v>
      </c>
      <c r="V137" t="s">
        <v>251</v>
      </c>
      <c r="X137">
        <v>1.1415525114155251E-4</v>
      </c>
      <c r="Y137">
        <v>1.5049432745775637E-4</v>
      </c>
      <c r="Z137" t="s">
        <v>1734</v>
      </c>
      <c r="AA137" t="s">
        <v>25</v>
      </c>
      <c r="AC137" t="s">
        <v>22</v>
      </c>
      <c r="AD137" t="s">
        <v>1734</v>
      </c>
      <c r="AE137">
        <v>1.3658920114208904E-4</v>
      </c>
      <c r="AG137" t="s">
        <v>97</v>
      </c>
      <c r="AH137" t="s">
        <v>1734</v>
      </c>
      <c r="AI137">
        <v>0</v>
      </c>
      <c r="AK137">
        <v>2032</v>
      </c>
      <c r="AL137" t="s">
        <v>171</v>
      </c>
      <c r="AM137">
        <v>0.51129999999999998</v>
      </c>
      <c r="AN137" t="s">
        <v>430</v>
      </c>
    </row>
    <row r="138" spans="5:40" x14ac:dyDescent="0.45">
      <c r="E138" t="s">
        <v>1439</v>
      </c>
      <c r="G138" t="s">
        <v>155</v>
      </c>
      <c r="I138" t="s">
        <v>249</v>
      </c>
      <c r="J138" t="s">
        <v>1735</v>
      </c>
      <c r="K138">
        <v>3.106516553582E-4</v>
      </c>
      <c r="L138" t="s">
        <v>251</v>
      </c>
      <c r="N138" t="s">
        <v>419</v>
      </c>
      <c r="O138" t="s">
        <v>1735</v>
      </c>
      <c r="P138">
        <v>2.6090701093675583E-5</v>
      </c>
      <c r="Q138" t="s">
        <v>251</v>
      </c>
      <c r="S138" t="s">
        <v>420</v>
      </c>
      <c r="T138" t="s">
        <v>1735</v>
      </c>
      <c r="U138">
        <v>5.147440052642688E-5</v>
      </c>
      <c r="V138" t="s">
        <v>251</v>
      </c>
      <c r="X138">
        <v>1.1415525114155251E-4</v>
      </c>
      <c r="Y138">
        <v>1.7237235744060203E-4</v>
      </c>
      <c r="Z138" t="s">
        <v>1735</v>
      </c>
      <c r="AA138" t="s">
        <v>25</v>
      </c>
      <c r="AC138" t="s">
        <v>22</v>
      </c>
      <c r="AD138" t="s">
        <v>1735</v>
      </c>
      <c r="AE138">
        <v>1.2107151056374956E-4</v>
      </c>
      <c r="AG138" t="s">
        <v>97</v>
      </c>
      <c r="AH138" t="s">
        <v>1735</v>
      </c>
      <c r="AI138">
        <v>0</v>
      </c>
      <c r="AK138">
        <v>2032</v>
      </c>
      <c r="AL138" t="s">
        <v>158</v>
      </c>
      <c r="AM138">
        <v>0.61519999999999997</v>
      </c>
      <c r="AN138" t="s">
        <v>430</v>
      </c>
    </row>
    <row r="139" spans="5:40" x14ac:dyDescent="0.45">
      <c r="E139" t="s">
        <v>1440</v>
      </c>
      <c r="G139" t="s">
        <v>155</v>
      </c>
      <c r="I139" t="s">
        <v>249</v>
      </c>
      <c r="J139" t="s">
        <v>1736</v>
      </c>
      <c r="K139">
        <v>2.7585289739369997E-4</v>
      </c>
      <c r="L139" t="s">
        <v>251</v>
      </c>
      <c r="N139" t="s">
        <v>419</v>
      </c>
      <c r="O139" t="s">
        <v>1736</v>
      </c>
      <c r="P139">
        <v>2.9794118069285817E-5</v>
      </c>
      <c r="Q139" t="s">
        <v>251</v>
      </c>
      <c r="S139" t="s">
        <v>420</v>
      </c>
      <c r="T139" t="s">
        <v>1736</v>
      </c>
      <c r="U139">
        <v>5.3701451241474179E-5</v>
      </c>
      <c r="V139" t="s">
        <v>251</v>
      </c>
      <c r="X139">
        <v>1.1415525114155251E-4</v>
      </c>
      <c r="Y139">
        <v>2.2209515285616027E-4</v>
      </c>
      <c r="Z139" t="s">
        <v>1736</v>
      </c>
      <c r="AA139" t="s">
        <v>25</v>
      </c>
      <c r="AC139" t="s">
        <v>22</v>
      </c>
      <c r="AD139" t="s">
        <v>1736</v>
      </c>
      <c r="AE139">
        <v>9.260421361033543E-5</v>
      </c>
      <c r="AG139" t="s">
        <v>97</v>
      </c>
      <c r="AH139" t="s">
        <v>1736</v>
      </c>
      <c r="AI139">
        <v>0</v>
      </c>
      <c r="AK139">
        <v>2032</v>
      </c>
      <c r="AL139" t="s">
        <v>162</v>
      </c>
      <c r="AM139">
        <v>0.57240000000000002</v>
      </c>
      <c r="AN139" t="s">
        <v>430</v>
      </c>
    </row>
    <row r="140" spans="5:40" x14ac:dyDescent="0.45">
      <c r="E140" t="s">
        <v>1441</v>
      </c>
      <c r="G140" t="s">
        <v>155</v>
      </c>
      <c r="I140" t="s">
        <v>249</v>
      </c>
      <c r="J140" t="s">
        <v>1737</v>
      </c>
      <c r="K140">
        <v>1.9863369841200001E-4</v>
      </c>
      <c r="L140" t="s">
        <v>251</v>
      </c>
      <c r="N140" t="s">
        <v>419</v>
      </c>
      <c r="O140" t="s">
        <v>1737</v>
      </c>
      <c r="P140">
        <v>3.454304757687353E-5</v>
      </c>
      <c r="Q140" t="s">
        <v>251</v>
      </c>
      <c r="S140" t="s">
        <v>420</v>
      </c>
      <c r="T140" t="s">
        <v>1737</v>
      </c>
      <c r="U140">
        <v>5.5468845648560486E-5</v>
      </c>
      <c r="V140" t="s">
        <v>251</v>
      </c>
      <c r="X140">
        <v>1.1415525114155251E-4</v>
      </c>
      <c r="Y140">
        <v>2.2209515285616027E-4</v>
      </c>
      <c r="Z140" t="s">
        <v>1737</v>
      </c>
      <c r="AA140" t="s">
        <v>25</v>
      </c>
      <c r="AC140" t="s">
        <v>22</v>
      </c>
      <c r="AD140" t="s">
        <v>1737</v>
      </c>
      <c r="AE140">
        <v>6.2363211645382154E-5</v>
      </c>
      <c r="AG140" t="s">
        <v>97</v>
      </c>
      <c r="AH140" t="s">
        <v>1737</v>
      </c>
      <c r="AI140">
        <v>0</v>
      </c>
      <c r="AK140">
        <v>2032</v>
      </c>
      <c r="AL140" t="s">
        <v>175</v>
      </c>
      <c r="AM140">
        <v>0.41599999999999998</v>
      </c>
      <c r="AN140" t="s">
        <v>430</v>
      </c>
    </row>
    <row r="141" spans="5:40" x14ac:dyDescent="0.45">
      <c r="E141" t="s">
        <v>1442</v>
      </c>
      <c r="G141" t="s">
        <v>155</v>
      </c>
      <c r="I141" t="s">
        <v>249</v>
      </c>
      <c r="J141" t="s">
        <v>1738</v>
      </c>
      <c r="K141">
        <v>8.6229681281720766E-5</v>
      </c>
      <c r="L141" t="s">
        <v>251</v>
      </c>
      <c r="N141" t="s">
        <v>419</v>
      </c>
      <c r="O141" t="s">
        <v>1738</v>
      </c>
      <c r="P141">
        <v>4.8210709934688898E-5</v>
      </c>
      <c r="Q141" t="s">
        <v>251</v>
      </c>
      <c r="S141" t="s">
        <v>420</v>
      </c>
      <c r="T141" t="s">
        <v>1738</v>
      </c>
      <c r="U141">
        <v>5.6835334185923536E-5</v>
      </c>
      <c r="V141" t="s">
        <v>251</v>
      </c>
      <c r="X141">
        <v>1.1415525114155251E-4</v>
      </c>
      <c r="Y141">
        <v>1.7237235744060203E-4</v>
      </c>
      <c r="Z141" t="s">
        <v>1738</v>
      </c>
      <c r="AA141" t="s">
        <v>25</v>
      </c>
      <c r="AC141" t="s">
        <v>22</v>
      </c>
      <c r="AD141" t="s">
        <v>1738</v>
      </c>
      <c r="AE141">
        <v>3.2006339503795714E-5</v>
      </c>
      <c r="AG141" t="s">
        <v>97</v>
      </c>
      <c r="AH141" t="s">
        <v>1738</v>
      </c>
      <c r="AI141">
        <v>0</v>
      </c>
      <c r="AK141">
        <v>2032</v>
      </c>
      <c r="AL141" t="s">
        <v>166</v>
      </c>
      <c r="AM141">
        <v>0.27539999999999998</v>
      </c>
      <c r="AN141" t="s">
        <v>430</v>
      </c>
    </row>
    <row r="142" spans="5:40" x14ac:dyDescent="0.45">
      <c r="E142" t="s">
        <v>1443</v>
      </c>
      <c r="G142" t="s">
        <v>155</v>
      </c>
      <c r="I142" t="s">
        <v>249</v>
      </c>
      <c r="J142" t="s">
        <v>1739</v>
      </c>
      <c r="K142">
        <v>0</v>
      </c>
      <c r="L142" t="s">
        <v>251</v>
      </c>
      <c r="N142" t="s">
        <v>419</v>
      </c>
      <c r="O142" t="s">
        <v>1739</v>
      </c>
      <c r="P142">
        <v>6.8793518309795653E-5</v>
      </c>
      <c r="Q142" t="s">
        <v>251</v>
      </c>
      <c r="S142" t="s">
        <v>420</v>
      </c>
      <c r="T142" t="s">
        <v>1739</v>
      </c>
      <c r="U142">
        <v>5.6501832331497256E-5</v>
      </c>
      <c r="V142" t="s">
        <v>251</v>
      </c>
      <c r="X142">
        <v>1.1415525114155251E-4</v>
      </c>
      <c r="Y142">
        <v>1.5579809230208258E-4</v>
      </c>
      <c r="Z142" t="s">
        <v>1739</v>
      </c>
      <c r="AA142" t="s">
        <v>25</v>
      </c>
      <c r="AC142" t="s">
        <v>22</v>
      </c>
      <c r="AD142" t="s">
        <v>1739</v>
      </c>
      <c r="AE142">
        <v>2.6959302002368545E-5</v>
      </c>
      <c r="AG142" t="s">
        <v>97</v>
      </c>
      <c r="AH142" t="s">
        <v>1739</v>
      </c>
      <c r="AI142">
        <v>0</v>
      </c>
      <c r="AK142">
        <v>2032</v>
      </c>
      <c r="AL142" t="s">
        <v>178</v>
      </c>
      <c r="AM142">
        <v>0.2432</v>
      </c>
      <c r="AN142" t="s">
        <v>430</v>
      </c>
    </row>
    <row r="143" spans="5:40" x14ac:dyDescent="0.45">
      <c r="E143" t="s">
        <v>1444</v>
      </c>
      <c r="G143" t="s">
        <v>155</v>
      </c>
      <c r="I143" t="s">
        <v>249</v>
      </c>
      <c r="J143" t="s">
        <v>1740</v>
      </c>
      <c r="K143">
        <v>0</v>
      </c>
      <c r="L143" t="s">
        <v>251</v>
      </c>
      <c r="N143" t="s">
        <v>419</v>
      </c>
      <c r="O143" t="s">
        <v>1740</v>
      </c>
      <c r="P143">
        <v>8.2595211594726893E-5</v>
      </c>
      <c r="Q143" t="s">
        <v>251</v>
      </c>
      <c r="S143" t="s">
        <v>420</v>
      </c>
      <c r="T143" t="s">
        <v>1740</v>
      </c>
      <c r="U143">
        <v>5.6159478674668745E-5</v>
      </c>
      <c r="V143" t="s">
        <v>251</v>
      </c>
      <c r="X143">
        <v>1.1415525114155251E-4</v>
      </c>
      <c r="Y143">
        <v>1.093901499142282E-4</v>
      </c>
      <c r="Z143" t="s">
        <v>1740</v>
      </c>
      <c r="AA143" t="s">
        <v>25</v>
      </c>
      <c r="AC143" t="s">
        <v>22</v>
      </c>
      <c r="AD143" t="s">
        <v>1740</v>
      </c>
      <c r="AE143">
        <v>2.2263217439782298E-5</v>
      </c>
      <c r="AG143" t="s">
        <v>97</v>
      </c>
      <c r="AH143" t="s">
        <v>1740</v>
      </c>
      <c r="AI143">
        <v>0</v>
      </c>
      <c r="AK143">
        <v>2033</v>
      </c>
      <c r="AL143" t="s">
        <v>151</v>
      </c>
      <c r="AM143">
        <v>0.26369999999999999</v>
      </c>
      <c r="AN143" t="s">
        <v>430</v>
      </c>
    </row>
    <row r="144" spans="5:40" x14ac:dyDescent="0.45">
      <c r="E144" t="s">
        <v>1445</v>
      </c>
      <c r="G144" t="s">
        <v>155</v>
      </c>
      <c r="I144" t="s">
        <v>249</v>
      </c>
      <c r="J144" t="s">
        <v>1741</v>
      </c>
      <c r="K144">
        <v>0</v>
      </c>
      <c r="L144" t="s">
        <v>251</v>
      </c>
      <c r="N144" t="s">
        <v>419</v>
      </c>
      <c r="O144" t="s">
        <v>1741</v>
      </c>
      <c r="P144">
        <v>8.7886150680571948E-5</v>
      </c>
      <c r="Q144" t="s">
        <v>251</v>
      </c>
      <c r="S144" t="s">
        <v>420</v>
      </c>
      <c r="T144" t="s">
        <v>1741</v>
      </c>
      <c r="U144">
        <v>5.4139508383939382E-5</v>
      </c>
      <c r="V144" t="s">
        <v>251</v>
      </c>
      <c r="X144">
        <v>1.1415525114155251E-4</v>
      </c>
      <c r="Y144">
        <v>7.9556472664893237E-5</v>
      </c>
      <c r="Z144" t="s">
        <v>1741</v>
      </c>
      <c r="AA144" t="s">
        <v>25</v>
      </c>
      <c r="AC144" t="s">
        <v>22</v>
      </c>
      <c r="AD144" t="s">
        <v>1741</v>
      </c>
      <c r="AE144">
        <v>2.2484930566224674E-5</v>
      </c>
      <c r="AG144" t="s">
        <v>97</v>
      </c>
      <c r="AH144" t="s">
        <v>1741</v>
      </c>
      <c r="AI144">
        <v>0</v>
      </c>
      <c r="AK144">
        <v>2033</v>
      </c>
      <c r="AL144" t="s">
        <v>156</v>
      </c>
      <c r="AM144">
        <v>0.28339999999999999</v>
      </c>
      <c r="AN144" t="s">
        <v>430</v>
      </c>
    </row>
    <row r="145" spans="5:40" x14ac:dyDescent="0.45">
      <c r="E145" t="s">
        <v>1446</v>
      </c>
      <c r="G145" t="s">
        <v>155</v>
      </c>
      <c r="I145" t="s">
        <v>249</v>
      </c>
      <c r="J145" t="s">
        <v>1742</v>
      </c>
      <c r="K145">
        <v>0</v>
      </c>
      <c r="L145" t="s">
        <v>251</v>
      </c>
      <c r="N145" t="s">
        <v>419</v>
      </c>
      <c r="O145" t="s">
        <v>1742</v>
      </c>
      <c r="P145">
        <v>8.8156605725388902E-5</v>
      </c>
      <c r="Q145" t="s">
        <v>251</v>
      </c>
      <c r="S145" t="s">
        <v>420</v>
      </c>
      <c r="T145" t="s">
        <v>1742</v>
      </c>
      <c r="U145">
        <v>5.24323418479755E-5</v>
      </c>
      <c r="V145" t="s">
        <v>251</v>
      </c>
      <c r="X145">
        <v>1.1415525114155251E-4</v>
      </c>
      <c r="Y145">
        <v>5.6352501470966035E-5</v>
      </c>
      <c r="Z145" t="s">
        <v>1742</v>
      </c>
      <c r="AA145" t="s">
        <v>25</v>
      </c>
      <c r="AC145" t="s">
        <v>22</v>
      </c>
      <c r="AD145" t="s">
        <v>1742</v>
      </c>
      <c r="AE145">
        <v>2.5861877733294411E-5</v>
      </c>
      <c r="AG145" t="s">
        <v>97</v>
      </c>
      <c r="AH145" t="s">
        <v>1742</v>
      </c>
      <c r="AI145">
        <v>0</v>
      </c>
      <c r="AK145">
        <v>2033</v>
      </c>
      <c r="AL145" t="s">
        <v>159</v>
      </c>
      <c r="AM145">
        <v>0.26419999999999999</v>
      </c>
      <c r="AN145" t="s">
        <v>430</v>
      </c>
    </row>
    <row r="146" spans="5:40" x14ac:dyDescent="0.45">
      <c r="E146" t="s">
        <v>1447</v>
      </c>
      <c r="G146" t="s">
        <v>155</v>
      </c>
      <c r="I146" t="s">
        <v>249</v>
      </c>
      <c r="J146" t="s">
        <v>1743</v>
      </c>
      <c r="K146">
        <v>0</v>
      </c>
      <c r="L146" t="s">
        <v>251</v>
      </c>
      <c r="N146" t="s">
        <v>419</v>
      </c>
      <c r="O146" t="s">
        <v>1743</v>
      </c>
      <c r="P146">
        <v>8.6850945288332335E-5</v>
      </c>
      <c r="Q146" t="s">
        <v>251</v>
      </c>
      <c r="S146" t="s">
        <v>420</v>
      </c>
      <c r="T146" t="s">
        <v>1743</v>
      </c>
      <c r="U146">
        <v>5.0568277817560191E-5</v>
      </c>
      <c r="V146" t="s">
        <v>251</v>
      </c>
      <c r="X146">
        <v>1.1415525114155251E-4</v>
      </c>
      <c r="Y146">
        <v>2.9833677249334962E-5</v>
      </c>
      <c r="Z146" t="s">
        <v>1743</v>
      </c>
      <c r="AA146" t="s">
        <v>25</v>
      </c>
      <c r="AC146" t="s">
        <v>22</v>
      </c>
      <c r="AD146" t="s">
        <v>1743</v>
      </c>
      <c r="AE146">
        <v>4.5418312449089413E-5</v>
      </c>
      <c r="AG146" t="s">
        <v>97</v>
      </c>
      <c r="AH146" t="s">
        <v>1743</v>
      </c>
      <c r="AI146">
        <v>0</v>
      </c>
      <c r="AK146">
        <v>2033</v>
      </c>
      <c r="AL146" t="s">
        <v>163</v>
      </c>
      <c r="AM146">
        <v>0.30669999999999997</v>
      </c>
      <c r="AN146" t="s">
        <v>430</v>
      </c>
    </row>
    <row r="147" spans="5:40" x14ac:dyDescent="0.45">
      <c r="E147" t="s">
        <v>1448</v>
      </c>
      <c r="G147" t="s">
        <v>155</v>
      </c>
      <c r="I147" t="s">
        <v>249</v>
      </c>
      <c r="J147" t="s">
        <v>1744</v>
      </c>
      <c r="K147">
        <v>0</v>
      </c>
      <c r="L147" t="s">
        <v>251</v>
      </c>
      <c r="N147" t="s">
        <v>419</v>
      </c>
      <c r="O147" t="s">
        <v>1744</v>
      </c>
      <c r="P147">
        <v>8.616667665574027E-5</v>
      </c>
      <c r="Q147" t="s">
        <v>251</v>
      </c>
      <c r="S147" t="s">
        <v>420</v>
      </c>
      <c r="T147" t="s">
        <v>1744</v>
      </c>
      <c r="U147">
        <v>4.8872032375067629E-5</v>
      </c>
      <c r="V147" t="s">
        <v>251</v>
      </c>
      <c r="X147">
        <v>1.1415525114155251E-4</v>
      </c>
      <c r="Y147">
        <v>2.1546544680075254E-5</v>
      </c>
      <c r="Z147" t="s">
        <v>1744</v>
      </c>
      <c r="AA147" t="s">
        <v>25</v>
      </c>
      <c r="AC147" t="s">
        <v>22</v>
      </c>
      <c r="AD147" t="s">
        <v>1744</v>
      </c>
      <c r="AE147">
        <v>4.7745743208577578E-5</v>
      </c>
      <c r="AG147" t="s">
        <v>97</v>
      </c>
      <c r="AH147" t="s">
        <v>1744</v>
      </c>
      <c r="AI147">
        <v>0</v>
      </c>
      <c r="AK147">
        <v>2033</v>
      </c>
      <c r="AL147" t="s">
        <v>167</v>
      </c>
      <c r="AM147">
        <v>0.41010000000000002</v>
      </c>
      <c r="AN147" t="s">
        <v>430</v>
      </c>
    </row>
    <row r="148" spans="5:40" x14ac:dyDescent="0.45">
      <c r="E148" t="s">
        <v>1449</v>
      </c>
      <c r="G148" t="s">
        <v>155</v>
      </c>
      <c r="I148" t="s">
        <v>249</v>
      </c>
      <c r="J148" t="s">
        <v>1745</v>
      </c>
      <c r="K148">
        <v>0</v>
      </c>
      <c r="L148" t="s">
        <v>251</v>
      </c>
      <c r="N148" t="s">
        <v>419</v>
      </c>
      <c r="O148" t="s">
        <v>1745</v>
      </c>
      <c r="P148">
        <v>8.3197012931519486E-5</v>
      </c>
      <c r="Q148" t="s">
        <v>251</v>
      </c>
      <c r="S148" t="s">
        <v>420</v>
      </c>
      <c r="T148" t="s">
        <v>1745</v>
      </c>
      <c r="U148">
        <v>4.9335772261845748E-5</v>
      </c>
      <c r="V148" t="s">
        <v>251</v>
      </c>
      <c r="X148">
        <v>1.1415525114155251E-4</v>
      </c>
      <c r="Y148">
        <v>1.4916838624667481E-5</v>
      </c>
      <c r="Z148" t="s">
        <v>1745</v>
      </c>
      <c r="AA148" t="s">
        <v>25</v>
      </c>
      <c r="AC148" t="s">
        <v>22</v>
      </c>
      <c r="AD148" t="s">
        <v>1745</v>
      </c>
      <c r="AE148">
        <v>6.9585043231309529E-5</v>
      </c>
      <c r="AG148" t="s">
        <v>97</v>
      </c>
      <c r="AH148" t="s">
        <v>1745</v>
      </c>
      <c r="AI148">
        <v>0</v>
      </c>
      <c r="AK148">
        <v>2033</v>
      </c>
      <c r="AL148" t="s">
        <v>169</v>
      </c>
      <c r="AM148">
        <v>0.51259999999999994</v>
      </c>
      <c r="AN148" t="s">
        <v>430</v>
      </c>
    </row>
    <row r="149" spans="5:40" x14ac:dyDescent="0.45">
      <c r="E149" t="s">
        <v>1450</v>
      </c>
      <c r="G149" t="s">
        <v>155</v>
      </c>
      <c r="I149" t="s">
        <v>249</v>
      </c>
      <c r="J149" t="s">
        <v>1746</v>
      </c>
      <c r="K149">
        <v>0</v>
      </c>
      <c r="L149" t="s">
        <v>251</v>
      </c>
      <c r="N149" t="s">
        <v>419</v>
      </c>
      <c r="O149" t="s">
        <v>1746</v>
      </c>
      <c r="P149">
        <v>7.9069860594354553E-5</v>
      </c>
      <c r="Q149" t="s">
        <v>251</v>
      </c>
      <c r="S149" t="s">
        <v>420</v>
      </c>
      <c r="T149" t="s">
        <v>1746</v>
      </c>
      <c r="U149">
        <v>5.1943999572786488E-5</v>
      </c>
      <c r="V149" t="s">
        <v>251</v>
      </c>
      <c r="X149">
        <v>1.1415525114155251E-4</v>
      </c>
      <c r="Y149">
        <v>1.6574265138519424E-5</v>
      </c>
      <c r="Z149" t="s">
        <v>1746</v>
      </c>
      <c r="AA149" t="s">
        <v>25</v>
      </c>
      <c r="AC149" t="s">
        <v>22</v>
      </c>
      <c r="AD149" t="s">
        <v>1746</v>
      </c>
      <c r="AE149">
        <v>7.9877434498016892E-5</v>
      </c>
      <c r="AG149" t="s">
        <v>97</v>
      </c>
      <c r="AH149" t="s">
        <v>1746</v>
      </c>
      <c r="AI149">
        <v>0</v>
      </c>
      <c r="AK149">
        <v>2033</v>
      </c>
      <c r="AL149" t="s">
        <v>171</v>
      </c>
      <c r="AM149">
        <v>0.50719999999999998</v>
      </c>
      <c r="AN149" t="s">
        <v>430</v>
      </c>
    </row>
    <row r="150" spans="5:40" x14ac:dyDescent="0.45">
      <c r="E150" t="s">
        <v>1451</v>
      </c>
      <c r="G150" t="s">
        <v>155</v>
      </c>
      <c r="I150" t="s">
        <v>249</v>
      </c>
      <c r="J150" t="s">
        <v>1747</v>
      </c>
      <c r="K150">
        <v>0</v>
      </c>
      <c r="L150" t="s">
        <v>251</v>
      </c>
      <c r="N150" t="s">
        <v>419</v>
      </c>
      <c r="O150" t="s">
        <v>1747</v>
      </c>
      <c r="P150">
        <v>6.5054560785743435E-5</v>
      </c>
      <c r="Q150" t="s">
        <v>251</v>
      </c>
      <c r="S150" t="s">
        <v>420</v>
      </c>
      <c r="T150" t="s">
        <v>1747</v>
      </c>
      <c r="U150">
        <v>5.1293986393556771E-5</v>
      </c>
      <c r="V150" t="s">
        <v>251</v>
      </c>
      <c r="X150">
        <v>1.1415525114155251E-4</v>
      </c>
      <c r="Y150">
        <v>1.4585353321897093E-5</v>
      </c>
      <c r="Z150" t="s">
        <v>1747</v>
      </c>
      <c r="AA150" t="s">
        <v>25</v>
      </c>
      <c r="AC150" t="s">
        <v>22</v>
      </c>
      <c r="AD150" t="s">
        <v>1747</v>
      </c>
      <c r="AE150">
        <v>9.8208319268652998E-5</v>
      </c>
      <c r="AG150" t="s">
        <v>97</v>
      </c>
      <c r="AH150" t="s">
        <v>1747</v>
      </c>
      <c r="AI150">
        <v>0</v>
      </c>
      <c r="AK150">
        <v>2033</v>
      </c>
      <c r="AL150" t="s">
        <v>158</v>
      </c>
      <c r="AM150">
        <v>0.70079999999999998</v>
      </c>
      <c r="AN150" t="s">
        <v>430</v>
      </c>
    </row>
    <row r="151" spans="5:40" x14ac:dyDescent="0.45">
      <c r="E151" t="s">
        <v>1452</v>
      </c>
      <c r="G151" t="s">
        <v>155</v>
      </c>
      <c r="I151" t="s">
        <v>249</v>
      </c>
      <c r="J151" t="s">
        <v>1748</v>
      </c>
      <c r="K151">
        <v>0</v>
      </c>
      <c r="L151" t="s">
        <v>251</v>
      </c>
      <c r="N151" t="s">
        <v>419</v>
      </c>
      <c r="O151" t="s">
        <v>1748</v>
      </c>
      <c r="P151">
        <v>5.5763775588777976E-5</v>
      </c>
      <c r="Q151" t="s">
        <v>251</v>
      </c>
      <c r="S151" t="s">
        <v>420</v>
      </c>
      <c r="T151" t="s">
        <v>1748</v>
      </c>
      <c r="U151">
        <v>5.0518644027839095E-5</v>
      </c>
      <c r="V151" t="s">
        <v>251</v>
      </c>
      <c r="X151">
        <v>1.1415525114155251E-4</v>
      </c>
      <c r="Y151">
        <v>2.1215059377304864E-5</v>
      </c>
      <c r="Z151" t="s">
        <v>1748</v>
      </c>
      <c r="AA151" t="s">
        <v>25</v>
      </c>
      <c r="AC151" t="s">
        <v>22</v>
      </c>
      <c r="AD151" t="s">
        <v>1748</v>
      </c>
      <c r="AE151">
        <v>9.8841148694880517E-5</v>
      </c>
      <c r="AG151" t="s">
        <v>97</v>
      </c>
      <c r="AH151" t="s">
        <v>1748</v>
      </c>
      <c r="AI151">
        <v>0</v>
      </c>
      <c r="AK151">
        <v>2033</v>
      </c>
      <c r="AL151" t="s">
        <v>162</v>
      </c>
      <c r="AM151">
        <v>0.58540000000000003</v>
      </c>
      <c r="AN151" t="s">
        <v>430</v>
      </c>
    </row>
    <row r="152" spans="5:40" x14ac:dyDescent="0.45">
      <c r="E152" t="s">
        <v>1453</v>
      </c>
      <c r="G152" t="s">
        <v>155</v>
      </c>
      <c r="I152" t="s">
        <v>249</v>
      </c>
      <c r="J152" t="s">
        <v>1749</v>
      </c>
      <c r="K152">
        <v>0</v>
      </c>
      <c r="L152" t="s">
        <v>251</v>
      </c>
      <c r="N152" t="s">
        <v>419</v>
      </c>
      <c r="O152" t="s">
        <v>1749</v>
      </c>
      <c r="P152">
        <v>5.0603543683829351E-5</v>
      </c>
      <c r="Q152" t="s">
        <v>251</v>
      </c>
      <c r="S152" t="s">
        <v>420</v>
      </c>
      <c r="T152" t="s">
        <v>1749</v>
      </c>
      <c r="U152">
        <v>5.1124003065598679E-5</v>
      </c>
      <c r="V152" t="s">
        <v>251</v>
      </c>
      <c r="X152">
        <v>1.1415525114155251E-4</v>
      </c>
      <c r="Y152">
        <v>5.7678442682047593E-5</v>
      </c>
      <c r="Z152" t="s">
        <v>1749</v>
      </c>
      <c r="AA152" t="s">
        <v>25</v>
      </c>
      <c r="AC152" t="s">
        <v>22</v>
      </c>
      <c r="AD152" t="s">
        <v>1749</v>
      </c>
      <c r="AE152">
        <v>1.0096135010000545E-4</v>
      </c>
      <c r="AG152" t="s">
        <v>97</v>
      </c>
      <c r="AH152" t="s">
        <v>1749</v>
      </c>
      <c r="AI152">
        <v>0</v>
      </c>
      <c r="AK152">
        <v>2033</v>
      </c>
      <c r="AL152" t="s">
        <v>175</v>
      </c>
      <c r="AM152">
        <v>0.44950000000000001</v>
      </c>
      <c r="AN152" t="s">
        <v>430</v>
      </c>
    </row>
    <row r="153" spans="5:40" x14ac:dyDescent="0.45">
      <c r="E153" t="s">
        <v>1454</v>
      </c>
      <c r="G153" t="s">
        <v>155</v>
      </c>
      <c r="I153" t="s">
        <v>249</v>
      </c>
      <c r="J153" t="s">
        <v>1750</v>
      </c>
      <c r="K153">
        <v>0</v>
      </c>
      <c r="L153" t="s">
        <v>251</v>
      </c>
      <c r="N153" t="s">
        <v>419</v>
      </c>
      <c r="O153" t="s">
        <v>1750</v>
      </c>
      <c r="P153">
        <v>4.7447213320629913E-5</v>
      </c>
      <c r="Q153" t="s">
        <v>251</v>
      </c>
      <c r="S153" t="s">
        <v>420</v>
      </c>
      <c r="T153" t="s">
        <v>1750</v>
      </c>
      <c r="U153">
        <v>5.0637383307407343E-5</v>
      </c>
      <c r="V153" t="s">
        <v>251</v>
      </c>
      <c r="X153">
        <v>1.1415525114155251E-4</v>
      </c>
      <c r="Y153">
        <v>1.6905750441289813E-4</v>
      </c>
      <c r="Z153" t="s">
        <v>1750</v>
      </c>
      <c r="AA153" t="s">
        <v>25</v>
      </c>
      <c r="AC153" t="s">
        <v>22</v>
      </c>
      <c r="AD153" t="s">
        <v>1750</v>
      </c>
      <c r="AE153">
        <v>1.0059702752539913E-4</v>
      </c>
      <c r="AG153" t="s">
        <v>97</v>
      </c>
      <c r="AH153" t="s">
        <v>1750</v>
      </c>
      <c r="AI153">
        <v>0</v>
      </c>
      <c r="AK153">
        <v>2033</v>
      </c>
      <c r="AL153" t="s">
        <v>166</v>
      </c>
      <c r="AM153">
        <v>0.31309999999999999</v>
      </c>
      <c r="AN153" t="s">
        <v>430</v>
      </c>
    </row>
    <row r="154" spans="5:40" x14ac:dyDescent="0.45">
      <c r="E154" t="s">
        <v>1455</v>
      </c>
      <c r="G154" t="s">
        <v>155</v>
      </c>
      <c r="I154" t="s">
        <v>249</v>
      </c>
      <c r="J154" t="s">
        <v>1751</v>
      </c>
      <c r="K154">
        <v>3.0679952743426343E-5</v>
      </c>
      <c r="L154" t="s">
        <v>251</v>
      </c>
      <c r="N154" t="s">
        <v>419</v>
      </c>
      <c r="O154" t="s">
        <v>1751</v>
      </c>
      <c r="P154">
        <v>4.4736263392318569E-5</v>
      </c>
      <c r="Q154" t="s">
        <v>251</v>
      </c>
      <c r="S154" t="s">
        <v>420</v>
      </c>
      <c r="T154" t="s">
        <v>1751</v>
      </c>
      <c r="U154">
        <v>4.9469451123895838E-5</v>
      </c>
      <c r="V154" t="s">
        <v>251</v>
      </c>
      <c r="X154">
        <v>1.1415525114155251E-4</v>
      </c>
      <c r="Y154">
        <v>1.9060404909297337E-4</v>
      </c>
      <c r="Z154" t="s">
        <v>1751</v>
      </c>
      <c r="AA154" t="s">
        <v>25</v>
      </c>
      <c r="AC154" t="s">
        <v>22</v>
      </c>
      <c r="AD154" t="s">
        <v>1751</v>
      </c>
      <c r="AE154">
        <v>1.0028284108491294E-4</v>
      </c>
      <c r="AG154" t="s">
        <v>97</v>
      </c>
      <c r="AH154" t="s">
        <v>1751</v>
      </c>
      <c r="AI154">
        <v>0</v>
      </c>
      <c r="AK154">
        <v>2033</v>
      </c>
      <c r="AL154" t="s">
        <v>178</v>
      </c>
      <c r="AM154">
        <v>0.24959999999999999</v>
      </c>
      <c r="AN154" t="s">
        <v>430</v>
      </c>
    </row>
    <row r="155" spans="5:40" x14ac:dyDescent="0.45">
      <c r="E155" t="s">
        <v>1456</v>
      </c>
      <c r="G155" t="s">
        <v>155</v>
      </c>
      <c r="I155" t="s">
        <v>249</v>
      </c>
      <c r="J155" t="s">
        <v>1752</v>
      </c>
      <c r="K155">
        <v>1.188497398159E-4</v>
      </c>
      <c r="L155" t="s">
        <v>251</v>
      </c>
      <c r="N155" t="s">
        <v>419</v>
      </c>
      <c r="O155" t="s">
        <v>1752</v>
      </c>
      <c r="P155">
        <v>2.6364465856410827E-5</v>
      </c>
      <c r="Q155" t="s">
        <v>251</v>
      </c>
      <c r="S155" t="s">
        <v>420</v>
      </c>
      <c r="T155" t="s">
        <v>1752</v>
      </c>
      <c r="U155">
        <v>4.7570676521182608E-5</v>
      </c>
      <c r="V155" t="s">
        <v>251</v>
      </c>
      <c r="X155">
        <v>1.1415525114155251E-4</v>
      </c>
      <c r="Y155">
        <v>1.4585353321897094E-4</v>
      </c>
      <c r="Z155" t="s">
        <v>1752</v>
      </c>
      <c r="AA155" t="s">
        <v>25</v>
      </c>
      <c r="AC155" t="s">
        <v>22</v>
      </c>
      <c r="AD155" t="s">
        <v>1752</v>
      </c>
      <c r="AE155">
        <v>1.0380685424540173E-4</v>
      </c>
      <c r="AG155" t="s">
        <v>97</v>
      </c>
      <c r="AH155" t="s">
        <v>1752</v>
      </c>
      <c r="AI155">
        <v>0</v>
      </c>
      <c r="AK155">
        <v>2034</v>
      </c>
      <c r="AL155" t="s">
        <v>151</v>
      </c>
      <c r="AM155">
        <v>0.23400000000000001</v>
      </c>
      <c r="AN155" t="s">
        <v>430</v>
      </c>
    </row>
    <row r="156" spans="5:40" x14ac:dyDescent="0.45">
      <c r="E156" t="s">
        <v>1457</v>
      </c>
      <c r="G156" t="s">
        <v>155</v>
      </c>
      <c r="I156" t="s">
        <v>249</v>
      </c>
      <c r="J156" t="s">
        <v>1753</v>
      </c>
      <c r="K156">
        <v>1.965629373105E-4</v>
      </c>
      <c r="L156" t="s">
        <v>251</v>
      </c>
      <c r="N156" t="s">
        <v>419</v>
      </c>
      <c r="O156" t="s">
        <v>1753</v>
      </c>
      <c r="P156">
        <v>2.4731146164938396E-5</v>
      </c>
      <c r="Q156" t="s">
        <v>251</v>
      </c>
      <c r="S156" t="s">
        <v>420</v>
      </c>
      <c r="T156" t="s">
        <v>1753</v>
      </c>
      <c r="U156">
        <v>4.4731219932713909E-5</v>
      </c>
      <c r="V156" t="s">
        <v>251</v>
      </c>
      <c r="X156">
        <v>1.1415525114155251E-4</v>
      </c>
      <c r="Y156">
        <v>1.4452759200788939E-4</v>
      </c>
      <c r="Z156" t="s">
        <v>1753</v>
      </c>
      <c r="AA156" t="s">
        <v>25</v>
      </c>
      <c r="AC156" t="s">
        <v>22</v>
      </c>
      <c r="AD156" t="s">
        <v>1753</v>
      </c>
      <c r="AE156">
        <v>1.0510259477832881E-4</v>
      </c>
      <c r="AG156" t="s">
        <v>97</v>
      </c>
      <c r="AH156" t="s">
        <v>1753</v>
      </c>
      <c r="AI156">
        <v>0</v>
      </c>
      <c r="AK156">
        <v>2034</v>
      </c>
      <c r="AL156" t="s">
        <v>156</v>
      </c>
      <c r="AM156">
        <v>0.28210000000000002</v>
      </c>
      <c r="AN156" t="s">
        <v>430</v>
      </c>
    </row>
    <row r="157" spans="5:40" x14ac:dyDescent="0.45">
      <c r="E157" t="s">
        <v>1458</v>
      </c>
      <c r="G157" t="s">
        <v>155</v>
      </c>
      <c r="I157" t="s">
        <v>249</v>
      </c>
      <c r="J157" t="s">
        <v>1754</v>
      </c>
      <c r="K157">
        <v>2.4699519112E-4</v>
      </c>
      <c r="L157" t="s">
        <v>251</v>
      </c>
      <c r="N157" t="s">
        <v>419</v>
      </c>
      <c r="O157" t="s">
        <v>1754</v>
      </c>
      <c r="P157">
        <v>2.8910222434169617E-5</v>
      </c>
      <c r="Q157" t="s">
        <v>251</v>
      </c>
      <c r="S157" t="s">
        <v>420</v>
      </c>
      <c r="T157" t="s">
        <v>1754</v>
      </c>
      <c r="U157">
        <v>4.3272136319743439E-5</v>
      </c>
      <c r="V157" t="s">
        <v>251</v>
      </c>
      <c r="X157">
        <v>1.1415525114155251E-4</v>
      </c>
      <c r="Y157">
        <v>1.408812536774151E-4</v>
      </c>
      <c r="Z157" t="s">
        <v>1754</v>
      </c>
      <c r="AA157" t="s">
        <v>25</v>
      </c>
      <c r="AC157" t="s">
        <v>22</v>
      </c>
      <c r="AD157" t="s">
        <v>1754</v>
      </c>
      <c r="AE157">
        <v>1.0323864472537349E-4</v>
      </c>
      <c r="AG157" t="s">
        <v>97</v>
      </c>
      <c r="AH157" t="s">
        <v>1754</v>
      </c>
      <c r="AI157">
        <v>0</v>
      </c>
      <c r="AK157">
        <v>2034</v>
      </c>
      <c r="AL157" t="s">
        <v>159</v>
      </c>
      <c r="AM157">
        <v>0.27650000000000002</v>
      </c>
      <c r="AN157" t="s">
        <v>430</v>
      </c>
    </row>
    <row r="158" spans="5:40" x14ac:dyDescent="0.45">
      <c r="E158" t="s">
        <v>1459</v>
      </c>
      <c r="G158" t="s">
        <v>155</v>
      </c>
      <c r="I158" t="s">
        <v>249</v>
      </c>
      <c r="J158" t="s">
        <v>1755</v>
      </c>
      <c r="K158">
        <v>2.7468689647499998E-4</v>
      </c>
      <c r="L158" t="s">
        <v>251</v>
      </c>
      <c r="N158" t="s">
        <v>419</v>
      </c>
      <c r="O158" t="s">
        <v>1755</v>
      </c>
      <c r="P158">
        <v>2.9502716147405392E-5</v>
      </c>
      <c r="Q158" t="s">
        <v>251</v>
      </c>
      <c r="S158" t="s">
        <v>420</v>
      </c>
      <c r="T158" t="s">
        <v>1755</v>
      </c>
      <c r="U158">
        <v>4.2417277659470405E-5</v>
      </c>
      <c r="V158" t="s">
        <v>251</v>
      </c>
      <c r="X158">
        <v>1.1415525114155251E-4</v>
      </c>
      <c r="Y158">
        <v>1.4054976837464471E-4</v>
      </c>
      <c r="Z158" t="s">
        <v>1755</v>
      </c>
      <c r="AA158" t="s">
        <v>25</v>
      </c>
      <c r="AC158" t="s">
        <v>22</v>
      </c>
      <c r="AD158" t="s">
        <v>1755</v>
      </c>
      <c r="AE158">
        <v>1.1107882196544925E-4</v>
      </c>
      <c r="AG158" t="s">
        <v>97</v>
      </c>
      <c r="AH158" t="s">
        <v>1755</v>
      </c>
      <c r="AI158">
        <v>0</v>
      </c>
      <c r="AK158">
        <v>2034</v>
      </c>
      <c r="AL158" t="s">
        <v>163</v>
      </c>
      <c r="AM158">
        <v>0.31869999999999998</v>
      </c>
      <c r="AN158" t="s">
        <v>430</v>
      </c>
    </row>
    <row r="159" spans="5:40" x14ac:dyDescent="0.45">
      <c r="E159" t="s">
        <v>1460</v>
      </c>
      <c r="G159" t="s">
        <v>155</v>
      </c>
      <c r="I159" t="s">
        <v>249</v>
      </c>
      <c r="J159" t="s">
        <v>1756</v>
      </c>
      <c r="K159">
        <v>2.7224569783719998E-4</v>
      </c>
      <c r="L159" t="s">
        <v>251</v>
      </c>
      <c r="N159" t="s">
        <v>419</v>
      </c>
      <c r="O159" t="s">
        <v>1756</v>
      </c>
      <c r="P159">
        <v>2.7550131872338704E-5</v>
      </c>
      <c r="Q159" t="s">
        <v>251</v>
      </c>
      <c r="S159" t="s">
        <v>420</v>
      </c>
      <c r="T159" t="s">
        <v>1756</v>
      </c>
      <c r="U159">
        <v>4.4476845737835049E-5</v>
      </c>
      <c r="V159" t="s">
        <v>251</v>
      </c>
      <c r="X159">
        <v>1.1415525114155251E-4</v>
      </c>
      <c r="Y159">
        <v>1.4253868019126702E-4</v>
      </c>
      <c r="Z159" t="s">
        <v>1756</v>
      </c>
      <c r="AA159" t="s">
        <v>25</v>
      </c>
      <c r="AC159" t="s">
        <v>22</v>
      </c>
      <c r="AD159" t="s">
        <v>1756</v>
      </c>
      <c r="AE159">
        <v>1.4442826424585102E-4</v>
      </c>
      <c r="AG159" t="s">
        <v>97</v>
      </c>
      <c r="AH159" t="s">
        <v>1756</v>
      </c>
      <c r="AI159">
        <v>0</v>
      </c>
      <c r="AK159">
        <v>2034</v>
      </c>
      <c r="AL159" t="s">
        <v>167</v>
      </c>
      <c r="AM159">
        <v>0.37459999999999999</v>
      </c>
      <c r="AN159" t="s">
        <v>430</v>
      </c>
    </row>
    <row r="160" spans="5:40" x14ac:dyDescent="0.45">
      <c r="E160" t="s">
        <v>1461</v>
      </c>
      <c r="G160" t="s">
        <v>155</v>
      </c>
      <c r="I160" t="s">
        <v>249</v>
      </c>
      <c r="J160" t="s">
        <v>1757</v>
      </c>
      <c r="K160">
        <v>2.6521521956400003E-4</v>
      </c>
      <c r="L160" t="s">
        <v>251</v>
      </c>
      <c r="N160" t="s">
        <v>419</v>
      </c>
      <c r="O160" t="s">
        <v>1757</v>
      </c>
      <c r="P160">
        <v>2.70941235114864E-5</v>
      </c>
      <c r="Q160" t="s">
        <v>251</v>
      </c>
      <c r="S160" t="s">
        <v>420</v>
      </c>
      <c r="T160" t="s">
        <v>1757</v>
      </c>
      <c r="U160">
        <v>4.8493736505507872E-5</v>
      </c>
      <c r="V160" t="s">
        <v>251</v>
      </c>
      <c r="X160">
        <v>1.1415525114155251E-4</v>
      </c>
      <c r="Y160">
        <v>1.4883690094390442E-4</v>
      </c>
      <c r="Z160" t="s">
        <v>1757</v>
      </c>
      <c r="AA160" t="s">
        <v>25</v>
      </c>
      <c r="AC160" t="s">
        <v>22</v>
      </c>
      <c r="AD160" t="s">
        <v>1757</v>
      </c>
      <c r="AE160">
        <v>1.4482044022830188E-4</v>
      </c>
      <c r="AG160" t="s">
        <v>97</v>
      </c>
      <c r="AH160" t="s">
        <v>1757</v>
      </c>
      <c r="AI160">
        <v>0</v>
      </c>
      <c r="AK160">
        <v>2034</v>
      </c>
      <c r="AL160" t="s">
        <v>169</v>
      </c>
      <c r="AM160">
        <v>0.47089999999999999</v>
      </c>
      <c r="AN160" t="s">
        <v>430</v>
      </c>
    </row>
    <row r="161" spans="5:40" x14ac:dyDescent="0.45">
      <c r="E161" t="s">
        <v>1462</v>
      </c>
      <c r="G161" t="s">
        <v>155</v>
      </c>
      <c r="I161" t="s">
        <v>249</v>
      </c>
      <c r="J161" t="s">
        <v>1758</v>
      </c>
      <c r="K161">
        <v>2.7417624313189997E-4</v>
      </c>
      <c r="L161" t="s">
        <v>251</v>
      </c>
      <c r="N161" t="s">
        <v>419</v>
      </c>
      <c r="O161" t="s">
        <v>1758</v>
      </c>
      <c r="P161">
        <v>2.8171284188688582E-5</v>
      </c>
      <c r="Q161" t="s">
        <v>251</v>
      </c>
      <c r="S161" t="s">
        <v>420</v>
      </c>
      <c r="T161" t="s">
        <v>1758</v>
      </c>
      <c r="U161">
        <v>5.2577636872270031E-5</v>
      </c>
      <c r="V161" t="s">
        <v>251</v>
      </c>
      <c r="X161">
        <v>1.1415525114155251E-4</v>
      </c>
      <c r="Y161">
        <v>1.5049432745775637E-4</v>
      </c>
      <c r="Z161" t="s">
        <v>1758</v>
      </c>
      <c r="AA161" t="s">
        <v>25</v>
      </c>
      <c r="AC161" t="s">
        <v>22</v>
      </c>
      <c r="AD161" t="s">
        <v>1758</v>
      </c>
      <c r="AE161">
        <v>1.3398323630415567E-4</v>
      </c>
      <c r="AG161" t="s">
        <v>97</v>
      </c>
      <c r="AH161" t="s">
        <v>1758</v>
      </c>
      <c r="AI161">
        <v>0</v>
      </c>
      <c r="AK161">
        <v>2034</v>
      </c>
      <c r="AL161" t="s">
        <v>171</v>
      </c>
      <c r="AM161">
        <v>0.56269999999999998</v>
      </c>
      <c r="AN161" t="s">
        <v>430</v>
      </c>
    </row>
    <row r="162" spans="5:40" x14ac:dyDescent="0.45">
      <c r="E162" t="s">
        <v>1463</v>
      </c>
      <c r="G162" t="s">
        <v>155</v>
      </c>
      <c r="I162" t="s">
        <v>249</v>
      </c>
      <c r="J162" t="s">
        <v>1759</v>
      </c>
      <c r="K162">
        <v>2.5863127468639998E-4</v>
      </c>
      <c r="L162" t="s">
        <v>251</v>
      </c>
      <c r="N162" t="s">
        <v>419</v>
      </c>
      <c r="O162" t="s">
        <v>1759</v>
      </c>
      <c r="P162">
        <v>2.7967862324317216E-5</v>
      </c>
      <c r="Q162" t="s">
        <v>251</v>
      </c>
      <c r="S162" t="s">
        <v>420</v>
      </c>
      <c r="T162" t="s">
        <v>1759</v>
      </c>
      <c r="U162">
        <v>5.6834872739596518E-5</v>
      </c>
      <c r="V162" t="s">
        <v>251</v>
      </c>
      <c r="X162">
        <v>1.1415525114155251E-4</v>
      </c>
      <c r="Y162">
        <v>1.7237235744060203E-4</v>
      </c>
      <c r="Z162" t="s">
        <v>1759</v>
      </c>
      <c r="AA162" t="s">
        <v>25</v>
      </c>
      <c r="AC162" t="s">
        <v>22</v>
      </c>
      <c r="AD162" t="s">
        <v>1759</v>
      </c>
      <c r="AE162">
        <v>1.2096789588656793E-4</v>
      </c>
      <c r="AG162" t="s">
        <v>97</v>
      </c>
      <c r="AH162" t="s">
        <v>1759</v>
      </c>
      <c r="AI162">
        <v>0</v>
      </c>
      <c r="AK162">
        <v>2034</v>
      </c>
      <c r="AL162" t="s">
        <v>158</v>
      </c>
      <c r="AM162">
        <v>0.65029999999999999</v>
      </c>
      <c r="AN162" t="s">
        <v>430</v>
      </c>
    </row>
    <row r="163" spans="5:40" x14ac:dyDescent="0.45">
      <c r="E163" t="s">
        <v>1464</v>
      </c>
      <c r="G163" t="s">
        <v>155</v>
      </c>
      <c r="I163" t="s">
        <v>249</v>
      </c>
      <c r="J163" t="s">
        <v>1760</v>
      </c>
      <c r="K163">
        <v>2.144351674449E-4</v>
      </c>
      <c r="L163" t="s">
        <v>251</v>
      </c>
      <c r="N163" t="s">
        <v>419</v>
      </c>
      <c r="O163" t="s">
        <v>1760</v>
      </c>
      <c r="P163">
        <v>3.6609588765067768E-5</v>
      </c>
      <c r="Q163" t="s">
        <v>251</v>
      </c>
      <c r="S163" t="s">
        <v>420</v>
      </c>
      <c r="T163" t="s">
        <v>1760</v>
      </c>
      <c r="U163">
        <v>6.2317689929973998E-5</v>
      </c>
      <c r="V163" t="s">
        <v>251</v>
      </c>
      <c r="X163">
        <v>1.1415525114155251E-4</v>
      </c>
      <c r="Y163">
        <v>2.2209515285616027E-4</v>
      </c>
      <c r="Z163" t="s">
        <v>1760</v>
      </c>
      <c r="AA163" t="s">
        <v>25</v>
      </c>
      <c r="AC163" t="s">
        <v>22</v>
      </c>
      <c r="AD163" t="s">
        <v>1760</v>
      </c>
      <c r="AE163">
        <v>9.2500598933153763E-5</v>
      </c>
      <c r="AG163" t="s">
        <v>97</v>
      </c>
      <c r="AH163" t="s">
        <v>1760</v>
      </c>
      <c r="AI163">
        <v>0</v>
      </c>
      <c r="AK163">
        <v>2034</v>
      </c>
      <c r="AL163" t="s">
        <v>162</v>
      </c>
      <c r="AM163">
        <v>0.62109999999999999</v>
      </c>
      <c r="AN163" t="s">
        <v>430</v>
      </c>
    </row>
    <row r="164" spans="5:40" x14ac:dyDescent="0.45">
      <c r="E164" t="s">
        <v>1465</v>
      </c>
      <c r="G164" t="s">
        <v>155</v>
      </c>
      <c r="I164" t="s">
        <v>249</v>
      </c>
      <c r="J164" t="s">
        <v>1761</v>
      </c>
      <c r="K164">
        <v>1.410610907791E-4</v>
      </c>
      <c r="L164" t="s">
        <v>251</v>
      </c>
      <c r="N164" t="s">
        <v>419</v>
      </c>
      <c r="O164" t="s">
        <v>1761</v>
      </c>
      <c r="P164">
        <v>5.0920869509093057E-5</v>
      </c>
      <c r="Q164" t="s">
        <v>251</v>
      </c>
      <c r="S164" t="s">
        <v>420</v>
      </c>
      <c r="T164" t="s">
        <v>1761</v>
      </c>
      <c r="U164">
        <v>6.8326473873526352E-5</v>
      </c>
      <c r="V164" t="s">
        <v>251</v>
      </c>
      <c r="X164">
        <v>1.1415525114155251E-4</v>
      </c>
      <c r="Y164">
        <v>2.2209515285616027E-4</v>
      </c>
      <c r="Z164" t="s">
        <v>1761</v>
      </c>
      <c r="AA164" t="s">
        <v>25</v>
      </c>
      <c r="AC164" t="s">
        <v>22</v>
      </c>
      <c r="AD164" t="s">
        <v>1761</v>
      </c>
      <c r="AE164">
        <v>6.2257368695572984E-5</v>
      </c>
      <c r="AG164" t="s">
        <v>97</v>
      </c>
      <c r="AH164" t="s">
        <v>1761</v>
      </c>
      <c r="AI164">
        <v>0</v>
      </c>
      <c r="AK164">
        <v>2034</v>
      </c>
      <c r="AL164" t="s">
        <v>175</v>
      </c>
      <c r="AM164">
        <v>0.40689999999999998</v>
      </c>
      <c r="AN164" t="s">
        <v>430</v>
      </c>
    </row>
    <row r="165" spans="5:40" x14ac:dyDescent="0.45">
      <c r="E165" t="s">
        <v>1466</v>
      </c>
      <c r="G165" t="s">
        <v>155</v>
      </c>
      <c r="I165" t="s">
        <v>249</v>
      </c>
      <c r="J165" t="s">
        <v>1762</v>
      </c>
      <c r="K165">
        <v>5.4969855153261973E-5</v>
      </c>
      <c r="L165" t="s">
        <v>251</v>
      </c>
      <c r="N165" t="s">
        <v>419</v>
      </c>
      <c r="O165" t="s">
        <v>1762</v>
      </c>
      <c r="P165">
        <v>7.4013620381949382E-5</v>
      </c>
      <c r="Q165" t="s">
        <v>251</v>
      </c>
      <c r="S165" t="s">
        <v>420</v>
      </c>
      <c r="T165" t="s">
        <v>1762</v>
      </c>
      <c r="U165">
        <v>7.1814721618161778E-5</v>
      </c>
      <c r="V165" t="s">
        <v>251</v>
      </c>
      <c r="X165">
        <v>1.1415525114155251E-4</v>
      </c>
      <c r="Y165">
        <v>1.7237235744060203E-4</v>
      </c>
      <c r="Z165" t="s">
        <v>1762</v>
      </c>
      <c r="AA165" t="s">
        <v>25</v>
      </c>
      <c r="AC165" t="s">
        <v>22</v>
      </c>
      <c r="AD165" t="s">
        <v>1762</v>
      </c>
      <c r="AE165">
        <v>3.0781903694950579E-5</v>
      </c>
      <c r="AG165" t="s">
        <v>97</v>
      </c>
      <c r="AH165" t="s">
        <v>1762</v>
      </c>
      <c r="AI165">
        <v>0</v>
      </c>
      <c r="AK165">
        <v>2034</v>
      </c>
      <c r="AL165" t="s">
        <v>166</v>
      </c>
      <c r="AM165">
        <v>0.28749999999999998</v>
      </c>
      <c r="AN165" t="s">
        <v>430</v>
      </c>
    </row>
    <row r="166" spans="5:40" x14ac:dyDescent="0.45">
      <c r="E166" t="s">
        <v>1467</v>
      </c>
      <c r="G166" t="s">
        <v>155</v>
      </c>
      <c r="I166" t="s">
        <v>249</v>
      </c>
      <c r="J166" t="s">
        <v>1763</v>
      </c>
      <c r="K166">
        <v>0</v>
      </c>
      <c r="L166" t="s">
        <v>251</v>
      </c>
      <c r="N166" t="s">
        <v>419</v>
      </c>
      <c r="O166" t="s">
        <v>1763</v>
      </c>
      <c r="P166">
        <v>1.007821236251E-4</v>
      </c>
      <c r="Q166" t="s">
        <v>251</v>
      </c>
      <c r="S166" t="s">
        <v>420</v>
      </c>
      <c r="T166" t="s">
        <v>1763</v>
      </c>
      <c r="U166">
        <v>7.3988205818741306E-5</v>
      </c>
      <c r="V166" t="s">
        <v>251</v>
      </c>
      <c r="X166">
        <v>1.1415525114155251E-4</v>
      </c>
      <c r="Y166">
        <v>1.5579809230208258E-4</v>
      </c>
      <c r="Z166" t="s">
        <v>1763</v>
      </c>
      <c r="AA166" t="s">
        <v>25</v>
      </c>
      <c r="AC166" t="s">
        <v>22</v>
      </c>
      <c r="AD166" t="s">
        <v>1763</v>
      </c>
      <c r="AE166">
        <v>2.5125433629885269E-5</v>
      </c>
      <c r="AG166" t="s">
        <v>97</v>
      </c>
      <c r="AH166" t="s">
        <v>1763</v>
      </c>
      <c r="AI166">
        <v>0</v>
      </c>
      <c r="AK166">
        <v>2034</v>
      </c>
      <c r="AL166" t="s">
        <v>178</v>
      </c>
      <c r="AM166">
        <v>0.27529999999999999</v>
      </c>
      <c r="AN166" t="s">
        <v>430</v>
      </c>
    </row>
    <row r="167" spans="5:40" x14ac:dyDescent="0.45">
      <c r="E167" t="s">
        <v>1468</v>
      </c>
      <c r="G167" t="s">
        <v>155</v>
      </c>
      <c r="I167" t="s">
        <v>249</v>
      </c>
      <c r="J167" t="s">
        <v>1764</v>
      </c>
      <c r="K167">
        <v>0</v>
      </c>
      <c r="L167" t="s">
        <v>251</v>
      </c>
      <c r="N167" t="s">
        <v>419</v>
      </c>
      <c r="O167" t="s">
        <v>1764</v>
      </c>
      <c r="P167">
        <v>1.215057036554E-4</v>
      </c>
      <c r="Q167" t="s">
        <v>251</v>
      </c>
      <c r="S167" t="s">
        <v>420</v>
      </c>
      <c r="T167" t="s">
        <v>1764</v>
      </c>
      <c r="U167">
        <v>7.5188949414619214E-5</v>
      </c>
      <c r="V167" t="s">
        <v>251</v>
      </c>
      <c r="X167">
        <v>1.1415525114155251E-4</v>
      </c>
      <c r="Y167">
        <v>1.093901499142282E-4</v>
      </c>
      <c r="Z167" t="s">
        <v>1764</v>
      </c>
      <c r="AA167" t="s">
        <v>25</v>
      </c>
      <c r="AC167" t="s">
        <v>22</v>
      </c>
      <c r="AD167" t="s">
        <v>1764</v>
      </c>
      <c r="AE167">
        <v>2.5566631610142469E-5</v>
      </c>
      <c r="AG167" t="s">
        <v>97</v>
      </c>
      <c r="AH167" t="s">
        <v>1764</v>
      </c>
      <c r="AI167">
        <v>0</v>
      </c>
      <c r="AK167">
        <v>2035</v>
      </c>
      <c r="AL167" t="s">
        <v>151</v>
      </c>
      <c r="AM167">
        <v>0.26050000000000001</v>
      </c>
      <c r="AN167" t="s">
        <v>430</v>
      </c>
    </row>
    <row r="168" spans="5:40" x14ac:dyDescent="0.45">
      <c r="E168" t="s">
        <v>1469</v>
      </c>
      <c r="G168" t="s">
        <v>155</v>
      </c>
      <c r="I168" t="s">
        <v>249</v>
      </c>
      <c r="J168" t="s">
        <v>1765</v>
      </c>
      <c r="K168">
        <v>0</v>
      </c>
      <c r="L168" t="s">
        <v>251</v>
      </c>
      <c r="N168" t="s">
        <v>419</v>
      </c>
      <c r="O168" t="s">
        <v>1765</v>
      </c>
      <c r="P168">
        <v>1.3647013910300001E-4</v>
      </c>
      <c r="Q168" t="s">
        <v>251</v>
      </c>
      <c r="S168" t="s">
        <v>420</v>
      </c>
      <c r="T168" t="s">
        <v>1765</v>
      </c>
      <c r="U168">
        <v>7.5017887502638238E-5</v>
      </c>
      <c r="V168" t="s">
        <v>251</v>
      </c>
      <c r="X168">
        <v>1.1415525114155251E-4</v>
      </c>
      <c r="Y168">
        <v>7.9556472664893237E-5</v>
      </c>
      <c r="Z168" t="s">
        <v>1765</v>
      </c>
      <c r="AA168" t="s">
        <v>25</v>
      </c>
      <c r="AC168" t="s">
        <v>22</v>
      </c>
      <c r="AD168" t="s">
        <v>1765</v>
      </c>
      <c r="AE168">
        <v>2.5099808494668297E-5</v>
      </c>
      <c r="AG168" t="s">
        <v>97</v>
      </c>
      <c r="AH168" t="s">
        <v>1765</v>
      </c>
      <c r="AI168">
        <v>0</v>
      </c>
      <c r="AK168">
        <v>2035</v>
      </c>
      <c r="AL168" t="s">
        <v>156</v>
      </c>
      <c r="AM168">
        <v>0.2777</v>
      </c>
      <c r="AN168" t="s">
        <v>430</v>
      </c>
    </row>
    <row r="169" spans="5:40" x14ac:dyDescent="0.45">
      <c r="E169" t="s">
        <v>1470</v>
      </c>
      <c r="G169" t="s">
        <v>155</v>
      </c>
      <c r="I169" t="s">
        <v>249</v>
      </c>
      <c r="J169" t="s">
        <v>1766</v>
      </c>
      <c r="K169">
        <v>0</v>
      </c>
      <c r="L169" t="s">
        <v>251</v>
      </c>
      <c r="N169" t="s">
        <v>419</v>
      </c>
      <c r="O169" t="s">
        <v>1766</v>
      </c>
      <c r="P169">
        <v>1.4507360137499999E-4</v>
      </c>
      <c r="Q169" t="s">
        <v>251</v>
      </c>
      <c r="S169" t="s">
        <v>420</v>
      </c>
      <c r="T169" t="s">
        <v>1766</v>
      </c>
      <c r="U169">
        <v>7.3340804211945247E-5</v>
      </c>
      <c r="V169" t="s">
        <v>251</v>
      </c>
      <c r="X169">
        <v>1.1415525114155251E-4</v>
      </c>
      <c r="Y169">
        <v>5.6352501470966035E-5</v>
      </c>
      <c r="Z169" t="s">
        <v>1766</v>
      </c>
      <c r="AA169" t="s">
        <v>25</v>
      </c>
      <c r="AC169" t="s">
        <v>22</v>
      </c>
      <c r="AD169" t="s">
        <v>1766</v>
      </c>
      <c r="AE169">
        <v>2.6161580401701451E-5</v>
      </c>
      <c r="AG169" t="s">
        <v>97</v>
      </c>
      <c r="AH169" t="s">
        <v>1766</v>
      </c>
      <c r="AI169">
        <v>0</v>
      </c>
      <c r="AK169">
        <v>2035</v>
      </c>
      <c r="AL169" t="s">
        <v>159</v>
      </c>
      <c r="AM169">
        <v>0.2737</v>
      </c>
      <c r="AN169" t="s">
        <v>430</v>
      </c>
    </row>
    <row r="170" spans="5:40" x14ac:dyDescent="0.45">
      <c r="E170" t="s">
        <v>1471</v>
      </c>
      <c r="G170" t="s">
        <v>155</v>
      </c>
      <c r="I170" t="s">
        <v>249</v>
      </c>
      <c r="J170" t="s">
        <v>1767</v>
      </c>
      <c r="K170">
        <v>0</v>
      </c>
      <c r="L170" t="s">
        <v>251</v>
      </c>
      <c r="N170" t="s">
        <v>419</v>
      </c>
      <c r="O170" t="s">
        <v>1767</v>
      </c>
      <c r="P170">
        <v>1.416150381064E-4</v>
      </c>
      <c r="Q170" t="s">
        <v>251</v>
      </c>
      <c r="S170" t="s">
        <v>420</v>
      </c>
      <c r="T170" t="s">
        <v>1767</v>
      </c>
      <c r="U170">
        <v>6.8462137399456311E-5</v>
      </c>
      <c r="V170" t="s">
        <v>251</v>
      </c>
      <c r="X170">
        <v>1.1415525114155251E-4</v>
      </c>
      <c r="Y170">
        <v>2.9833677249334962E-5</v>
      </c>
      <c r="Z170" t="s">
        <v>1767</v>
      </c>
      <c r="AA170" t="s">
        <v>25</v>
      </c>
      <c r="AC170" t="s">
        <v>22</v>
      </c>
      <c r="AD170" t="s">
        <v>1767</v>
      </c>
      <c r="AE170">
        <v>4.7609818578296324E-5</v>
      </c>
      <c r="AG170" t="s">
        <v>97</v>
      </c>
      <c r="AH170" t="s">
        <v>1767</v>
      </c>
      <c r="AI170">
        <v>0</v>
      </c>
      <c r="AK170">
        <v>2035</v>
      </c>
      <c r="AL170" t="s">
        <v>163</v>
      </c>
      <c r="AM170">
        <v>0.29349999999999998</v>
      </c>
      <c r="AN170" t="s">
        <v>430</v>
      </c>
    </row>
    <row r="171" spans="5:40" x14ac:dyDescent="0.45">
      <c r="E171" t="s">
        <v>1472</v>
      </c>
      <c r="G171" t="s">
        <v>155</v>
      </c>
      <c r="I171" t="s">
        <v>249</v>
      </c>
      <c r="J171" t="s">
        <v>1768</v>
      </c>
      <c r="K171">
        <v>0</v>
      </c>
      <c r="L171" t="s">
        <v>251</v>
      </c>
      <c r="N171" t="s">
        <v>419</v>
      </c>
      <c r="O171" t="s">
        <v>1768</v>
      </c>
      <c r="P171">
        <v>1.3637067588590001E-4</v>
      </c>
      <c r="Q171" t="s">
        <v>251</v>
      </c>
      <c r="S171" t="s">
        <v>420</v>
      </c>
      <c r="T171" t="s">
        <v>1768</v>
      </c>
      <c r="U171">
        <v>6.3914463685082407E-5</v>
      </c>
      <c r="V171" t="s">
        <v>251</v>
      </c>
      <c r="X171">
        <v>1.1415525114155251E-4</v>
      </c>
      <c r="Y171">
        <v>2.1546544680075254E-5</v>
      </c>
      <c r="Z171" t="s">
        <v>1768</v>
      </c>
      <c r="AA171" t="s">
        <v>25</v>
      </c>
      <c r="AC171" t="s">
        <v>22</v>
      </c>
      <c r="AD171" t="s">
        <v>1768</v>
      </c>
      <c r="AE171">
        <v>5.3017836245388512E-5</v>
      </c>
      <c r="AG171" t="s">
        <v>97</v>
      </c>
      <c r="AH171" t="s">
        <v>1768</v>
      </c>
      <c r="AI171">
        <v>0</v>
      </c>
      <c r="AK171">
        <v>2035</v>
      </c>
      <c r="AL171" t="s">
        <v>167</v>
      </c>
      <c r="AM171">
        <v>0.37319999999999998</v>
      </c>
      <c r="AN171" t="s">
        <v>430</v>
      </c>
    </row>
    <row r="172" spans="5:40" x14ac:dyDescent="0.45">
      <c r="E172" t="s">
        <v>1473</v>
      </c>
      <c r="G172" t="s">
        <v>155</v>
      </c>
      <c r="I172" t="s">
        <v>249</v>
      </c>
      <c r="J172" t="s">
        <v>1769</v>
      </c>
      <c r="K172">
        <v>0</v>
      </c>
      <c r="L172" t="s">
        <v>251</v>
      </c>
      <c r="N172" t="s">
        <v>419</v>
      </c>
      <c r="O172" t="s">
        <v>1769</v>
      </c>
      <c r="P172">
        <v>1.2959138698259999E-4</v>
      </c>
      <c r="Q172" t="s">
        <v>251</v>
      </c>
      <c r="S172" t="s">
        <v>420</v>
      </c>
      <c r="T172" t="s">
        <v>1769</v>
      </c>
      <c r="U172">
        <v>5.9484131135206021E-5</v>
      </c>
      <c r="V172" t="s">
        <v>251</v>
      </c>
      <c r="X172">
        <v>1.1415525114155251E-4</v>
      </c>
      <c r="Y172">
        <v>1.4916838624667481E-5</v>
      </c>
      <c r="Z172" t="s">
        <v>1769</v>
      </c>
      <c r="AA172" t="s">
        <v>25</v>
      </c>
      <c r="AC172" t="s">
        <v>22</v>
      </c>
      <c r="AD172" t="s">
        <v>1769</v>
      </c>
      <c r="AE172">
        <v>7.2432775649333377E-5</v>
      </c>
      <c r="AG172" t="s">
        <v>97</v>
      </c>
      <c r="AH172" t="s">
        <v>1769</v>
      </c>
      <c r="AI172">
        <v>0</v>
      </c>
      <c r="AK172">
        <v>2035</v>
      </c>
      <c r="AL172" t="s">
        <v>169</v>
      </c>
      <c r="AM172">
        <v>0.48170000000000002</v>
      </c>
      <c r="AN172" t="s">
        <v>430</v>
      </c>
    </row>
    <row r="173" spans="5:40" x14ac:dyDescent="0.45">
      <c r="E173" t="s">
        <v>1474</v>
      </c>
      <c r="G173" t="s">
        <v>155</v>
      </c>
      <c r="I173" t="s">
        <v>249</v>
      </c>
      <c r="J173" t="s">
        <v>1770</v>
      </c>
      <c r="K173">
        <v>0</v>
      </c>
      <c r="L173" t="s">
        <v>251</v>
      </c>
      <c r="N173" t="s">
        <v>419</v>
      </c>
      <c r="O173" t="s">
        <v>1770</v>
      </c>
      <c r="P173">
        <v>1.054856049432E-4</v>
      </c>
      <c r="Q173" t="s">
        <v>251</v>
      </c>
      <c r="S173" t="s">
        <v>420</v>
      </c>
      <c r="T173" t="s">
        <v>1770</v>
      </c>
      <c r="U173">
        <v>4.9226482149725038E-5</v>
      </c>
      <c r="V173" t="s">
        <v>251</v>
      </c>
      <c r="X173">
        <v>1.1415525114155251E-4</v>
      </c>
      <c r="Y173">
        <v>1.6574265138519424E-5</v>
      </c>
      <c r="Z173" t="s">
        <v>1770</v>
      </c>
      <c r="AA173" t="s">
        <v>25</v>
      </c>
      <c r="AC173" t="s">
        <v>22</v>
      </c>
      <c r="AD173" t="s">
        <v>1770</v>
      </c>
      <c r="AE173">
        <v>9.0378169255401315E-5</v>
      </c>
      <c r="AG173" t="s">
        <v>97</v>
      </c>
      <c r="AH173" t="s">
        <v>1770</v>
      </c>
      <c r="AI173">
        <v>0</v>
      </c>
      <c r="AK173">
        <v>2035</v>
      </c>
      <c r="AL173" t="s">
        <v>171</v>
      </c>
      <c r="AM173">
        <v>0.50290000000000001</v>
      </c>
      <c r="AN173" t="s">
        <v>430</v>
      </c>
    </row>
    <row r="174" spans="5:40" x14ac:dyDescent="0.45">
      <c r="E174" t="s">
        <v>1475</v>
      </c>
      <c r="G174" t="s">
        <v>155</v>
      </c>
      <c r="I174" t="s">
        <v>249</v>
      </c>
      <c r="J174" t="s">
        <v>1771</v>
      </c>
      <c r="K174">
        <v>0</v>
      </c>
      <c r="L174" t="s">
        <v>251</v>
      </c>
      <c r="N174" t="s">
        <v>419</v>
      </c>
      <c r="O174" t="s">
        <v>1771</v>
      </c>
      <c r="P174">
        <v>8.9972423517074667E-5</v>
      </c>
      <c r="Q174" t="s">
        <v>251</v>
      </c>
      <c r="S174" t="s">
        <v>420</v>
      </c>
      <c r="T174" t="s">
        <v>1771</v>
      </c>
      <c r="U174">
        <v>4.5743034168875282E-5</v>
      </c>
      <c r="V174" t="s">
        <v>251</v>
      </c>
      <c r="X174">
        <v>1.1415525114155251E-4</v>
      </c>
      <c r="Y174">
        <v>1.4585353321897093E-5</v>
      </c>
      <c r="Z174" t="s">
        <v>1771</v>
      </c>
      <c r="AA174" t="s">
        <v>25</v>
      </c>
      <c r="AC174" t="s">
        <v>22</v>
      </c>
      <c r="AD174" t="s">
        <v>1771</v>
      </c>
      <c r="AE174">
        <v>1.0231948226650433E-4</v>
      </c>
      <c r="AG174" t="s">
        <v>97</v>
      </c>
      <c r="AH174" t="s">
        <v>1771</v>
      </c>
      <c r="AI174">
        <v>0</v>
      </c>
      <c r="AK174">
        <v>2035</v>
      </c>
      <c r="AL174" t="s">
        <v>158</v>
      </c>
      <c r="AM174">
        <v>0.66069999999999995</v>
      </c>
      <c r="AN174" t="s">
        <v>430</v>
      </c>
    </row>
    <row r="175" spans="5:40" x14ac:dyDescent="0.45">
      <c r="E175" t="s">
        <v>1476</v>
      </c>
      <c r="G175" t="s">
        <v>155</v>
      </c>
      <c r="I175" t="s">
        <v>249</v>
      </c>
      <c r="J175" t="s">
        <v>1772</v>
      </c>
      <c r="K175">
        <v>0</v>
      </c>
      <c r="L175" t="s">
        <v>251</v>
      </c>
      <c r="N175" t="s">
        <v>419</v>
      </c>
      <c r="O175" t="s">
        <v>1772</v>
      </c>
      <c r="P175">
        <v>8.5340434225548252E-5</v>
      </c>
      <c r="Q175" t="s">
        <v>251</v>
      </c>
      <c r="S175" t="s">
        <v>420</v>
      </c>
      <c r="T175" t="s">
        <v>1772</v>
      </c>
      <c r="U175">
        <v>4.3428407080368693E-5</v>
      </c>
      <c r="V175" t="s">
        <v>251</v>
      </c>
      <c r="X175">
        <v>1.1415525114155251E-4</v>
      </c>
      <c r="Y175">
        <v>2.1215059377304864E-5</v>
      </c>
      <c r="Z175" t="s">
        <v>1772</v>
      </c>
      <c r="AA175" t="s">
        <v>25</v>
      </c>
      <c r="AC175" t="s">
        <v>22</v>
      </c>
      <c r="AD175" t="s">
        <v>1772</v>
      </c>
      <c r="AE175">
        <v>1.0498561046538184E-4</v>
      </c>
      <c r="AG175" t="s">
        <v>97</v>
      </c>
      <c r="AH175" t="s">
        <v>1772</v>
      </c>
      <c r="AI175">
        <v>0</v>
      </c>
      <c r="AK175">
        <v>2035</v>
      </c>
      <c r="AL175" t="s">
        <v>162</v>
      </c>
      <c r="AM175">
        <v>0.60460000000000003</v>
      </c>
      <c r="AN175" t="s">
        <v>430</v>
      </c>
    </row>
    <row r="176" spans="5:40" x14ac:dyDescent="0.45">
      <c r="E176" t="s">
        <v>1477</v>
      </c>
      <c r="G176" t="s">
        <v>155</v>
      </c>
      <c r="I176" t="s">
        <v>249</v>
      </c>
      <c r="J176" t="s">
        <v>1773</v>
      </c>
      <c r="K176">
        <v>0</v>
      </c>
      <c r="L176" t="s">
        <v>251</v>
      </c>
      <c r="N176" t="s">
        <v>419</v>
      </c>
      <c r="O176" t="s">
        <v>1773</v>
      </c>
      <c r="P176">
        <v>8.0971734412182037E-5</v>
      </c>
      <c r="Q176" t="s">
        <v>251</v>
      </c>
      <c r="S176" t="s">
        <v>420</v>
      </c>
      <c r="T176" t="s">
        <v>1773</v>
      </c>
      <c r="U176">
        <v>4.197772274168997E-5</v>
      </c>
      <c r="V176" t="s">
        <v>251</v>
      </c>
      <c r="X176">
        <v>1.1415525114155251E-4</v>
      </c>
      <c r="Y176">
        <v>5.7678442682047593E-5</v>
      </c>
      <c r="Z176" t="s">
        <v>1773</v>
      </c>
      <c r="AA176" t="s">
        <v>25</v>
      </c>
      <c r="AC176" t="s">
        <v>22</v>
      </c>
      <c r="AD176" t="s">
        <v>1773</v>
      </c>
      <c r="AE176">
        <v>1.0824000263793567E-4</v>
      </c>
      <c r="AG176" t="s">
        <v>97</v>
      </c>
      <c r="AH176" t="s">
        <v>1773</v>
      </c>
      <c r="AI176">
        <v>0</v>
      </c>
      <c r="AK176">
        <v>2035</v>
      </c>
      <c r="AL176" t="s">
        <v>175</v>
      </c>
      <c r="AM176">
        <v>0.42499999999999999</v>
      </c>
      <c r="AN176" t="s">
        <v>430</v>
      </c>
    </row>
    <row r="177" spans="5:40" x14ac:dyDescent="0.45">
      <c r="E177" t="s">
        <v>1478</v>
      </c>
      <c r="G177" t="s">
        <v>155</v>
      </c>
      <c r="I177" t="s">
        <v>249</v>
      </c>
      <c r="J177" t="s">
        <v>1774</v>
      </c>
      <c r="K177">
        <v>0</v>
      </c>
      <c r="L177" t="s">
        <v>251</v>
      </c>
      <c r="N177" t="s">
        <v>419</v>
      </c>
      <c r="O177" t="s">
        <v>1774</v>
      </c>
      <c r="P177">
        <v>7.6769465625256474E-5</v>
      </c>
      <c r="Q177" t="s">
        <v>251</v>
      </c>
      <c r="S177" t="s">
        <v>420</v>
      </c>
      <c r="T177" t="s">
        <v>1774</v>
      </c>
      <c r="U177">
        <v>3.973764577600834E-5</v>
      </c>
      <c r="V177" t="s">
        <v>251</v>
      </c>
      <c r="X177">
        <v>1.1415525114155251E-4</v>
      </c>
      <c r="Y177">
        <v>1.6905750441289813E-4</v>
      </c>
      <c r="Z177" t="s">
        <v>1774</v>
      </c>
      <c r="AA177" t="s">
        <v>25</v>
      </c>
      <c r="AC177" t="s">
        <v>22</v>
      </c>
      <c r="AD177" t="s">
        <v>1774</v>
      </c>
      <c r="AE177">
        <v>1.0965941230169245E-4</v>
      </c>
      <c r="AG177" t="s">
        <v>97</v>
      </c>
      <c r="AH177" t="s">
        <v>1774</v>
      </c>
      <c r="AI177">
        <v>0</v>
      </c>
      <c r="AK177">
        <v>2035</v>
      </c>
      <c r="AL177" t="s">
        <v>166</v>
      </c>
      <c r="AM177">
        <v>0.27539999999999998</v>
      </c>
      <c r="AN177" t="s">
        <v>430</v>
      </c>
    </row>
    <row r="178" spans="5:40" x14ac:dyDescent="0.45">
      <c r="E178" t="s">
        <v>1479</v>
      </c>
      <c r="G178" t="s">
        <v>155</v>
      </c>
      <c r="I178" t="s">
        <v>249</v>
      </c>
      <c r="J178" t="s">
        <v>1775</v>
      </c>
      <c r="K178">
        <v>3.2047720759177039E-5</v>
      </c>
      <c r="L178" t="s">
        <v>251</v>
      </c>
      <c r="N178" t="s">
        <v>419</v>
      </c>
      <c r="O178" t="s">
        <v>1775</v>
      </c>
      <c r="P178">
        <v>7.2584233568405822E-5</v>
      </c>
      <c r="Q178" t="s">
        <v>251</v>
      </c>
      <c r="S178" t="s">
        <v>420</v>
      </c>
      <c r="T178" t="s">
        <v>1775</v>
      </c>
      <c r="U178">
        <v>3.7608263343805438E-5</v>
      </c>
      <c r="V178" t="s">
        <v>251</v>
      </c>
      <c r="X178">
        <v>1.1415525114155251E-4</v>
      </c>
      <c r="Y178">
        <v>1.9060404909297337E-4</v>
      </c>
      <c r="Z178" t="s">
        <v>1775</v>
      </c>
      <c r="AA178" t="s">
        <v>25</v>
      </c>
      <c r="AC178" t="s">
        <v>22</v>
      </c>
      <c r="AD178" t="s">
        <v>1775</v>
      </c>
      <c r="AE178">
        <v>1.1135067122601177E-4</v>
      </c>
      <c r="AG178" t="s">
        <v>97</v>
      </c>
      <c r="AH178" t="s">
        <v>1775</v>
      </c>
      <c r="AI178">
        <v>0</v>
      </c>
      <c r="AK178">
        <v>2035</v>
      </c>
      <c r="AL178" t="s">
        <v>178</v>
      </c>
      <c r="AM178">
        <v>0.23300000000000001</v>
      </c>
      <c r="AN178" t="s">
        <v>430</v>
      </c>
    </row>
    <row r="179" spans="5:40" x14ac:dyDescent="0.45">
      <c r="E179" t="s">
        <v>1480</v>
      </c>
      <c r="G179" t="s">
        <v>160</v>
      </c>
      <c r="I179" t="s">
        <v>249</v>
      </c>
      <c r="J179" t="s">
        <v>1776</v>
      </c>
      <c r="K179">
        <v>1.226874864134E-4</v>
      </c>
      <c r="L179" t="s">
        <v>251</v>
      </c>
      <c r="N179" t="s">
        <v>419</v>
      </c>
      <c r="O179" t="s">
        <v>1776</v>
      </c>
      <c r="P179">
        <v>4.6780873892010801E-5</v>
      </c>
      <c r="Q179" t="s">
        <v>251</v>
      </c>
      <c r="S179" t="s">
        <v>420</v>
      </c>
      <c r="T179" t="s">
        <v>1776</v>
      </c>
      <c r="U179">
        <v>3.5626071298763145E-5</v>
      </c>
      <c r="V179" t="s">
        <v>251</v>
      </c>
      <c r="X179">
        <v>1.1415525114155251E-4</v>
      </c>
      <c r="Y179">
        <v>1.4585353321897094E-4</v>
      </c>
      <c r="Z179" t="s">
        <v>1776</v>
      </c>
      <c r="AA179" t="s">
        <v>25</v>
      </c>
      <c r="AC179" t="s">
        <v>22</v>
      </c>
      <c r="AD179" t="s">
        <v>1776</v>
      </c>
      <c r="AE179">
        <v>1.1765222621675617E-4</v>
      </c>
      <c r="AG179" t="s">
        <v>97</v>
      </c>
      <c r="AH179" t="s">
        <v>1776</v>
      </c>
      <c r="AI179">
        <v>0</v>
      </c>
      <c r="AK179">
        <v>2036</v>
      </c>
      <c r="AL179" t="s">
        <v>151</v>
      </c>
      <c r="AM179">
        <v>0.22989999999999999</v>
      </c>
      <c r="AN179" t="s">
        <v>430</v>
      </c>
    </row>
    <row r="180" spans="5:40" x14ac:dyDescent="0.45">
      <c r="E180" t="s">
        <v>1481</v>
      </c>
      <c r="G180" t="s">
        <v>160</v>
      </c>
      <c r="I180" t="s">
        <v>249</v>
      </c>
      <c r="J180" t="s">
        <v>1777</v>
      </c>
      <c r="K180">
        <v>2.0133319667840001E-4</v>
      </c>
      <c r="L180" t="s">
        <v>251</v>
      </c>
      <c r="N180" t="s">
        <v>419</v>
      </c>
      <c r="O180" t="s">
        <v>1777</v>
      </c>
      <c r="P180">
        <v>4.2552133614063649E-5</v>
      </c>
      <c r="Q180" t="s">
        <v>251</v>
      </c>
      <c r="S180" t="s">
        <v>420</v>
      </c>
      <c r="T180" t="s">
        <v>1777</v>
      </c>
      <c r="U180">
        <v>3.3552930891171919E-5</v>
      </c>
      <c r="V180" t="s">
        <v>251</v>
      </c>
      <c r="X180">
        <v>1.1415525114155251E-4</v>
      </c>
      <c r="Y180">
        <v>1.4452759200788939E-4</v>
      </c>
      <c r="Z180" t="s">
        <v>1777</v>
      </c>
      <c r="AA180" t="s">
        <v>25</v>
      </c>
      <c r="AC180" t="s">
        <v>22</v>
      </c>
      <c r="AD180" t="s">
        <v>1777</v>
      </c>
      <c r="AE180">
        <v>1.1900590183799991E-4</v>
      </c>
      <c r="AG180" t="s">
        <v>97</v>
      </c>
      <c r="AH180" t="s">
        <v>1777</v>
      </c>
      <c r="AI180">
        <v>0</v>
      </c>
      <c r="AK180">
        <v>2036</v>
      </c>
      <c r="AL180" t="s">
        <v>156</v>
      </c>
      <c r="AM180">
        <v>0.27160000000000001</v>
      </c>
      <c r="AN180" t="s">
        <v>430</v>
      </c>
    </row>
    <row r="181" spans="5:40" x14ac:dyDescent="0.45">
      <c r="E181" t="s">
        <v>1482</v>
      </c>
      <c r="G181" t="s">
        <v>160</v>
      </c>
      <c r="I181" t="s">
        <v>249</v>
      </c>
      <c r="J181" t="s">
        <v>1778</v>
      </c>
      <c r="K181">
        <v>2.5686442214030002E-4</v>
      </c>
      <c r="L181" t="s">
        <v>251</v>
      </c>
      <c r="N181" t="s">
        <v>419</v>
      </c>
      <c r="O181" t="s">
        <v>1778</v>
      </c>
      <c r="P181">
        <v>4.8735703114342031E-5</v>
      </c>
      <c r="Q181" t="s">
        <v>251</v>
      </c>
      <c r="S181" t="s">
        <v>420</v>
      </c>
      <c r="T181" t="s">
        <v>1778</v>
      </c>
      <c r="U181">
        <v>3.2402657539133723E-5</v>
      </c>
      <c r="V181" t="s">
        <v>251</v>
      </c>
      <c r="X181">
        <v>1.1415525114155251E-4</v>
      </c>
      <c r="Y181">
        <v>1.408812536774151E-4</v>
      </c>
      <c r="Z181" t="s">
        <v>1778</v>
      </c>
      <c r="AA181" t="s">
        <v>25</v>
      </c>
      <c r="AC181" t="s">
        <v>22</v>
      </c>
      <c r="AD181" t="s">
        <v>1778</v>
      </c>
      <c r="AE181">
        <v>1.0963935784804439E-4</v>
      </c>
      <c r="AG181" t="s">
        <v>97</v>
      </c>
      <c r="AH181" t="s">
        <v>1778</v>
      </c>
      <c r="AI181">
        <v>0</v>
      </c>
      <c r="AK181">
        <v>2036</v>
      </c>
      <c r="AL181" t="s">
        <v>159</v>
      </c>
      <c r="AM181">
        <v>0.24759999999999999</v>
      </c>
      <c r="AN181" t="s">
        <v>430</v>
      </c>
    </row>
    <row r="182" spans="5:40" x14ac:dyDescent="0.45">
      <c r="E182" t="s">
        <v>1483</v>
      </c>
      <c r="G182" t="s">
        <v>160</v>
      </c>
      <c r="I182" t="s">
        <v>249</v>
      </c>
      <c r="J182" t="s">
        <v>1779</v>
      </c>
      <c r="K182">
        <v>2.6336264277630002E-4</v>
      </c>
      <c r="L182" t="s">
        <v>251</v>
      </c>
      <c r="N182" t="s">
        <v>419</v>
      </c>
      <c r="O182" t="s">
        <v>1779</v>
      </c>
      <c r="P182">
        <v>5.6174020890056403E-5</v>
      </c>
      <c r="Q182" t="s">
        <v>251</v>
      </c>
      <c r="S182" t="s">
        <v>420</v>
      </c>
      <c r="T182" t="s">
        <v>1779</v>
      </c>
      <c r="U182">
        <v>3.2334243556424614E-5</v>
      </c>
      <c r="V182" t="s">
        <v>251</v>
      </c>
      <c r="X182">
        <v>1.1415525114155251E-4</v>
      </c>
      <c r="Y182">
        <v>1.4054976837464471E-4</v>
      </c>
      <c r="Z182" t="s">
        <v>1779</v>
      </c>
      <c r="AA182" t="s">
        <v>25</v>
      </c>
      <c r="AC182" t="s">
        <v>22</v>
      </c>
      <c r="AD182" t="s">
        <v>1779</v>
      </c>
      <c r="AE182">
        <v>1.1256173739909154E-4</v>
      </c>
      <c r="AG182" t="s">
        <v>97</v>
      </c>
      <c r="AH182" t="s">
        <v>1779</v>
      </c>
      <c r="AI182">
        <v>0</v>
      </c>
      <c r="AK182">
        <v>2036</v>
      </c>
      <c r="AL182" t="s">
        <v>163</v>
      </c>
      <c r="AM182">
        <v>0.28820000000000001</v>
      </c>
      <c r="AN182" t="s">
        <v>430</v>
      </c>
    </row>
    <row r="183" spans="5:40" x14ac:dyDescent="0.45">
      <c r="E183" t="s">
        <v>1484</v>
      </c>
      <c r="G183" t="s">
        <v>160</v>
      </c>
      <c r="I183" t="s">
        <v>249</v>
      </c>
      <c r="J183" t="s">
        <v>1780</v>
      </c>
      <c r="K183">
        <v>2.5149996196069998E-4</v>
      </c>
      <c r="L183" t="s">
        <v>251</v>
      </c>
      <c r="N183" t="s">
        <v>419</v>
      </c>
      <c r="O183" t="s">
        <v>1780</v>
      </c>
      <c r="P183">
        <v>6.6347639393457864E-5</v>
      </c>
      <c r="Q183" t="s">
        <v>251</v>
      </c>
      <c r="S183" t="s">
        <v>420</v>
      </c>
      <c r="T183" t="s">
        <v>1780</v>
      </c>
      <c r="U183">
        <v>3.265714146279382E-5</v>
      </c>
      <c r="V183" t="s">
        <v>251</v>
      </c>
      <c r="X183">
        <v>1.1415525114155251E-4</v>
      </c>
      <c r="Y183">
        <v>1.4253868019126702E-4</v>
      </c>
      <c r="Z183" t="s">
        <v>1780</v>
      </c>
      <c r="AA183" t="s">
        <v>25</v>
      </c>
      <c r="AC183" t="s">
        <v>22</v>
      </c>
      <c r="AD183" t="s">
        <v>1780</v>
      </c>
      <c r="AE183">
        <v>1.2671795340199081E-4</v>
      </c>
      <c r="AG183" t="s">
        <v>97</v>
      </c>
      <c r="AH183" t="s">
        <v>1780</v>
      </c>
      <c r="AI183">
        <v>0</v>
      </c>
      <c r="AK183">
        <v>2036</v>
      </c>
      <c r="AL183" t="s">
        <v>167</v>
      </c>
      <c r="AM183">
        <v>0.37619999999999998</v>
      </c>
      <c r="AN183" t="s">
        <v>430</v>
      </c>
    </row>
    <row r="184" spans="5:40" x14ac:dyDescent="0.45">
      <c r="E184" t="s">
        <v>1485</v>
      </c>
      <c r="G184" t="s">
        <v>160</v>
      </c>
      <c r="I184" t="s">
        <v>249</v>
      </c>
      <c r="J184" t="s">
        <v>1781</v>
      </c>
      <c r="K184">
        <v>2.513022316142E-4</v>
      </c>
      <c r="L184" t="s">
        <v>251</v>
      </c>
      <c r="N184" t="s">
        <v>419</v>
      </c>
      <c r="O184" t="s">
        <v>1781</v>
      </c>
      <c r="P184">
        <v>7.8262800811071674E-5</v>
      </c>
      <c r="Q184" t="s">
        <v>251</v>
      </c>
      <c r="S184" t="s">
        <v>420</v>
      </c>
      <c r="T184" t="s">
        <v>1781</v>
      </c>
      <c r="U184">
        <v>3.6622171243453306E-5</v>
      </c>
      <c r="V184" t="s">
        <v>251</v>
      </c>
      <c r="X184">
        <v>1.1415525114155251E-4</v>
      </c>
      <c r="Y184">
        <v>1.4883690094390442E-4</v>
      </c>
      <c r="Z184" t="s">
        <v>1781</v>
      </c>
      <c r="AA184" t="s">
        <v>25</v>
      </c>
      <c r="AC184" t="s">
        <v>22</v>
      </c>
      <c r="AD184" t="s">
        <v>1781</v>
      </c>
      <c r="AE184">
        <v>1.2753238704736462E-4</v>
      </c>
      <c r="AG184" t="s">
        <v>97</v>
      </c>
      <c r="AH184" t="s">
        <v>1781</v>
      </c>
      <c r="AI184">
        <v>0</v>
      </c>
      <c r="AK184">
        <v>2036</v>
      </c>
      <c r="AL184" t="s">
        <v>169</v>
      </c>
      <c r="AM184">
        <v>0.44330000000000003</v>
      </c>
      <c r="AN184" t="s">
        <v>430</v>
      </c>
    </row>
    <row r="185" spans="5:40" x14ac:dyDescent="0.45">
      <c r="E185" t="s">
        <v>1486</v>
      </c>
      <c r="G185" t="s">
        <v>160</v>
      </c>
      <c r="I185" t="s">
        <v>249</v>
      </c>
      <c r="J185" t="s">
        <v>1782</v>
      </c>
      <c r="K185">
        <v>2.490416645634E-4</v>
      </c>
      <c r="L185" t="s">
        <v>251</v>
      </c>
      <c r="N185" t="s">
        <v>419</v>
      </c>
      <c r="O185" t="s">
        <v>1782</v>
      </c>
      <c r="P185">
        <v>9.7054714322726698E-5</v>
      </c>
      <c r="Q185" t="s">
        <v>251</v>
      </c>
      <c r="S185" t="s">
        <v>420</v>
      </c>
      <c r="T185" t="s">
        <v>1782</v>
      </c>
      <c r="U185">
        <v>4.2984379308466039E-5</v>
      </c>
      <c r="V185" t="s">
        <v>251</v>
      </c>
      <c r="X185">
        <v>1.1415525114155251E-4</v>
      </c>
      <c r="Y185">
        <v>1.5049432745775637E-4</v>
      </c>
      <c r="Z185" t="s">
        <v>1782</v>
      </c>
      <c r="AA185" t="s">
        <v>25</v>
      </c>
      <c r="AC185" t="s">
        <v>22</v>
      </c>
      <c r="AD185" t="s">
        <v>1782</v>
      </c>
      <c r="AE185">
        <v>1.2495984629884465E-4</v>
      </c>
      <c r="AG185" t="s">
        <v>97</v>
      </c>
      <c r="AH185" t="s">
        <v>1782</v>
      </c>
      <c r="AI185">
        <v>0</v>
      </c>
      <c r="AK185">
        <v>2036</v>
      </c>
      <c r="AL185" t="s">
        <v>171</v>
      </c>
      <c r="AM185">
        <v>0.56479999999999997</v>
      </c>
      <c r="AN185" t="s">
        <v>430</v>
      </c>
    </row>
    <row r="186" spans="5:40" x14ac:dyDescent="0.45">
      <c r="E186" t="s">
        <v>1487</v>
      </c>
      <c r="G186" t="s">
        <v>160</v>
      </c>
      <c r="I186" t="s">
        <v>249</v>
      </c>
      <c r="J186" t="s">
        <v>1783</v>
      </c>
      <c r="K186">
        <v>2.291660581489E-4</v>
      </c>
      <c r="L186" t="s">
        <v>251</v>
      </c>
      <c r="N186" t="s">
        <v>419</v>
      </c>
      <c r="O186" t="s">
        <v>1783</v>
      </c>
      <c r="P186">
        <v>9.6247007411737878E-5</v>
      </c>
      <c r="Q186" t="s">
        <v>251</v>
      </c>
      <c r="S186" t="s">
        <v>420</v>
      </c>
      <c r="T186" t="s">
        <v>1783</v>
      </c>
      <c r="U186">
        <v>4.6944457584479303E-5</v>
      </c>
      <c r="V186" t="s">
        <v>251</v>
      </c>
      <c r="X186">
        <v>1.1415525114155251E-4</v>
      </c>
      <c r="Y186">
        <v>1.7237235744060203E-4</v>
      </c>
      <c r="Z186" t="s">
        <v>1783</v>
      </c>
      <c r="AA186" t="s">
        <v>25</v>
      </c>
      <c r="AC186" t="s">
        <v>22</v>
      </c>
      <c r="AD186" t="s">
        <v>1783</v>
      </c>
      <c r="AE186">
        <v>1.1087939156528247E-4</v>
      </c>
      <c r="AG186" t="s">
        <v>97</v>
      </c>
      <c r="AH186" t="s">
        <v>1783</v>
      </c>
      <c r="AI186">
        <v>0</v>
      </c>
      <c r="AK186">
        <v>2036</v>
      </c>
      <c r="AL186" t="s">
        <v>158</v>
      </c>
      <c r="AM186">
        <v>0.6623</v>
      </c>
      <c r="AN186" t="s">
        <v>430</v>
      </c>
    </row>
    <row r="187" spans="5:40" x14ac:dyDescent="0.45">
      <c r="E187" t="s">
        <v>1488</v>
      </c>
      <c r="G187" t="s">
        <v>160</v>
      </c>
      <c r="I187" t="s">
        <v>249</v>
      </c>
      <c r="J187" t="s">
        <v>1784</v>
      </c>
      <c r="K187">
        <v>1.9114413000119999E-4</v>
      </c>
      <c r="L187" t="s">
        <v>251</v>
      </c>
      <c r="N187" t="s">
        <v>419</v>
      </c>
      <c r="O187" t="s">
        <v>1784</v>
      </c>
      <c r="P187">
        <v>9.2769618416245424E-5</v>
      </c>
      <c r="Q187" t="s">
        <v>251</v>
      </c>
      <c r="S187" t="s">
        <v>420</v>
      </c>
      <c r="T187" t="s">
        <v>1784</v>
      </c>
      <c r="U187">
        <v>5.2986614082952129E-5</v>
      </c>
      <c r="V187" t="s">
        <v>251</v>
      </c>
      <c r="X187">
        <v>1.1415525114155251E-4</v>
      </c>
      <c r="Y187">
        <v>2.2209515285616027E-4</v>
      </c>
      <c r="Z187" t="s">
        <v>1784</v>
      </c>
      <c r="AA187" t="s">
        <v>25</v>
      </c>
      <c r="AC187" t="s">
        <v>22</v>
      </c>
      <c r="AD187" t="s">
        <v>1784</v>
      </c>
      <c r="AE187">
        <v>8.5264283575147267E-5</v>
      </c>
      <c r="AG187" t="s">
        <v>97</v>
      </c>
      <c r="AH187" t="s">
        <v>1784</v>
      </c>
      <c r="AI187">
        <v>0</v>
      </c>
      <c r="AK187">
        <v>2036</v>
      </c>
      <c r="AL187" t="s">
        <v>162</v>
      </c>
      <c r="AM187">
        <v>0.56359999999999999</v>
      </c>
      <c r="AN187" t="s">
        <v>430</v>
      </c>
    </row>
    <row r="188" spans="5:40" x14ac:dyDescent="0.45">
      <c r="E188" t="s">
        <v>1489</v>
      </c>
      <c r="G188" t="s">
        <v>160</v>
      </c>
      <c r="I188" t="s">
        <v>249</v>
      </c>
      <c r="J188" t="s">
        <v>1785</v>
      </c>
      <c r="K188">
        <v>1.4006175085969999E-4</v>
      </c>
      <c r="L188" t="s">
        <v>251</v>
      </c>
      <c r="N188" t="s">
        <v>419</v>
      </c>
      <c r="O188" t="s">
        <v>1785</v>
      </c>
      <c r="P188">
        <v>9.0051817719097413E-5</v>
      </c>
      <c r="Q188" t="s">
        <v>251</v>
      </c>
      <c r="S188" t="s">
        <v>420</v>
      </c>
      <c r="T188" t="s">
        <v>1785</v>
      </c>
      <c r="U188">
        <v>6.0662277764767882E-5</v>
      </c>
      <c r="V188" t="s">
        <v>251</v>
      </c>
      <c r="X188">
        <v>1.1415525114155251E-4</v>
      </c>
      <c r="Y188">
        <v>2.2209515285616027E-4</v>
      </c>
      <c r="Z188" t="s">
        <v>1785</v>
      </c>
      <c r="AA188" t="s">
        <v>25</v>
      </c>
      <c r="AC188" t="s">
        <v>22</v>
      </c>
      <c r="AD188" t="s">
        <v>1785</v>
      </c>
      <c r="AE188">
        <v>5.2663540897606206E-5</v>
      </c>
      <c r="AG188" t="s">
        <v>97</v>
      </c>
      <c r="AH188" t="s">
        <v>1785</v>
      </c>
      <c r="AI188">
        <v>0</v>
      </c>
      <c r="AK188">
        <v>2036</v>
      </c>
      <c r="AL188" t="s">
        <v>175</v>
      </c>
      <c r="AM188">
        <v>0.48159999999999997</v>
      </c>
      <c r="AN188" t="s">
        <v>430</v>
      </c>
    </row>
    <row r="189" spans="5:40" x14ac:dyDescent="0.45">
      <c r="E189" t="s">
        <v>1490</v>
      </c>
      <c r="G189" t="s">
        <v>160</v>
      </c>
      <c r="I189" t="s">
        <v>249</v>
      </c>
      <c r="J189" t="s">
        <v>1786</v>
      </c>
      <c r="K189">
        <v>4.6136413229286455E-5</v>
      </c>
      <c r="L189" t="s">
        <v>251</v>
      </c>
      <c r="N189" t="s">
        <v>419</v>
      </c>
      <c r="O189" t="s">
        <v>1786</v>
      </c>
      <c r="P189">
        <v>1.024875111608E-4</v>
      </c>
      <c r="Q189" t="s">
        <v>251</v>
      </c>
      <c r="S189" t="s">
        <v>420</v>
      </c>
      <c r="T189" t="s">
        <v>1786</v>
      </c>
      <c r="U189">
        <v>6.7138044818866019E-5</v>
      </c>
      <c r="V189" t="s">
        <v>251</v>
      </c>
      <c r="X189">
        <v>1.1415525114155251E-4</v>
      </c>
      <c r="Y189">
        <v>1.7237235744060203E-4</v>
      </c>
      <c r="Z189" t="s">
        <v>1786</v>
      </c>
      <c r="AA189" t="s">
        <v>25</v>
      </c>
      <c r="AC189" t="s">
        <v>22</v>
      </c>
      <c r="AD189" t="s">
        <v>1786</v>
      </c>
      <c r="AE189">
        <v>3.1430331029571033E-5</v>
      </c>
      <c r="AG189" t="s">
        <v>97</v>
      </c>
      <c r="AH189" t="s">
        <v>1786</v>
      </c>
      <c r="AI189">
        <v>0</v>
      </c>
      <c r="AK189">
        <v>2036</v>
      </c>
      <c r="AL189" t="s">
        <v>166</v>
      </c>
      <c r="AM189">
        <v>0.26840000000000003</v>
      </c>
      <c r="AN189" t="s">
        <v>430</v>
      </c>
    </row>
    <row r="190" spans="5:40" x14ac:dyDescent="0.45">
      <c r="E190" t="s">
        <v>1491</v>
      </c>
      <c r="G190" t="s">
        <v>160</v>
      </c>
      <c r="I190" t="s">
        <v>249</v>
      </c>
      <c r="J190" t="s">
        <v>1787</v>
      </c>
      <c r="K190">
        <v>0</v>
      </c>
      <c r="L190" t="s">
        <v>251</v>
      </c>
      <c r="N190" t="s">
        <v>419</v>
      </c>
      <c r="O190" t="s">
        <v>1787</v>
      </c>
      <c r="P190">
        <v>1.2406961428639999E-4</v>
      </c>
      <c r="Q190" t="s">
        <v>251</v>
      </c>
      <c r="S190" t="s">
        <v>420</v>
      </c>
      <c r="T190" t="s">
        <v>1787</v>
      </c>
      <c r="U190">
        <v>7.1919125038058196E-5</v>
      </c>
      <c r="V190" t="s">
        <v>251</v>
      </c>
      <c r="X190">
        <v>1.1415525114155251E-4</v>
      </c>
      <c r="Y190">
        <v>1.5579809230208258E-4</v>
      </c>
      <c r="Z190" t="s">
        <v>1787</v>
      </c>
      <c r="AA190" t="s">
        <v>25</v>
      </c>
      <c r="AC190" t="s">
        <v>22</v>
      </c>
      <c r="AD190" t="s">
        <v>1787</v>
      </c>
      <c r="AE190">
        <v>2.5424022161978544E-5</v>
      </c>
      <c r="AG190" t="s">
        <v>97</v>
      </c>
      <c r="AH190" t="s">
        <v>1787</v>
      </c>
      <c r="AI190">
        <v>0</v>
      </c>
      <c r="AK190">
        <v>2036</v>
      </c>
      <c r="AL190" t="s">
        <v>178</v>
      </c>
      <c r="AM190">
        <v>0.23630000000000001</v>
      </c>
      <c r="AN190" t="s">
        <v>430</v>
      </c>
    </row>
    <row r="191" spans="5:40" x14ac:dyDescent="0.45">
      <c r="E191" t="s">
        <v>1492</v>
      </c>
      <c r="G191" t="s">
        <v>160</v>
      </c>
      <c r="I191" t="s">
        <v>249</v>
      </c>
      <c r="J191" t="s">
        <v>1788</v>
      </c>
      <c r="K191">
        <v>0</v>
      </c>
      <c r="L191" t="s">
        <v>251</v>
      </c>
      <c r="N191" t="s">
        <v>419</v>
      </c>
      <c r="O191" t="s">
        <v>1788</v>
      </c>
      <c r="P191">
        <v>1.4820796827279999E-4</v>
      </c>
      <c r="Q191" t="s">
        <v>251</v>
      </c>
      <c r="S191" t="s">
        <v>420</v>
      </c>
      <c r="T191" t="s">
        <v>1788</v>
      </c>
      <c r="U191">
        <v>7.409400340954104E-5</v>
      </c>
      <c r="V191" t="s">
        <v>251</v>
      </c>
      <c r="X191">
        <v>1.1415525114155251E-4</v>
      </c>
      <c r="Y191">
        <v>1.093901499142282E-4</v>
      </c>
      <c r="Z191" t="s">
        <v>1788</v>
      </c>
      <c r="AA191" t="s">
        <v>25</v>
      </c>
      <c r="AC191" t="s">
        <v>22</v>
      </c>
      <c r="AD191" t="s">
        <v>1788</v>
      </c>
      <c r="AE191">
        <v>2.4727686965865499E-5</v>
      </c>
      <c r="AG191" t="s">
        <v>97</v>
      </c>
      <c r="AH191" t="s">
        <v>1788</v>
      </c>
      <c r="AI191">
        <v>0</v>
      </c>
      <c r="AK191">
        <v>2037</v>
      </c>
      <c r="AL191" t="s">
        <v>151</v>
      </c>
      <c r="AM191">
        <v>0.25280000000000002</v>
      </c>
      <c r="AN191" t="s">
        <v>430</v>
      </c>
    </row>
    <row r="192" spans="5:40" x14ac:dyDescent="0.45">
      <c r="E192" t="s">
        <v>1493</v>
      </c>
      <c r="G192" t="s">
        <v>160</v>
      </c>
      <c r="I192" t="s">
        <v>249</v>
      </c>
      <c r="J192" t="s">
        <v>1789</v>
      </c>
      <c r="K192">
        <v>0</v>
      </c>
      <c r="L192" t="s">
        <v>251</v>
      </c>
      <c r="N192" t="s">
        <v>419</v>
      </c>
      <c r="O192" t="s">
        <v>1789</v>
      </c>
      <c r="P192">
        <v>1.6226337318430001E-4</v>
      </c>
      <c r="Q192" t="s">
        <v>251</v>
      </c>
      <c r="S192" t="s">
        <v>420</v>
      </c>
      <c r="T192" t="s">
        <v>1789</v>
      </c>
      <c r="U192">
        <v>7.3873067585297441E-5</v>
      </c>
      <c r="V192" t="s">
        <v>251</v>
      </c>
      <c r="X192">
        <v>1.1415525114155251E-4</v>
      </c>
      <c r="Y192">
        <v>7.9556472664893237E-5</v>
      </c>
      <c r="Z192" t="s">
        <v>1789</v>
      </c>
      <c r="AA192" t="s">
        <v>25</v>
      </c>
      <c r="AC192" t="s">
        <v>22</v>
      </c>
      <c r="AD192" t="s">
        <v>1789</v>
      </c>
      <c r="AE192">
        <v>2.4811247189399053E-5</v>
      </c>
      <c r="AG192" t="s">
        <v>97</v>
      </c>
      <c r="AH192" t="s">
        <v>1789</v>
      </c>
      <c r="AI192">
        <v>0</v>
      </c>
      <c r="AK192">
        <v>2037</v>
      </c>
      <c r="AL192" t="s">
        <v>156</v>
      </c>
      <c r="AM192">
        <v>0.27289999999999998</v>
      </c>
      <c r="AN192" t="s">
        <v>430</v>
      </c>
    </row>
    <row r="193" spans="5:40" x14ac:dyDescent="0.45">
      <c r="E193" t="s">
        <v>1494</v>
      </c>
      <c r="G193" t="s">
        <v>160</v>
      </c>
      <c r="I193" t="s">
        <v>249</v>
      </c>
      <c r="J193" t="s">
        <v>1790</v>
      </c>
      <c r="K193">
        <v>0</v>
      </c>
      <c r="L193" t="s">
        <v>251</v>
      </c>
      <c r="N193" t="s">
        <v>419</v>
      </c>
      <c r="O193" t="s">
        <v>1790</v>
      </c>
      <c r="P193">
        <v>1.6085845038680001E-4</v>
      </c>
      <c r="Q193" t="s">
        <v>251</v>
      </c>
      <c r="S193" t="s">
        <v>420</v>
      </c>
      <c r="T193" t="s">
        <v>1790</v>
      </c>
      <c r="U193">
        <v>7.1748423650904957E-5</v>
      </c>
      <c r="V193" t="s">
        <v>251</v>
      </c>
      <c r="X193">
        <v>1.1415525114155251E-4</v>
      </c>
      <c r="Y193">
        <v>5.6352501470966035E-5</v>
      </c>
      <c r="Z193" t="s">
        <v>1790</v>
      </c>
      <c r="AA193" t="s">
        <v>25</v>
      </c>
      <c r="AC193" t="s">
        <v>22</v>
      </c>
      <c r="AD193" t="s">
        <v>1790</v>
      </c>
      <c r="AE193">
        <v>2.6258510261000392E-5</v>
      </c>
      <c r="AG193" t="s">
        <v>97</v>
      </c>
      <c r="AH193" t="s">
        <v>1790</v>
      </c>
      <c r="AI193">
        <v>0</v>
      </c>
      <c r="AK193">
        <v>2037</v>
      </c>
      <c r="AL193" t="s">
        <v>159</v>
      </c>
      <c r="AM193">
        <v>0.28689999999999999</v>
      </c>
      <c r="AN193" t="s">
        <v>430</v>
      </c>
    </row>
    <row r="194" spans="5:40" x14ac:dyDescent="0.45">
      <c r="E194" t="s">
        <v>1495</v>
      </c>
      <c r="G194" t="s">
        <v>160</v>
      </c>
      <c r="I194" t="s">
        <v>249</v>
      </c>
      <c r="J194" t="s">
        <v>1791</v>
      </c>
      <c r="K194">
        <v>0</v>
      </c>
      <c r="L194" t="s">
        <v>251</v>
      </c>
      <c r="N194" t="s">
        <v>419</v>
      </c>
      <c r="O194" t="s">
        <v>1791</v>
      </c>
      <c r="P194">
        <v>1.5052724463439999E-4</v>
      </c>
      <c r="Q194" t="s">
        <v>251</v>
      </c>
      <c r="S194" t="s">
        <v>420</v>
      </c>
      <c r="T194" t="s">
        <v>1791</v>
      </c>
      <c r="U194">
        <v>6.9823751997285594E-5</v>
      </c>
      <c r="V194" t="s">
        <v>251</v>
      </c>
      <c r="X194">
        <v>1.1415525114155251E-4</v>
      </c>
      <c r="Y194">
        <v>2.9833677249334962E-5</v>
      </c>
      <c r="Z194" t="s">
        <v>1791</v>
      </c>
      <c r="AA194" t="s">
        <v>25</v>
      </c>
      <c r="AC194" t="s">
        <v>22</v>
      </c>
      <c r="AD194" t="s">
        <v>1791</v>
      </c>
      <c r="AE194">
        <v>4.7609818578296338E-5</v>
      </c>
      <c r="AG194" t="s">
        <v>97</v>
      </c>
      <c r="AH194" t="s">
        <v>1791</v>
      </c>
      <c r="AI194">
        <v>0</v>
      </c>
      <c r="AK194">
        <v>2037</v>
      </c>
      <c r="AL194" t="s">
        <v>163</v>
      </c>
      <c r="AM194">
        <v>0.33589999999999998</v>
      </c>
      <c r="AN194" t="s">
        <v>430</v>
      </c>
    </row>
    <row r="195" spans="5:40" x14ac:dyDescent="0.45">
      <c r="E195" t="s">
        <v>1496</v>
      </c>
      <c r="G195" t="s">
        <v>160</v>
      </c>
      <c r="I195" t="s">
        <v>249</v>
      </c>
      <c r="J195" t="s">
        <v>267</v>
      </c>
      <c r="K195">
        <v>2.9312646605838719E-4</v>
      </c>
      <c r="L195" t="s">
        <v>251</v>
      </c>
      <c r="N195" t="s">
        <v>419</v>
      </c>
      <c r="O195" t="s">
        <v>267</v>
      </c>
      <c r="P195">
        <v>1.9345563279855673E-2</v>
      </c>
      <c r="Q195" t="s">
        <v>251</v>
      </c>
      <c r="S195" t="s">
        <v>420</v>
      </c>
      <c r="T195" t="s">
        <v>267</v>
      </c>
      <c r="U195">
        <v>1.6143224990212101E-2</v>
      </c>
      <c r="V195" t="s">
        <v>251</v>
      </c>
      <c r="X195">
        <v>2.4771689497716895E-2</v>
      </c>
      <c r="Y195">
        <v>9.7827942553597048E-3</v>
      </c>
      <c r="Z195" t="s">
        <v>267</v>
      </c>
      <c r="AA195" t="s">
        <v>25</v>
      </c>
      <c r="AC195" t="s">
        <v>22</v>
      </c>
      <c r="AD195" t="s">
        <v>267</v>
      </c>
      <c r="AE195">
        <v>2.4302320859487976E-2</v>
      </c>
      <c r="AG195" t="s">
        <v>97</v>
      </c>
      <c r="AH195" t="s">
        <v>267</v>
      </c>
      <c r="AI195">
        <v>0.14526265579127196</v>
      </c>
      <c r="AK195">
        <v>2037</v>
      </c>
      <c r="AL195" t="s">
        <v>167</v>
      </c>
      <c r="AM195">
        <v>0.35089999999999999</v>
      </c>
      <c r="AN195" t="s">
        <v>430</v>
      </c>
    </row>
    <row r="196" spans="5:40" x14ac:dyDescent="0.45">
      <c r="E196" t="s">
        <v>1497</v>
      </c>
      <c r="G196" t="s">
        <v>160</v>
      </c>
      <c r="I196" t="s">
        <v>249</v>
      </c>
      <c r="J196" t="s">
        <v>268</v>
      </c>
      <c r="K196">
        <v>3.4677654736681939E-3</v>
      </c>
      <c r="L196" t="s">
        <v>251</v>
      </c>
      <c r="N196" t="s">
        <v>419</v>
      </c>
      <c r="O196" t="s">
        <v>268</v>
      </c>
      <c r="P196">
        <v>1.6352365781032144E-3</v>
      </c>
      <c r="Q196" t="s">
        <v>251</v>
      </c>
      <c r="S196" t="s">
        <v>420</v>
      </c>
      <c r="T196" t="s">
        <v>268</v>
      </c>
      <c r="U196">
        <v>2.0041009813787599E-3</v>
      </c>
      <c r="V196" t="s">
        <v>251</v>
      </c>
      <c r="X196">
        <v>3.5388127853881279E-3</v>
      </c>
      <c r="Y196">
        <v>5.9087255218821738E-3</v>
      </c>
      <c r="Z196" t="s">
        <v>268</v>
      </c>
      <c r="AA196" t="s">
        <v>25</v>
      </c>
      <c r="AC196" t="s">
        <v>22</v>
      </c>
      <c r="AD196" t="s">
        <v>268</v>
      </c>
      <c r="AE196">
        <v>4.2282817583791125E-3</v>
      </c>
      <c r="AG196" t="s">
        <v>97</v>
      </c>
      <c r="AH196" t="s">
        <v>268</v>
      </c>
      <c r="AI196">
        <v>4.2218000759207452E-2</v>
      </c>
      <c r="AK196">
        <v>2037</v>
      </c>
      <c r="AL196" t="s">
        <v>169</v>
      </c>
      <c r="AM196">
        <v>0.48730000000000001</v>
      </c>
      <c r="AN196" t="s">
        <v>430</v>
      </c>
    </row>
    <row r="197" spans="5:40" x14ac:dyDescent="0.45">
      <c r="E197" t="s">
        <v>1498</v>
      </c>
      <c r="G197" t="s">
        <v>160</v>
      </c>
      <c r="I197" t="s">
        <v>249</v>
      </c>
      <c r="J197" t="s">
        <v>269</v>
      </c>
      <c r="K197">
        <v>7.2857682322527845E-3</v>
      </c>
      <c r="L197" t="s">
        <v>251</v>
      </c>
      <c r="N197" t="s">
        <v>419</v>
      </c>
      <c r="O197" t="s">
        <v>269</v>
      </c>
      <c r="P197">
        <v>1.1202547024485481E-3</v>
      </c>
      <c r="Q197" t="s">
        <v>251</v>
      </c>
      <c r="S197" t="s">
        <v>420</v>
      </c>
      <c r="T197" t="s">
        <v>269</v>
      </c>
      <c r="U197">
        <v>1.8781287612856272E-3</v>
      </c>
      <c r="V197" t="s">
        <v>251</v>
      </c>
      <c r="X197">
        <v>3.5388127853881279E-3</v>
      </c>
      <c r="Y197">
        <v>4.521459529788099E-3</v>
      </c>
      <c r="Z197" t="s">
        <v>269</v>
      </c>
      <c r="AA197" t="s">
        <v>25</v>
      </c>
      <c r="AC197" t="s">
        <v>22</v>
      </c>
      <c r="AD197" t="s">
        <v>269</v>
      </c>
      <c r="AE197">
        <v>4.485965889848227E-3</v>
      </c>
      <c r="AG197" t="s">
        <v>97</v>
      </c>
      <c r="AH197" t="s">
        <v>269</v>
      </c>
      <c r="AI197">
        <v>3.3345104619624921E-2</v>
      </c>
      <c r="AK197">
        <v>2037</v>
      </c>
      <c r="AL197" t="s">
        <v>171</v>
      </c>
      <c r="AM197">
        <v>0.49869999999999998</v>
      </c>
      <c r="AN197" t="s">
        <v>430</v>
      </c>
    </row>
    <row r="198" spans="5:40" x14ac:dyDescent="0.45">
      <c r="E198" t="s">
        <v>1499</v>
      </c>
      <c r="G198" t="s">
        <v>160</v>
      </c>
      <c r="I198" t="s">
        <v>249</v>
      </c>
      <c r="J198" t="s">
        <v>270</v>
      </c>
      <c r="K198">
        <v>9.4148614109767995E-3</v>
      </c>
      <c r="L198" t="s">
        <v>251</v>
      </c>
      <c r="N198" t="s">
        <v>419</v>
      </c>
      <c r="O198" t="s">
        <v>270</v>
      </c>
      <c r="P198">
        <v>1.0053230087414301E-3</v>
      </c>
      <c r="Q198" t="s">
        <v>251</v>
      </c>
      <c r="S198" t="s">
        <v>420</v>
      </c>
      <c r="T198" t="s">
        <v>270</v>
      </c>
      <c r="U198">
        <v>1.7552643939331876E-3</v>
      </c>
      <c r="V198" t="s">
        <v>251</v>
      </c>
      <c r="X198">
        <v>3.5388127853881279E-3</v>
      </c>
      <c r="Y198">
        <v>4.4803553522445696E-3</v>
      </c>
      <c r="Z198" t="s">
        <v>270</v>
      </c>
      <c r="AA198" t="s">
        <v>25</v>
      </c>
      <c r="AC198" t="s">
        <v>22</v>
      </c>
      <c r="AD198" t="s">
        <v>270</v>
      </c>
      <c r="AE198">
        <v>4.6045679287228247E-3</v>
      </c>
      <c r="AG198" t="s">
        <v>97</v>
      </c>
      <c r="AH198" t="s">
        <v>270</v>
      </c>
      <c r="AI198">
        <v>2.2564439224357358E-2</v>
      </c>
      <c r="AK198">
        <v>2037</v>
      </c>
      <c r="AL198" t="s">
        <v>158</v>
      </c>
      <c r="AM198">
        <v>0.6482</v>
      </c>
      <c r="AN198" t="s">
        <v>430</v>
      </c>
    </row>
    <row r="199" spans="5:40" x14ac:dyDescent="0.45">
      <c r="E199" t="s">
        <v>1500</v>
      </c>
      <c r="G199" t="s">
        <v>160</v>
      </c>
      <c r="I199" t="s">
        <v>249</v>
      </c>
      <c r="J199" t="s">
        <v>271</v>
      </c>
      <c r="K199">
        <v>7.16507697908111E-2</v>
      </c>
      <c r="L199" t="s">
        <v>251</v>
      </c>
      <c r="N199" t="s">
        <v>419</v>
      </c>
      <c r="O199" t="s">
        <v>271</v>
      </c>
      <c r="P199">
        <v>7.846475582240317E-3</v>
      </c>
      <c r="Q199" t="s">
        <v>251</v>
      </c>
      <c r="S199" t="s">
        <v>420</v>
      </c>
      <c r="T199" t="s">
        <v>271</v>
      </c>
      <c r="U199">
        <v>1.1697585227563988E-2</v>
      </c>
      <c r="V199" t="s">
        <v>251</v>
      </c>
      <c r="X199">
        <v>2.4771689497716895E-2</v>
      </c>
      <c r="Y199">
        <v>3.4650821669194247E-2</v>
      </c>
      <c r="Z199" t="s">
        <v>271</v>
      </c>
      <c r="AA199" t="s">
        <v>25</v>
      </c>
      <c r="AC199" t="s">
        <v>22</v>
      </c>
      <c r="AD199" t="s">
        <v>271</v>
      </c>
      <c r="AE199">
        <v>3.1498985220223361E-2</v>
      </c>
      <c r="AG199" t="s">
        <v>97</v>
      </c>
      <c r="AH199" t="s">
        <v>271</v>
      </c>
      <c r="AI199">
        <v>0.15398274646096599</v>
      </c>
      <c r="AK199">
        <v>2037</v>
      </c>
      <c r="AL199" t="s">
        <v>162</v>
      </c>
      <c r="AM199">
        <v>0.5504</v>
      </c>
      <c r="AN199" t="s">
        <v>430</v>
      </c>
    </row>
    <row r="200" spans="5:40" x14ac:dyDescent="0.45">
      <c r="E200" t="s">
        <v>1501</v>
      </c>
      <c r="G200" t="s">
        <v>160</v>
      </c>
      <c r="I200" t="s">
        <v>249</v>
      </c>
      <c r="J200" t="s">
        <v>272</v>
      </c>
      <c r="K200">
        <v>7.0094705433080004E-3</v>
      </c>
      <c r="L200" t="s">
        <v>251</v>
      </c>
      <c r="N200" t="s">
        <v>419</v>
      </c>
      <c r="O200" t="s">
        <v>272</v>
      </c>
      <c r="P200">
        <v>1.7617574108067997E-3</v>
      </c>
      <c r="Q200" t="s">
        <v>251</v>
      </c>
      <c r="S200" t="s">
        <v>420</v>
      </c>
      <c r="T200" t="s">
        <v>272</v>
      </c>
      <c r="U200">
        <v>2.1600429705377054E-3</v>
      </c>
      <c r="V200" t="s">
        <v>251</v>
      </c>
      <c r="X200">
        <v>3.5388127853881279E-3</v>
      </c>
      <c r="Y200">
        <v>6.8849497385409693E-3</v>
      </c>
      <c r="Z200" t="s">
        <v>272</v>
      </c>
      <c r="AA200" t="s">
        <v>25</v>
      </c>
      <c r="AC200" t="s">
        <v>22</v>
      </c>
      <c r="AD200" t="s">
        <v>272</v>
      </c>
      <c r="AE200">
        <v>1.8909129029720201E-3</v>
      </c>
      <c r="AG200" t="s">
        <v>97</v>
      </c>
      <c r="AH200" t="s">
        <v>272</v>
      </c>
      <c r="AI200">
        <v>9.3662396235574263E-3</v>
      </c>
      <c r="AK200">
        <v>2037</v>
      </c>
      <c r="AL200" t="s">
        <v>175</v>
      </c>
      <c r="AM200">
        <v>0.46239999999999998</v>
      </c>
      <c r="AN200" t="s">
        <v>430</v>
      </c>
    </row>
    <row r="201" spans="5:40" x14ac:dyDescent="0.45">
      <c r="E201" t="s">
        <v>1502</v>
      </c>
      <c r="G201" t="s">
        <v>160</v>
      </c>
      <c r="I201" t="s">
        <v>249</v>
      </c>
      <c r="J201" t="s">
        <v>273</v>
      </c>
      <c r="K201">
        <v>3.2517568683463165E-3</v>
      </c>
      <c r="L201" t="s">
        <v>251</v>
      </c>
      <c r="N201" t="s">
        <v>419</v>
      </c>
      <c r="O201" t="s">
        <v>273</v>
      </c>
      <c r="P201">
        <v>2.3440424715298353E-3</v>
      </c>
      <c r="Q201" t="s">
        <v>251</v>
      </c>
      <c r="S201" t="s">
        <v>420</v>
      </c>
      <c r="T201" t="s">
        <v>273</v>
      </c>
      <c r="U201">
        <v>2.2669641357076502E-3</v>
      </c>
      <c r="V201" t="s">
        <v>251</v>
      </c>
      <c r="X201">
        <v>3.5388127853881279E-3</v>
      </c>
      <c r="Y201">
        <v>5.3435430806586613E-3</v>
      </c>
      <c r="Z201" t="s">
        <v>273</v>
      </c>
      <c r="AA201" t="s">
        <v>25</v>
      </c>
      <c r="AC201" t="s">
        <v>22</v>
      </c>
      <c r="AD201" t="s">
        <v>273</v>
      </c>
      <c r="AE201">
        <v>1.3568416337343522E-3</v>
      </c>
      <c r="AG201" t="s">
        <v>97</v>
      </c>
      <c r="AH201" t="s">
        <v>273</v>
      </c>
      <c r="AI201">
        <v>0.20468904606086746</v>
      </c>
      <c r="AK201">
        <v>2037</v>
      </c>
      <c r="AL201" t="s">
        <v>166</v>
      </c>
      <c r="AM201">
        <v>0.31819999999999998</v>
      </c>
      <c r="AN201" t="s">
        <v>430</v>
      </c>
    </row>
    <row r="202" spans="5:40" x14ac:dyDescent="0.45">
      <c r="E202" t="s">
        <v>1503</v>
      </c>
      <c r="G202" t="s">
        <v>160</v>
      </c>
      <c r="I202" t="s">
        <v>249</v>
      </c>
      <c r="J202" t="s">
        <v>274</v>
      </c>
      <c r="K202">
        <v>0</v>
      </c>
      <c r="L202" t="s">
        <v>251</v>
      </c>
      <c r="N202" t="s">
        <v>419</v>
      </c>
      <c r="O202" t="s">
        <v>274</v>
      </c>
      <c r="P202">
        <v>1.9002466882048097E-2</v>
      </c>
      <c r="Q202" t="s">
        <v>251</v>
      </c>
      <c r="S202" t="s">
        <v>420</v>
      </c>
      <c r="T202" t="s">
        <v>274</v>
      </c>
      <c r="U202">
        <v>1.1863639741341246E-2</v>
      </c>
      <c r="V202" t="s">
        <v>251</v>
      </c>
      <c r="X202">
        <v>1.7694063926940638E-2</v>
      </c>
      <c r="Y202">
        <v>1.3358857701646654E-2</v>
      </c>
      <c r="Z202" t="s">
        <v>274</v>
      </c>
      <c r="AA202" t="s">
        <v>25</v>
      </c>
      <c r="AC202" t="s">
        <v>22</v>
      </c>
      <c r="AD202" t="s">
        <v>274</v>
      </c>
      <c r="AE202">
        <v>7.0952003803463459E-3</v>
      </c>
      <c r="AG202" t="s">
        <v>97</v>
      </c>
      <c r="AH202" t="s">
        <v>274</v>
      </c>
      <c r="AI202">
        <v>0.24030876524921596</v>
      </c>
      <c r="AK202">
        <v>2037</v>
      </c>
      <c r="AL202" t="s">
        <v>178</v>
      </c>
      <c r="AM202">
        <v>0.24579999999999999</v>
      </c>
      <c r="AN202" t="s">
        <v>430</v>
      </c>
    </row>
    <row r="203" spans="5:40" x14ac:dyDescent="0.45">
      <c r="E203" t="s">
        <v>1504</v>
      </c>
      <c r="G203" t="s">
        <v>160</v>
      </c>
      <c r="I203" t="s">
        <v>249</v>
      </c>
      <c r="J203" t="s">
        <v>275</v>
      </c>
      <c r="K203">
        <v>1.0360373361579407E-3</v>
      </c>
      <c r="L203" t="s">
        <v>251</v>
      </c>
      <c r="N203" t="s">
        <v>419</v>
      </c>
      <c r="O203" t="s">
        <v>275</v>
      </c>
      <c r="P203">
        <v>1.9485233150436806E-2</v>
      </c>
      <c r="Q203" t="s">
        <v>251</v>
      </c>
      <c r="S203" t="s">
        <v>420</v>
      </c>
      <c r="T203" t="s">
        <v>275</v>
      </c>
      <c r="U203">
        <v>1.7777663579304985E-2</v>
      </c>
      <c r="V203" t="s">
        <v>251</v>
      </c>
      <c r="X203">
        <v>2.3972602739726026E-2</v>
      </c>
      <c r="Y203">
        <v>9.4672202471222967E-3</v>
      </c>
      <c r="Z203" t="s">
        <v>275</v>
      </c>
      <c r="AA203" t="s">
        <v>25</v>
      </c>
      <c r="AC203" t="s">
        <v>22</v>
      </c>
      <c r="AD203" t="s">
        <v>275</v>
      </c>
      <c r="AE203">
        <v>2.9518305559343878E-2</v>
      </c>
      <c r="AG203" t="s">
        <v>97</v>
      </c>
      <c r="AH203" t="s">
        <v>275</v>
      </c>
      <c r="AI203">
        <v>0.16334421103227581</v>
      </c>
      <c r="AK203">
        <v>2038</v>
      </c>
      <c r="AL203" t="s">
        <v>151</v>
      </c>
      <c r="AM203">
        <v>0.25800000000000001</v>
      </c>
      <c r="AN203" t="s">
        <v>430</v>
      </c>
    </row>
    <row r="204" spans="5:40" x14ac:dyDescent="0.45">
      <c r="E204" t="s">
        <v>1505</v>
      </c>
      <c r="G204" t="s">
        <v>160</v>
      </c>
      <c r="I204" t="s">
        <v>249</v>
      </c>
      <c r="J204" t="s">
        <v>276</v>
      </c>
      <c r="K204">
        <v>4.7521279065798E-3</v>
      </c>
      <c r="L204" t="s">
        <v>251</v>
      </c>
      <c r="N204" t="s">
        <v>419</v>
      </c>
      <c r="O204" t="s">
        <v>276</v>
      </c>
      <c r="P204">
        <v>1.3223677969484721E-3</v>
      </c>
      <c r="Q204" t="s">
        <v>251</v>
      </c>
      <c r="S204" t="s">
        <v>420</v>
      </c>
      <c r="T204" t="s">
        <v>276</v>
      </c>
      <c r="U204">
        <v>1.960563960703049E-3</v>
      </c>
      <c r="V204" t="s">
        <v>251</v>
      </c>
      <c r="X204">
        <v>3.4246575342465752E-3</v>
      </c>
      <c r="Y204">
        <v>5.7181214727892006E-3</v>
      </c>
      <c r="Z204" t="s">
        <v>276</v>
      </c>
      <c r="AA204" t="s">
        <v>25</v>
      </c>
      <c r="AC204" t="s">
        <v>22</v>
      </c>
      <c r="AD204" t="s">
        <v>276</v>
      </c>
      <c r="AE204">
        <v>5.1934961842249223E-3</v>
      </c>
      <c r="AG204" t="s">
        <v>97</v>
      </c>
      <c r="AH204" t="s">
        <v>276</v>
      </c>
      <c r="AI204">
        <v>3.5216654126259295E-2</v>
      </c>
      <c r="AK204">
        <v>2038</v>
      </c>
      <c r="AL204" t="s">
        <v>156</v>
      </c>
      <c r="AM204">
        <v>0.2656</v>
      </c>
      <c r="AN204" t="s">
        <v>430</v>
      </c>
    </row>
    <row r="205" spans="5:40" x14ac:dyDescent="0.45">
      <c r="E205" t="s">
        <v>1506</v>
      </c>
      <c r="G205" t="s">
        <v>160</v>
      </c>
      <c r="I205" t="s">
        <v>249</v>
      </c>
      <c r="J205" t="s">
        <v>277</v>
      </c>
      <c r="K205">
        <v>7.4743577824974003E-3</v>
      </c>
      <c r="L205" t="s">
        <v>251</v>
      </c>
      <c r="N205" t="s">
        <v>419</v>
      </c>
      <c r="O205" t="s">
        <v>277</v>
      </c>
      <c r="P205">
        <v>1.1012807675443903E-3</v>
      </c>
      <c r="Q205" t="s">
        <v>251</v>
      </c>
      <c r="S205" t="s">
        <v>420</v>
      </c>
      <c r="T205" t="s">
        <v>277</v>
      </c>
      <c r="U205">
        <v>1.8117095019118666E-3</v>
      </c>
      <c r="V205" t="s">
        <v>251</v>
      </c>
      <c r="X205">
        <v>3.4246575342465752E-3</v>
      </c>
      <c r="Y205">
        <v>4.3756059965691279E-3</v>
      </c>
      <c r="Z205" t="s">
        <v>277</v>
      </c>
      <c r="AA205" t="s">
        <v>25</v>
      </c>
      <c r="AC205" t="s">
        <v>22</v>
      </c>
      <c r="AD205" t="s">
        <v>277</v>
      </c>
      <c r="AE205">
        <v>5.3258221542126722E-3</v>
      </c>
      <c r="AG205" t="s">
        <v>97</v>
      </c>
      <c r="AH205" t="s">
        <v>277</v>
      </c>
      <c r="AI205">
        <v>3.0311797291973974E-2</v>
      </c>
      <c r="AK205">
        <v>2038</v>
      </c>
      <c r="AL205" t="s">
        <v>159</v>
      </c>
      <c r="AM205">
        <v>0.29360000000000003</v>
      </c>
      <c r="AN205" t="s">
        <v>430</v>
      </c>
    </row>
    <row r="206" spans="5:40" x14ac:dyDescent="0.45">
      <c r="E206" t="s">
        <v>1507</v>
      </c>
      <c r="G206" t="s">
        <v>160</v>
      </c>
      <c r="I206" t="s">
        <v>249</v>
      </c>
      <c r="J206" t="s">
        <v>278</v>
      </c>
      <c r="K206">
        <v>9.0619381609644001E-3</v>
      </c>
      <c r="L206" t="s">
        <v>251</v>
      </c>
      <c r="N206" t="s">
        <v>419</v>
      </c>
      <c r="O206" t="s">
        <v>278</v>
      </c>
      <c r="P206">
        <v>9.9556642823737593E-4</v>
      </c>
      <c r="Q206" t="s">
        <v>251</v>
      </c>
      <c r="S206" t="s">
        <v>420</v>
      </c>
      <c r="T206" t="s">
        <v>278</v>
      </c>
      <c r="U206">
        <v>1.6715865529542569E-3</v>
      </c>
      <c r="V206" t="s">
        <v>251</v>
      </c>
      <c r="X206">
        <v>3.4246575342465752E-3</v>
      </c>
      <c r="Y206">
        <v>4.3358277602366805E-3</v>
      </c>
      <c r="Z206" t="s">
        <v>278</v>
      </c>
      <c r="AA206" t="s">
        <v>25</v>
      </c>
      <c r="AC206" t="s">
        <v>22</v>
      </c>
      <c r="AD206" t="s">
        <v>278</v>
      </c>
      <c r="AE206">
        <v>5.3672123182696308E-3</v>
      </c>
      <c r="AG206" t="s">
        <v>97</v>
      </c>
      <c r="AH206" t="s">
        <v>278</v>
      </c>
      <c r="AI206">
        <v>2.5632939012395717E-2</v>
      </c>
      <c r="AK206">
        <v>2038</v>
      </c>
      <c r="AL206" t="s">
        <v>163</v>
      </c>
      <c r="AM206">
        <v>0.32190000000000002</v>
      </c>
      <c r="AN206" t="s">
        <v>430</v>
      </c>
    </row>
    <row r="207" spans="5:40" x14ac:dyDescent="0.45">
      <c r="E207" t="s">
        <v>1508</v>
      </c>
      <c r="G207" t="s">
        <v>160</v>
      </c>
      <c r="I207" t="s">
        <v>249</v>
      </c>
      <c r="J207" t="s">
        <v>279</v>
      </c>
      <c r="K207">
        <v>6.8036515685839002E-2</v>
      </c>
      <c r="L207" t="s">
        <v>251</v>
      </c>
      <c r="N207" t="s">
        <v>419</v>
      </c>
      <c r="O207" t="s">
        <v>279</v>
      </c>
      <c r="P207">
        <v>9.4407612288413979E-3</v>
      </c>
      <c r="Q207" t="s">
        <v>251</v>
      </c>
      <c r="S207" t="s">
        <v>420</v>
      </c>
      <c r="T207" t="s">
        <v>279</v>
      </c>
      <c r="U207">
        <v>1.4296790910960555E-2</v>
      </c>
      <c r="V207" t="s">
        <v>251</v>
      </c>
      <c r="X207">
        <v>2.3972602739726026E-2</v>
      </c>
      <c r="Y207">
        <v>3.3533053228252493E-2</v>
      </c>
      <c r="Z207" t="s">
        <v>279</v>
      </c>
      <c r="AA207" t="s">
        <v>25</v>
      </c>
      <c r="AC207" t="s">
        <v>22</v>
      </c>
      <c r="AD207" t="s">
        <v>279</v>
      </c>
      <c r="AE207">
        <v>3.6374035294971817E-2</v>
      </c>
      <c r="AG207" t="s">
        <v>97</v>
      </c>
      <c r="AH207" t="s">
        <v>279</v>
      </c>
      <c r="AI207">
        <v>0.12107479110399866</v>
      </c>
      <c r="AK207">
        <v>2038</v>
      </c>
      <c r="AL207" t="s">
        <v>167</v>
      </c>
      <c r="AM207">
        <v>0.37019999999999997</v>
      </c>
      <c r="AN207" t="s">
        <v>430</v>
      </c>
    </row>
    <row r="208" spans="5:40" x14ac:dyDescent="0.45">
      <c r="E208" t="s">
        <v>1509</v>
      </c>
      <c r="G208" t="s">
        <v>160</v>
      </c>
      <c r="I208" t="s">
        <v>249</v>
      </c>
      <c r="J208" t="s">
        <v>280</v>
      </c>
      <c r="K208">
        <v>6.2620054594643999E-3</v>
      </c>
      <c r="L208" t="s">
        <v>251</v>
      </c>
      <c r="N208" t="s">
        <v>419</v>
      </c>
      <c r="O208" t="s">
        <v>280</v>
      </c>
      <c r="P208">
        <v>2.7097780121235144E-3</v>
      </c>
      <c r="Q208" t="s">
        <v>251</v>
      </c>
      <c r="S208" t="s">
        <v>420</v>
      </c>
      <c r="T208" t="s">
        <v>280</v>
      </c>
      <c r="U208">
        <v>2.9540873951373016E-3</v>
      </c>
      <c r="V208" t="s">
        <v>251</v>
      </c>
      <c r="X208">
        <v>3.4246575342465752E-3</v>
      </c>
      <c r="Y208">
        <v>6.662854585684809E-3</v>
      </c>
      <c r="Z208" t="s">
        <v>280</v>
      </c>
      <c r="AA208" t="s">
        <v>25</v>
      </c>
      <c r="AC208" t="s">
        <v>22</v>
      </c>
      <c r="AD208" t="s">
        <v>280</v>
      </c>
      <c r="AE208">
        <v>2.7678320259506982E-3</v>
      </c>
      <c r="AG208" t="s">
        <v>97</v>
      </c>
      <c r="AH208" t="s">
        <v>280</v>
      </c>
      <c r="AI208">
        <v>8.6761717202879396E-2</v>
      </c>
      <c r="AK208">
        <v>2038</v>
      </c>
      <c r="AL208" t="s">
        <v>169</v>
      </c>
      <c r="AM208">
        <v>0.50539999999999996</v>
      </c>
      <c r="AN208" t="s">
        <v>430</v>
      </c>
    </row>
    <row r="209" spans="5:40" x14ac:dyDescent="0.45">
      <c r="E209" t="s">
        <v>1510</v>
      </c>
      <c r="G209" t="s">
        <v>160</v>
      </c>
      <c r="I209" t="s">
        <v>249</v>
      </c>
      <c r="J209" t="s">
        <v>281</v>
      </c>
      <c r="K209">
        <v>3.5888896639685057E-3</v>
      </c>
      <c r="L209" t="s">
        <v>251</v>
      </c>
      <c r="N209" t="s">
        <v>419</v>
      </c>
      <c r="O209" t="s">
        <v>281</v>
      </c>
      <c r="P209">
        <v>3.2681817578805012E-3</v>
      </c>
      <c r="Q209" t="s">
        <v>251</v>
      </c>
      <c r="S209" t="s">
        <v>420</v>
      </c>
      <c r="T209" t="s">
        <v>281</v>
      </c>
      <c r="U209">
        <v>3.0913498080904936E-3</v>
      </c>
      <c r="V209" t="s">
        <v>251</v>
      </c>
      <c r="X209">
        <v>3.4246575342465752E-3</v>
      </c>
      <c r="Y209">
        <v>5.1711707232180593E-3</v>
      </c>
      <c r="Z209" t="s">
        <v>281</v>
      </c>
      <c r="AA209" t="s">
        <v>25</v>
      </c>
      <c r="AC209" t="s">
        <v>22</v>
      </c>
      <c r="AD209" t="s">
        <v>281</v>
      </c>
      <c r="AE209">
        <v>3.3043699929870768E-3</v>
      </c>
      <c r="AG209" t="s">
        <v>97</v>
      </c>
      <c r="AH209" t="s">
        <v>281</v>
      </c>
      <c r="AI209">
        <v>0.11709209908661999</v>
      </c>
      <c r="AK209">
        <v>2038</v>
      </c>
      <c r="AL209" t="s">
        <v>171</v>
      </c>
      <c r="AM209">
        <v>0.6018</v>
      </c>
      <c r="AN209" t="s">
        <v>430</v>
      </c>
    </row>
    <row r="210" spans="5:40" x14ac:dyDescent="0.45">
      <c r="E210" t="s">
        <v>1511</v>
      </c>
      <c r="G210" t="s">
        <v>160</v>
      </c>
      <c r="I210" t="s">
        <v>249</v>
      </c>
      <c r="J210" t="s">
        <v>282</v>
      </c>
      <c r="K210">
        <v>2.4148579671858214E-4</v>
      </c>
      <c r="L210" t="s">
        <v>251</v>
      </c>
      <c r="N210" t="s">
        <v>419</v>
      </c>
      <c r="O210" t="s">
        <v>282</v>
      </c>
      <c r="P210">
        <v>2.094799313478261E-2</v>
      </c>
      <c r="Q210" t="s">
        <v>251</v>
      </c>
      <c r="S210" t="s">
        <v>420</v>
      </c>
      <c r="T210" t="s">
        <v>282</v>
      </c>
      <c r="U210">
        <v>1.53525731100944E-2</v>
      </c>
      <c r="V210" t="s">
        <v>251</v>
      </c>
      <c r="X210">
        <v>1.7123287671232876E-2</v>
      </c>
      <c r="Y210">
        <v>1.2927926808045149E-2</v>
      </c>
      <c r="Z210" t="s">
        <v>282</v>
      </c>
      <c r="AA210" t="s">
        <v>25</v>
      </c>
      <c r="AC210" t="s">
        <v>22</v>
      </c>
      <c r="AD210" t="s">
        <v>282</v>
      </c>
      <c r="AE210">
        <v>1.3764633323452066E-2</v>
      </c>
      <c r="AG210" t="s">
        <v>97</v>
      </c>
      <c r="AH210" t="s">
        <v>282</v>
      </c>
      <c r="AI210">
        <v>0.17218577644945188</v>
      </c>
      <c r="AK210">
        <v>2038</v>
      </c>
      <c r="AL210" t="s">
        <v>158</v>
      </c>
      <c r="AM210">
        <v>0.68220000000000003</v>
      </c>
      <c r="AN210" t="s">
        <v>430</v>
      </c>
    </row>
    <row r="211" spans="5:40" x14ac:dyDescent="0.45">
      <c r="E211" t="s">
        <v>1512</v>
      </c>
      <c r="G211" t="s">
        <v>160</v>
      </c>
      <c r="I211" t="s">
        <v>249</v>
      </c>
      <c r="J211" t="s">
        <v>283</v>
      </c>
      <c r="K211">
        <v>1.7670272179208782E-3</v>
      </c>
      <c r="L211" t="s">
        <v>251</v>
      </c>
      <c r="N211" t="s">
        <v>419</v>
      </c>
      <c r="O211" t="s">
        <v>283</v>
      </c>
      <c r="P211">
        <v>3.7236251817725795E-2</v>
      </c>
      <c r="Q211" t="s">
        <v>251</v>
      </c>
      <c r="S211" t="s">
        <v>420</v>
      </c>
      <c r="T211" t="s">
        <v>283</v>
      </c>
      <c r="U211">
        <v>2.9348632349428468E-2</v>
      </c>
      <c r="V211" t="s">
        <v>251</v>
      </c>
      <c r="X211">
        <v>2.4771689497716895E-2</v>
      </c>
      <c r="Y211">
        <v>9.7827942553597048E-3</v>
      </c>
      <c r="Z211" t="s">
        <v>283</v>
      </c>
      <c r="AA211" t="s">
        <v>25</v>
      </c>
      <c r="AC211" t="s">
        <v>22</v>
      </c>
      <c r="AD211" t="s">
        <v>283</v>
      </c>
      <c r="AE211">
        <v>3.3825157257624083E-2</v>
      </c>
      <c r="AG211" t="s">
        <v>97</v>
      </c>
      <c r="AH211" t="s">
        <v>283</v>
      </c>
      <c r="AI211">
        <v>0.1040152179592515</v>
      </c>
      <c r="AK211">
        <v>2038</v>
      </c>
      <c r="AL211" t="s">
        <v>162</v>
      </c>
      <c r="AM211">
        <v>0.6694</v>
      </c>
      <c r="AN211" t="s">
        <v>430</v>
      </c>
    </row>
    <row r="212" spans="5:40" x14ac:dyDescent="0.45">
      <c r="E212" t="s">
        <v>1513</v>
      </c>
      <c r="G212" t="s">
        <v>160</v>
      </c>
      <c r="I212" t="s">
        <v>249</v>
      </c>
      <c r="J212" t="s">
        <v>284</v>
      </c>
      <c r="K212">
        <v>5.2458382221451999E-3</v>
      </c>
      <c r="L212" t="s">
        <v>251</v>
      </c>
      <c r="N212" t="s">
        <v>419</v>
      </c>
      <c r="O212" t="s">
        <v>284</v>
      </c>
      <c r="P212">
        <v>4.2387441648916542E-3</v>
      </c>
      <c r="Q212" t="s">
        <v>251</v>
      </c>
      <c r="S212" t="s">
        <v>420</v>
      </c>
      <c r="T212" t="s">
        <v>284</v>
      </c>
      <c r="U212">
        <v>3.4891517956613686E-3</v>
      </c>
      <c r="V212" t="s">
        <v>251</v>
      </c>
      <c r="X212">
        <v>3.5388127853881279E-3</v>
      </c>
      <c r="Y212">
        <v>5.9087255218821738E-3</v>
      </c>
      <c r="Z212" t="s">
        <v>284</v>
      </c>
      <c r="AA212" t="s">
        <v>25</v>
      </c>
      <c r="AC212" t="s">
        <v>22</v>
      </c>
      <c r="AD212" t="s">
        <v>284</v>
      </c>
      <c r="AE212">
        <v>5.5871952887510202E-3</v>
      </c>
      <c r="AG212" t="s">
        <v>97</v>
      </c>
      <c r="AH212" t="s">
        <v>284</v>
      </c>
      <c r="AI212">
        <v>1.4636729188804765E-2</v>
      </c>
      <c r="AK212">
        <v>2038</v>
      </c>
      <c r="AL212" t="s">
        <v>175</v>
      </c>
      <c r="AM212">
        <v>0.47549999999999998</v>
      </c>
      <c r="AN212" t="s">
        <v>430</v>
      </c>
    </row>
    <row r="213" spans="5:40" x14ac:dyDescent="0.45">
      <c r="E213" t="s">
        <v>1514</v>
      </c>
      <c r="G213" t="s">
        <v>160</v>
      </c>
      <c r="I213" t="s">
        <v>249</v>
      </c>
      <c r="J213" t="s">
        <v>285</v>
      </c>
      <c r="K213">
        <v>7.5897915349617999E-3</v>
      </c>
      <c r="L213" t="s">
        <v>251</v>
      </c>
      <c r="N213" t="s">
        <v>419</v>
      </c>
      <c r="O213" t="s">
        <v>285</v>
      </c>
      <c r="P213">
        <v>4.0921748354808231E-3</v>
      </c>
      <c r="Q213" t="s">
        <v>251</v>
      </c>
      <c r="S213" t="s">
        <v>420</v>
      </c>
      <c r="T213" t="s">
        <v>285</v>
      </c>
      <c r="U213">
        <v>3.3611029397469078E-3</v>
      </c>
      <c r="V213" t="s">
        <v>251</v>
      </c>
      <c r="X213">
        <v>3.5388127853881279E-3</v>
      </c>
      <c r="Y213">
        <v>4.521459529788099E-3</v>
      </c>
      <c r="Z213" t="s">
        <v>285</v>
      </c>
      <c r="AA213" t="s">
        <v>25</v>
      </c>
      <c r="AC213" t="s">
        <v>22</v>
      </c>
      <c r="AD213" t="s">
        <v>285</v>
      </c>
      <c r="AE213">
        <v>5.6468327773550814E-3</v>
      </c>
      <c r="AG213" t="s">
        <v>97</v>
      </c>
      <c r="AH213" t="s">
        <v>285</v>
      </c>
      <c r="AI213">
        <v>2.0453277369397727E-2</v>
      </c>
      <c r="AK213">
        <v>2038</v>
      </c>
      <c r="AL213" t="s">
        <v>166</v>
      </c>
      <c r="AM213">
        <v>0.2802</v>
      </c>
      <c r="AN213" t="s">
        <v>430</v>
      </c>
    </row>
    <row r="214" spans="5:40" x14ac:dyDescent="0.45">
      <c r="E214" t="s">
        <v>1515</v>
      </c>
      <c r="G214" t="s">
        <v>160</v>
      </c>
      <c r="I214" t="s">
        <v>249</v>
      </c>
      <c r="J214" t="s">
        <v>286</v>
      </c>
      <c r="K214">
        <v>9.0460724211776991E-3</v>
      </c>
      <c r="L214" t="s">
        <v>251</v>
      </c>
      <c r="N214" t="s">
        <v>419</v>
      </c>
      <c r="O214" t="s">
        <v>286</v>
      </c>
      <c r="P214">
        <v>3.8324308091180056E-3</v>
      </c>
      <c r="Q214" t="s">
        <v>251</v>
      </c>
      <c r="S214" t="s">
        <v>420</v>
      </c>
      <c r="T214" t="s">
        <v>286</v>
      </c>
      <c r="U214">
        <v>3.2647690971758453E-3</v>
      </c>
      <c r="V214" t="s">
        <v>251</v>
      </c>
      <c r="X214">
        <v>3.5388127853881279E-3</v>
      </c>
      <c r="Y214">
        <v>4.4803553522445696E-3</v>
      </c>
      <c r="Z214" t="s">
        <v>286</v>
      </c>
      <c r="AA214" t="s">
        <v>25</v>
      </c>
      <c r="AC214" t="s">
        <v>22</v>
      </c>
      <c r="AD214" t="s">
        <v>286</v>
      </c>
      <c r="AE214">
        <v>5.6501261642986165E-3</v>
      </c>
      <c r="AG214" t="s">
        <v>97</v>
      </c>
      <c r="AH214" t="s">
        <v>286</v>
      </c>
      <c r="AI214">
        <v>2.0099445039484021E-2</v>
      </c>
      <c r="AK214">
        <v>2038</v>
      </c>
      <c r="AL214" t="s">
        <v>178</v>
      </c>
      <c r="AM214">
        <v>0.23430000000000001</v>
      </c>
      <c r="AN214" t="s">
        <v>430</v>
      </c>
    </row>
    <row r="215" spans="5:40" x14ac:dyDescent="0.45">
      <c r="E215" t="s">
        <v>1516</v>
      </c>
      <c r="G215" t="s">
        <v>160</v>
      </c>
      <c r="I215" t="s">
        <v>249</v>
      </c>
      <c r="J215" t="s">
        <v>287</v>
      </c>
      <c r="K215">
        <v>6.9126430957336601E-2</v>
      </c>
      <c r="L215" t="s">
        <v>251</v>
      </c>
      <c r="N215" t="s">
        <v>419</v>
      </c>
      <c r="O215" t="s">
        <v>287</v>
      </c>
      <c r="P215">
        <v>2.6125279419162487E-2</v>
      </c>
      <c r="Q215" t="s">
        <v>251</v>
      </c>
      <c r="S215" t="s">
        <v>420</v>
      </c>
      <c r="T215" t="s">
        <v>287</v>
      </c>
      <c r="U215">
        <v>2.5254302203101108E-2</v>
      </c>
      <c r="V215" t="s">
        <v>251</v>
      </c>
      <c r="X215">
        <v>2.4771689497716895E-2</v>
      </c>
      <c r="Y215">
        <v>3.4650821669194247E-2</v>
      </c>
      <c r="Z215" t="s">
        <v>287</v>
      </c>
      <c r="AA215" t="s">
        <v>25</v>
      </c>
      <c r="AC215" t="s">
        <v>22</v>
      </c>
      <c r="AD215" t="s">
        <v>287</v>
      </c>
      <c r="AE215">
        <v>3.9399790668033244E-2</v>
      </c>
      <c r="AG215" t="s">
        <v>97</v>
      </c>
      <c r="AH215" t="s">
        <v>287</v>
      </c>
      <c r="AI215">
        <v>0.10001642084856233</v>
      </c>
      <c r="AK215">
        <v>2039</v>
      </c>
      <c r="AL215" t="s">
        <v>151</v>
      </c>
      <c r="AM215">
        <v>0.26140000000000002</v>
      </c>
      <c r="AN215" t="s">
        <v>430</v>
      </c>
    </row>
    <row r="216" spans="5:40" x14ac:dyDescent="0.45">
      <c r="E216" t="s">
        <v>1517</v>
      </c>
      <c r="G216" t="s">
        <v>160</v>
      </c>
      <c r="I216" t="s">
        <v>249</v>
      </c>
      <c r="J216" t="s">
        <v>288</v>
      </c>
      <c r="K216">
        <v>6.5701923297423002E-3</v>
      </c>
      <c r="L216" t="s">
        <v>251</v>
      </c>
      <c r="N216" t="s">
        <v>419</v>
      </c>
      <c r="O216" t="s">
        <v>288</v>
      </c>
      <c r="P216">
        <v>4.8149886541700802E-3</v>
      </c>
      <c r="Q216" t="s">
        <v>251</v>
      </c>
      <c r="S216" t="s">
        <v>420</v>
      </c>
      <c r="T216" t="s">
        <v>288</v>
      </c>
      <c r="U216">
        <v>4.2979088187685942E-3</v>
      </c>
      <c r="V216" t="s">
        <v>251</v>
      </c>
      <c r="X216">
        <v>3.5388127853881279E-3</v>
      </c>
      <c r="Y216">
        <v>6.8849497385409693E-3</v>
      </c>
      <c r="Z216" t="s">
        <v>288</v>
      </c>
      <c r="AA216" t="s">
        <v>25</v>
      </c>
      <c r="AC216" t="s">
        <v>22</v>
      </c>
      <c r="AD216" t="s">
        <v>288</v>
      </c>
      <c r="AE216">
        <v>3.3592112224946164E-3</v>
      </c>
      <c r="AG216" t="s">
        <v>97</v>
      </c>
      <c r="AH216" t="s">
        <v>288</v>
      </c>
      <c r="AI216">
        <v>6.6396748992021193E-2</v>
      </c>
      <c r="AK216">
        <v>2039</v>
      </c>
      <c r="AL216" t="s">
        <v>156</v>
      </c>
      <c r="AM216">
        <v>0.27189999999999998</v>
      </c>
      <c r="AN216" t="s">
        <v>430</v>
      </c>
    </row>
    <row r="217" spans="5:40" x14ac:dyDescent="0.45">
      <c r="E217" t="s">
        <v>1518</v>
      </c>
      <c r="G217" t="s">
        <v>160</v>
      </c>
      <c r="I217" t="s">
        <v>249</v>
      </c>
      <c r="J217" t="s">
        <v>289</v>
      </c>
      <c r="K217">
        <v>4.1435965591736E-3</v>
      </c>
      <c r="L217" t="s">
        <v>251</v>
      </c>
      <c r="N217" t="s">
        <v>419</v>
      </c>
      <c r="O217" t="s">
        <v>289</v>
      </c>
      <c r="P217">
        <v>5.3617249337066892E-3</v>
      </c>
      <c r="Q217" t="s">
        <v>251</v>
      </c>
      <c r="S217" t="s">
        <v>420</v>
      </c>
      <c r="T217" t="s">
        <v>289</v>
      </c>
      <c r="U217">
        <v>4.4146090696289371E-3</v>
      </c>
      <c r="V217" t="s">
        <v>251</v>
      </c>
      <c r="X217">
        <v>3.5388127853881279E-3</v>
      </c>
      <c r="Y217">
        <v>5.3435430806586613E-3</v>
      </c>
      <c r="Z217" t="s">
        <v>289</v>
      </c>
      <c r="AA217" t="s">
        <v>25</v>
      </c>
      <c r="AC217" t="s">
        <v>22</v>
      </c>
      <c r="AD217" t="s">
        <v>289</v>
      </c>
      <c r="AE217">
        <v>4.2578200946471779E-3</v>
      </c>
      <c r="AG217" t="s">
        <v>97</v>
      </c>
      <c r="AH217" t="s">
        <v>289</v>
      </c>
      <c r="AI217">
        <v>1.1548995400689321E-2</v>
      </c>
      <c r="AK217">
        <v>2039</v>
      </c>
      <c r="AL217" t="s">
        <v>159</v>
      </c>
      <c r="AM217">
        <v>0.26619999999999999</v>
      </c>
      <c r="AN217" t="s">
        <v>430</v>
      </c>
    </row>
    <row r="218" spans="5:40" x14ac:dyDescent="0.45">
      <c r="E218" t="s">
        <v>1519</v>
      </c>
      <c r="G218" t="s">
        <v>160</v>
      </c>
      <c r="I218" t="s">
        <v>249</v>
      </c>
      <c r="J218" t="s">
        <v>290</v>
      </c>
      <c r="K218">
        <v>1.3839106225692888E-3</v>
      </c>
      <c r="L218" t="s">
        <v>251</v>
      </c>
      <c r="N218" t="s">
        <v>419</v>
      </c>
      <c r="O218" t="s">
        <v>290</v>
      </c>
      <c r="P218">
        <v>3.2494265535174399E-2</v>
      </c>
      <c r="Q218" t="s">
        <v>251</v>
      </c>
      <c r="S218" t="s">
        <v>420</v>
      </c>
      <c r="T218" t="s">
        <v>290</v>
      </c>
      <c r="U218">
        <v>2.2685903009714705E-2</v>
      </c>
      <c r="V218" t="s">
        <v>251</v>
      </c>
      <c r="X218">
        <v>1.7694063926940638E-2</v>
      </c>
      <c r="Y218">
        <v>1.3358857701646654E-2</v>
      </c>
      <c r="Z218" t="s">
        <v>290</v>
      </c>
      <c r="AA218" t="s">
        <v>25</v>
      </c>
      <c r="AC218" t="s">
        <v>22</v>
      </c>
      <c r="AD218" t="s">
        <v>290</v>
      </c>
      <c r="AE218">
        <v>1.8839022245917787E-2</v>
      </c>
      <c r="AG218" t="s">
        <v>97</v>
      </c>
      <c r="AH218" t="s">
        <v>290</v>
      </c>
      <c r="AI218">
        <v>5.7926789216266483E-2</v>
      </c>
      <c r="AK218">
        <v>2039</v>
      </c>
      <c r="AL218" t="s">
        <v>163</v>
      </c>
      <c r="AM218">
        <v>0.29189999999999999</v>
      </c>
      <c r="AN218" t="s">
        <v>430</v>
      </c>
    </row>
    <row r="219" spans="5:40" x14ac:dyDescent="0.45">
      <c r="E219" t="s">
        <v>1520</v>
      </c>
      <c r="G219" t="s">
        <v>160</v>
      </c>
      <c r="I219" t="s">
        <v>249</v>
      </c>
      <c r="J219" t="s">
        <v>291</v>
      </c>
      <c r="K219">
        <v>1.0436857710503405E-3</v>
      </c>
      <c r="L219" t="s">
        <v>251</v>
      </c>
      <c r="N219" t="s">
        <v>419</v>
      </c>
      <c r="O219" t="s">
        <v>291</v>
      </c>
      <c r="P219">
        <v>3.944773700764715E-2</v>
      </c>
      <c r="Q219" t="s">
        <v>251</v>
      </c>
      <c r="S219" t="s">
        <v>420</v>
      </c>
      <c r="T219" t="s">
        <v>291</v>
      </c>
      <c r="U219">
        <v>3.9975692726160098E-2</v>
      </c>
      <c r="V219" t="s">
        <v>251</v>
      </c>
      <c r="X219">
        <v>2.3972602739726026E-2</v>
      </c>
      <c r="Y219">
        <v>9.4672202471222967E-3</v>
      </c>
      <c r="Z219" t="s">
        <v>291</v>
      </c>
      <c r="AA219" t="s">
        <v>25</v>
      </c>
      <c r="AC219" t="s">
        <v>22</v>
      </c>
      <c r="AD219" t="s">
        <v>291</v>
      </c>
      <c r="AE219">
        <v>3.1367388069247076E-2</v>
      </c>
      <c r="AG219" t="s">
        <v>97</v>
      </c>
      <c r="AH219" t="s">
        <v>291</v>
      </c>
      <c r="AI219">
        <v>0.12654517842613111</v>
      </c>
      <c r="AK219">
        <v>2039</v>
      </c>
      <c r="AL219" t="s">
        <v>167</v>
      </c>
      <c r="AM219">
        <v>0.41860000000000003</v>
      </c>
      <c r="AN219" t="s">
        <v>430</v>
      </c>
    </row>
    <row r="220" spans="5:40" x14ac:dyDescent="0.45">
      <c r="E220" t="s">
        <v>1521</v>
      </c>
      <c r="G220" t="s">
        <v>160</v>
      </c>
      <c r="I220" t="s">
        <v>249</v>
      </c>
      <c r="J220" t="s">
        <v>292</v>
      </c>
      <c r="K220">
        <v>3.1266623424225292E-3</v>
      </c>
      <c r="L220" t="s">
        <v>251</v>
      </c>
      <c r="N220" t="s">
        <v>419</v>
      </c>
      <c r="O220" t="s">
        <v>292</v>
      </c>
      <c r="P220">
        <v>5.278470963195548E-3</v>
      </c>
      <c r="Q220" t="s">
        <v>251</v>
      </c>
      <c r="S220" t="s">
        <v>420</v>
      </c>
      <c r="T220" t="s">
        <v>292</v>
      </c>
      <c r="U220">
        <v>5.1765481631041842E-3</v>
      </c>
      <c r="V220" t="s">
        <v>251</v>
      </c>
      <c r="X220">
        <v>3.4246575342465752E-3</v>
      </c>
      <c r="Y220">
        <v>5.7181214727892006E-3</v>
      </c>
      <c r="Z220" t="s">
        <v>292</v>
      </c>
      <c r="AA220" t="s">
        <v>25</v>
      </c>
      <c r="AC220" t="s">
        <v>22</v>
      </c>
      <c r="AD220" t="s">
        <v>292</v>
      </c>
      <c r="AE220">
        <v>5.0324410226670127E-3</v>
      </c>
      <c r="AG220" t="s">
        <v>97</v>
      </c>
      <c r="AH220" t="s">
        <v>292</v>
      </c>
      <c r="AI220">
        <v>5.4623288193452524E-2</v>
      </c>
      <c r="AK220">
        <v>2039</v>
      </c>
      <c r="AL220" t="s">
        <v>169</v>
      </c>
      <c r="AM220">
        <v>0.44879999999999998</v>
      </c>
      <c r="AN220" t="s">
        <v>430</v>
      </c>
    </row>
    <row r="221" spans="5:40" x14ac:dyDescent="0.45">
      <c r="E221" t="s">
        <v>1522</v>
      </c>
      <c r="G221" t="s">
        <v>160</v>
      </c>
      <c r="I221" t="s">
        <v>249</v>
      </c>
      <c r="J221" t="s">
        <v>293</v>
      </c>
      <c r="K221">
        <v>5.0750441322154997E-3</v>
      </c>
      <c r="L221" t="s">
        <v>251</v>
      </c>
      <c r="N221" t="s">
        <v>419</v>
      </c>
      <c r="O221" t="s">
        <v>293</v>
      </c>
      <c r="P221">
        <v>6.1018272305427643E-3</v>
      </c>
      <c r="Q221" t="s">
        <v>251</v>
      </c>
      <c r="S221" t="s">
        <v>420</v>
      </c>
      <c r="T221" t="s">
        <v>293</v>
      </c>
      <c r="U221">
        <v>5.1174221310656444E-3</v>
      </c>
      <c r="V221" t="s">
        <v>251</v>
      </c>
      <c r="X221">
        <v>3.4246575342465752E-3</v>
      </c>
      <c r="Y221">
        <v>4.3756059965691279E-3</v>
      </c>
      <c r="Z221" t="s">
        <v>293</v>
      </c>
      <c r="AA221" t="s">
        <v>25</v>
      </c>
      <c r="AC221" t="s">
        <v>22</v>
      </c>
      <c r="AD221" t="s">
        <v>293</v>
      </c>
      <c r="AE221">
        <v>5.0825125368809503E-3</v>
      </c>
      <c r="AG221" t="s">
        <v>97</v>
      </c>
      <c r="AH221" t="s">
        <v>293</v>
      </c>
      <c r="AI221">
        <v>4.8634603784541763E-2</v>
      </c>
      <c r="AK221">
        <v>2039</v>
      </c>
      <c r="AL221" t="s">
        <v>171</v>
      </c>
      <c r="AM221">
        <v>0.50519999999999998</v>
      </c>
      <c r="AN221" t="s">
        <v>430</v>
      </c>
    </row>
    <row r="222" spans="5:40" x14ac:dyDescent="0.45">
      <c r="E222" t="s">
        <v>1523</v>
      </c>
      <c r="G222" t="s">
        <v>160</v>
      </c>
      <c r="I222" t="s">
        <v>249</v>
      </c>
      <c r="J222" t="s">
        <v>294</v>
      </c>
      <c r="K222">
        <v>6.5019753804751003E-3</v>
      </c>
      <c r="L222" t="s">
        <v>251</v>
      </c>
      <c r="N222" t="s">
        <v>419</v>
      </c>
      <c r="O222" t="s">
        <v>294</v>
      </c>
      <c r="P222">
        <v>6.3253143755274271E-3</v>
      </c>
      <c r="Q222" t="s">
        <v>251</v>
      </c>
      <c r="S222" t="s">
        <v>420</v>
      </c>
      <c r="T222" t="s">
        <v>294</v>
      </c>
      <c r="U222">
        <v>5.1175180867328723E-3</v>
      </c>
      <c r="V222" t="s">
        <v>251</v>
      </c>
      <c r="X222">
        <v>3.4246575342465752E-3</v>
      </c>
      <c r="Y222">
        <v>4.3358277602366805E-3</v>
      </c>
      <c r="Z222" t="s">
        <v>294</v>
      </c>
      <c r="AA222" t="s">
        <v>25</v>
      </c>
      <c r="AC222" t="s">
        <v>22</v>
      </c>
      <c r="AD222" t="s">
        <v>294</v>
      </c>
      <c r="AE222">
        <v>5.0888608855968742E-3</v>
      </c>
      <c r="AG222" t="s">
        <v>97</v>
      </c>
      <c r="AH222" t="s">
        <v>294</v>
      </c>
      <c r="AI222">
        <v>4.7880179351180274E-2</v>
      </c>
      <c r="AK222">
        <v>2039</v>
      </c>
      <c r="AL222" t="s">
        <v>158</v>
      </c>
      <c r="AM222">
        <v>0.62219999999999998</v>
      </c>
      <c r="AN222" t="s">
        <v>430</v>
      </c>
    </row>
    <row r="223" spans="5:40" x14ac:dyDescent="0.45">
      <c r="E223" t="s">
        <v>1524</v>
      </c>
      <c r="G223" t="s">
        <v>160</v>
      </c>
      <c r="I223" t="s">
        <v>249</v>
      </c>
      <c r="J223" t="s">
        <v>295</v>
      </c>
      <c r="K223">
        <v>5.2408395071258398E-2</v>
      </c>
      <c r="L223" t="s">
        <v>251</v>
      </c>
      <c r="N223" t="s">
        <v>419</v>
      </c>
      <c r="O223" t="s">
        <v>295</v>
      </c>
      <c r="P223">
        <v>4.4149492272705773E-2</v>
      </c>
      <c r="Q223" t="s">
        <v>251</v>
      </c>
      <c r="S223" t="s">
        <v>420</v>
      </c>
      <c r="T223" t="s">
        <v>295</v>
      </c>
      <c r="U223">
        <v>3.8365477548783382E-2</v>
      </c>
      <c r="V223" t="s">
        <v>251</v>
      </c>
      <c r="X223">
        <v>2.3972602739726026E-2</v>
      </c>
      <c r="Y223">
        <v>3.3533053228252493E-2</v>
      </c>
      <c r="Z223" t="s">
        <v>295</v>
      </c>
      <c r="AA223" t="s">
        <v>25</v>
      </c>
      <c r="AC223" t="s">
        <v>22</v>
      </c>
      <c r="AD223" t="s">
        <v>295</v>
      </c>
      <c r="AE223">
        <v>3.6083706461427875E-2</v>
      </c>
      <c r="AG223" t="s">
        <v>97</v>
      </c>
      <c r="AH223" t="s">
        <v>295</v>
      </c>
      <c r="AI223">
        <v>0.12780921466955442</v>
      </c>
      <c r="AK223">
        <v>2039</v>
      </c>
      <c r="AL223" t="s">
        <v>162</v>
      </c>
      <c r="AM223">
        <v>0.55089999999999995</v>
      </c>
      <c r="AN223" t="s">
        <v>430</v>
      </c>
    </row>
    <row r="224" spans="5:40" x14ac:dyDescent="0.45">
      <c r="E224" t="s">
        <v>1525</v>
      </c>
      <c r="G224" t="s">
        <v>160</v>
      </c>
      <c r="I224" t="s">
        <v>249</v>
      </c>
      <c r="J224" t="s">
        <v>296</v>
      </c>
      <c r="K224">
        <v>4.2724821694190831E-3</v>
      </c>
      <c r="L224" t="s">
        <v>251</v>
      </c>
      <c r="N224" t="s">
        <v>419</v>
      </c>
      <c r="O224" t="s">
        <v>296</v>
      </c>
      <c r="P224">
        <v>6.3009483613797098E-3</v>
      </c>
      <c r="Q224" t="s">
        <v>251</v>
      </c>
      <c r="S224" t="s">
        <v>420</v>
      </c>
      <c r="T224" t="s">
        <v>296</v>
      </c>
      <c r="U224">
        <v>5.8747546722316092E-3</v>
      </c>
      <c r="V224" t="s">
        <v>251</v>
      </c>
      <c r="X224">
        <v>3.4246575342465752E-3</v>
      </c>
      <c r="Y224">
        <v>6.662854585684809E-3</v>
      </c>
      <c r="Z224" t="s">
        <v>296</v>
      </c>
      <c r="AA224" t="s">
        <v>25</v>
      </c>
      <c r="AC224" t="s">
        <v>22</v>
      </c>
      <c r="AD224" t="s">
        <v>296</v>
      </c>
      <c r="AE224">
        <v>3.1423811851982193E-3</v>
      </c>
      <c r="AG224" t="s">
        <v>97</v>
      </c>
      <c r="AH224" t="s">
        <v>296</v>
      </c>
      <c r="AI224">
        <v>8.9423036891613572E-2</v>
      </c>
      <c r="AK224">
        <v>2039</v>
      </c>
      <c r="AL224" t="s">
        <v>175</v>
      </c>
      <c r="AM224">
        <v>0.43419999999999997</v>
      </c>
      <c r="AN224" t="s">
        <v>430</v>
      </c>
    </row>
    <row r="225" spans="5:40" x14ac:dyDescent="0.45">
      <c r="E225" t="s">
        <v>1526</v>
      </c>
      <c r="G225" t="s">
        <v>160</v>
      </c>
      <c r="I225" t="s">
        <v>249</v>
      </c>
      <c r="J225" t="s">
        <v>297</v>
      </c>
      <c r="K225">
        <v>2.380249128749159E-3</v>
      </c>
      <c r="L225" t="s">
        <v>251</v>
      </c>
      <c r="N225" t="s">
        <v>419</v>
      </c>
      <c r="O225" t="s">
        <v>297</v>
      </c>
      <c r="P225">
        <v>6.4942321030568998E-3</v>
      </c>
      <c r="Q225" t="s">
        <v>251</v>
      </c>
      <c r="S225" t="s">
        <v>420</v>
      </c>
      <c r="T225" t="s">
        <v>297</v>
      </c>
      <c r="U225">
        <v>6.0119750941272799E-3</v>
      </c>
      <c r="V225" t="s">
        <v>251</v>
      </c>
      <c r="X225">
        <v>3.4246575342465752E-3</v>
      </c>
      <c r="Y225">
        <v>5.1711707232180593E-3</v>
      </c>
      <c r="Z225" t="s">
        <v>297</v>
      </c>
      <c r="AA225" t="s">
        <v>25</v>
      </c>
      <c r="AC225" t="s">
        <v>22</v>
      </c>
      <c r="AD225" t="s">
        <v>297</v>
      </c>
      <c r="AE225">
        <v>3.8905794267177396E-3</v>
      </c>
      <c r="AG225" t="s">
        <v>97</v>
      </c>
      <c r="AH225" t="s">
        <v>297</v>
      </c>
      <c r="AI225">
        <v>1.6280183193151831E-2</v>
      </c>
      <c r="AK225">
        <v>2039</v>
      </c>
      <c r="AL225" t="s">
        <v>166</v>
      </c>
      <c r="AM225">
        <v>0.30220000000000002</v>
      </c>
      <c r="AN225" t="s">
        <v>430</v>
      </c>
    </row>
    <row r="226" spans="5:40" x14ac:dyDescent="0.45">
      <c r="E226" t="s">
        <v>1527</v>
      </c>
      <c r="G226" t="s">
        <v>160</v>
      </c>
      <c r="I226" t="s">
        <v>249</v>
      </c>
      <c r="J226" t="s">
        <v>298</v>
      </c>
      <c r="K226">
        <v>6.5942701400987245E-4</v>
      </c>
      <c r="L226" t="s">
        <v>251</v>
      </c>
      <c r="N226" t="s">
        <v>419</v>
      </c>
      <c r="O226" t="s">
        <v>298</v>
      </c>
      <c r="P226">
        <v>3.4052871775288797E-2</v>
      </c>
      <c r="Q226" t="s">
        <v>251</v>
      </c>
      <c r="S226" t="s">
        <v>420</v>
      </c>
      <c r="T226" t="s">
        <v>298</v>
      </c>
      <c r="U226">
        <v>3.0989048617552705E-2</v>
      </c>
      <c r="V226" t="s">
        <v>251</v>
      </c>
      <c r="X226">
        <v>1.7123287671232876E-2</v>
      </c>
      <c r="Y226">
        <v>1.2927926808045149E-2</v>
      </c>
      <c r="Z226" t="s">
        <v>298</v>
      </c>
      <c r="AA226" t="s">
        <v>25</v>
      </c>
      <c r="AC226" t="s">
        <v>22</v>
      </c>
      <c r="AD226" t="s">
        <v>298</v>
      </c>
      <c r="AE226">
        <v>1.7665221966811109E-2</v>
      </c>
      <c r="AG226" t="s">
        <v>97</v>
      </c>
      <c r="AH226" t="s">
        <v>298</v>
      </c>
      <c r="AI226">
        <v>5.6224292849093915E-2</v>
      </c>
      <c r="AK226">
        <v>2039</v>
      </c>
      <c r="AL226" t="s">
        <v>178</v>
      </c>
      <c r="AM226">
        <v>0.24940000000000001</v>
      </c>
      <c r="AN226" t="s">
        <v>430</v>
      </c>
    </row>
    <row r="227" spans="5:40" x14ac:dyDescent="0.45">
      <c r="E227" t="s">
        <v>1528</v>
      </c>
      <c r="G227" t="s">
        <v>160</v>
      </c>
      <c r="I227" t="s">
        <v>249</v>
      </c>
      <c r="J227" t="s">
        <v>299</v>
      </c>
      <c r="K227">
        <v>3.9949852694818087E-4</v>
      </c>
      <c r="L227" t="s">
        <v>251</v>
      </c>
      <c r="N227" t="s">
        <v>419</v>
      </c>
      <c r="O227" t="s">
        <v>299</v>
      </c>
      <c r="P227">
        <v>5.21461902063994E-2</v>
      </c>
      <c r="Q227" t="s">
        <v>251</v>
      </c>
      <c r="S227" t="s">
        <v>420</v>
      </c>
      <c r="T227" t="s">
        <v>299</v>
      </c>
      <c r="U227">
        <v>5.8266126603190097E-2</v>
      </c>
      <c r="V227" t="s">
        <v>251</v>
      </c>
      <c r="X227">
        <v>2.4771689497716895E-2</v>
      </c>
      <c r="Y227">
        <v>9.7827942553597048E-3</v>
      </c>
      <c r="Z227" t="s">
        <v>299</v>
      </c>
      <c r="AA227" t="s">
        <v>25</v>
      </c>
      <c r="AC227" t="s">
        <v>22</v>
      </c>
      <c r="AD227" t="s">
        <v>299</v>
      </c>
      <c r="AE227">
        <v>3.1290129919684682E-2</v>
      </c>
      <c r="AG227" t="s">
        <v>97</v>
      </c>
      <c r="AH227" t="s">
        <v>299</v>
      </c>
      <c r="AI227">
        <v>9.0557243741560711E-2</v>
      </c>
      <c r="AK227">
        <v>2040</v>
      </c>
      <c r="AL227" t="s">
        <v>151</v>
      </c>
      <c r="AM227">
        <v>0.25440000000000002</v>
      </c>
      <c r="AN227" t="s">
        <v>430</v>
      </c>
    </row>
    <row r="228" spans="5:40" x14ac:dyDescent="0.45">
      <c r="E228" t="s">
        <v>1529</v>
      </c>
      <c r="G228" t="s">
        <v>160</v>
      </c>
      <c r="I228" t="s">
        <v>249</v>
      </c>
      <c r="J228" t="s">
        <v>300</v>
      </c>
      <c r="K228">
        <v>1.5950621698403843E-3</v>
      </c>
      <c r="L228" t="s">
        <v>251</v>
      </c>
      <c r="N228" t="s">
        <v>419</v>
      </c>
      <c r="O228" t="s">
        <v>300</v>
      </c>
      <c r="P228">
        <v>6.9797535869503E-3</v>
      </c>
      <c r="Q228" t="s">
        <v>251</v>
      </c>
      <c r="S228" t="s">
        <v>420</v>
      </c>
      <c r="T228" t="s">
        <v>300</v>
      </c>
      <c r="U228">
        <v>7.9219619050836E-3</v>
      </c>
      <c r="V228" t="s">
        <v>251</v>
      </c>
      <c r="X228">
        <v>3.5388127853881279E-3</v>
      </c>
      <c r="Y228">
        <v>5.9087255218821738E-3</v>
      </c>
      <c r="Z228" t="s">
        <v>300</v>
      </c>
      <c r="AA228" t="s">
        <v>25</v>
      </c>
      <c r="AC228" t="s">
        <v>22</v>
      </c>
      <c r="AD228" t="s">
        <v>300</v>
      </c>
      <c r="AE228">
        <v>4.878510750396468E-3</v>
      </c>
      <c r="AG228" t="s">
        <v>97</v>
      </c>
      <c r="AH228" t="s">
        <v>300</v>
      </c>
      <c r="AI228">
        <v>3.8525592846895274E-2</v>
      </c>
      <c r="AK228">
        <v>2040</v>
      </c>
      <c r="AL228" t="s">
        <v>156</v>
      </c>
      <c r="AM228">
        <v>0.2412</v>
      </c>
      <c r="AN228" t="s">
        <v>430</v>
      </c>
    </row>
    <row r="229" spans="5:40" x14ac:dyDescent="0.45">
      <c r="E229" t="s">
        <v>1530</v>
      </c>
      <c r="G229" t="s">
        <v>160</v>
      </c>
      <c r="I229" t="s">
        <v>249</v>
      </c>
      <c r="J229" t="s">
        <v>301</v>
      </c>
      <c r="K229">
        <v>3.0283477756202618E-3</v>
      </c>
      <c r="L229" t="s">
        <v>251</v>
      </c>
      <c r="N229" t="s">
        <v>419</v>
      </c>
      <c r="O229" t="s">
        <v>301</v>
      </c>
      <c r="P229">
        <v>7.7421033792447001E-3</v>
      </c>
      <c r="Q229" t="s">
        <v>251</v>
      </c>
      <c r="S229" t="s">
        <v>420</v>
      </c>
      <c r="T229" t="s">
        <v>301</v>
      </c>
      <c r="U229">
        <v>7.8743154094812005E-3</v>
      </c>
      <c r="V229" t="s">
        <v>251</v>
      </c>
      <c r="X229">
        <v>3.5388127853881279E-3</v>
      </c>
      <c r="Y229">
        <v>4.521459529788099E-3</v>
      </c>
      <c r="Z229" t="s">
        <v>301</v>
      </c>
      <c r="AA229" t="s">
        <v>25</v>
      </c>
      <c r="AC229" t="s">
        <v>22</v>
      </c>
      <c r="AD229" t="s">
        <v>301</v>
      </c>
      <c r="AE229">
        <v>4.9283984321186322E-3</v>
      </c>
      <c r="AG229" t="s">
        <v>97</v>
      </c>
      <c r="AH229" t="s">
        <v>301</v>
      </c>
      <c r="AI229">
        <v>6.5790488331782804E-2</v>
      </c>
      <c r="AK229">
        <v>2040</v>
      </c>
      <c r="AL229" t="s">
        <v>159</v>
      </c>
      <c r="AM229">
        <v>0.27050000000000002</v>
      </c>
      <c r="AN229" t="s">
        <v>430</v>
      </c>
    </row>
    <row r="230" spans="5:40" x14ac:dyDescent="0.45">
      <c r="E230" t="s">
        <v>1531</v>
      </c>
      <c r="G230" t="s">
        <v>160</v>
      </c>
      <c r="I230" t="s">
        <v>249</v>
      </c>
      <c r="J230" t="s">
        <v>302</v>
      </c>
      <c r="K230">
        <v>4.2983747799500358E-3</v>
      </c>
      <c r="L230" t="s">
        <v>251</v>
      </c>
      <c r="N230" t="s">
        <v>419</v>
      </c>
      <c r="O230" t="s">
        <v>302</v>
      </c>
      <c r="P230">
        <v>8.1553262393319007E-3</v>
      </c>
      <c r="Q230" t="s">
        <v>251</v>
      </c>
      <c r="S230" t="s">
        <v>420</v>
      </c>
      <c r="T230" t="s">
        <v>302</v>
      </c>
      <c r="U230">
        <v>7.8451054959140995E-3</v>
      </c>
      <c r="V230" t="s">
        <v>251</v>
      </c>
      <c r="X230">
        <v>3.5388127853881279E-3</v>
      </c>
      <c r="Y230">
        <v>4.4803553522445696E-3</v>
      </c>
      <c r="Z230" t="s">
        <v>302</v>
      </c>
      <c r="AA230" t="s">
        <v>25</v>
      </c>
      <c r="AC230" t="s">
        <v>22</v>
      </c>
      <c r="AD230" t="s">
        <v>302</v>
      </c>
      <c r="AE230">
        <v>4.937018504778355E-3</v>
      </c>
      <c r="AG230" t="s">
        <v>97</v>
      </c>
      <c r="AH230" t="s">
        <v>302</v>
      </c>
      <c r="AI230">
        <v>5.5477041993539533E-2</v>
      </c>
      <c r="AK230">
        <v>2040</v>
      </c>
      <c r="AL230" t="s">
        <v>163</v>
      </c>
      <c r="AM230">
        <v>0.28489999999999999</v>
      </c>
      <c r="AN230" t="s">
        <v>430</v>
      </c>
    </row>
    <row r="231" spans="5:40" x14ac:dyDescent="0.45">
      <c r="E231" t="s">
        <v>1532</v>
      </c>
      <c r="G231" t="s">
        <v>160</v>
      </c>
      <c r="I231" t="s">
        <v>249</v>
      </c>
      <c r="J231" t="s">
        <v>303</v>
      </c>
      <c r="K231">
        <v>3.8843648177558546E-2</v>
      </c>
      <c r="L231" t="s">
        <v>251</v>
      </c>
      <c r="N231" t="s">
        <v>419</v>
      </c>
      <c r="O231" t="s">
        <v>303</v>
      </c>
      <c r="P231">
        <v>5.84657992409887E-2</v>
      </c>
      <c r="Q231" t="s">
        <v>251</v>
      </c>
      <c r="S231" t="s">
        <v>420</v>
      </c>
      <c r="T231" t="s">
        <v>303</v>
      </c>
      <c r="U231">
        <v>5.5983631985480599E-2</v>
      </c>
      <c r="V231" t="s">
        <v>251</v>
      </c>
      <c r="X231">
        <v>2.4771689497716895E-2</v>
      </c>
      <c r="Y231">
        <v>3.4650821669194247E-2</v>
      </c>
      <c r="Z231" t="s">
        <v>303</v>
      </c>
      <c r="AA231" t="s">
        <v>25</v>
      </c>
      <c r="AC231" t="s">
        <v>22</v>
      </c>
      <c r="AD231" t="s">
        <v>303</v>
      </c>
      <c r="AE231">
        <v>3.5605578723758191E-2</v>
      </c>
      <c r="AG231" t="s">
        <v>97</v>
      </c>
      <c r="AH231" t="s">
        <v>303</v>
      </c>
      <c r="AI231">
        <v>0.11764578777160528</v>
      </c>
      <c r="AK231">
        <v>2040</v>
      </c>
      <c r="AL231" t="s">
        <v>167</v>
      </c>
      <c r="AM231">
        <v>0.3493</v>
      </c>
      <c r="AN231" t="s">
        <v>430</v>
      </c>
    </row>
    <row r="232" spans="5:40" x14ac:dyDescent="0.45">
      <c r="E232" t="s">
        <v>1533</v>
      </c>
      <c r="G232" t="s">
        <v>160</v>
      </c>
      <c r="I232" t="s">
        <v>249</v>
      </c>
      <c r="J232" t="s">
        <v>304</v>
      </c>
      <c r="K232">
        <v>2.7779154947420817E-3</v>
      </c>
      <c r="L232" t="s">
        <v>251</v>
      </c>
      <c r="N232" t="s">
        <v>419</v>
      </c>
      <c r="O232" t="s">
        <v>304</v>
      </c>
      <c r="P232">
        <v>8.3100494361197999E-3</v>
      </c>
      <c r="Q232" t="s">
        <v>251</v>
      </c>
      <c r="S232" t="s">
        <v>420</v>
      </c>
      <c r="T232" t="s">
        <v>304</v>
      </c>
      <c r="U232">
        <v>8.3495263949457006E-3</v>
      </c>
      <c r="V232" t="s">
        <v>251</v>
      </c>
      <c r="X232">
        <v>3.5388127853881279E-3</v>
      </c>
      <c r="Y232">
        <v>6.8849497385409693E-3</v>
      </c>
      <c r="Z232" t="s">
        <v>304</v>
      </c>
      <c r="AA232" t="s">
        <v>25</v>
      </c>
      <c r="AC232" t="s">
        <v>22</v>
      </c>
      <c r="AD232" t="s">
        <v>304</v>
      </c>
      <c r="AE232">
        <v>3.0673261932617898E-3</v>
      </c>
      <c r="AG232" t="s">
        <v>97</v>
      </c>
      <c r="AH232" t="s">
        <v>304</v>
      </c>
      <c r="AI232">
        <v>4.169317729613109E-2</v>
      </c>
      <c r="AK232">
        <v>2040</v>
      </c>
      <c r="AL232" t="s">
        <v>169</v>
      </c>
      <c r="AM232">
        <v>0.45989999999999998</v>
      </c>
      <c r="AN232" t="s">
        <v>430</v>
      </c>
    </row>
    <row r="233" spans="5:40" x14ac:dyDescent="0.45">
      <c r="E233" t="s">
        <v>1534</v>
      </c>
      <c r="G233" t="s">
        <v>160</v>
      </c>
      <c r="I233" t="s">
        <v>249</v>
      </c>
      <c r="J233" t="s">
        <v>305</v>
      </c>
      <c r="K233">
        <v>1.4128730063523956E-3</v>
      </c>
      <c r="L233" t="s">
        <v>251</v>
      </c>
      <c r="N233" t="s">
        <v>419</v>
      </c>
      <c r="O233" t="s">
        <v>305</v>
      </c>
      <c r="P233">
        <v>8.4304595037270995E-3</v>
      </c>
      <c r="Q233" t="s">
        <v>251</v>
      </c>
      <c r="S233" t="s">
        <v>420</v>
      </c>
      <c r="T233" t="s">
        <v>305</v>
      </c>
      <c r="U233">
        <v>8.4649161656644E-3</v>
      </c>
      <c r="V233" t="s">
        <v>251</v>
      </c>
      <c r="X233">
        <v>3.5388127853881279E-3</v>
      </c>
      <c r="Y233">
        <v>5.3435430806586613E-3</v>
      </c>
      <c r="Z233" t="s">
        <v>305</v>
      </c>
      <c r="AA233" t="s">
        <v>25</v>
      </c>
      <c r="AC233" t="s">
        <v>22</v>
      </c>
      <c r="AD233" t="s">
        <v>305</v>
      </c>
      <c r="AE233">
        <v>3.7456547182714863E-3</v>
      </c>
      <c r="AG233" t="s">
        <v>97</v>
      </c>
      <c r="AH233" t="s">
        <v>305</v>
      </c>
      <c r="AI233">
        <v>1.8929036410713973E-2</v>
      </c>
      <c r="AK233">
        <v>2040</v>
      </c>
      <c r="AL233" t="s">
        <v>171</v>
      </c>
      <c r="AM233">
        <v>0.56399999999999995</v>
      </c>
      <c r="AN233" t="s">
        <v>430</v>
      </c>
    </row>
    <row r="234" spans="5:40" x14ac:dyDescent="0.45">
      <c r="E234" t="s">
        <v>1535</v>
      </c>
      <c r="G234" t="s">
        <v>160</v>
      </c>
      <c r="I234" t="s">
        <v>249</v>
      </c>
      <c r="J234" t="s">
        <v>306</v>
      </c>
      <c r="K234">
        <v>3.1655616640138384E-4</v>
      </c>
      <c r="L234" t="s">
        <v>251</v>
      </c>
      <c r="N234" t="s">
        <v>419</v>
      </c>
      <c r="O234" t="s">
        <v>306</v>
      </c>
      <c r="P234">
        <v>4.2188424357887597E-2</v>
      </c>
      <c r="Q234" t="s">
        <v>251</v>
      </c>
      <c r="S234" t="s">
        <v>420</v>
      </c>
      <c r="T234" t="s">
        <v>306</v>
      </c>
      <c r="U234">
        <v>4.2296696757634797E-2</v>
      </c>
      <c r="V234" t="s">
        <v>251</v>
      </c>
      <c r="X234">
        <v>1.7694063926940638E-2</v>
      </c>
      <c r="Y234">
        <v>1.3358857701646654E-2</v>
      </c>
      <c r="Z234" t="s">
        <v>306</v>
      </c>
      <c r="AA234" t="s">
        <v>25</v>
      </c>
      <c r="AC234" t="s">
        <v>22</v>
      </c>
      <c r="AD234" t="s">
        <v>306</v>
      </c>
      <c r="AE234">
        <v>1.7309067814546067E-2</v>
      </c>
      <c r="AG234" t="s">
        <v>97</v>
      </c>
      <c r="AH234" t="s">
        <v>306</v>
      </c>
      <c r="AI234">
        <v>7.3955067275157216E-2</v>
      </c>
      <c r="AK234">
        <v>2040</v>
      </c>
      <c r="AL234" t="s">
        <v>158</v>
      </c>
      <c r="AM234">
        <v>0.65269999999999995</v>
      </c>
      <c r="AN234" t="s">
        <v>430</v>
      </c>
    </row>
    <row r="235" spans="5:40" x14ac:dyDescent="0.45">
      <c r="E235" t="s">
        <v>1536</v>
      </c>
      <c r="G235" t="s">
        <v>160</v>
      </c>
      <c r="I235" t="s">
        <v>249</v>
      </c>
      <c r="J235" t="s">
        <v>307</v>
      </c>
      <c r="K235">
        <v>2.345608298787312E-4</v>
      </c>
      <c r="L235" t="s">
        <v>251</v>
      </c>
      <c r="N235" t="s">
        <v>419</v>
      </c>
      <c r="O235" t="s">
        <v>307</v>
      </c>
      <c r="P235">
        <v>2.7783449009631592E-2</v>
      </c>
      <c r="Q235" t="s">
        <v>251</v>
      </c>
      <c r="S235" t="s">
        <v>420</v>
      </c>
      <c r="T235" t="s">
        <v>307</v>
      </c>
      <c r="U235">
        <v>3.030650736309513E-2</v>
      </c>
      <c r="V235" t="s">
        <v>251</v>
      </c>
      <c r="X235">
        <v>1.9178082191780823E-2</v>
      </c>
      <c r="Y235">
        <v>7.5737761976978363E-3</v>
      </c>
      <c r="Z235" t="s">
        <v>307</v>
      </c>
      <c r="AA235" t="s">
        <v>25</v>
      </c>
      <c r="AC235" t="s">
        <v>22</v>
      </c>
      <c r="AD235" t="s">
        <v>307</v>
      </c>
      <c r="AE235">
        <v>2.1601638224028673E-2</v>
      </c>
      <c r="AG235" t="s">
        <v>97</v>
      </c>
      <c r="AH235" t="s">
        <v>307</v>
      </c>
      <c r="AI235">
        <v>0.12705003756545818</v>
      </c>
      <c r="AK235">
        <v>2040</v>
      </c>
      <c r="AL235" t="s">
        <v>162</v>
      </c>
      <c r="AM235">
        <v>0.61629999999999996</v>
      </c>
      <c r="AN235" t="s">
        <v>430</v>
      </c>
    </row>
    <row r="236" spans="5:40" x14ac:dyDescent="0.45">
      <c r="E236" t="s">
        <v>1537</v>
      </c>
      <c r="G236" t="s">
        <v>160</v>
      </c>
      <c r="I236" t="s">
        <v>249</v>
      </c>
      <c r="J236" t="s">
        <v>308</v>
      </c>
      <c r="K236">
        <v>1.2864897374672373E-3</v>
      </c>
      <c r="L236" t="s">
        <v>251</v>
      </c>
      <c r="N236" t="s">
        <v>419</v>
      </c>
      <c r="O236" t="s">
        <v>308</v>
      </c>
      <c r="P236">
        <v>3.6759656327908356E-3</v>
      </c>
      <c r="Q236" t="s">
        <v>251</v>
      </c>
      <c r="S236" t="s">
        <v>420</v>
      </c>
      <c r="T236" t="s">
        <v>308</v>
      </c>
      <c r="U236">
        <v>3.9772652590315139E-3</v>
      </c>
      <c r="V236" t="s">
        <v>251</v>
      </c>
      <c r="X236">
        <v>2.7397260273972603E-3</v>
      </c>
      <c r="Y236">
        <v>4.5744971782313605E-3</v>
      </c>
      <c r="Z236" t="s">
        <v>308</v>
      </c>
      <c r="AA236" t="s">
        <v>25</v>
      </c>
      <c r="AC236" t="s">
        <v>22</v>
      </c>
      <c r="AD236" t="s">
        <v>308</v>
      </c>
      <c r="AE236">
        <v>3.5868410850186487E-3</v>
      </c>
      <c r="AG236" t="s">
        <v>97</v>
      </c>
      <c r="AH236" t="s">
        <v>308</v>
      </c>
      <c r="AI236">
        <v>4.0499748844516237E-2</v>
      </c>
      <c r="AK236">
        <v>2040</v>
      </c>
      <c r="AL236" t="s">
        <v>175</v>
      </c>
      <c r="AM236">
        <v>0.45469999999999999</v>
      </c>
      <c r="AN236" t="s">
        <v>430</v>
      </c>
    </row>
    <row r="237" spans="5:40" x14ac:dyDescent="0.45">
      <c r="E237" t="s">
        <v>1538</v>
      </c>
      <c r="G237" t="s">
        <v>160</v>
      </c>
      <c r="I237" t="s">
        <v>249</v>
      </c>
      <c r="J237" t="s">
        <v>309</v>
      </c>
      <c r="K237">
        <v>2.6493433612332726E-3</v>
      </c>
      <c r="L237" t="s">
        <v>251</v>
      </c>
      <c r="N237" t="s">
        <v>419</v>
      </c>
      <c r="O237" t="s">
        <v>309</v>
      </c>
      <c r="P237">
        <v>4.321956930206902E-3</v>
      </c>
      <c r="Q237" t="s">
        <v>251</v>
      </c>
      <c r="S237" t="s">
        <v>420</v>
      </c>
      <c r="T237" t="s">
        <v>309</v>
      </c>
      <c r="U237">
        <v>3.9210109221248677E-3</v>
      </c>
      <c r="V237" t="s">
        <v>251</v>
      </c>
      <c r="X237">
        <v>2.7397260273972603E-3</v>
      </c>
      <c r="Y237">
        <v>3.5004847972553029E-3</v>
      </c>
      <c r="Z237" t="s">
        <v>309</v>
      </c>
      <c r="AA237" t="s">
        <v>25</v>
      </c>
      <c r="AC237" t="s">
        <v>22</v>
      </c>
      <c r="AD237" t="s">
        <v>309</v>
      </c>
      <c r="AE237">
        <v>3.6254882454710784E-3</v>
      </c>
      <c r="AG237" t="s">
        <v>97</v>
      </c>
      <c r="AH237" t="s">
        <v>309</v>
      </c>
      <c r="AI237">
        <v>3.6542685865625701E-2</v>
      </c>
      <c r="AK237">
        <v>2040</v>
      </c>
      <c r="AL237" t="s">
        <v>166</v>
      </c>
      <c r="AM237">
        <v>0.29720000000000002</v>
      </c>
      <c r="AN237" t="s">
        <v>430</v>
      </c>
    </row>
    <row r="238" spans="5:40" x14ac:dyDescent="0.45">
      <c r="E238" t="s">
        <v>1539</v>
      </c>
      <c r="G238" t="s">
        <v>160</v>
      </c>
      <c r="I238" t="s">
        <v>249</v>
      </c>
      <c r="J238" t="s">
        <v>310</v>
      </c>
      <c r="K238">
        <v>3.7993109222380916E-3</v>
      </c>
      <c r="L238" t="s">
        <v>251</v>
      </c>
      <c r="N238" t="s">
        <v>419</v>
      </c>
      <c r="O238" t="s">
        <v>310</v>
      </c>
      <c r="P238">
        <v>4.3628424448937698E-3</v>
      </c>
      <c r="Q238" t="s">
        <v>251</v>
      </c>
      <c r="S238" t="s">
        <v>420</v>
      </c>
      <c r="T238" t="s">
        <v>310</v>
      </c>
      <c r="U238">
        <v>3.8669589660673283E-3</v>
      </c>
      <c r="V238" t="s">
        <v>251</v>
      </c>
      <c r="X238">
        <v>2.7397260273972603E-3</v>
      </c>
      <c r="Y238">
        <v>3.4686622081893455E-3</v>
      </c>
      <c r="Z238" t="s">
        <v>310</v>
      </c>
      <c r="AA238" t="s">
        <v>25</v>
      </c>
      <c r="AC238" t="s">
        <v>22</v>
      </c>
      <c r="AD238" t="s">
        <v>310</v>
      </c>
      <c r="AE238">
        <v>3.6221057276224393E-3</v>
      </c>
      <c r="AG238" t="s">
        <v>97</v>
      </c>
      <c r="AH238" t="s">
        <v>310</v>
      </c>
      <c r="AI238">
        <v>3.7066297890491207E-2</v>
      </c>
      <c r="AK238">
        <v>2040</v>
      </c>
      <c r="AL238" t="s">
        <v>178</v>
      </c>
      <c r="AM238">
        <v>0.26290000000000002</v>
      </c>
      <c r="AN238" t="s">
        <v>430</v>
      </c>
    </row>
    <row r="239" spans="5:40" x14ac:dyDescent="0.45">
      <c r="E239" t="s">
        <v>1540</v>
      </c>
      <c r="G239" t="s">
        <v>160</v>
      </c>
      <c r="I239" t="s">
        <v>249</v>
      </c>
      <c r="J239" t="s">
        <v>311</v>
      </c>
      <c r="K239">
        <v>3.3130693649687015E-2</v>
      </c>
      <c r="L239" t="s">
        <v>251</v>
      </c>
      <c r="N239" t="s">
        <v>419</v>
      </c>
      <c r="O239" t="s">
        <v>311</v>
      </c>
      <c r="P239">
        <v>3.1270664461066744E-2</v>
      </c>
      <c r="Q239" t="s">
        <v>251</v>
      </c>
      <c r="S239" t="s">
        <v>420</v>
      </c>
      <c r="T239" t="s">
        <v>311</v>
      </c>
      <c r="U239">
        <v>2.7984436428761698E-2</v>
      </c>
      <c r="V239" t="s">
        <v>251</v>
      </c>
      <c r="X239">
        <v>1.9178082191780823E-2</v>
      </c>
      <c r="Y239">
        <v>2.6826442582601997E-2</v>
      </c>
      <c r="Z239" t="s">
        <v>311</v>
      </c>
      <c r="AA239" t="s">
        <v>25</v>
      </c>
      <c r="AC239" t="s">
        <v>22</v>
      </c>
      <c r="AD239" t="s">
        <v>311</v>
      </c>
      <c r="AE239">
        <v>2.6410278407714607E-2</v>
      </c>
      <c r="AG239" t="s">
        <v>97</v>
      </c>
      <c r="AH239" t="s">
        <v>311</v>
      </c>
      <c r="AI239">
        <v>0.14857827695692838</v>
      </c>
      <c r="AK239">
        <v>2041</v>
      </c>
      <c r="AL239" t="s">
        <v>151</v>
      </c>
      <c r="AM239">
        <v>0.1925</v>
      </c>
      <c r="AN239" t="s">
        <v>430</v>
      </c>
    </row>
    <row r="240" spans="5:40" x14ac:dyDescent="0.45">
      <c r="E240" t="s">
        <v>1541</v>
      </c>
      <c r="G240" t="s">
        <v>160</v>
      </c>
      <c r="I240" t="s">
        <v>249</v>
      </c>
      <c r="J240" t="s">
        <v>312</v>
      </c>
      <c r="K240">
        <v>2.4787397261528342E-3</v>
      </c>
      <c r="L240" t="s">
        <v>251</v>
      </c>
      <c r="N240" t="s">
        <v>419</v>
      </c>
      <c r="O240" t="s">
        <v>312</v>
      </c>
      <c r="P240">
        <v>4.2171655850625983E-3</v>
      </c>
      <c r="Q240" t="s">
        <v>251</v>
      </c>
      <c r="S240" t="s">
        <v>420</v>
      </c>
      <c r="T240" t="s">
        <v>312</v>
      </c>
      <c r="U240">
        <v>4.0771595536333808E-3</v>
      </c>
      <c r="V240" t="s">
        <v>251</v>
      </c>
      <c r="X240">
        <v>2.7397260273972603E-3</v>
      </c>
      <c r="Y240">
        <v>5.3302836685478472E-3</v>
      </c>
      <c r="Z240" t="s">
        <v>312</v>
      </c>
      <c r="AA240" t="s">
        <v>25</v>
      </c>
      <c r="AC240" t="s">
        <v>22</v>
      </c>
      <c r="AD240" t="s">
        <v>312</v>
      </c>
      <c r="AE240">
        <v>2.0770849934410611E-3</v>
      </c>
      <c r="AG240" t="s">
        <v>97</v>
      </c>
      <c r="AH240" t="s">
        <v>312</v>
      </c>
      <c r="AI240">
        <v>3.6697630513148116E-2</v>
      </c>
      <c r="AK240">
        <v>2041</v>
      </c>
      <c r="AL240" t="s">
        <v>156</v>
      </c>
      <c r="AM240">
        <v>0.21129999999999999</v>
      </c>
      <c r="AN240" t="s">
        <v>430</v>
      </c>
    </row>
    <row r="241" spans="5:40" x14ac:dyDescent="0.45">
      <c r="E241" t="s">
        <v>1542</v>
      </c>
      <c r="G241" t="s">
        <v>160</v>
      </c>
      <c r="I241" t="s">
        <v>249</v>
      </c>
      <c r="J241" t="s">
        <v>313</v>
      </c>
      <c r="K241">
        <v>1.1423082621705269E-3</v>
      </c>
      <c r="L241" t="s">
        <v>251</v>
      </c>
      <c r="N241" t="s">
        <v>419</v>
      </c>
      <c r="O241" t="s">
        <v>313</v>
      </c>
      <c r="P241">
        <v>4.2969407917129452E-3</v>
      </c>
      <c r="Q241" t="s">
        <v>251</v>
      </c>
      <c r="S241" t="s">
        <v>420</v>
      </c>
      <c r="T241" t="s">
        <v>313</v>
      </c>
      <c r="U241">
        <v>4.1000351295337094E-3</v>
      </c>
      <c r="V241" t="s">
        <v>251</v>
      </c>
      <c r="X241">
        <v>2.7397260273972603E-3</v>
      </c>
      <c r="Y241">
        <v>4.1369365785744487E-3</v>
      </c>
      <c r="Z241" t="s">
        <v>313</v>
      </c>
      <c r="AA241" t="s">
        <v>25</v>
      </c>
      <c r="AC241" t="s">
        <v>22</v>
      </c>
      <c r="AD241" t="s">
        <v>313</v>
      </c>
      <c r="AE241">
        <v>1.3697087064584701E-3</v>
      </c>
      <c r="AG241" t="s">
        <v>97</v>
      </c>
      <c r="AH241" t="s">
        <v>313</v>
      </c>
      <c r="AI241">
        <v>3.6115699901003939E-2</v>
      </c>
      <c r="AK241">
        <v>2041</v>
      </c>
      <c r="AL241" t="s">
        <v>159</v>
      </c>
      <c r="AM241">
        <v>0.2382</v>
      </c>
      <c r="AN241" t="s">
        <v>430</v>
      </c>
    </row>
    <row r="242" spans="5:40" x14ac:dyDescent="0.45">
      <c r="E242" t="s">
        <v>1543</v>
      </c>
      <c r="G242" t="s">
        <v>160</v>
      </c>
      <c r="I242" t="s">
        <v>249</v>
      </c>
      <c r="J242" t="s">
        <v>314</v>
      </c>
      <c r="K242">
        <v>1.4480253980180268E-4</v>
      </c>
      <c r="L242" t="s">
        <v>251</v>
      </c>
      <c r="N242" t="s">
        <v>419</v>
      </c>
      <c r="O242" t="s">
        <v>314</v>
      </c>
      <c r="P242">
        <v>2.1348809947923583E-2</v>
      </c>
      <c r="Q242" t="s">
        <v>251</v>
      </c>
      <c r="S242" t="s">
        <v>420</v>
      </c>
      <c r="T242" t="s">
        <v>314</v>
      </c>
      <c r="U242">
        <v>2.0586351128152557E-2</v>
      </c>
      <c r="V242" t="s">
        <v>251</v>
      </c>
      <c r="X242">
        <v>1.3698630136986301E-2</v>
      </c>
      <c r="Y242">
        <v>1.0342341446436119E-2</v>
      </c>
      <c r="Z242" t="s">
        <v>314</v>
      </c>
      <c r="AA242" t="s">
        <v>25</v>
      </c>
      <c r="AC242" t="s">
        <v>22</v>
      </c>
      <c r="AD242" t="s">
        <v>314</v>
      </c>
      <c r="AE242">
        <v>7.0797691545817984E-3</v>
      </c>
      <c r="AG242" t="s">
        <v>97</v>
      </c>
      <c r="AH242" t="s">
        <v>314</v>
      </c>
      <c r="AI242">
        <v>0.16233618014226892</v>
      </c>
      <c r="AK242">
        <v>2041</v>
      </c>
      <c r="AL242" t="s">
        <v>163</v>
      </c>
      <c r="AM242">
        <v>0.2394</v>
      </c>
      <c r="AN242" t="s">
        <v>430</v>
      </c>
    </row>
    <row r="243" spans="5:40" x14ac:dyDescent="0.45">
      <c r="E243" t="s">
        <v>1544</v>
      </c>
      <c r="G243" t="s">
        <v>160</v>
      </c>
      <c r="I243" t="s">
        <v>249</v>
      </c>
      <c r="J243" t="s">
        <v>1792</v>
      </c>
      <c r="K243">
        <v>0</v>
      </c>
      <c r="L243" t="s">
        <v>251</v>
      </c>
      <c r="N243" t="s">
        <v>419</v>
      </c>
      <c r="O243" t="s">
        <v>1792</v>
      </c>
      <c r="P243">
        <v>1.7923652230619999E-4</v>
      </c>
      <c r="Q243" t="s">
        <v>251</v>
      </c>
      <c r="S243" t="s">
        <v>420</v>
      </c>
      <c r="T243" t="s">
        <v>1792</v>
      </c>
      <c r="U243">
        <v>2.374432254704E-4</v>
      </c>
      <c r="V243" t="s">
        <v>251</v>
      </c>
      <c r="X243">
        <v>1.1415525114155251E-4</v>
      </c>
      <c r="Y243">
        <v>2.1546544680075254E-5</v>
      </c>
      <c r="Z243" t="s">
        <v>1792</v>
      </c>
      <c r="AA243" t="s">
        <v>25</v>
      </c>
      <c r="AC243" t="s">
        <v>22</v>
      </c>
      <c r="AD243" t="s">
        <v>1792</v>
      </c>
      <c r="AE243">
        <v>8.1969775175771189E-5</v>
      </c>
      <c r="AG243" t="s">
        <v>97</v>
      </c>
      <c r="AH243" t="s">
        <v>1792</v>
      </c>
      <c r="AI243">
        <v>0</v>
      </c>
      <c r="AK243">
        <v>2041</v>
      </c>
      <c r="AL243" t="s">
        <v>167</v>
      </c>
      <c r="AM243">
        <v>0.34799999999999998</v>
      </c>
      <c r="AN243" t="s">
        <v>430</v>
      </c>
    </row>
    <row r="244" spans="5:40" x14ac:dyDescent="0.45">
      <c r="E244" t="s">
        <v>1545</v>
      </c>
      <c r="G244" t="s">
        <v>160</v>
      </c>
      <c r="I244" t="s">
        <v>249</v>
      </c>
      <c r="J244" t="s">
        <v>1793</v>
      </c>
      <c r="K244">
        <v>0</v>
      </c>
      <c r="L244" t="s">
        <v>251</v>
      </c>
      <c r="N244" t="s">
        <v>419</v>
      </c>
      <c r="O244" t="s">
        <v>1793</v>
      </c>
      <c r="P244">
        <v>1.861554270312E-4</v>
      </c>
      <c r="Q244" t="s">
        <v>251</v>
      </c>
      <c r="S244" t="s">
        <v>420</v>
      </c>
      <c r="T244" t="s">
        <v>1793</v>
      </c>
      <c r="U244">
        <v>2.2698882045650001E-4</v>
      </c>
      <c r="V244" t="s">
        <v>251</v>
      </c>
      <c r="X244">
        <v>1.1415525114155251E-4</v>
      </c>
      <c r="Y244">
        <v>1.4916838624667481E-5</v>
      </c>
      <c r="Z244" t="s">
        <v>1793</v>
      </c>
      <c r="AA244" t="s">
        <v>25</v>
      </c>
      <c r="AC244" t="s">
        <v>22</v>
      </c>
      <c r="AD244" t="s">
        <v>1793</v>
      </c>
      <c r="AE244">
        <v>9.805121872888376E-5</v>
      </c>
      <c r="AG244" t="s">
        <v>97</v>
      </c>
      <c r="AH244" t="s">
        <v>1793</v>
      </c>
      <c r="AI244">
        <v>0</v>
      </c>
      <c r="AK244">
        <v>2041</v>
      </c>
      <c r="AL244" t="s">
        <v>169</v>
      </c>
      <c r="AM244">
        <v>0.39019999999999999</v>
      </c>
      <c r="AN244" t="s">
        <v>430</v>
      </c>
    </row>
    <row r="245" spans="5:40" x14ac:dyDescent="0.45">
      <c r="E245" t="s">
        <v>1546</v>
      </c>
      <c r="G245" t="s">
        <v>160</v>
      </c>
      <c r="I245" t="s">
        <v>249</v>
      </c>
      <c r="J245" t="s">
        <v>1794</v>
      </c>
      <c r="K245">
        <v>0</v>
      </c>
      <c r="L245" t="s">
        <v>251</v>
      </c>
      <c r="N245" t="s">
        <v>419</v>
      </c>
      <c r="O245" t="s">
        <v>1794</v>
      </c>
      <c r="P245">
        <v>1.7599430962510001E-4</v>
      </c>
      <c r="Q245" t="s">
        <v>251</v>
      </c>
      <c r="S245" t="s">
        <v>420</v>
      </c>
      <c r="T245" t="s">
        <v>1794</v>
      </c>
      <c r="U245">
        <v>2.0290596865560001E-4</v>
      </c>
      <c r="V245" t="s">
        <v>251</v>
      </c>
      <c r="X245">
        <v>1.1415525114155251E-4</v>
      </c>
      <c r="Y245">
        <v>1.6574265138519424E-5</v>
      </c>
      <c r="Z245" t="s">
        <v>1794</v>
      </c>
      <c r="AA245" t="s">
        <v>25</v>
      </c>
      <c r="AC245" t="s">
        <v>22</v>
      </c>
      <c r="AD245" t="s">
        <v>1794</v>
      </c>
      <c r="AE245">
        <v>1.2163748449162407E-4</v>
      </c>
      <c r="AG245" t="s">
        <v>97</v>
      </c>
      <c r="AH245" t="s">
        <v>1794</v>
      </c>
      <c r="AI245">
        <v>0</v>
      </c>
      <c r="AK245">
        <v>2041</v>
      </c>
      <c r="AL245" t="s">
        <v>171</v>
      </c>
      <c r="AM245">
        <v>0.47620000000000001</v>
      </c>
      <c r="AN245" t="s">
        <v>430</v>
      </c>
    </row>
    <row r="246" spans="5:40" x14ac:dyDescent="0.45">
      <c r="E246" t="s">
        <v>1547</v>
      </c>
      <c r="G246" t="s">
        <v>160</v>
      </c>
      <c r="I246" t="s">
        <v>249</v>
      </c>
      <c r="J246" t="s">
        <v>1795</v>
      </c>
      <c r="K246">
        <v>0</v>
      </c>
      <c r="L246" t="s">
        <v>251</v>
      </c>
      <c r="N246" t="s">
        <v>419</v>
      </c>
      <c r="O246" t="s">
        <v>1795</v>
      </c>
      <c r="P246">
        <v>1.382728338707E-4</v>
      </c>
      <c r="Q246" t="s">
        <v>251</v>
      </c>
      <c r="S246" t="s">
        <v>420</v>
      </c>
      <c r="T246" t="s">
        <v>1795</v>
      </c>
      <c r="U246">
        <v>1.909981717405E-4</v>
      </c>
      <c r="V246" t="s">
        <v>251</v>
      </c>
      <c r="X246">
        <v>1.1415525114155251E-4</v>
      </c>
      <c r="Y246">
        <v>1.4585353321897093E-5</v>
      </c>
      <c r="Z246" t="s">
        <v>1795</v>
      </c>
      <c r="AA246" t="s">
        <v>25</v>
      </c>
      <c r="AC246" t="s">
        <v>22</v>
      </c>
      <c r="AD246" t="s">
        <v>1795</v>
      </c>
      <c r="AE246">
        <v>1.3624603983791841E-4</v>
      </c>
      <c r="AG246" t="s">
        <v>97</v>
      </c>
      <c r="AH246" t="s">
        <v>1795</v>
      </c>
      <c r="AI246">
        <v>0</v>
      </c>
      <c r="AK246">
        <v>2041</v>
      </c>
      <c r="AL246" t="s">
        <v>158</v>
      </c>
      <c r="AM246">
        <v>0.53459999999999996</v>
      </c>
      <c r="AN246" t="s">
        <v>430</v>
      </c>
    </row>
    <row r="247" spans="5:40" x14ac:dyDescent="0.45">
      <c r="E247" t="s">
        <v>1548</v>
      </c>
      <c r="G247" t="s">
        <v>160</v>
      </c>
      <c r="I247" t="s">
        <v>249</v>
      </c>
      <c r="J247" t="s">
        <v>1796</v>
      </c>
      <c r="K247">
        <v>0</v>
      </c>
      <c r="L247" t="s">
        <v>251</v>
      </c>
      <c r="N247" t="s">
        <v>419</v>
      </c>
      <c r="O247" t="s">
        <v>1796</v>
      </c>
      <c r="P247">
        <v>1.3459554155709999E-4</v>
      </c>
      <c r="Q247" t="s">
        <v>251</v>
      </c>
      <c r="S247" t="s">
        <v>420</v>
      </c>
      <c r="T247" t="s">
        <v>1796</v>
      </c>
      <c r="U247">
        <v>1.9111787741579999E-4</v>
      </c>
      <c r="V247" t="s">
        <v>251</v>
      </c>
      <c r="X247">
        <v>1.1415525114155251E-4</v>
      </c>
      <c r="Y247">
        <v>2.1215059377304864E-5</v>
      </c>
      <c r="Z247" t="s">
        <v>1796</v>
      </c>
      <c r="AA247" t="s">
        <v>25</v>
      </c>
      <c r="AC247" t="s">
        <v>22</v>
      </c>
      <c r="AD247" t="s">
        <v>1796</v>
      </c>
      <c r="AE247">
        <v>1.4302221689833344E-4</v>
      </c>
      <c r="AG247" t="s">
        <v>97</v>
      </c>
      <c r="AH247" t="s">
        <v>1796</v>
      </c>
      <c r="AI247">
        <v>0</v>
      </c>
      <c r="AK247">
        <v>2041</v>
      </c>
      <c r="AL247" t="s">
        <v>162</v>
      </c>
      <c r="AM247">
        <v>0.5333</v>
      </c>
      <c r="AN247" t="s">
        <v>430</v>
      </c>
    </row>
    <row r="248" spans="5:40" x14ac:dyDescent="0.45">
      <c r="E248" t="s">
        <v>1549</v>
      </c>
      <c r="G248" t="s">
        <v>160</v>
      </c>
      <c r="I248" t="s">
        <v>249</v>
      </c>
      <c r="J248" t="s">
        <v>1797</v>
      </c>
      <c r="K248">
        <v>0</v>
      </c>
      <c r="L248" t="s">
        <v>251</v>
      </c>
      <c r="N248" t="s">
        <v>419</v>
      </c>
      <c r="O248" t="s">
        <v>1797</v>
      </c>
      <c r="P248">
        <v>1.2586777144419999E-4</v>
      </c>
      <c r="Q248" t="s">
        <v>251</v>
      </c>
      <c r="S248" t="s">
        <v>420</v>
      </c>
      <c r="T248" t="s">
        <v>1797</v>
      </c>
      <c r="U248">
        <v>1.907269926203E-4</v>
      </c>
      <c r="V248" t="s">
        <v>251</v>
      </c>
      <c r="X248">
        <v>1.1415525114155251E-4</v>
      </c>
      <c r="Y248">
        <v>5.7678442682047593E-5</v>
      </c>
      <c r="Z248" t="s">
        <v>1797</v>
      </c>
      <c r="AA248" t="s">
        <v>25</v>
      </c>
      <c r="AC248" t="s">
        <v>22</v>
      </c>
      <c r="AD248" t="s">
        <v>1797</v>
      </c>
      <c r="AE248">
        <v>1.4324058761583451E-4</v>
      </c>
      <c r="AG248" t="s">
        <v>97</v>
      </c>
      <c r="AH248" t="s">
        <v>1797</v>
      </c>
      <c r="AI248">
        <v>0</v>
      </c>
      <c r="AK248">
        <v>2041</v>
      </c>
      <c r="AL248" t="s">
        <v>175</v>
      </c>
      <c r="AM248">
        <v>0.35160000000000002</v>
      </c>
      <c r="AN248" t="s">
        <v>430</v>
      </c>
    </row>
    <row r="249" spans="5:40" x14ac:dyDescent="0.45">
      <c r="E249" t="s">
        <v>1550</v>
      </c>
      <c r="G249" t="s">
        <v>160</v>
      </c>
      <c r="I249" t="s">
        <v>249</v>
      </c>
      <c r="J249" t="s">
        <v>1798</v>
      </c>
      <c r="K249">
        <v>7.6941842165149514E-6</v>
      </c>
      <c r="L249" t="s">
        <v>251</v>
      </c>
      <c r="N249" t="s">
        <v>419</v>
      </c>
      <c r="O249" t="s">
        <v>1798</v>
      </c>
      <c r="P249">
        <v>1.15430426109E-4</v>
      </c>
      <c r="Q249" t="s">
        <v>251</v>
      </c>
      <c r="S249" t="s">
        <v>420</v>
      </c>
      <c r="T249" t="s">
        <v>1798</v>
      </c>
      <c r="U249">
        <v>1.8372586427880001E-4</v>
      </c>
      <c r="V249" t="s">
        <v>251</v>
      </c>
      <c r="X249">
        <v>1.1415525114155251E-4</v>
      </c>
      <c r="Y249">
        <v>1.6905750441289813E-4</v>
      </c>
      <c r="Z249" t="s">
        <v>1798</v>
      </c>
      <c r="AA249" t="s">
        <v>25</v>
      </c>
      <c r="AC249" t="s">
        <v>22</v>
      </c>
      <c r="AD249" t="s">
        <v>1798</v>
      </c>
      <c r="AE249">
        <v>1.4324058761583451E-4</v>
      </c>
      <c r="AG249" t="s">
        <v>97</v>
      </c>
      <c r="AH249" t="s">
        <v>1798</v>
      </c>
      <c r="AI249">
        <v>0</v>
      </c>
      <c r="AK249">
        <v>2041</v>
      </c>
      <c r="AL249" t="s">
        <v>166</v>
      </c>
      <c r="AM249">
        <v>0.2631</v>
      </c>
      <c r="AN249" t="s">
        <v>430</v>
      </c>
    </row>
    <row r="250" spans="5:40" x14ac:dyDescent="0.45">
      <c r="E250" t="s">
        <v>1551</v>
      </c>
      <c r="G250" t="s">
        <v>160</v>
      </c>
      <c r="I250" t="s">
        <v>249</v>
      </c>
      <c r="J250" t="s">
        <v>1799</v>
      </c>
      <c r="K250">
        <v>4.8462916668641686E-5</v>
      </c>
      <c r="L250" t="s">
        <v>251</v>
      </c>
      <c r="N250" t="s">
        <v>419</v>
      </c>
      <c r="O250" t="s">
        <v>1799</v>
      </c>
      <c r="P250">
        <v>1.2328904419190001E-4</v>
      </c>
      <c r="Q250" t="s">
        <v>251</v>
      </c>
      <c r="S250" t="s">
        <v>420</v>
      </c>
      <c r="T250" t="s">
        <v>1799</v>
      </c>
      <c r="U250">
        <v>1.79241098783E-4</v>
      </c>
      <c r="V250" t="s">
        <v>251</v>
      </c>
      <c r="X250">
        <v>1.1415525114155251E-4</v>
      </c>
      <c r="Y250">
        <v>1.9060404909297337E-4</v>
      </c>
      <c r="Z250" t="s">
        <v>1799</v>
      </c>
      <c r="AA250" t="s">
        <v>25</v>
      </c>
      <c r="AC250" t="s">
        <v>22</v>
      </c>
      <c r="AD250" t="s">
        <v>1799</v>
      </c>
      <c r="AE250">
        <v>1.4366395941507122E-4</v>
      </c>
      <c r="AG250" t="s">
        <v>97</v>
      </c>
      <c r="AH250" t="s">
        <v>1799</v>
      </c>
      <c r="AI250">
        <v>0</v>
      </c>
      <c r="AK250">
        <v>2041</v>
      </c>
      <c r="AL250" t="s">
        <v>178</v>
      </c>
      <c r="AM250">
        <v>0.20330000000000001</v>
      </c>
      <c r="AN250" t="s">
        <v>430</v>
      </c>
    </row>
    <row r="251" spans="5:40" x14ac:dyDescent="0.45">
      <c r="E251" t="s">
        <v>1552</v>
      </c>
      <c r="G251" t="s">
        <v>160</v>
      </c>
      <c r="I251" t="s">
        <v>249</v>
      </c>
      <c r="J251" t="s">
        <v>1800</v>
      </c>
      <c r="K251">
        <v>1.157451421909E-4</v>
      </c>
      <c r="L251" t="s">
        <v>251</v>
      </c>
      <c r="N251" t="s">
        <v>419</v>
      </c>
      <c r="O251" t="s">
        <v>1800</v>
      </c>
      <c r="P251">
        <v>1.3673349203060001E-4</v>
      </c>
      <c r="Q251" t="s">
        <v>251</v>
      </c>
      <c r="S251" t="s">
        <v>420</v>
      </c>
      <c r="T251" t="s">
        <v>1800</v>
      </c>
      <c r="U251">
        <v>1.7134553842569999E-4</v>
      </c>
      <c r="V251" t="s">
        <v>251</v>
      </c>
      <c r="X251">
        <v>1.1415525114155251E-4</v>
      </c>
      <c r="Y251">
        <v>1.4585353321897094E-4</v>
      </c>
      <c r="Z251" t="s">
        <v>1800</v>
      </c>
      <c r="AA251" t="s">
        <v>25</v>
      </c>
      <c r="AC251" t="s">
        <v>22</v>
      </c>
      <c r="AD251" t="s">
        <v>1800</v>
      </c>
      <c r="AE251">
        <v>1.4369961177711221E-4</v>
      </c>
      <c r="AG251" t="s">
        <v>97</v>
      </c>
      <c r="AH251" t="s">
        <v>1800</v>
      </c>
      <c r="AI251">
        <v>0</v>
      </c>
      <c r="AK251">
        <v>2042</v>
      </c>
      <c r="AL251" t="s">
        <v>151</v>
      </c>
      <c r="AM251">
        <v>0.19800000000000001</v>
      </c>
      <c r="AN251" t="s">
        <v>430</v>
      </c>
    </row>
    <row r="252" spans="5:40" x14ac:dyDescent="0.45">
      <c r="E252" t="s">
        <v>1553</v>
      </c>
      <c r="G252" t="s">
        <v>160</v>
      </c>
      <c r="I252" t="s">
        <v>249</v>
      </c>
      <c r="J252" t="s">
        <v>1801</v>
      </c>
      <c r="K252">
        <v>1.7576066581080001E-4</v>
      </c>
      <c r="L252" t="s">
        <v>251</v>
      </c>
      <c r="N252" t="s">
        <v>419</v>
      </c>
      <c r="O252" t="s">
        <v>1801</v>
      </c>
      <c r="P252">
        <v>1.3905219837609999E-4</v>
      </c>
      <c r="Q252" t="s">
        <v>251</v>
      </c>
      <c r="S252" t="s">
        <v>420</v>
      </c>
      <c r="T252" t="s">
        <v>1801</v>
      </c>
      <c r="U252">
        <v>1.6633248822630001E-4</v>
      </c>
      <c r="V252" t="s">
        <v>251</v>
      </c>
      <c r="X252">
        <v>1.1415525114155251E-4</v>
      </c>
      <c r="Y252">
        <v>1.4452759200788939E-4</v>
      </c>
      <c r="Z252" t="s">
        <v>1801</v>
      </c>
      <c r="AA252" t="s">
        <v>25</v>
      </c>
      <c r="AC252" t="s">
        <v>22</v>
      </c>
      <c r="AD252" t="s">
        <v>1801</v>
      </c>
      <c r="AE252">
        <v>1.4369961177711219E-4</v>
      </c>
      <c r="AG252" t="s">
        <v>97</v>
      </c>
      <c r="AH252" t="s">
        <v>1801</v>
      </c>
      <c r="AI252">
        <v>0</v>
      </c>
      <c r="AK252">
        <v>2042</v>
      </c>
      <c r="AL252" t="s">
        <v>156</v>
      </c>
      <c r="AM252">
        <v>0.21360000000000001</v>
      </c>
      <c r="AN252" t="s">
        <v>430</v>
      </c>
    </row>
    <row r="253" spans="5:40" x14ac:dyDescent="0.45">
      <c r="E253" t="s">
        <v>1554</v>
      </c>
      <c r="G253" t="s">
        <v>160</v>
      </c>
      <c r="I253" t="s">
        <v>249</v>
      </c>
      <c r="J253" t="s">
        <v>1802</v>
      </c>
      <c r="K253">
        <v>2.0574515940039999E-4</v>
      </c>
      <c r="L253" t="s">
        <v>251</v>
      </c>
      <c r="N253" t="s">
        <v>419</v>
      </c>
      <c r="O253" t="s">
        <v>1802</v>
      </c>
      <c r="P253">
        <v>1.3598655272609999E-4</v>
      </c>
      <c r="Q253" t="s">
        <v>251</v>
      </c>
      <c r="S253" t="s">
        <v>420</v>
      </c>
      <c r="T253" t="s">
        <v>1802</v>
      </c>
      <c r="U253">
        <v>1.6447476522879999E-4</v>
      </c>
      <c r="V253" t="s">
        <v>251</v>
      </c>
      <c r="X253">
        <v>1.1415525114155251E-4</v>
      </c>
      <c r="Y253">
        <v>1.408812536774151E-4</v>
      </c>
      <c r="Z253" t="s">
        <v>1802</v>
      </c>
      <c r="AA253" t="s">
        <v>25</v>
      </c>
      <c r="AC253" t="s">
        <v>22</v>
      </c>
      <c r="AD253" t="s">
        <v>1802</v>
      </c>
      <c r="AE253">
        <v>1.4350909446745569E-4</v>
      </c>
      <c r="AG253" t="s">
        <v>97</v>
      </c>
      <c r="AH253" t="s">
        <v>1802</v>
      </c>
      <c r="AI253">
        <v>0</v>
      </c>
      <c r="AK253">
        <v>2042</v>
      </c>
      <c r="AL253" t="s">
        <v>159</v>
      </c>
      <c r="AM253">
        <v>0.2429</v>
      </c>
      <c r="AN253" t="s">
        <v>430</v>
      </c>
    </row>
    <row r="254" spans="5:40" x14ac:dyDescent="0.45">
      <c r="E254" t="s">
        <v>1555</v>
      </c>
      <c r="G254" t="s">
        <v>160</v>
      </c>
      <c r="I254" t="s">
        <v>249</v>
      </c>
      <c r="J254" t="s">
        <v>1803</v>
      </c>
      <c r="K254">
        <v>2.2812189025410001E-4</v>
      </c>
      <c r="L254" t="s">
        <v>251</v>
      </c>
      <c r="N254" t="s">
        <v>419</v>
      </c>
      <c r="O254" t="s">
        <v>1803</v>
      </c>
      <c r="P254">
        <v>1.3067842538600001E-4</v>
      </c>
      <c r="Q254" t="s">
        <v>251</v>
      </c>
      <c r="S254" t="s">
        <v>420</v>
      </c>
      <c r="T254" t="s">
        <v>1803</v>
      </c>
      <c r="U254">
        <v>1.6382172927549999E-4</v>
      </c>
      <c r="V254" t="s">
        <v>251</v>
      </c>
      <c r="X254">
        <v>1.1415525114155251E-4</v>
      </c>
      <c r="Y254">
        <v>1.4054976837464471E-4</v>
      </c>
      <c r="Z254" t="s">
        <v>1803</v>
      </c>
      <c r="AA254" t="s">
        <v>25</v>
      </c>
      <c r="AC254" t="s">
        <v>22</v>
      </c>
      <c r="AD254" t="s">
        <v>1803</v>
      </c>
      <c r="AE254">
        <v>1.4380656886323515E-4</v>
      </c>
      <c r="AG254" t="s">
        <v>97</v>
      </c>
      <c r="AH254" t="s">
        <v>1803</v>
      </c>
      <c r="AI254">
        <v>0</v>
      </c>
      <c r="AK254">
        <v>2042</v>
      </c>
      <c r="AL254" t="s">
        <v>163</v>
      </c>
      <c r="AM254">
        <v>0.25829999999999997</v>
      </c>
      <c r="AN254" t="s">
        <v>430</v>
      </c>
    </row>
    <row r="255" spans="5:40" x14ac:dyDescent="0.45">
      <c r="E255" t="s">
        <v>1556</v>
      </c>
      <c r="G255" t="s">
        <v>160</v>
      </c>
      <c r="I255" t="s">
        <v>249</v>
      </c>
      <c r="J255" t="s">
        <v>1804</v>
      </c>
      <c r="K255">
        <v>2.233027183536E-4</v>
      </c>
      <c r="L255" t="s">
        <v>251</v>
      </c>
      <c r="N255" t="s">
        <v>419</v>
      </c>
      <c r="O255" t="s">
        <v>1804</v>
      </c>
      <c r="P255">
        <v>1.2659755342479999E-4</v>
      </c>
      <c r="Q255" t="s">
        <v>251</v>
      </c>
      <c r="S255" t="s">
        <v>420</v>
      </c>
      <c r="T255" t="s">
        <v>1804</v>
      </c>
      <c r="U255">
        <v>1.615724809569E-4</v>
      </c>
      <c r="V255" t="s">
        <v>251</v>
      </c>
      <c r="X255">
        <v>1.1415525114155251E-4</v>
      </c>
      <c r="Y255">
        <v>1.4253868019126702E-4</v>
      </c>
      <c r="Z255" t="s">
        <v>1804</v>
      </c>
      <c r="AA255" t="s">
        <v>25</v>
      </c>
      <c r="AC255" t="s">
        <v>22</v>
      </c>
      <c r="AD255" t="s">
        <v>1804</v>
      </c>
      <c r="AE255">
        <v>1.6982945074421415E-4</v>
      </c>
      <c r="AG255" t="s">
        <v>97</v>
      </c>
      <c r="AH255" t="s">
        <v>1804</v>
      </c>
      <c r="AI255">
        <v>0</v>
      </c>
      <c r="AK255">
        <v>2042</v>
      </c>
      <c r="AL255" t="s">
        <v>167</v>
      </c>
      <c r="AM255">
        <v>0.30969999999999998</v>
      </c>
      <c r="AN255" t="s">
        <v>430</v>
      </c>
    </row>
    <row r="256" spans="5:40" x14ac:dyDescent="0.45">
      <c r="E256" t="s">
        <v>1557</v>
      </c>
      <c r="G256" t="s">
        <v>160</v>
      </c>
      <c r="I256" t="s">
        <v>249</v>
      </c>
      <c r="J256" t="s">
        <v>1805</v>
      </c>
      <c r="K256">
        <v>2.2758536565989999E-4</v>
      </c>
      <c r="L256" t="s">
        <v>251</v>
      </c>
      <c r="N256" t="s">
        <v>419</v>
      </c>
      <c r="O256" t="s">
        <v>1805</v>
      </c>
      <c r="P256">
        <v>1.2838508101090001E-4</v>
      </c>
      <c r="Q256" t="s">
        <v>251</v>
      </c>
      <c r="S256" t="s">
        <v>420</v>
      </c>
      <c r="T256" t="s">
        <v>1805</v>
      </c>
      <c r="U256">
        <v>1.5768725535090001E-4</v>
      </c>
      <c r="V256" t="s">
        <v>251</v>
      </c>
      <c r="X256">
        <v>1.1415525114155251E-4</v>
      </c>
      <c r="Y256">
        <v>1.4883690094390442E-4</v>
      </c>
      <c r="Z256" t="s">
        <v>1805</v>
      </c>
      <c r="AA256" t="s">
        <v>25</v>
      </c>
      <c r="AC256" t="s">
        <v>22</v>
      </c>
      <c r="AD256" t="s">
        <v>1805</v>
      </c>
      <c r="AE256">
        <v>1.715875578473603E-4</v>
      </c>
      <c r="AG256" t="s">
        <v>97</v>
      </c>
      <c r="AH256" t="s">
        <v>1805</v>
      </c>
      <c r="AI256">
        <v>0</v>
      </c>
      <c r="AK256">
        <v>2042</v>
      </c>
      <c r="AL256" t="s">
        <v>169</v>
      </c>
      <c r="AM256">
        <v>0.4103</v>
      </c>
      <c r="AN256" t="s">
        <v>430</v>
      </c>
    </row>
    <row r="257" spans="5:40" x14ac:dyDescent="0.45">
      <c r="E257" t="s">
        <v>1558</v>
      </c>
      <c r="G257" t="s">
        <v>160</v>
      </c>
      <c r="I257" t="s">
        <v>249</v>
      </c>
      <c r="J257" t="s">
        <v>1806</v>
      </c>
      <c r="K257">
        <v>2.114815834053E-4</v>
      </c>
      <c r="L257" t="s">
        <v>251</v>
      </c>
      <c r="N257" t="s">
        <v>419</v>
      </c>
      <c r="O257" t="s">
        <v>1806</v>
      </c>
      <c r="P257">
        <v>1.4605702132960001E-4</v>
      </c>
      <c r="Q257" t="s">
        <v>251</v>
      </c>
      <c r="S257" t="s">
        <v>420</v>
      </c>
      <c r="T257" t="s">
        <v>1806</v>
      </c>
      <c r="U257">
        <v>1.5976102157449999E-4</v>
      </c>
      <c r="V257" t="s">
        <v>251</v>
      </c>
      <c r="X257">
        <v>1.1415525114155251E-4</v>
      </c>
      <c r="Y257">
        <v>1.5049432745775637E-4</v>
      </c>
      <c r="Z257" t="s">
        <v>1806</v>
      </c>
      <c r="AA257" t="s">
        <v>25</v>
      </c>
      <c r="AC257" t="s">
        <v>22</v>
      </c>
      <c r="AD257" t="s">
        <v>1806</v>
      </c>
      <c r="AE257">
        <v>1.6485037555792761E-4</v>
      </c>
      <c r="AG257" t="s">
        <v>97</v>
      </c>
      <c r="AH257" t="s">
        <v>1806</v>
      </c>
      <c r="AI257">
        <v>0</v>
      </c>
      <c r="AK257">
        <v>2042</v>
      </c>
      <c r="AL257" t="s">
        <v>171</v>
      </c>
      <c r="AM257">
        <v>0.41949999999999998</v>
      </c>
      <c r="AN257" t="s">
        <v>430</v>
      </c>
    </row>
    <row r="258" spans="5:40" x14ac:dyDescent="0.45">
      <c r="E258" t="s">
        <v>1559</v>
      </c>
      <c r="G258" t="s">
        <v>160</v>
      </c>
      <c r="I258" t="s">
        <v>249</v>
      </c>
      <c r="J258" t="s">
        <v>1807</v>
      </c>
      <c r="K258">
        <v>1.762300015236E-4</v>
      </c>
      <c r="L258" t="s">
        <v>251</v>
      </c>
      <c r="N258" t="s">
        <v>419</v>
      </c>
      <c r="O258" t="s">
        <v>1807</v>
      </c>
      <c r="P258">
        <v>1.477749990098E-4</v>
      </c>
      <c r="Q258" t="s">
        <v>251</v>
      </c>
      <c r="S258" t="s">
        <v>420</v>
      </c>
      <c r="T258" t="s">
        <v>1807</v>
      </c>
      <c r="U258">
        <v>1.5319553874949999E-4</v>
      </c>
      <c r="V258" t="s">
        <v>251</v>
      </c>
      <c r="X258">
        <v>1.1415525114155251E-4</v>
      </c>
      <c r="Y258">
        <v>1.7237235744060203E-4</v>
      </c>
      <c r="Z258" t="s">
        <v>1807</v>
      </c>
      <c r="AA258" t="s">
        <v>25</v>
      </c>
      <c r="AC258" t="s">
        <v>22</v>
      </c>
      <c r="AD258" t="s">
        <v>1807</v>
      </c>
      <c r="AE258">
        <v>1.4595239540357704E-4</v>
      </c>
      <c r="AG258" t="s">
        <v>97</v>
      </c>
      <c r="AH258" t="s">
        <v>1807</v>
      </c>
      <c r="AI258">
        <v>0</v>
      </c>
      <c r="AK258">
        <v>2042</v>
      </c>
      <c r="AL258" t="s">
        <v>158</v>
      </c>
      <c r="AM258">
        <v>0.52310000000000001</v>
      </c>
      <c r="AN258" t="s">
        <v>430</v>
      </c>
    </row>
    <row r="259" spans="5:40" x14ac:dyDescent="0.45">
      <c r="E259" t="s">
        <v>1560</v>
      </c>
      <c r="G259" t="s">
        <v>160</v>
      </c>
      <c r="I259" t="s">
        <v>249</v>
      </c>
      <c r="J259" t="s">
        <v>1808</v>
      </c>
      <c r="K259">
        <v>1.332023649509E-4</v>
      </c>
      <c r="L259" t="s">
        <v>251</v>
      </c>
      <c r="N259" t="s">
        <v>419</v>
      </c>
      <c r="O259" t="s">
        <v>1808</v>
      </c>
      <c r="P259">
        <v>1.4961388750489999E-4</v>
      </c>
      <c r="Q259" t="s">
        <v>251</v>
      </c>
      <c r="S259" t="s">
        <v>420</v>
      </c>
      <c r="T259" t="s">
        <v>1808</v>
      </c>
      <c r="U259">
        <v>1.5777762385909999E-4</v>
      </c>
      <c r="V259" t="s">
        <v>251</v>
      </c>
      <c r="X259">
        <v>1.1415525114155251E-4</v>
      </c>
      <c r="Y259">
        <v>2.2209515285616027E-4</v>
      </c>
      <c r="Z259" t="s">
        <v>1808</v>
      </c>
      <c r="AA259" t="s">
        <v>25</v>
      </c>
      <c r="AC259" t="s">
        <v>22</v>
      </c>
      <c r="AD259" t="s">
        <v>1808</v>
      </c>
      <c r="AE259">
        <v>1.1774469221127382E-4</v>
      </c>
      <c r="AG259" t="s">
        <v>97</v>
      </c>
      <c r="AH259" t="s">
        <v>1808</v>
      </c>
      <c r="AI259">
        <v>0</v>
      </c>
      <c r="AK259">
        <v>2042</v>
      </c>
      <c r="AL259" t="s">
        <v>162</v>
      </c>
      <c r="AM259">
        <v>0.50209999999999999</v>
      </c>
      <c r="AN259" t="s">
        <v>430</v>
      </c>
    </row>
    <row r="260" spans="5:40" x14ac:dyDescent="0.45">
      <c r="E260" t="s">
        <v>1561</v>
      </c>
      <c r="G260" t="s">
        <v>160</v>
      </c>
      <c r="I260" t="s">
        <v>249</v>
      </c>
      <c r="J260" t="s">
        <v>1809</v>
      </c>
      <c r="K260">
        <v>9.5538518295605563E-5</v>
      </c>
      <c r="L260" t="s">
        <v>251</v>
      </c>
      <c r="N260" t="s">
        <v>419</v>
      </c>
      <c r="O260" t="s">
        <v>1809</v>
      </c>
      <c r="P260">
        <v>1.3694590424780001E-4</v>
      </c>
      <c r="Q260" t="s">
        <v>251</v>
      </c>
      <c r="S260" t="s">
        <v>420</v>
      </c>
      <c r="T260" t="s">
        <v>1809</v>
      </c>
      <c r="U260">
        <v>1.678274364739E-4</v>
      </c>
      <c r="V260" t="s">
        <v>251</v>
      </c>
      <c r="X260">
        <v>1.1415525114155251E-4</v>
      </c>
      <c r="Y260">
        <v>2.2209515285616027E-4</v>
      </c>
      <c r="Z260" t="s">
        <v>1809</v>
      </c>
      <c r="AA260" t="s">
        <v>25</v>
      </c>
      <c r="AC260" t="s">
        <v>22</v>
      </c>
      <c r="AD260" t="s">
        <v>1809</v>
      </c>
      <c r="AE260">
        <v>8.1030558263253932E-5</v>
      </c>
      <c r="AG260" t="s">
        <v>97</v>
      </c>
      <c r="AH260" t="s">
        <v>1809</v>
      </c>
      <c r="AI260">
        <v>0</v>
      </c>
      <c r="AK260">
        <v>2042</v>
      </c>
      <c r="AL260" t="s">
        <v>175</v>
      </c>
      <c r="AM260">
        <v>0.35870000000000002</v>
      </c>
      <c r="AN260" t="s">
        <v>430</v>
      </c>
    </row>
    <row r="261" spans="5:40" x14ac:dyDescent="0.45">
      <c r="E261" t="s">
        <v>1562</v>
      </c>
      <c r="G261" t="s">
        <v>160</v>
      </c>
      <c r="I261" t="s">
        <v>249</v>
      </c>
      <c r="J261" t="s">
        <v>1810</v>
      </c>
      <c r="K261">
        <v>4.2867217999408518E-5</v>
      </c>
      <c r="L261" t="s">
        <v>251</v>
      </c>
      <c r="N261" t="s">
        <v>419</v>
      </c>
      <c r="O261" t="s">
        <v>1810</v>
      </c>
      <c r="P261">
        <v>1.412931734702E-4</v>
      </c>
      <c r="Q261" t="s">
        <v>251</v>
      </c>
      <c r="S261" t="s">
        <v>420</v>
      </c>
      <c r="T261" t="s">
        <v>1810</v>
      </c>
      <c r="U261">
        <v>1.717412935497E-4</v>
      </c>
      <c r="V261" t="s">
        <v>251</v>
      </c>
      <c r="X261">
        <v>1.1415525114155251E-4</v>
      </c>
      <c r="Y261">
        <v>1.7237235744060203E-4</v>
      </c>
      <c r="Z261" t="s">
        <v>1810</v>
      </c>
      <c r="AA261" t="s">
        <v>25</v>
      </c>
      <c r="AC261" t="s">
        <v>22</v>
      </c>
      <c r="AD261" t="s">
        <v>1810</v>
      </c>
      <c r="AE261">
        <v>4.8877698383852776E-5</v>
      </c>
      <c r="AG261" t="s">
        <v>97</v>
      </c>
      <c r="AH261" t="s">
        <v>1810</v>
      </c>
      <c r="AI261">
        <v>0</v>
      </c>
      <c r="AK261">
        <v>2042</v>
      </c>
      <c r="AL261" t="s">
        <v>166</v>
      </c>
      <c r="AM261">
        <v>0.24540000000000001</v>
      </c>
      <c r="AN261" t="s">
        <v>430</v>
      </c>
    </row>
    <row r="262" spans="5:40" x14ac:dyDescent="0.45">
      <c r="E262" t="s">
        <v>1563</v>
      </c>
      <c r="G262" t="s">
        <v>160</v>
      </c>
      <c r="I262" t="s">
        <v>249</v>
      </c>
      <c r="J262" t="s">
        <v>1811</v>
      </c>
      <c r="K262">
        <v>9.0365994749497437E-6</v>
      </c>
      <c r="L262" t="s">
        <v>251</v>
      </c>
      <c r="N262" t="s">
        <v>419</v>
      </c>
      <c r="O262" t="s">
        <v>1811</v>
      </c>
      <c r="P262">
        <v>1.421518524144E-4</v>
      </c>
      <c r="Q262" t="s">
        <v>251</v>
      </c>
      <c r="S262" t="s">
        <v>420</v>
      </c>
      <c r="T262" t="s">
        <v>1811</v>
      </c>
      <c r="U262">
        <v>1.718179057349E-4</v>
      </c>
      <c r="V262" t="s">
        <v>251</v>
      </c>
      <c r="X262">
        <v>1.1415525114155251E-4</v>
      </c>
      <c r="Y262">
        <v>1.5579809230208258E-4</v>
      </c>
      <c r="Z262" t="s">
        <v>1811</v>
      </c>
      <c r="AA262" t="s">
        <v>25</v>
      </c>
      <c r="AC262" t="s">
        <v>22</v>
      </c>
      <c r="AD262" t="s">
        <v>1811</v>
      </c>
      <c r="AE262">
        <v>4.3181119411491355E-5</v>
      </c>
      <c r="AG262" t="s">
        <v>97</v>
      </c>
      <c r="AH262" t="s">
        <v>1811</v>
      </c>
      <c r="AI262">
        <v>0</v>
      </c>
      <c r="AK262">
        <v>2042</v>
      </c>
      <c r="AL262" t="s">
        <v>178</v>
      </c>
      <c r="AM262">
        <v>0.19450000000000001</v>
      </c>
      <c r="AN262" t="s">
        <v>430</v>
      </c>
    </row>
    <row r="263" spans="5:40" x14ac:dyDescent="0.45">
      <c r="E263" t="s">
        <v>1564</v>
      </c>
      <c r="G263" t="s">
        <v>160</v>
      </c>
      <c r="I263" t="s">
        <v>249</v>
      </c>
      <c r="J263" t="s">
        <v>1812</v>
      </c>
      <c r="K263">
        <v>0</v>
      </c>
      <c r="L263" t="s">
        <v>251</v>
      </c>
      <c r="N263" t="s">
        <v>419</v>
      </c>
      <c r="O263" t="s">
        <v>1812</v>
      </c>
      <c r="P263">
        <v>1.4340214747629999E-4</v>
      </c>
      <c r="Q263" t="s">
        <v>251</v>
      </c>
      <c r="S263" t="s">
        <v>420</v>
      </c>
      <c r="T263" t="s">
        <v>1812</v>
      </c>
      <c r="U263">
        <v>1.7317136874790001E-4</v>
      </c>
      <c r="V263" t="s">
        <v>251</v>
      </c>
      <c r="X263">
        <v>1.1415525114155251E-4</v>
      </c>
      <c r="Y263">
        <v>1.093901499142282E-4</v>
      </c>
      <c r="Z263" t="s">
        <v>1812</v>
      </c>
      <c r="AA263" t="s">
        <v>25</v>
      </c>
      <c r="AC263" t="s">
        <v>22</v>
      </c>
      <c r="AD263" t="s">
        <v>1812</v>
      </c>
      <c r="AE263">
        <v>4.4738681978156941E-5</v>
      </c>
      <c r="AG263" t="s">
        <v>97</v>
      </c>
      <c r="AH263" t="s">
        <v>1812</v>
      </c>
      <c r="AI263">
        <v>0</v>
      </c>
      <c r="AK263">
        <v>2043</v>
      </c>
      <c r="AL263" t="s">
        <v>151</v>
      </c>
      <c r="AM263">
        <v>0.2208</v>
      </c>
      <c r="AN263" t="s">
        <v>430</v>
      </c>
    </row>
    <row r="264" spans="5:40" x14ac:dyDescent="0.45">
      <c r="E264" t="s">
        <v>1565</v>
      </c>
      <c r="G264" t="s">
        <v>160</v>
      </c>
      <c r="I264" t="s">
        <v>249</v>
      </c>
      <c r="J264" t="s">
        <v>1813</v>
      </c>
      <c r="K264">
        <v>0</v>
      </c>
      <c r="L264" t="s">
        <v>251</v>
      </c>
      <c r="N264" t="s">
        <v>419</v>
      </c>
      <c r="O264" t="s">
        <v>1813</v>
      </c>
      <c r="P264">
        <v>1.4466634454580001E-4</v>
      </c>
      <c r="Q264" t="s">
        <v>251</v>
      </c>
      <c r="S264" t="s">
        <v>420</v>
      </c>
      <c r="T264" t="s">
        <v>1813</v>
      </c>
      <c r="U264">
        <v>1.7352890643999999E-4</v>
      </c>
      <c r="V264" t="s">
        <v>251</v>
      </c>
      <c r="X264">
        <v>1.1415525114155251E-4</v>
      </c>
      <c r="Y264">
        <v>7.9556472664893237E-5</v>
      </c>
      <c r="Z264" t="s">
        <v>1813</v>
      </c>
      <c r="AA264" t="s">
        <v>25</v>
      </c>
      <c r="AC264" t="s">
        <v>22</v>
      </c>
      <c r="AD264" t="s">
        <v>1813</v>
      </c>
      <c r="AE264">
        <v>4.4179385548638966E-5</v>
      </c>
      <c r="AG264" t="s">
        <v>97</v>
      </c>
      <c r="AH264" t="s">
        <v>1813</v>
      </c>
      <c r="AI264">
        <v>0</v>
      </c>
      <c r="AK264">
        <v>2043</v>
      </c>
      <c r="AL264" t="s">
        <v>156</v>
      </c>
      <c r="AM264">
        <v>0.2298</v>
      </c>
      <c r="AN264" t="s">
        <v>430</v>
      </c>
    </row>
    <row r="265" spans="5:40" x14ac:dyDescent="0.45">
      <c r="E265" t="s">
        <v>1566</v>
      </c>
      <c r="G265" t="s">
        <v>160</v>
      </c>
      <c r="I265" t="s">
        <v>249</v>
      </c>
      <c r="J265" t="s">
        <v>1814</v>
      </c>
      <c r="K265">
        <v>0</v>
      </c>
      <c r="L265" t="s">
        <v>251</v>
      </c>
      <c r="N265" t="s">
        <v>419</v>
      </c>
      <c r="O265" t="s">
        <v>1814</v>
      </c>
      <c r="P265">
        <v>1.503765807811E-4</v>
      </c>
      <c r="Q265" t="s">
        <v>251</v>
      </c>
      <c r="S265" t="s">
        <v>420</v>
      </c>
      <c r="T265" t="s">
        <v>1814</v>
      </c>
      <c r="U265">
        <v>1.781548055311E-4</v>
      </c>
      <c r="V265" t="s">
        <v>251</v>
      </c>
      <c r="X265">
        <v>1.1415525114155251E-4</v>
      </c>
      <c r="Y265">
        <v>5.6352501470966035E-5</v>
      </c>
      <c r="Z265" t="s">
        <v>1814</v>
      </c>
      <c r="AA265" t="s">
        <v>25</v>
      </c>
      <c r="AC265" t="s">
        <v>22</v>
      </c>
      <c r="AD265" t="s">
        <v>1814</v>
      </c>
      <c r="AE265">
        <v>5.4516342267897588E-5</v>
      </c>
      <c r="AG265" t="s">
        <v>97</v>
      </c>
      <c r="AH265" t="s">
        <v>1814</v>
      </c>
      <c r="AI265">
        <v>0</v>
      </c>
      <c r="AK265">
        <v>2043</v>
      </c>
      <c r="AL265" t="s">
        <v>159</v>
      </c>
      <c r="AM265">
        <v>0.2472</v>
      </c>
      <c r="AN265" t="s">
        <v>430</v>
      </c>
    </row>
    <row r="266" spans="5:40" x14ac:dyDescent="0.45">
      <c r="E266" t="s">
        <v>1567</v>
      </c>
      <c r="G266" t="s">
        <v>160</v>
      </c>
      <c r="I266" t="s">
        <v>249</v>
      </c>
      <c r="J266" t="s">
        <v>1815</v>
      </c>
      <c r="K266">
        <v>0</v>
      </c>
      <c r="L266" t="s">
        <v>251</v>
      </c>
      <c r="N266" t="s">
        <v>419</v>
      </c>
      <c r="O266" t="s">
        <v>1815</v>
      </c>
      <c r="P266">
        <v>1.5992501362679999E-4</v>
      </c>
      <c r="Q266" t="s">
        <v>251</v>
      </c>
      <c r="S266" t="s">
        <v>420</v>
      </c>
      <c r="T266" t="s">
        <v>1815</v>
      </c>
      <c r="U266">
        <v>1.8018442584350001E-4</v>
      </c>
      <c r="V266" t="s">
        <v>251</v>
      </c>
      <c r="X266">
        <v>1.1415525114155251E-4</v>
      </c>
      <c r="Y266">
        <v>2.9833677249334962E-5</v>
      </c>
      <c r="Z266" t="s">
        <v>1815</v>
      </c>
      <c r="AA266" t="s">
        <v>25</v>
      </c>
      <c r="AC266" t="s">
        <v>22</v>
      </c>
      <c r="AD266" t="s">
        <v>1815</v>
      </c>
      <c r="AE266">
        <v>7.8268614341391239E-5</v>
      </c>
      <c r="AG266" t="s">
        <v>97</v>
      </c>
      <c r="AH266" t="s">
        <v>1815</v>
      </c>
      <c r="AI266">
        <v>0</v>
      </c>
      <c r="AK266">
        <v>2043</v>
      </c>
      <c r="AL266" t="s">
        <v>163</v>
      </c>
      <c r="AM266">
        <v>0.25059999999999999</v>
      </c>
      <c r="AN266" t="s">
        <v>430</v>
      </c>
    </row>
    <row r="267" spans="5:40" x14ac:dyDescent="0.45">
      <c r="E267" t="s">
        <v>1568</v>
      </c>
      <c r="G267" t="s">
        <v>160</v>
      </c>
      <c r="I267" t="s">
        <v>249</v>
      </c>
      <c r="J267" t="s">
        <v>1816</v>
      </c>
      <c r="K267">
        <v>0</v>
      </c>
      <c r="L267" t="s">
        <v>251</v>
      </c>
      <c r="N267" t="s">
        <v>419</v>
      </c>
      <c r="O267" t="s">
        <v>1816</v>
      </c>
      <c r="P267">
        <v>1.6352081505810001E-4</v>
      </c>
      <c r="Q267" t="s">
        <v>251</v>
      </c>
      <c r="S267" t="s">
        <v>420</v>
      </c>
      <c r="T267" t="s">
        <v>1816</v>
      </c>
      <c r="U267">
        <v>1.8201060943060001E-4</v>
      </c>
      <c r="V267" t="s">
        <v>251</v>
      </c>
      <c r="X267">
        <v>1.1415525114155251E-4</v>
      </c>
      <c r="Y267">
        <v>2.1546544680075254E-5</v>
      </c>
      <c r="Z267" t="s">
        <v>1816</v>
      </c>
      <c r="AA267" t="s">
        <v>25</v>
      </c>
      <c r="AC267" t="s">
        <v>22</v>
      </c>
      <c r="AD267" t="s">
        <v>1816</v>
      </c>
      <c r="AE267">
        <v>8.1600996055909713E-5</v>
      </c>
      <c r="AG267" t="s">
        <v>97</v>
      </c>
      <c r="AH267" t="s">
        <v>1816</v>
      </c>
      <c r="AI267">
        <v>0</v>
      </c>
      <c r="AK267">
        <v>2043</v>
      </c>
      <c r="AL267" t="s">
        <v>167</v>
      </c>
      <c r="AM267">
        <v>0.31540000000000001</v>
      </c>
      <c r="AN267" t="s">
        <v>430</v>
      </c>
    </row>
    <row r="268" spans="5:40" x14ac:dyDescent="0.45">
      <c r="E268" t="s">
        <v>1569</v>
      </c>
      <c r="G268" t="s">
        <v>160</v>
      </c>
      <c r="I268" t="s">
        <v>249</v>
      </c>
      <c r="J268" t="s">
        <v>1817</v>
      </c>
      <c r="K268">
        <v>0</v>
      </c>
      <c r="L268" t="s">
        <v>251</v>
      </c>
      <c r="N268" t="s">
        <v>419</v>
      </c>
      <c r="O268" t="s">
        <v>1817</v>
      </c>
      <c r="P268">
        <v>1.6072881861779999E-4</v>
      </c>
      <c r="Q268" t="s">
        <v>251</v>
      </c>
      <c r="S268" t="s">
        <v>420</v>
      </c>
      <c r="T268" t="s">
        <v>1817</v>
      </c>
      <c r="U268">
        <v>1.843567366727E-4</v>
      </c>
      <c r="V268" t="s">
        <v>251</v>
      </c>
      <c r="X268">
        <v>1.1415525114155251E-4</v>
      </c>
      <c r="Y268">
        <v>1.4916838624667481E-5</v>
      </c>
      <c r="Z268" t="s">
        <v>1817</v>
      </c>
      <c r="AA268" t="s">
        <v>25</v>
      </c>
      <c r="AC268" t="s">
        <v>22</v>
      </c>
      <c r="AD268" t="s">
        <v>1817</v>
      </c>
      <c r="AE268">
        <v>9.805121872888376E-5</v>
      </c>
      <c r="AG268" t="s">
        <v>97</v>
      </c>
      <c r="AH268" t="s">
        <v>1817</v>
      </c>
      <c r="AI268">
        <v>0</v>
      </c>
      <c r="AK268">
        <v>2043</v>
      </c>
      <c r="AL268" t="s">
        <v>169</v>
      </c>
      <c r="AM268">
        <v>0.36009999999999998</v>
      </c>
      <c r="AN268" t="s">
        <v>430</v>
      </c>
    </row>
    <row r="269" spans="5:40" x14ac:dyDescent="0.45">
      <c r="E269" t="s">
        <v>1570</v>
      </c>
      <c r="G269" t="s">
        <v>160</v>
      </c>
      <c r="I269" t="s">
        <v>249</v>
      </c>
      <c r="J269" t="s">
        <v>1818</v>
      </c>
      <c r="K269">
        <v>0</v>
      </c>
      <c r="L269" t="s">
        <v>251</v>
      </c>
      <c r="N269" t="s">
        <v>419</v>
      </c>
      <c r="O269" t="s">
        <v>1818</v>
      </c>
      <c r="P269">
        <v>1.4160392788999999E-4</v>
      </c>
      <c r="Q269" t="s">
        <v>251</v>
      </c>
      <c r="S269" t="s">
        <v>420</v>
      </c>
      <c r="T269" t="s">
        <v>1818</v>
      </c>
      <c r="U269">
        <v>1.776684389261E-4</v>
      </c>
      <c r="V269" t="s">
        <v>251</v>
      </c>
      <c r="X269">
        <v>1.1415525114155251E-4</v>
      </c>
      <c r="Y269">
        <v>1.6574265138519424E-5</v>
      </c>
      <c r="Z269" t="s">
        <v>1818</v>
      </c>
      <c r="AA269" t="s">
        <v>25</v>
      </c>
      <c r="AC269" t="s">
        <v>22</v>
      </c>
      <c r="AD269" t="s">
        <v>1818</v>
      </c>
      <c r="AE269">
        <v>1.2149933158871525E-4</v>
      </c>
      <c r="AG269" t="s">
        <v>97</v>
      </c>
      <c r="AH269" t="s">
        <v>1818</v>
      </c>
      <c r="AI269">
        <v>0</v>
      </c>
      <c r="AK269">
        <v>2043</v>
      </c>
      <c r="AL269" t="s">
        <v>171</v>
      </c>
      <c r="AM269">
        <v>0.46500000000000002</v>
      </c>
      <c r="AN269" t="s">
        <v>430</v>
      </c>
    </row>
    <row r="270" spans="5:40" x14ac:dyDescent="0.45">
      <c r="E270" t="s">
        <v>1571</v>
      </c>
      <c r="G270" t="s">
        <v>160</v>
      </c>
      <c r="I270" t="s">
        <v>249</v>
      </c>
      <c r="J270" t="s">
        <v>1819</v>
      </c>
      <c r="K270">
        <v>0</v>
      </c>
      <c r="L270" t="s">
        <v>251</v>
      </c>
      <c r="N270" t="s">
        <v>419</v>
      </c>
      <c r="O270" t="s">
        <v>1819</v>
      </c>
      <c r="P270">
        <v>1.085328650444E-4</v>
      </c>
      <c r="Q270" t="s">
        <v>251</v>
      </c>
      <c r="S270" t="s">
        <v>420</v>
      </c>
      <c r="T270" t="s">
        <v>1819</v>
      </c>
      <c r="U270">
        <v>1.7301423728659999E-4</v>
      </c>
      <c r="V270" t="s">
        <v>251</v>
      </c>
      <c r="X270">
        <v>1.1415525114155251E-4</v>
      </c>
      <c r="Y270">
        <v>1.4585353321897093E-5</v>
      </c>
      <c r="Z270" t="s">
        <v>1819</v>
      </c>
      <c r="AA270" t="s">
        <v>25</v>
      </c>
      <c r="AC270" t="s">
        <v>22</v>
      </c>
      <c r="AD270" t="s">
        <v>1819</v>
      </c>
      <c r="AE270">
        <v>1.3827933861056843E-4</v>
      </c>
      <c r="AG270" t="s">
        <v>97</v>
      </c>
      <c r="AH270" t="s">
        <v>1819</v>
      </c>
      <c r="AI270">
        <v>0</v>
      </c>
      <c r="AK270">
        <v>2043</v>
      </c>
      <c r="AL270" t="s">
        <v>158</v>
      </c>
      <c r="AM270">
        <v>0.58960000000000001</v>
      </c>
      <c r="AN270" t="s">
        <v>430</v>
      </c>
    </row>
    <row r="271" spans="5:40" x14ac:dyDescent="0.45">
      <c r="E271" t="s">
        <v>1572</v>
      </c>
      <c r="G271" t="s">
        <v>160</v>
      </c>
      <c r="I271" t="s">
        <v>249</v>
      </c>
      <c r="J271" t="s">
        <v>1820</v>
      </c>
      <c r="K271">
        <v>0</v>
      </c>
      <c r="L271" t="s">
        <v>251</v>
      </c>
      <c r="N271" t="s">
        <v>419</v>
      </c>
      <c r="O271" t="s">
        <v>1820</v>
      </c>
      <c r="P271">
        <v>1.076690416982E-4</v>
      </c>
      <c r="Q271" t="s">
        <v>251</v>
      </c>
      <c r="S271" t="s">
        <v>420</v>
      </c>
      <c r="T271" t="s">
        <v>1820</v>
      </c>
      <c r="U271">
        <v>1.724090268669E-4</v>
      </c>
      <c r="V271" t="s">
        <v>251</v>
      </c>
      <c r="X271">
        <v>1.1415525114155251E-4</v>
      </c>
      <c r="Y271">
        <v>2.1215059377304864E-5</v>
      </c>
      <c r="Z271" t="s">
        <v>1820</v>
      </c>
      <c r="AA271" t="s">
        <v>25</v>
      </c>
      <c r="AC271" t="s">
        <v>22</v>
      </c>
      <c r="AD271" t="s">
        <v>1820</v>
      </c>
      <c r="AE271">
        <v>1.4317596770963519E-4</v>
      </c>
      <c r="AG271" t="s">
        <v>97</v>
      </c>
      <c r="AH271" t="s">
        <v>1820</v>
      </c>
      <c r="AI271">
        <v>0</v>
      </c>
      <c r="AK271">
        <v>2043</v>
      </c>
      <c r="AL271" t="s">
        <v>162</v>
      </c>
      <c r="AM271">
        <v>0.51419999999999999</v>
      </c>
      <c r="AN271" t="s">
        <v>430</v>
      </c>
    </row>
    <row r="272" spans="5:40" x14ac:dyDescent="0.45">
      <c r="E272" t="s">
        <v>1573</v>
      </c>
      <c r="G272" t="s">
        <v>160</v>
      </c>
      <c r="I272" t="s">
        <v>249</v>
      </c>
      <c r="J272" t="s">
        <v>1821</v>
      </c>
      <c r="K272">
        <v>0</v>
      </c>
      <c r="L272" t="s">
        <v>251</v>
      </c>
      <c r="N272" t="s">
        <v>419</v>
      </c>
      <c r="O272" t="s">
        <v>1821</v>
      </c>
      <c r="P272">
        <v>1.0413281405510001E-4</v>
      </c>
      <c r="Q272" t="s">
        <v>251</v>
      </c>
      <c r="S272" t="s">
        <v>420</v>
      </c>
      <c r="T272" t="s">
        <v>1821</v>
      </c>
      <c r="U272">
        <v>1.6708258461090001E-4</v>
      </c>
      <c r="V272" t="s">
        <v>251</v>
      </c>
      <c r="X272">
        <v>1.1415525114155251E-4</v>
      </c>
      <c r="Y272">
        <v>5.7678442682047593E-5</v>
      </c>
      <c r="Z272" t="s">
        <v>1821</v>
      </c>
      <c r="AA272" t="s">
        <v>25</v>
      </c>
      <c r="AC272" t="s">
        <v>22</v>
      </c>
      <c r="AD272" t="s">
        <v>1821</v>
      </c>
      <c r="AE272">
        <v>1.4344001801600126E-4</v>
      </c>
      <c r="AG272" t="s">
        <v>97</v>
      </c>
      <c r="AH272" t="s">
        <v>1821</v>
      </c>
      <c r="AI272">
        <v>0</v>
      </c>
      <c r="AK272">
        <v>2043</v>
      </c>
      <c r="AL272" t="s">
        <v>175</v>
      </c>
      <c r="AM272">
        <v>0.39229999999999998</v>
      </c>
      <c r="AN272" t="s">
        <v>430</v>
      </c>
    </row>
    <row r="273" spans="5:40" x14ac:dyDescent="0.45">
      <c r="E273" t="s">
        <v>1574</v>
      </c>
      <c r="G273" t="s">
        <v>160</v>
      </c>
      <c r="I273" t="s">
        <v>249</v>
      </c>
      <c r="J273" t="s">
        <v>1822</v>
      </c>
      <c r="K273">
        <v>8.1787624421925571E-6</v>
      </c>
      <c r="L273" t="s">
        <v>251</v>
      </c>
      <c r="N273" t="s">
        <v>419</v>
      </c>
      <c r="O273" t="s">
        <v>1822</v>
      </c>
      <c r="P273">
        <v>1.012016738511E-4</v>
      </c>
      <c r="Q273" t="s">
        <v>251</v>
      </c>
      <c r="S273" t="s">
        <v>420</v>
      </c>
      <c r="T273" t="s">
        <v>1822</v>
      </c>
      <c r="U273">
        <v>1.6541719099699999E-4</v>
      </c>
      <c r="V273" t="s">
        <v>251</v>
      </c>
      <c r="X273">
        <v>1.1415525114155251E-4</v>
      </c>
      <c r="Y273">
        <v>1.6905750441289813E-4</v>
      </c>
      <c r="Z273" t="s">
        <v>1822</v>
      </c>
      <c r="AA273" t="s">
        <v>25</v>
      </c>
      <c r="AC273" t="s">
        <v>22</v>
      </c>
      <c r="AD273" t="s">
        <v>1822</v>
      </c>
      <c r="AE273">
        <v>1.4344001801600126E-4</v>
      </c>
      <c r="AG273" t="s">
        <v>97</v>
      </c>
      <c r="AH273" t="s">
        <v>1822</v>
      </c>
      <c r="AI273">
        <v>0</v>
      </c>
      <c r="AK273">
        <v>2043</v>
      </c>
      <c r="AL273" t="s">
        <v>166</v>
      </c>
      <c r="AM273">
        <v>0.26550000000000001</v>
      </c>
      <c r="AN273" t="s">
        <v>430</v>
      </c>
    </row>
    <row r="274" spans="5:40" x14ac:dyDescent="0.45">
      <c r="E274" t="s">
        <v>1575</v>
      </c>
      <c r="G274" t="s">
        <v>160</v>
      </c>
      <c r="I274" t="s">
        <v>249</v>
      </c>
      <c r="J274" t="s">
        <v>1823</v>
      </c>
      <c r="K274">
        <v>4.277725098528466E-5</v>
      </c>
      <c r="L274" t="s">
        <v>251</v>
      </c>
      <c r="N274" t="s">
        <v>419</v>
      </c>
      <c r="O274" t="s">
        <v>1823</v>
      </c>
      <c r="P274">
        <v>1.247963201085E-4</v>
      </c>
      <c r="Q274" t="s">
        <v>251</v>
      </c>
      <c r="S274" t="s">
        <v>420</v>
      </c>
      <c r="T274" t="s">
        <v>1823</v>
      </c>
      <c r="U274">
        <v>1.6082137082780001E-4</v>
      </c>
      <c r="V274" t="s">
        <v>251</v>
      </c>
      <c r="X274">
        <v>1.1415525114155251E-4</v>
      </c>
      <c r="Y274">
        <v>1.9060404909297337E-4</v>
      </c>
      <c r="Z274" t="s">
        <v>1823</v>
      </c>
      <c r="AA274" t="s">
        <v>25</v>
      </c>
      <c r="AC274" t="s">
        <v>22</v>
      </c>
      <c r="AD274" t="s">
        <v>1823</v>
      </c>
      <c r="AE274">
        <v>1.4304672789723662E-4</v>
      </c>
      <c r="AG274" t="s">
        <v>97</v>
      </c>
      <c r="AH274" t="s">
        <v>1823</v>
      </c>
      <c r="AI274">
        <v>0</v>
      </c>
      <c r="AK274">
        <v>2043</v>
      </c>
      <c r="AL274" t="s">
        <v>178</v>
      </c>
      <c r="AM274">
        <v>0.22359999999999999</v>
      </c>
      <c r="AN274" t="s">
        <v>430</v>
      </c>
    </row>
    <row r="275" spans="5:40" x14ac:dyDescent="0.45">
      <c r="E275" t="s">
        <v>1576</v>
      </c>
      <c r="G275" t="s">
        <v>160</v>
      </c>
      <c r="I275" t="s">
        <v>249</v>
      </c>
      <c r="J275" t="s">
        <v>1824</v>
      </c>
      <c r="K275">
        <v>8.7468101922011192E-5</v>
      </c>
      <c r="L275" t="s">
        <v>251</v>
      </c>
      <c r="N275" t="s">
        <v>419</v>
      </c>
      <c r="O275" t="s">
        <v>1824</v>
      </c>
      <c r="P275">
        <v>1.4826351957149999E-4</v>
      </c>
      <c r="Q275" t="s">
        <v>251</v>
      </c>
      <c r="S275" t="s">
        <v>420</v>
      </c>
      <c r="T275" t="s">
        <v>1824</v>
      </c>
      <c r="U275">
        <v>1.504270075437E-4</v>
      </c>
      <c r="V275" t="s">
        <v>251</v>
      </c>
      <c r="X275">
        <v>1.1415525114155251E-4</v>
      </c>
      <c r="Y275">
        <v>1.4585353321897094E-4</v>
      </c>
      <c r="Z275" t="s">
        <v>1824</v>
      </c>
      <c r="AA275" t="s">
        <v>25</v>
      </c>
      <c r="AC275" t="s">
        <v>22</v>
      </c>
      <c r="AD275" t="s">
        <v>1824</v>
      </c>
      <c r="AE275">
        <v>1.4387564531468958E-4</v>
      </c>
      <c r="AG275" t="s">
        <v>97</v>
      </c>
      <c r="AH275" t="s">
        <v>1824</v>
      </c>
      <c r="AI275">
        <v>0</v>
      </c>
      <c r="AK275">
        <v>2044</v>
      </c>
      <c r="AL275" t="s">
        <v>151</v>
      </c>
      <c r="AM275">
        <v>0.21429999999999999</v>
      </c>
      <c r="AN275" t="s">
        <v>430</v>
      </c>
    </row>
    <row r="276" spans="5:40" x14ac:dyDescent="0.45">
      <c r="E276" t="s">
        <v>1577</v>
      </c>
      <c r="G276" t="s">
        <v>160</v>
      </c>
      <c r="I276" t="s">
        <v>249</v>
      </c>
      <c r="J276" t="s">
        <v>1825</v>
      </c>
      <c r="K276">
        <v>1.3549670322329999E-4</v>
      </c>
      <c r="L276" t="s">
        <v>251</v>
      </c>
      <c r="N276" t="s">
        <v>419</v>
      </c>
      <c r="O276" t="s">
        <v>1825</v>
      </c>
      <c r="P276">
        <v>1.3241653222189999E-4</v>
      </c>
      <c r="Q276" t="s">
        <v>251</v>
      </c>
      <c r="S276" t="s">
        <v>420</v>
      </c>
      <c r="T276" t="s">
        <v>1825</v>
      </c>
      <c r="U276">
        <v>1.408573777995E-4</v>
      </c>
      <c r="V276" t="s">
        <v>251</v>
      </c>
      <c r="X276">
        <v>1.1415525114155251E-4</v>
      </c>
      <c r="Y276">
        <v>1.4452759200788939E-4</v>
      </c>
      <c r="Z276" t="s">
        <v>1825</v>
      </c>
      <c r="AA276" t="s">
        <v>25</v>
      </c>
      <c r="AC276" t="s">
        <v>22</v>
      </c>
      <c r="AD276" t="s">
        <v>1825</v>
      </c>
      <c r="AE276">
        <v>1.4386338981523799E-4</v>
      </c>
      <c r="AG276" t="s">
        <v>97</v>
      </c>
      <c r="AH276" t="s">
        <v>1825</v>
      </c>
      <c r="AI276">
        <v>0</v>
      </c>
      <c r="AK276">
        <v>2044</v>
      </c>
      <c r="AL276" t="s">
        <v>156</v>
      </c>
      <c r="AM276">
        <v>0.1986</v>
      </c>
      <c r="AN276" t="s">
        <v>430</v>
      </c>
    </row>
    <row r="277" spans="5:40" x14ac:dyDescent="0.45">
      <c r="E277" t="s">
        <v>1578</v>
      </c>
      <c r="G277" t="s">
        <v>160</v>
      </c>
      <c r="I277" t="s">
        <v>249</v>
      </c>
      <c r="J277" t="s">
        <v>1826</v>
      </c>
      <c r="K277">
        <v>1.8400661407990001E-4</v>
      </c>
      <c r="L277" t="s">
        <v>251</v>
      </c>
      <c r="N277" t="s">
        <v>419</v>
      </c>
      <c r="O277" t="s">
        <v>1826</v>
      </c>
      <c r="P277">
        <v>1.2680883522809999E-4</v>
      </c>
      <c r="Q277" t="s">
        <v>251</v>
      </c>
      <c r="S277" t="s">
        <v>420</v>
      </c>
      <c r="T277" t="s">
        <v>1826</v>
      </c>
      <c r="U277">
        <v>1.4056708169699999E-4</v>
      </c>
      <c r="V277" t="s">
        <v>251</v>
      </c>
      <c r="X277">
        <v>1.1415525114155251E-4</v>
      </c>
      <c r="Y277">
        <v>1.408812536774151E-4</v>
      </c>
      <c r="Z277" t="s">
        <v>1826</v>
      </c>
      <c r="AA277" t="s">
        <v>25</v>
      </c>
      <c r="AC277" t="s">
        <v>22</v>
      </c>
      <c r="AD277" t="s">
        <v>1826</v>
      </c>
      <c r="AE277">
        <v>1.4366395941507122E-4</v>
      </c>
      <c r="AG277" t="s">
        <v>97</v>
      </c>
      <c r="AH277" t="s">
        <v>1826</v>
      </c>
      <c r="AI277">
        <v>0</v>
      </c>
      <c r="AK277">
        <v>2044</v>
      </c>
      <c r="AL277" t="s">
        <v>159</v>
      </c>
      <c r="AM277">
        <v>0.21909999999999999</v>
      </c>
      <c r="AN277" t="s">
        <v>430</v>
      </c>
    </row>
    <row r="278" spans="5:40" x14ac:dyDescent="0.45">
      <c r="E278" t="s">
        <v>1579</v>
      </c>
      <c r="G278" t="s">
        <v>160</v>
      </c>
      <c r="I278" t="s">
        <v>249</v>
      </c>
      <c r="J278" t="s">
        <v>1827</v>
      </c>
      <c r="K278">
        <v>2.1370833804549999E-4</v>
      </c>
      <c r="L278" t="s">
        <v>251</v>
      </c>
      <c r="N278" t="s">
        <v>419</v>
      </c>
      <c r="O278" t="s">
        <v>1827</v>
      </c>
      <c r="P278">
        <v>1.2899811441720001E-4</v>
      </c>
      <c r="Q278" t="s">
        <v>251</v>
      </c>
      <c r="S278" t="s">
        <v>420</v>
      </c>
      <c r="T278" t="s">
        <v>1827</v>
      </c>
      <c r="U278">
        <v>1.396293885472E-4</v>
      </c>
      <c r="V278" t="s">
        <v>251</v>
      </c>
      <c r="X278">
        <v>1.1415525114155251E-4</v>
      </c>
      <c r="Y278">
        <v>1.4054976837464471E-4</v>
      </c>
      <c r="Z278" t="s">
        <v>1827</v>
      </c>
      <c r="AA278" t="s">
        <v>25</v>
      </c>
      <c r="AC278" t="s">
        <v>22</v>
      </c>
      <c r="AD278" t="s">
        <v>1827</v>
      </c>
      <c r="AE278">
        <v>1.4396031967453692E-4</v>
      </c>
      <c r="AG278" t="s">
        <v>97</v>
      </c>
      <c r="AH278" t="s">
        <v>1827</v>
      </c>
      <c r="AI278">
        <v>0</v>
      </c>
      <c r="AK278">
        <v>2044</v>
      </c>
      <c r="AL278" t="s">
        <v>163</v>
      </c>
      <c r="AM278">
        <v>0.28100000000000003</v>
      </c>
      <c r="AN278" t="s">
        <v>430</v>
      </c>
    </row>
    <row r="279" spans="5:40" x14ac:dyDescent="0.45">
      <c r="E279" t="s">
        <v>1580</v>
      </c>
      <c r="G279" t="s">
        <v>160</v>
      </c>
      <c r="I279" t="s">
        <v>249</v>
      </c>
      <c r="J279" t="s">
        <v>1828</v>
      </c>
      <c r="K279">
        <v>2.0950492778840001E-4</v>
      </c>
      <c r="L279" t="s">
        <v>251</v>
      </c>
      <c r="N279" t="s">
        <v>419</v>
      </c>
      <c r="O279" t="s">
        <v>1828</v>
      </c>
      <c r="P279">
        <v>1.367958902702E-4</v>
      </c>
      <c r="Q279" t="s">
        <v>251</v>
      </c>
      <c r="S279" t="s">
        <v>420</v>
      </c>
      <c r="T279" t="s">
        <v>1828</v>
      </c>
      <c r="U279">
        <v>1.3665094056109999E-4</v>
      </c>
      <c r="V279" t="s">
        <v>251</v>
      </c>
      <c r="X279">
        <v>1.1415525114155251E-4</v>
      </c>
      <c r="Y279">
        <v>1.4253868019126702E-4</v>
      </c>
      <c r="Z279" t="s">
        <v>1828</v>
      </c>
      <c r="AA279" t="s">
        <v>25</v>
      </c>
      <c r="AC279" t="s">
        <v>22</v>
      </c>
      <c r="AD279" t="s">
        <v>1828</v>
      </c>
      <c r="AE279">
        <v>1.7197527728455601E-4</v>
      </c>
      <c r="AG279" t="s">
        <v>97</v>
      </c>
      <c r="AH279" t="s">
        <v>1828</v>
      </c>
      <c r="AI279">
        <v>0</v>
      </c>
      <c r="AK279">
        <v>2044</v>
      </c>
      <c r="AL279" t="s">
        <v>167</v>
      </c>
      <c r="AM279">
        <v>0.3448</v>
      </c>
      <c r="AN279" t="s">
        <v>430</v>
      </c>
    </row>
    <row r="280" spans="5:40" x14ac:dyDescent="0.45">
      <c r="E280" t="s">
        <v>1581</v>
      </c>
      <c r="G280" t="s">
        <v>160</v>
      </c>
      <c r="I280" t="s">
        <v>249</v>
      </c>
      <c r="J280" t="s">
        <v>1829</v>
      </c>
      <c r="K280">
        <v>1.9207126622930001E-4</v>
      </c>
      <c r="L280" t="s">
        <v>251</v>
      </c>
      <c r="N280" t="s">
        <v>419</v>
      </c>
      <c r="O280" t="s">
        <v>1829</v>
      </c>
      <c r="P280">
        <v>1.4304811654649999E-4</v>
      </c>
      <c r="Q280" t="s">
        <v>251</v>
      </c>
      <c r="S280" t="s">
        <v>420</v>
      </c>
      <c r="T280" t="s">
        <v>1829</v>
      </c>
      <c r="U280">
        <v>1.3805834339780001E-4</v>
      </c>
      <c r="V280" t="s">
        <v>251</v>
      </c>
      <c r="X280">
        <v>1.1415525114155251E-4</v>
      </c>
      <c r="Y280">
        <v>1.4883690094390442E-4</v>
      </c>
      <c r="Z280" t="s">
        <v>1829</v>
      </c>
      <c r="AA280" t="s">
        <v>25</v>
      </c>
      <c r="AC280" t="s">
        <v>22</v>
      </c>
      <c r="AD280" t="s">
        <v>1829</v>
      </c>
      <c r="AE280">
        <v>1.7509708723576997E-4</v>
      </c>
      <c r="AG280" t="s">
        <v>97</v>
      </c>
      <c r="AH280" t="s">
        <v>1829</v>
      </c>
      <c r="AI280">
        <v>0</v>
      </c>
      <c r="AK280">
        <v>2044</v>
      </c>
      <c r="AL280" t="s">
        <v>169</v>
      </c>
      <c r="AM280">
        <v>0.43690000000000001</v>
      </c>
      <c r="AN280" t="s">
        <v>430</v>
      </c>
    </row>
    <row r="281" spans="5:40" x14ac:dyDescent="0.45">
      <c r="E281" t="s">
        <v>1582</v>
      </c>
      <c r="G281" t="s">
        <v>160</v>
      </c>
      <c r="I281" t="s">
        <v>249</v>
      </c>
      <c r="J281" t="s">
        <v>1830</v>
      </c>
      <c r="K281">
        <v>1.6635057440049999E-4</v>
      </c>
      <c r="L281" t="s">
        <v>251</v>
      </c>
      <c r="N281" t="s">
        <v>419</v>
      </c>
      <c r="O281" t="s">
        <v>1830</v>
      </c>
      <c r="P281">
        <v>1.4919489381370001E-4</v>
      </c>
      <c r="Q281" t="s">
        <v>251</v>
      </c>
      <c r="S281" t="s">
        <v>420</v>
      </c>
      <c r="T281" t="s">
        <v>1830</v>
      </c>
      <c r="U281">
        <v>1.4321246697080001E-4</v>
      </c>
      <c r="V281" t="s">
        <v>251</v>
      </c>
      <c r="X281">
        <v>1.1415525114155251E-4</v>
      </c>
      <c r="Y281">
        <v>1.5049432745775637E-4</v>
      </c>
      <c r="Z281" t="s">
        <v>1830</v>
      </c>
      <c r="AA281" t="s">
        <v>25</v>
      </c>
      <c r="AC281" t="s">
        <v>22</v>
      </c>
      <c r="AD281" t="s">
        <v>1830</v>
      </c>
      <c r="AE281">
        <v>1.6688367433057759E-4</v>
      </c>
      <c r="AG281" t="s">
        <v>97</v>
      </c>
      <c r="AH281" t="s">
        <v>1830</v>
      </c>
      <c r="AI281">
        <v>0</v>
      </c>
      <c r="AK281">
        <v>2044</v>
      </c>
      <c r="AL281" t="s">
        <v>171</v>
      </c>
      <c r="AM281">
        <v>0.43090000000000001</v>
      </c>
      <c r="AN281" t="s">
        <v>430</v>
      </c>
    </row>
    <row r="282" spans="5:40" x14ac:dyDescent="0.45">
      <c r="E282" t="s">
        <v>1583</v>
      </c>
      <c r="G282" t="s">
        <v>160</v>
      </c>
      <c r="I282" t="s">
        <v>249</v>
      </c>
      <c r="J282" t="s">
        <v>1831</v>
      </c>
      <c r="K282">
        <v>1.399969909934E-4</v>
      </c>
      <c r="L282" t="s">
        <v>251</v>
      </c>
      <c r="N282" t="s">
        <v>419</v>
      </c>
      <c r="O282" t="s">
        <v>1831</v>
      </c>
      <c r="P282">
        <v>1.3910259639519999E-4</v>
      </c>
      <c r="Q282" t="s">
        <v>251</v>
      </c>
      <c r="S282" t="s">
        <v>420</v>
      </c>
      <c r="T282" t="s">
        <v>1831</v>
      </c>
      <c r="U282">
        <v>1.4538871588380001E-4</v>
      </c>
      <c r="V282" t="s">
        <v>251</v>
      </c>
      <c r="X282">
        <v>1.1415525114155251E-4</v>
      </c>
      <c r="Y282">
        <v>1.7237235744060203E-4</v>
      </c>
      <c r="Z282" t="s">
        <v>1831</v>
      </c>
      <c r="AA282" t="s">
        <v>25</v>
      </c>
      <c r="AC282" t="s">
        <v>22</v>
      </c>
      <c r="AD282" t="s">
        <v>1831</v>
      </c>
      <c r="AE282">
        <v>1.4700302594747238E-4</v>
      </c>
      <c r="AG282" t="s">
        <v>97</v>
      </c>
      <c r="AH282" t="s">
        <v>1831</v>
      </c>
      <c r="AI282">
        <v>0</v>
      </c>
      <c r="AK282">
        <v>2044</v>
      </c>
      <c r="AL282" t="s">
        <v>158</v>
      </c>
      <c r="AM282">
        <v>0.52339999999999998</v>
      </c>
      <c r="AN282" t="s">
        <v>430</v>
      </c>
    </row>
    <row r="283" spans="5:40" x14ac:dyDescent="0.45">
      <c r="E283" t="s">
        <v>1584</v>
      </c>
      <c r="G283" t="s">
        <v>160</v>
      </c>
      <c r="I283" t="s">
        <v>249</v>
      </c>
      <c r="J283" t="s">
        <v>1832</v>
      </c>
      <c r="K283">
        <v>1.2213520886709999E-4</v>
      </c>
      <c r="L283" t="s">
        <v>251</v>
      </c>
      <c r="N283" t="s">
        <v>419</v>
      </c>
      <c r="O283" t="s">
        <v>1832</v>
      </c>
      <c r="P283">
        <v>1.4897281480990001E-4</v>
      </c>
      <c r="Q283" t="s">
        <v>251</v>
      </c>
      <c r="S283" t="s">
        <v>420</v>
      </c>
      <c r="T283" t="s">
        <v>1832</v>
      </c>
      <c r="U283">
        <v>1.466644354654E-4</v>
      </c>
      <c r="V283" t="s">
        <v>251</v>
      </c>
      <c r="X283">
        <v>1.1415525114155251E-4</v>
      </c>
      <c r="Y283">
        <v>2.2209515285616027E-4</v>
      </c>
      <c r="Z283" t="s">
        <v>1832</v>
      </c>
      <c r="AA283" t="s">
        <v>25</v>
      </c>
      <c r="AC283" t="s">
        <v>22</v>
      </c>
      <c r="AD283" t="s">
        <v>1832</v>
      </c>
      <c r="AE283">
        <v>1.2107150324422339E-4</v>
      </c>
      <c r="AG283" t="s">
        <v>97</v>
      </c>
      <c r="AH283" t="s">
        <v>1832</v>
      </c>
      <c r="AI283">
        <v>0</v>
      </c>
      <c r="AK283">
        <v>2044</v>
      </c>
      <c r="AL283" t="s">
        <v>162</v>
      </c>
      <c r="AM283">
        <v>0.50490000000000002</v>
      </c>
      <c r="AN283" t="s">
        <v>430</v>
      </c>
    </row>
    <row r="284" spans="5:40" x14ac:dyDescent="0.45">
      <c r="E284" t="s">
        <v>1585</v>
      </c>
      <c r="G284" t="s">
        <v>160</v>
      </c>
      <c r="I284" t="s">
        <v>249</v>
      </c>
      <c r="J284" t="s">
        <v>1833</v>
      </c>
      <c r="K284">
        <v>8.1457754790699604E-5</v>
      </c>
      <c r="L284" t="s">
        <v>251</v>
      </c>
      <c r="N284" t="s">
        <v>419</v>
      </c>
      <c r="O284" t="s">
        <v>1833</v>
      </c>
      <c r="P284">
        <v>1.4382999678849999E-4</v>
      </c>
      <c r="Q284" t="s">
        <v>251</v>
      </c>
      <c r="S284" t="s">
        <v>420</v>
      </c>
      <c r="T284" t="s">
        <v>1833</v>
      </c>
      <c r="U284">
        <v>1.5239326566079999E-4</v>
      </c>
      <c r="V284" t="s">
        <v>251</v>
      </c>
      <c r="X284">
        <v>1.1415525114155251E-4</v>
      </c>
      <c r="Y284">
        <v>2.2209515285616027E-4</v>
      </c>
      <c r="Z284" t="s">
        <v>1833</v>
      </c>
      <c r="AA284" t="s">
        <v>25</v>
      </c>
      <c r="AC284" t="s">
        <v>22</v>
      </c>
      <c r="AD284" t="s">
        <v>1833</v>
      </c>
      <c r="AE284">
        <v>8.9962589090834873E-5</v>
      </c>
      <c r="AG284" t="s">
        <v>97</v>
      </c>
      <c r="AH284" t="s">
        <v>1833</v>
      </c>
      <c r="AI284">
        <v>0</v>
      </c>
      <c r="AK284">
        <v>2044</v>
      </c>
      <c r="AL284" t="s">
        <v>175</v>
      </c>
      <c r="AM284">
        <v>0.37859999999999999</v>
      </c>
      <c r="AN284" t="s">
        <v>430</v>
      </c>
    </row>
    <row r="285" spans="5:40" x14ac:dyDescent="0.45">
      <c r="E285" t="s">
        <v>1586</v>
      </c>
      <c r="G285" t="s">
        <v>160</v>
      </c>
      <c r="I285" t="s">
        <v>249</v>
      </c>
      <c r="J285" t="s">
        <v>1834</v>
      </c>
      <c r="K285">
        <v>3.4415721585389668E-5</v>
      </c>
      <c r="L285" t="s">
        <v>251</v>
      </c>
      <c r="N285" t="s">
        <v>419</v>
      </c>
      <c r="O285" t="s">
        <v>1834</v>
      </c>
      <c r="P285">
        <v>1.3331461177010001E-4</v>
      </c>
      <c r="Q285" t="s">
        <v>251</v>
      </c>
      <c r="S285" t="s">
        <v>420</v>
      </c>
      <c r="T285" t="s">
        <v>1834</v>
      </c>
      <c r="U285">
        <v>1.5253608555840001E-4</v>
      </c>
      <c r="V285" t="s">
        <v>251</v>
      </c>
      <c r="X285">
        <v>1.1415525114155251E-4</v>
      </c>
      <c r="Y285">
        <v>1.7237235744060203E-4</v>
      </c>
      <c r="Z285" t="s">
        <v>1834</v>
      </c>
      <c r="AA285" t="s">
        <v>25</v>
      </c>
      <c r="AC285" t="s">
        <v>22</v>
      </c>
      <c r="AD285" t="s">
        <v>1834</v>
      </c>
      <c r="AE285">
        <v>5.5787571801921499E-5</v>
      </c>
      <c r="AG285" t="s">
        <v>97</v>
      </c>
      <c r="AH285" t="s">
        <v>1834</v>
      </c>
      <c r="AI285">
        <v>0</v>
      </c>
      <c r="AK285">
        <v>2044</v>
      </c>
      <c r="AL285" t="s">
        <v>166</v>
      </c>
      <c r="AM285">
        <v>0.2319</v>
      </c>
      <c r="AN285" t="s">
        <v>430</v>
      </c>
    </row>
    <row r="286" spans="5:40" x14ac:dyDescent="0.45">
      <c r="E286" t="s">
        <v>1587</v>
      </c>
      <c r="G286" t="s">
        <v>160</v>
      </c>
      <c r="I286" t="s">
        <v>249</v>
      </c>
      <c r="J286" t="s">
        <v>1835</v>
      </c>
      <c r="K286">
        <v>5.992928324512912E-6</v>
      </c>
      <c r="L286" t="s">
        <v>251</v>
      </c>
      <c r="N286" t="s">
        <v>419</v>
      </c>
      <c r="O286" t="s">
        <v>1835</v>
      </c>
      <c r="P286">
        <v>1.2960892616660001E-4</v>
      </c>
      <c r="Q286" t="s">
        <v>251</v>
      </c>
      <c r="S286" t="s">
        <v>420</v>
      </c>
      <c r="T286" t="s">
        <v>1835</v>
      </c>
      <c r="U286">
        <v>1.5150908950620001E-4</v>
      </c>
      <c r="V286" t="s">
        <v>251</v>
      </c>
      <c r="X286">
        <v>1.1415525114155251E-4</v>
      </c>
      <c r="Y286">
        <v>1.5579809230208258E-4</v>
      </c>
      <c r="Z286" t="s">
        <v>1835</v>
      </c>
      <c r="AA286" t="s">
        <v>25</v>
      </c>
      <c r="AC286" t="s">
        <v>22</v>
      </c>
      <c r="AD286" t="s">
        <v>1835</v>
      </c>
      <c r="AE286">
        <v>5.0162297553642057E-5</v>
      </c>
      <c r="AG286" t="s">
        <v>97</v>
      </c>
      <c r="AH286" t="s">
        <v>1835</v>
      </c>
      <c r="AI286">
        <v>0</v>
      </c>
      <c r="AK286">
        <v>2044</v>
      </c>
      <c r="AL286" t="s">
        <v>178</v>
      </c>
      <c r="AM286">
        <v>0.22439999999999999</v>
      </c>
      <c r="AN286" t="s">
        <v>430</v>
      </c>
    </row>
    <row r="287" spans="5:40" x14ac:dyDescent="0.45">
      <c r="E287" t="s">
        <v>1588</v>
      </c>
      <c r="G287" t="s">
        <v>160</v>
      </c>
      <c r="I287" t="s">
        <v>249</v>
      </c>
      <c r="J287" t="s">
        <v>1836</v>
      </c>
      <c r="K287">
        <v>0</v>
      </c>
      <c r="L287" t="s">
        <v>251</v>
      </c>
      <c r="N287" t="s">
        <v>419</v>
      </c>
      <c r="O287" t="s">
        <v>1836</v>
      </c>
      <c r="P287">
        <v>1.3375446418269999E-4</v>
      </c>
      <c r="Q287" t="s">
        <v>251</v>
      </c>
      <c r="S287" t="s">
        <v>420</v>
      </c>
      <c r="T287" t="s">
        <v>1836</v>
      </c>
      <c r="U287">
        <v>1.5162498322969999E-4</v>
      </c>
      <c r="V287" t="s">
        <v>251</v>
      </c>
      <c r="X287">
        <v>1.1415525114155251E-4</v>
      </c>
      <c r="Y287">
        <v>1.093901499142282E-4</v>
      </c>
      <c r="Z287" t="s">
        <v>1836</v>
      </c>
      <c r="AA287" t="s">
        <v>25</v>
      </c>
      <c r="AC287" t="s">
        <v>22</v>
      </c>
      <c r="AD287" t="s">
        <v>1836</v>
      </c>
      <c r="AE287">
        <v>4.7815926476819622E-5</v>
      </c>
      <c r="AG287" t="s">
        <v>97</v>
      </c>
      <c r="AH287" t="s">
        <v>1836</v>
      </c>
      <c r="AI287">
        <v>0</v>
      </c>
      <c r="AK287">
        <v>2045</v>
      </c>
      <c r="AL287" t="s">
        <v>151</v>
      </c>
      <c r="AM287">
        <v>0.25879999999999997</v>
      </c>
      <c r="AN287" t="s">
        <v>430</v>
      </c>
    </row>
    <row r="288" spans="5:40" x14ac:dyDescent="0.45">
      <c r="E288" t="s">
        <v>1589</v>
      </c>
      <c r="G288" t="s">
        <v>160</v>
      </c>
      <c r="I288" t="s">
        <v>249</v>
      </c>
      <c r="J288" t="s">
        <v>1837</v>
      </c>
      <c r="K288">
        <v>0</v>
      </c>
      <c r="L288" t="s">
        <v>251</v>
      </c>
      <c r="N288" t="s">
        <v>419</v>
      </c>
      <c r="O288" t="s">
        <v>1837</v>
      </c>
      <c r="P288">
        <v>1.382681011464E-4</v>
      </c>
      <c r="Q288" t="s">
        <v>251</v>
      </c>
      <c r="S288" t="s">
        <v>420</v>
      </c>
      <c r="T288" t="s">
        <v>1837</v>
      </c>
      <c r="U288">
        <v>1.5413548166599999E-4</v>
      </c>
      <c r="V288" t="s">
        <v>251</v>
      </c>
      <c r="X288">
        <v>1.1415525114155251E-4</v>
      </c>
      <c r="Y288">
        <v>7.9556472664893237E-5</v>
      </c>
      <c r="Z288" t="s">
        <v>1837</v>
      </c>
      <c r="AA288" t="s">
        <v>25</v>
      </c>
      <c r="AC288" t="s">
        <v>22</v>
      </c>
      <c r="AD288" t="s">
        <v>1837</v>
      </c>
      <c r="AE288">
        <v>4.8739545480943925E-5</v>
      </c>
      <c r="AG288" t="s">
        <v>97</v>
      </c>
      <c r="AH288" t="s">
        <v>1837</v>
      </c>
      <c r="AI288">
        <v>0</v>
      </c>
      <c r="AK288">
        <v>2045</v>
      </c>
      <c r="AL288" t="s">
        <v>156</v>
      </c>
      <c r="AM288">
        <v>0.28189999999999998</v>
      </c>
      <c r="AN288" t="s">
        <v>430</v>
      </c>
    </row>
    <row r="289" spans="5:40" x14ac:dyDescent="0.45">
      <c r="E289" t="s">
        <v>1590</v>
      </c>
      <c r="G289" t="s">
        <v>160</v>
      </c>
      <c r="I289" t="s">
        <v>249</v>
      </c>
      <c r="J289" t="s">
        <v>1838</v>
      </c>
      <c r="K289">
        <v>0</v>
      </c>
      <c r="L289" t="s">
        <v>251</v>
      </c>
      <c r="N289" t="s">
        <v>419</v>
      </c>
      <c r="O289" t="s">
        <v>1838</v>
      </c>
      <c r="P289">
        <v>1.4226479699570001E-4</v>
      </c>
      <c r="Q289" t="s">
        <v>251</v>
      </c>
      <c r="S289" t="s">
        <v>420</v>
      </c>
      <c r="T289" t="s">
        <v>1838</v>
      </c>
      <c r="U289">
        <v>1.638698910369E-4</v>
      </c>
      <c r="V289" t="s">
        <v>251</v>
      </c>
      <c r="X289">
        <v>1.1415525114155251E-4</v>
      </c>
      <c r="Y289">
        <v>5.6352501470966035E-5</v>
      </c>
      <c r="Z289" t="s">
        <v>1838</v>
      </c>
      <c r="AA289" t="s">
        <v>25</v>
      </c>
      <c r="AC289" t="s">
        <v>22</v>
      </c>
      <c r="AD289" t="s">
        <v>1838</v>
      </c>
      <c r="AE289">
        <v>6.0099279336253349E-5</v>
      </c>
      <c r="AG289" t="s">
        <v>97</v>
      </c>
      <c r="AH289" t="s">
        <v>1838</v>
      </c>
      <c r="AI289">
        <v>0</v>
      </c>
      <c r="AK289">
        <v>2045</v>
      </c>
      <c r="AL289" t="s">
        <v>159</v>
      </c>
      <c r="AM289">
        <v>0.24890000000000001</v>
      </c>
      <c r="AN289" t="s">
        <v>430</v>
      </c>
    </row>
    <row r="290" spans="5:40" x14ac:dyDescent="0.45">
      <c r="E290" t="s">
        <v>1591</v>
      </c>
      <c r="G290" t="s">
        <v>160</v>
      </c>
      <c r="I290" t="s">
        <v>249</v>
      </c>
      <c r="J290" t="s">
        <v>1839</v>
      </c>
      <c r="K290">
        <v>0</v>
      </c>
      <c r="L290" t="s">
        <v>251</v>
      </c>
      <c r="N290" t="s">
        <v>419</v>
      </c>
      <c r="O290" t="s">
        <v>1839</v>
      </c>
      <c r="P290">
        <v>1.4189241141360001E-4</v>
      </c>
      <c r="Q290" t="s">
        <v>251</v>
      </c>
      <c r="S290" t="s">
        <v>420</v>
      </c>
      <c r="T290" t="s">
        <v>1839</v>
      </c>
      <c r="U290">
        <v>1.7743671385239999E-4</v>
      </c>
      <c r="V290" t="s">
        <v>251</v>
      </c>
      <c r="X290">
        <v>1.1415525114155251E-4</v>
      </c>
      <c r="Y290">
        <v>2.9833677249334962E-5</v>
      </c>
      <c r="Z290" t="s">
        <v>1839</v>
      </c>
      <c r="AA290" t="s">
        <v>25</v>
      </c>
      <c r="AC290" t="s">
        <v>22</v>
      </c>
      <c r="AD290" t="s">
        <v>1839</v>
      </c>
      <c r="AE290">
        <v>8.1643333235833395E-5</v>
      </c>
      <c r="AG290" t="s">
        <v>97</v>
      </c>
      <c r="AH290" t="s">
        <v>1839</v>
      </c>
      <c r="AI290">
        <v>0</v>
      </c>
      <c r="AK290">
        <v>2045</v>
      </c>
      <c r="AL290" t="s">
        <v>163</v>
      </c>
      <c r="AM290">
        <v>0.31330000000000002</v>
      </c>
      <c r="AN290" t="s">
        <v>430</v>
      </c>
    </row>
    <row r="291" spans="5:40" x14ac:dyDescent="0.45">
      <c r="E291" t="s">
        <v>1592</v>
      </c>
      <c r="G291" t="s">
        <v>160</v>
      </c>
      <c r="I291" t="s">
        <v>249</v>
      </c>
      <c r="J291" t="s">
        <v>1840</v>
      </c>
      <c r="K291">
        <v>0</v>
      </c>
      <c r="L291" t="s">
        <v>251</v>
      </c>
      <c r="N291" t="s">
        <v>419</v>
      </c>
      <c r="O291" t="s">
        <v>1840</v>
      </c>
      <c r="P291">
        <v>1.403050349543E-4</v>
      </c>
      <c r="Q291" t="s">
        <v>251</v>
      </c>
      <c r="S291" t="s">
        <v>420</v>
      </c>
      <c r="T291" t="s">
        <v>1840</v>
      </c>
      <c r="U291">
        <v>1.861124147855E-4</v>
      </c>
      <c r="V291" t="s">
        <v>251</v>
      </c>
      <c r="X291">
        <v>1.1415525114155251E-4</v>
      </c>
      <c r="Y291">
        <v>2.1546544680075254E-5</v>
      </c>
      <c r="Z291" t="s">
        <v>1840</v>
      </c>
      <c r="AA291" t="s">
        <v>25</v>
      </c>
      <c r="AC291" t="s">
        <v>22</v>
      </c>
      <c r="AD291" t="s">
        <v>1840</v>
      </c>
      <c r="AE291">
        <v>8.3562990104477759E-5</v>
      </c>
      <c r="AG291" t="s">
        <v>97</v>
      </c>
      <c r="AH291" t="s">
        <v>1840</v>
      </c>
      <c r="AI291">
        <v>0</v>
      </c>
      <c r="AK291">
        <v>2045</v>
      </c>
      <c r="AL291" t="s">
        <v>167</v>
      </c>
      <c r="AM291">
        <v>0.36870000000000003</v>
      </c>
      <c r="AN291" t="s">
        <v>430</v>
      </c>
    </row>
    <row r="292" spans="5:40" x14ac:dyDescent="0.45">
      <c r="E292" t="s">
        <v>1593</v>
      </c>
      <c r="G292" t="s">
        <v>160</v>
      </c>
      <c r="I292" t="s">
        <v>249</v>
      </c>
      <c r="J292" t="s">
        <v>1841</v>
      </c>
      <c r="K292">
        <v>0</v>
      </c>
      <c r="L292" t="s">
        <v>251</v>
      </c>
      <c r="N292" t="s">
        <v>419</v>
      </c>
      <c r="O292" t="s">
        <v>1841</v>
      </c>
      <c r="P292">
        <v>1.3933240787620001E-4</v>
      </c>
      <c r="Q292" t="s">
        <v>251</v>
      </c>
      <c r="S292" t="s">
        <v>420</v>
      </c>
      <c r="T292" t="s">
        <v>1841</v>
      </c>
      <c r="U292">
        <v>1.8975426256339999E-4</v>
      </c>
      <c r="V292" t="s">
        <v>251</v>
      </c>
      <c r="X292">
        <v>1.1415525114155251E-4</v>
      </c>
      <c r="Y292">
        <v>1.4916838624667481E-5</v>
      </c>
      <c r="Z292" t="s">
        <v>1841</v>
      </c>
      <c r="AA292" t="s">
        <v>25</v>
      </c>
      <c r="AC292" t="s">
        <v>22</v>
      </c>
      <c r="AD292" t="s">
        <v>1841</v>
      </c>
      <c r="AE292">
        <v>9.805121872888376E-5</v>
      </c>
      <c r="AG292" t="s">
        <v>97</v>
      </c>
      <c r="AH292" t="s">
        <v>1841</v>
      </c>
      <c r="AI292">
        <v>0</v>
      </c>
      <c r="AK292">
        <v>2045</v>
      </c>
      <c r="AL292" t="s">
        <v>169</v>
      </c>
      <c r="AM292">
        <v>0.45660000000000001</v>
      </c>
      <c r="AN292" t="s">
        <v>430</v>
      </c>
    </row>
    <row r="293" spans="5:40" x14ac:dyDescent="0.45">
      <c r="E293" t="s">
        <v>1594</v>
      </c>
      <c r="G293" t="s">
        <v>160</v>
      </c>
      <c r="I293" t="s">
        <v>249</v>
      </c>
      <c r="J293" t="s">
        <v>1842</v>
      </c>
      <c r="K293">
        <v>0</v>
      </c>
      <c r="L293" t="s">
        <v>251</v>
      </c>
      <c r="N293" t="s">
        <v>419</v>
      </c>
      <c r="O293" t="s">
        <v>1842</v>
      </c>
      <c r="P293">
        <v>1.3338186333819999E-4</v>
      </c>
      <c r="Q293" t="s">
        <v>251</v>
      </c>
      <c r="S293" t="s">
        <v>420</v>
      </c>
      <c r="T293" t="s">
        <v>1842</v>
      </c>
      <c r="U293">
        <v>1.801454694431E-4</v>
      </c>
      <c r="V293" t="s">
        <v>251</v>
      </c>
      <c r="X293">
        <v>1.1415525114155251E-4</v>
      </c>
      <c r="Y293">
        <v>1.6574265138519424E-5</v>
      </c>
      <c r="Z293" t="s">
        <v>1842</v>
      </c>
      <c r="AA293" t="s">
        <v>25</v>
      </c>
      <c r="AC293" t="s">
        <v>22</v>
      </c>
      <c r="AD293" t="s">
        <v>1842</v>
      </c>
      <c r="AE293">
        <v>1.2149933158871525E-4</v>
      </c>
      <c r="AG293" t="s">
        <v>97</v>
      </c>
      <c r="AH293" t="s">
        <v>1842</v>
      </c>
      <c r="AI293">
        <v>0</v>
      </c>
      <c r="AK293">
        <v>2045</v>
      </c>
      <c r="AL293" t="s">
        <v>171</v>
      </c>
      <c r="AM293">
        <v>0.54279999999999995</v>
      </c>
      <c r="AN293" t="s">
        <v>430</v>
      </c>
    </row>
    <row r="294" spans="5:40" x14ac:dyDescent="0.45">
      <c r="E294" t="s">
        <v>1595</v>
      </c>
      <c r="G294" t="s">
        <v>160</v>
      </c>
      <c r="I294" t="s">
        <v>249</v>
      </c>
      <c r="J294" t="s">
        <v>1843</v>
      </c>
      <c r="K294">
        <v>0</v>
      </c>
      <c r="L294" t="s">
        <v>251</v>
      </c>
      <c r="N294" t="s">
        <v>419</v>
      </c>
      <c r="O294" t="s">
        <v>1843</v>
      </c>
      <c r="P294">
        <v>1.184243295664E-4</v>
      </c>
      <c r="Q294" t="s">
        <v>251</v>
      </c>
      <c r="S294" t="s">
        <v>420</v>
      </c>
      <c r="T294" t="s">
        <v>1843</v>
      </c>
      <c r="U294">
        <v>1.7445179332360001E-4</v>
      </c>
      <c r="V294" t="s">
        <v>251</v>
      </c>
      <c r="X294">
        <v>1.1415525114155251E-4</v>
      </c>
      <c r="Y294">
        <v>1.4585353321897093E-5</v>
      </c>
      <c r="Z294" t="s">
        <v>1843</v>
      </c>
      <c r="AA294" t="s">
        <v>25</v>
      </c>
      <c r="AC294" t="s">
        <v>22</v>
      </c>
      <c r="AD294" t="s">
        <v>1843</v>
      </c>
      <c r="AE294">
        <v>1.3827933861056843E-4</v>
      </c>
      <c r="AG294" t="s">
        <v>97</v>
      </c>
      <c r="AH294" t="s">
        <v>1843</v>
      </c>
      <c r="AI294">
        <v>0</v>
      </c>
      <c r="AK294">
        <v>2045</v>
      </c>
      <c r="AL294" t="s">
        <v>158</v>
      </c>
      <c r="AM294">
        <v>0.61919999999999997</v>
      </c>
      <c r="AN294" t="s">
        <v>430</v>
      </c>
    </row>
    <row r="295" spans="5:40" x14ac:dyDescent="0.45">
      <c r="E295" t="s">
        <v>1596</v>
      </c>
      <c r="G295" t="s">
        <v>160</v>
      </c>
      <c r="I295" t="s">
        <v>249</v>
      </c>
      <c r="J295" t="s">
        <v>1844</v>
      </c>
      <c r="K295">
        <v>0</v>
      </c>
      <c r="L295" t="s">
        <v>251</v>
      </c>
      <c r="N295" t="s">
        <v>419</v>
      </c>
      <c r="O295" t="s">
        <v>1844</v>
      </c>
      <c r="P295">
        <v>1.0914365836209999E-4</v>
      </c>
      <c r="Q295" t="s">
        <v>251</v>
      </c>
      <c r="S295" t="s">
        <v>420</v>
      </c>
      <c r="T295" t="s">
        <v>1844</v>
      </c>
      <c r="U295">
        <v>1.700492715929E-4</v>
      </c>
      <c r="V295" t="s">
        <v>251</v>
      </c>
      <c r="X295">
        <v>1.1415525114155251E-4</v>
      </c>
      <c r="Y295">
        <v>2.1215059377304864E-5</v>
      </c>
      <c r="Z295" t="s">
        <v>1844</v>
      </c>
      <c r="AA295" t="s">
        <v>25</v>
      </c>
      <c r="AC295" t="s">
        <v>22</v>
      </c>
      <c r="AD295" t="s">
        <v>1844</v>
      </c>
      <c r="AE295">
        <v>1.4295091217425148E-4</v>
      </c>
      <c r="AG295" t="s">
        <v>97</v>
      </c>
      <c r="AH295" t="s">
        <v>1844</v>
      </c>
      <c r="AI295">
        <v>0</v>
      </c>
      <c r="AK295">
        <v>2045</v>
      </c>
      <c r="AL295" t="s">
        <v>162</v>
      </c>
      <c r="AM295">
        <v>0.60170000000000001</v>
      </c>
      <c r="AN295" t="s">
        <v>430</v>
      </c>
    </row>
    <row r="296" spans="5:40" x14ac:dyDescent="0.45">
      <c r="E296" t="s">
        <v>1597</v>
      </c>
      <c r="G296" t="s">
        <v>160</v>
      </c>
      <c r="I296" t="s">
        <v>249</v>
      </c>
      <c r="J296" t="s">
        <v>1845</v>
      </c>
      <c r="K296">
        <v>0</v>
      </c>
      <c r="L296" t="s">
        <v>251</v>
      </c>
      <c r="N296" t="s">
        <v>419</v>
      </c>
      <c r="O296" t="s">
        <v>1845</v>
      </c>
      <c r="P296">
        <v>1.0477437270889999E-4</v>
      </c>
      <c r="Q296" t="s">
        <v>251</v>
      </c>
      <c r="S296" t="s">
        <v>420</v>
      </c>
      <c r="T296" t="s">
        <v>1845</v>
      </c>
      <c r="U296">
        <v>1.5974078094659999E-4</v>
      </c>
      <c r="V296" t="s">
        <v>251</v>
      </c>
      <c r="X296">
        <v>1.1415525114155251E-4</v>
      </c>
      <c r="Y296">
        <v>5.7678442682047593E-5</v>
      </c>
      <c r="Z296" t="s">
        <v>1845</v>
      </c>
      <c r="AA296" t="s">
        <v>25</v>
      </c>
      <c r="AC296" t="s">
        <v>22</v>
      </c>
      <c r="AD296" t="s">
        <v>1845</v>
      </c>
      <c r="AE296">
        <v>1.4330632165834758E-4</v>
      </c>
      <c r="AG296" t="s">
        <v>97</v>
      </c>
      <c r="AH296" t="s">
        <v>1845</v>
      </c>
      <c r="AI296">
        <v>0</v>
      </c>
      <c r="AK296">
        <v>2045</v>
      </c>
      <c r="AL296" t="s">
        <v>175</v>
      </c>
      <c r="AM296">
        <v>0.46889999999999998</v>
      </c>
      <c r="AN296" t="s">
        <v>430</v>
      </c>
    </row>
    <row r="297" spans="5:40" x14ac:dyDescent="0.45">
      <c r="E297" t="s">
        <v>1598</v>
      </c>
      <c r="G297" t="s">
        <v>160</v>
      </c>
      <c r="I297" t="s">
        <v>249</v>
      </c>
      <c r="J297" t="s">
        <v>1846</v>
      </c>
      <c r="K297">
        <v>1.1063249828038256E-5</v>
      </c>
      <c r="L297" t="s">
        <v>251</v>
      </c>
      <c r="N297" t="s">
        <v>419</v>
      </c>
      <c r="O297" t="s">
        <v>1846</v>
      </c>
      <c r="P297">
        <v>1.0269473519479999E-4</v>
      </c>
      <c r="Q297" t="s">
        <v>251</v>
      </c>
      <c r="S297" t="s">
        <v>420</v>
      </c>
      <c r="T297" t="s">
        <v>1846</v>
      </c>
      <c r="U297">
        <v>1.5159475144899999E-4</v>
      </c>
      <c r="V297" t="s">
        <v>251</v>
      </c>
      <c r="X297">
        <v>1.1415525114155251E-4</v>
      </c>
      <c r="Y297">
        <v>1.6905750441289813E-4</v>
      </c>
      <c r="Z297" t="s">
        <v>1846</v>
      </c>
      <c r="AA297" t="s">
        <v>25</v>
      </c>
      <c r="AC297" t="s">
        <v>22</v>
      </c>
      <c r="AD297" t="s">
        <v>1846</v>
      </c>
      <c r="AE297">
        <v>1.4345227351545288E-4</v>
      </c>
      <c r="AG297" t="s">
        <v>97</v>
      </c>
      <c r="AH297" t="s">
        <v>1846</v>
      </c>
      <c r="AI297">
        <v>0</v>
      </c>
      <c r="AK297">
        <v>2045</v>
      </c>
      <c r="AL297" t="s">
        <v>166</v>
      </c>
      <c r="AM297">
        <v>0.29749999999999999</v>
      </c>
      <c r="AN297" t="s">
        <v>430</v>
      </c>
    </row>
    <row r="298" spans="5:40" x14ac:dyDescent="0.45">
      <c r="E298" t="s">
        <v>1599</v>
      </c>
      <c r="G298" t="s">
        <v>160</v>
      </c>
      <c r="I298" t="s">
        <v>249</v>
      </c>
      <c r="J298" t="s">
        <v>1847</v>
      </c>
      <c r="K298">
        <v>5.3700423523498977E-5</v>
      </c>
      <c r="L298" t="s">
        <v>251</v>
      </c>
      <c r="N298" t="s">
        <v>419</v>
      </c>
      <c r="O298" t="s">
        <v>1847</v>
      </c>
      <c r="P298">
        <v>1.201809306059E-4</v>
      </c>
      <c r="Q298" t="s">
        <v>251</v>
      </c>
      <c r="S298" t="s">
        <v>420</v>
      </c>
      <c r="T298" t="s">
        <v>1847</v>
      </c>
      <c r="U298">
        <v>1.4764681171620001E-4</v>
      </c>
      <c r="V298" t="s">
        <v>251</v>
      </c>
      <c r="X298">
        <v>1.1415525114155251E-4</v>
      </c>
      <c r="Y298">
        <v>1.9060404909297337E-4</v>
      </c>
      <c r="Z298" t="s">
        <v>1847</v>
      </c>
      <c r="AA298" t="s">
        <v>25</v>
      </c>
      <c r="AC298" t="s">
        <v>22</v>
      </c>
      <c r="AD298" t="s">
        <v>1847</v>
      </c>
      <c r="AE298">
        <v>1.4369961177711219E-4</v>
      </c>
      <c r="AG298" t="s">
        <v>97</v>
      </c>
      <c r="AH298" t="s">
        <v>1847</v>
      </c>
      <c r="AI298">
        <v>0</v>
      </c>
      <c r="AK298">
        <v>2045</v>
      </c>
      <c r="AL298" t="s">
        <v>178</v>
      </c>
      <c r="AM298">
        <v>0.25069999999999998</v>
      </c>
      <c r="AN298" t="s">
        <v>430</v>
      </c>
    </row>
    <row r="299" spans="5:40" x14ac:dyDescent="0.45">
      <c r="E299" t="s">
        <v>1600</v>
      </c>
      <c r="G299" t="s">
        <v>160</v>
      </c>
      <c r="I299" t="s">
        <v>249</v>
      </c>
      <c r="J299" t="s">
        <v>1848</v>
      </c>
      <c r="K299">
        <v>1.097252327579E-4</v>
      </c>
      <c r="L299" t="s">
        <v>251</v>
      </c>
      <c r="N299" t="s">
        <v>419</v>
      </c>
      <c r="O299" t="s">
        <v>1848</v>
      </c>
      <c r="P299">
        <v>1.4448392299950001E-4</v>
      </c>
      <c r="Q299" t="s">
        <v>251</v>
      </c>
      <c r="S299" t="s">
        <v>420</v>
      </c>
      <c r="T299" t="s">
        <v>1848</v>
      </c>
      <c r="U299">
        <v>1.4862260862919999E-4</v>
      </c>
      <c r="V299" t="s">
        <v>251</v>
      </c>
      <c r="X299">
        <v>1.1415525114155251E-4</v>
      </c>
      <c r="Y299">
        <v>1.4585353321897094E-4</v>
      </c>
      <c r="Z299" t="s">
        <v>1848</v>
      </c>
      <c r="AA299" t="s">
        <v>25</v>
      </c>
      <c r="AC299" t="s">
        <v>22</v>
      </c>
      <c r="AD299" t="s">
        <v>1848</v>
      </c>
      <c r="AE299">
        <v>1.4369961177711221E-4</v>
      </c>
      <c r="AG299" t="s">
        <v>97</v>
      </c>
      <c r="AH299" t="s">
        <v>1848</v>
      </c>
      <c r="AI299">
        <v>0</v>
      </c>
      <c r="AK299">
        <v>2046</v>
      </c>
      <c r="AL299" t="s">
        <v>151</v>
      </c>
      <c r="AM299">
        <v>0.29070000000000001</v>
      </c>
      <c r="AN299" t="s">
        <v>430</v>
      </c>
    </row>
    <row r="300" spans="5:40" x14ac:dyDescent="0.45">
      <c r="E300" t="s">
        <v>1601</v>
      </c>
      <c r="G300" t="s">
        <v>160</v>
      </c>
      <c r="I300" t="s">
        <v>249</v>
      </c>
      <c r="J300" t="s">
        <v>1849</v>
      </c>
      <c r="K300">
        <v>1.5479927716600001E-4</v>
      </c>
      <c r="L300" t="s">
        <v>251</v>
      </c>
      <c r="N300" t="s">
        <v>419</v>
      </c>
      <c r="O300" t="s">
        <v>1849</v>
      </c>
      <c r="P300">
        <v>1.3556429015659999E-4</v>
      </c>
      <c r="Q300" t="s">
        <v>251</v>
      </c>
      <c r="S300" t="s">
        <v>420</v>
      </c>
      <c r="T300" t="s">
        <v>1849</v>
      </c>
      <c r="U300">
        <v>1.5079398009760001E-4</v>
      </c>
      <c r="V300" t="s">
        <v>251</v>
      </c>
      <c r="X300">
        <v>1.1415525114155251E-4</v>
      </c>
      <c r="Y300">
        <v>1.4452759200788939E-4</v>
      </c>
      <c r="Z300" t="s">
        <v>1849</v>
      </c>
      <c r="AA300" t="s">
        <v>25</v>
      </c>
      <c r="AC300" t="s">
        <v>22</v>
      </c>
      <c r="AD300" t="s">
        <v>1849</v>
      </c>
      <c r="AE300">
        <v>1.4366395941507119E-4</v>
      </c>
      <c r="AG300" t="s">
        <v>97</v>
      </c>
      <c r="AH300" t="s">
        <v>1849</v>
      </c>
      <c r="AI300">
        <v>0</v>
      </c>
      <c r="AK300">
        <v>2046</v>
      </c>
      <c r="AL300" t="s">
        <v>156</v>
      </c>
      <c r="AM300">
        <v>0.31330000000000002</v>
      </c>
      <c r="AN300" t="s">
        <v>430</v>
      </c>
    </row>
    <row r="301" spans="5:40" x14ac:dyDescent="0.45">
      <c r="E301" t="s">
        <v>1602</v>
      </c>
      <c r="G301" t="s">
        <v>160</v>
      </c>
      <c r="I301" t="s">
        <v>249</v>
      </c>
      <c r="J301" t="s">
        <v>1850</v>
      </c>
      <c r="K301">
        <v>1.9527410022130001E-4</v>
      </c>
      <c r="L301" t="s">
        <v>251</v>
      </c>
      <c r="N301" t="s">
        <v>419</v>
      </c>
      <c r="O301" t="s">
        <v>1850</v>
      </c>
      <c r="P301">
        <v>1.278150558951E-4</v>
      </c>
      <c r="Q301" t="s">
        <v>251</v>
      </c>
      <c r="S301" t="s">
        <v>420</v>
      </c>
      <c r="T301" t="s">
        <v>1850</v>
      </c>
      <c r="U301">
        <v>1.5170763709819999E-4</v>
      </c>
      <c r="V301" t="s">
        <v>251</v>
      </c>
      <c r="X301">
        <v>1.1415525114155251E-4</v>
      </c>
      <c r="Y301">
        <v>1.408812536774151E-4</v>
      </c>
      <c r="Z301" t="s">
        <v>1850</v>
      </c>
      <c r="AA301" t="s">
        <v>25</v>
      </c>
      <c r="AC301" t="s">
        <v>22</v>
      </c>
      <c r="AD301" t="s">
        <v>1850</v>
      </c>
      <c r="AE301">
        <v>1.4369961177711221E-4</v>
      </c>
      <c r="AG301" t="s">
        <v>97</v>
      </c>
      <c r="AH301" t="s">
        <v>1850</v>
      </c>
      <c r="AI301">
        <v>0</v>
      </c>
      <c r="AK301">
        <v>2046</v>
      </c>
      <c r="AL301" t="s">
        <v>159</v>
      </c>
      <c r="AM301">
        <v>0.33829999999999999</v>
      </c>
      <c r="AN301" t="s">
        <v>430</v>
      </c>
    </row>
    <row r="302" spans="5:40" x14ac:dyDescent="0.45">
      <c r="E302" t="s">
        <v>1603</v>
      </c>
      <c r="G302" t="s">
        <v>160</v>
      </c>
      <c r="I302" t="s">
        <v>249</v>
      </c>
      <c r="J302" t="s">
        <v>1851</v>
      </c>
      <c r="K302">
        <v>2.211799706875E-4</v>
      </c>
      <c r="L302" t="s">
        <v>251</v>
      </c>
      <c r="N302" t="s">
        <v>419</v>
      </c>
      <c r="O302" t="s">
        <v>1851</v>
      </c>
      <c r="P302">
        <v>1.307117593548E-4</v>
      </c>
      <c r="Q302" t="s">
        <v>251</v>
      </c>
      <c r="S302" t="s">
        <v>420</v>
      </c>
      <c r="T302" t="s">
        <v>1851</v>
      </c>
      <c r="U302">
        <v>1.5211881674219999E-4</v>
      </c>
      <c r="V302" t="s">
        <v>251</v>
      </c>
      <c r="X302">
        <v>1.1415525114155251E-4</v>
      </c>
      <c r="Y302">
        <v>1.4054976837464471E-4</v>
      </c>
      <c r="Z302" t="s">
        <v>1851</v>
      </c>
      <c r="AA302" t="s">
        <v>25</v>
      </c>
      <c r="AC302" t="s">
        <v>22</v>
      </c>
      <c r="AD302" t="s">
        <v>1851</v>
      </c>
      <c r="AE302">
        <v>1.4396031967453692E-4</v>
      </c>
      <c r="AG302" t="s">
        <v>97</v>
      </c>
      <c r="AH302" t="s">
        <v>1851</v>
      </c>
      <c r="AI302">
        <v>0</v>
      </c>
      <c r="AK302">
        <v>2046</v>
      </c>
      <c r="AL302" t="s">
        <v>163</v>
      </c>
      <c r="AM302">
        <v>0.34289999999999998</v>
      </c>
      <c r="AN302" t="s">
        <v>430</v>
      </c>
    </row>
    <row r="303" spans="5:40" x14ac:dyDescent="0.45">
      <c r="E303" t="s">
        <v>1604</v>
      </c>
      <c r="G303" t="s">
        <v>160</v>
      </c>
      <c r="I303" t="s">
        <v>249</v>
      </c>
      <c r="J303" t="s">
        <v>1852</v>
      </c>
      <c r="K303">
        <v>1.908215272396E-4</v>
      </c>
      <c r="L303" t="s">
        <v>251</v>
      </c>
      <c r="N303" t="s">
        <v>419</v>
      </c>
      <c r="O303" t="s">
        <v>1852</v>
      </c>
      <c r="P303">
        <v>1.3783416991910001E-4</v>
      </c>
      <c r="Q303" t="s">
        <v>251</v>
      </c>
      <c r="S303" t="s">
        <v>420</v>
      </c>
      <c r="T303" t="s">
        <v>1852</v>
      </c>
      <c r="U303">
        <v>1.5629497467420001E-4</v>
      </c>
      <c r="V303" t="s">
        <v>251</v>
      </c>
      <c r="X303">
        <v>1.1415525114155251E-4</v>
      </c>
      <c r="Y303">
        <v>1.4253868019126702E-4</v>
      </c>
      <c r="Z303" t="s">
        <v>1852</v>
      </c>
      <c r="AA303" t="s">
        <v>25</v>
      </c>
      <c r="AC303" t="s">
        <v>22</v>
      </c>
      <c r="AD303" t="s">
        <v>1852</v>
      </c>
      <c r="AE303">
        <v>1.7210674536958216E-4</v>
      </c>
      <c r="AG303" t="s">
        <v>97</v>
      </c>
      <c r="AH303" t="s">
        <v>1852</v>
      </c>
      <c r="AI303">
        <v>0</v>
      </c>
      <c r="AK303">
        <v>2046</v>
      </c>
      <c r="AL303" t="s">
        <v>167</v>
      </c>
      <c r="AM303">
        <v>0.45979999999999999</v>
      </c>
      <c r="AN303" t="s">
        <v>430</v>
      </c>
    </row>
    <row r="304" spans="5:40" x14ac:dyDescent="0.45">
      <c r="E304" t="s">
        <v>1605</v>
      </c>
      <c r="G304" t="s">
        <v>160</v>
      </c>
      <c r="I304" t="s">
        <v>249</v>
      </c>
      <c r="J304" t="s">
        <v>1853</v>
      </c>
      <c r="K304">
        <v>1.892494324485E-4</v>
      </c>
      <c r="L304" t="s">
        <v>251</v>
      </c>
      <c r="N304" t="s">
        <v>419</v>
      </c>
      <c r="O304" t="s">
        <v>1853</v>
      </c>
      <c r="P304">
        <v>1.4750398272779999E-4</v>
      </c>
      <c r="Q304" t="s">
        <v>251</v>
      </c>
      <c r="S304" t="s">
        <v>420</v>
      </c>
      <c r="T304" t="s">
        <v>1853</v>
      </c>
      <c r="U304">
        <v>1.5740190733669999E-4</v>
      </c>
      <c r="V304" t="s">
        <v>251</v>
      </c>
      <c r="X304">
        <v>1.1415525114155251E-4</v>
      </c>
      <c r="Y304">
        <v>1.4883690094390442E-4</v>
      </c>
      <c r="Z304" t="s">
        <v>1853</v>
      </c>
      <c r="AA304" t="s">
        <v>25</v>
      </c>
      <c r="AC304" t="s">
        <v>22</v>
      </c>
      <c r="AD304" t="s">
        <v>1853</v>
      </c>
      <c r="AE304">
        <v>1.7386373833641456E-4</v>
      </c>
      <c r="AG304" t="s">
        <v>97</v>
      </c>
      <c r="AH304" t="s">
        <v>1853</v>
      </c>
      <c r="AI304">
        <v>0</v>
      </c>
      <c r="AK304">
        <v>2046</v>
      </c>
      <c r="AL304" t="s">
        <v>169</v>
      </c>
      <c r="AM304">
        <v>0.58220000000000005</v>
      </c>
      <c r="AN304" t="s">
        <v>430</v>
      </c>
    </row>
    <row r="305" spans="5:40" x14ac:dyDescent="0.45">
      <c r="E305" t="s">
        <v>1606</v>
      </c>
      <c r="G305" t="s">
        <v>160</v>
      </c>
      <c r="I305" t="s">
        <v>249</v>
      </c>
      <c r="J305" t="s">
        <v>1854</v>
      </c>
      <c r="K305">
        <v>1.9313831022650001E-4</v>
      </c>
      <c r="L305" t="s">
        <v>251</v>
      </c>
      <c r="N305" t="s">
        <v>419</v>
      </c>
      <c r="O305" t="s">
        <v>1854</v>
      </c>
      <c r="P305">
        <v>1.4952908232429999E-4</v>
      </c>
      <c r="Q305" t="s">
        <v>251</v>
      </c>
      <c r="S305" t="s">
        <v>420</v>
      </c>
      <c r="T305" t="s">
        <v>1854</v>
      </c>
      <c r="U305">
        <v>1.4591385114539999E-4</v>
      </c>
      <c r="V305" t="s">
        <v>251</v>
      </c>
      <c r="X305">
        <v>1.1415525114155251E-4</v>
      </c>
      <c r="Y305">
        <v>1.5049432745775637E-4</v>
      </c>
      <c r="Z305" t="s">
        <v>1854</v>
      </c>
      <c r="AA305" t="s">
        <v>25</v>
      </c>
      <c r="AC305" t="s">
        <v>22</v>
      </c>
      <c r="AD305" t="s">
        <v>1854</v>
      </c>
      <c r="AE305">
        <v>1.6688367433057762E-4</v>
      </c>
      <c r="AG305" t="s">
        <v>97</v>
      </c>
      <c r="AH305" t="s">
        <v>1854</v>
      </c>
      <c r="AI305">
        <v>0</v>
      </c>
      <c r="AK305">
        <v>2046</v>
      </c>
      <c r="AL305" t="s">
        <v>171</v>
      </c>
      <c r="AM305">
        <v>0.58489999999999998</v>
      </c>
      <c r="AN305" t="s">
        <v>430</v>
      </c>
    </row>
    <row r="306" spans="5:40" x14ac:dyDescent="0.45">
      <c r="E306" t="s">
        <v>1607</v>
      </c>
      <c r="G306" t="s">
        <v>160</v>
      </c>
      <c r="I306" t="s">
        <v>249</v>
      </c>
      <c r="J306" t="s">
        <v>1855</v>
      </c>
      <c r="K306">
        <v>1.685830486961E-4</v>
      </c>
      <c r="L306" t="s">
        <v>251</v>
      </c>
      <c r="N306" t="s">
        <v>419</v>
      </c>
      <c r="O306" t="s">
        <v>1855</v>
      </c>
      <c r="P306">
        <v>1.7511654563980001E-4</v>
      </c>
      <c r="Q306" t="s">
        <v>251</v>
      </c>
      <c r="S306" t="s">
        <v>420</v>
      </c>
      <c r="T306" t="s">
        <v>1855</v>
      </c>
      <c r="U306">
        <v>1.406201117277E-4</v>
      </c>
      <c r="V306" t="s">
        <v>251</v>
      </c>
      <c r="X306">
        <v>1.1415525114155251E-4</v>
      </c>
      <c r="Y306">
        <v>1.7237235744060203E-4</v>
      </c>
      <c r="Z306" t="s">
        <v>1855</v>
      </c>
      <c r="AA306" t="s">
        <v>25</v>
      </c>
      <c r="AC306" t="s">
        <v>22</v>
      </c>
      <c r="AD306" t="s">
        <v>1855</v>
      </c>
      <c r="AE306">
        <v>1.4592454199573252E-4</v>
      </c>
      <c r="AG306" t="s">
        <v>97</v>
      </c>
      <c r="AH306" t="s">
        <v>1855</v>
      </c>
      <c r="AI306">
        <v>0</v>
      </c>
      <c r="AK306">
        <v>2046</v>
      </c>
      <c r="AL306" t="s">
        <v>158</v>
      </c>
      <c r="AM306">
        <v>0.77249999999999996</v>
      </c>
      <c r="AN306" t="s">
        <v>430</v>
      </c>
    </row>
    <row r="307" spans="5:40" x14ac:dyDescent="0.45">
      <c r="E307" t="s">
        <v>1608</v>
      </c>
      <c r="G307" t="s">
        <v>160</v>
      </c>
      <c r="I307" t="s">
        <v>249</v>
      </c>
      <c r="J307" t="s">
        <v>1856</v>
      </c>
      <c r="K307">
        <v>1.2262536053519999E-4</v>
      </c>
      <c r="L307" t="s">
        <v>251</v>
      </c>
      <c r="N307" t="s">
        <v>419</v>
      </c>
      <c r="O307" t="s">
        <v>1856</v>
      </c>
      <c r="P307">
        <v>1.9455853231490001E-4</v>
      </c>
      <c r="Q307" t="s">
        <v>251</v>
      </c>
      <c r="S307" t="s">
        <v>420</v>
      </c>
      <c r="T307" t="s">
        <v>1856</v>
      </c>
      <c r="U307">
        <v>1.4302179449740001E-4</v>
      </c>
      <c r="V307" t="s">
        <v>251</v>
      </c>
      <c r="X307">
        <v>1.1415525114155251E-4</v>
      </c>
      <c r="Y307">
        <v>2.2209515285616027E-4</v>
      </c>
      <c r="Z307" t="s">
        <v>1856</v>
      </c>
      <c r="AA307" t="s">
        <v>25</v>
      </c>
      <c r="AC307" t="s">
        <v>22</v>
      </c>
      <c r="AD307" t="s">
        <v>1856</v>
      </c>
      <c r="AE307">
        <v>1.2107150324422339E-4</v>
      </c>
      <c r="AG307" t="s">
        <v>97</v>
      </c>
      <c r="AH307" t="s">
        <v>1856</v>
      </c>
      <c r="AI307">
        <v>0</v>
      </c>
      <c r="AK307">
        <v>2046</v>
      </c>
      <c r="AL307" t="s">
        <v>162</v>
      </c>
      <c r="AM307">
        <v>0.67989999999999995</v>
      </c>
      <c r="AN307" t="s">
        <v>430</v>
      </c>
    </row>
    <row r="308" spans="5:40" x14ac:dyDescent="0.45">
      <c r="E308" t="s">
        <v>1609</v>
      </c>
      <c r="G308" t="s">
        <v>160</v>
      </c>
      <c r="I308" t="s">
        <v>249</v>
      </c>
      <c r="J308" t="s">
        <v>1857</v>
      </c>
      <c r="K308">
        <v>9.0842139995842279E-5</v>
      </c>
      <c r="L308" t="s">
        <v>251</v>
      </c>
      <c r="N308" t="s">
        <v>419</v>
      </c>
      <c r="O308" t="s">
        <v>1857</v>
      </c>
      <c r="P308">
        <v>1.9176172325599999E-4</v>
      </c>
      <c r="Q308" t="s">
        <v>251</v>
      </c>
      <c r="S308" t="s">
        <v>420</v>
      </c>
      <c r="T308" t="s">
        <v>1857</v>
      </c>
      <c r="U308">
        <v>1.4733413260750001E-4</v>
      </c>
      <c r="V308" t="s">
        <v>251</v>
      </c>
      <c r="X308">
        <v>1.1415525114155251E-4</v>
      </c>
      <c r="Y308">
        <v>2.2209515285616027E-4</v>
      </c>
      <c r="Z308" t="s">
        <v>1857</v>
      </c>
      <c r="AA308" t="s">
        <v>25</v>
      </c>
      <c r="AC308" t="s">
        <v>22</v>
      </c>
      <c r="AD308" t="s">
        <v>1857</v>
      </c>
      <c r="AE308">
        <v>8.4985742177175904E-5</v>
      </c>
      <c r="AG308" t="s">
        <v>97</v>
      </c>
      <c r="AH308" t="s">
        <v>1857</v>
      </c>
      <c r="AI308">
        <v>0</v>
      </c>
      <c r="AK308">
        <v>2046</v>
      </c>
      <c r="AL308" t="s">
        <v>175</v>
      </c>
      <c r="AM308">
        <v>0.45319999999999999</v>
      </c>
      <c r="AN308" t="s">
        <v>430</v>
      </c>
    </row>
    <row r="309" spans="5:40" x14ac:dyDescent="0.45">
      <c r="E309" t="s">
        <v>1610</v>
      </c>
      <c r="G309" t="s">
        <v>160</v>
      </c>
      <c r="I309" t="s">
        <v>249</v>
      </c>
      <c r="J309" t="s">
        <v>1858</v>
      </c>
      <c r="K309">
        <v>4.2341354167926703E-5</v>
      </c>
      <c r="L309" t="s">
        <v>251</v>
      </c>
      <c r="N309" t="s">
        <v>419</v>
      </c>
      <c r="O309" t="s">
        <v>1858</v>
      </c>
      <c r="P309">
        <v>1.9243427262079999E-4</v>
      </c>
      <c r="Q309" t="s">
        <v>251</v>
      </c>
      <c r="S309" t="s">
        <v>420</v>
      </c>
      <c r="T309" t="s">
        <v>1858</v>
      </c>
      <c r="U309">
        <v>1.584123223462E-4</v>
      </c>
      <c r="V309" t="s">
        <v>251</v>
      </c>
      <c r="X309">
        <v>1.1415525114155251E-4</v>
      </c>
      <c r="Y309">
        <v>1.7237235744060203E-4</v>
      </c>
      <c r="Z309" t="s">
        <v>1858</v>
      </c>
      <c r="AA309" t="s">
        <v>25</v>
      </c>
      <c r="AC309" t="s">
        <v>22</v>
      </c>
      <c r="AD309" t="s">
        <v>1858</v>
      </c>
      <c r="AE309">
        <v>4.8877698383852762E-5</v>
      </c>
      <c r="AG309" t="s">
        <v>97</v>
      </c>
      <c r="AH309" t="s">
        <v>1858</v>
      </c>
      <c r="AI309">
        <v>0</v>
      </c>
      <c r="AK309">
        <v>2046</v>
      </c>
      <c r="AL309" t="s">
        <v>166</v>
      </c>
      <c r="AM309">
        <v>0.36359999999999998</v>
      </c>
      <c r="AN309" t="s">
        <v>430</v>
      </c>
    </row>
    <row r="310" spans="5:40" x14ac:dyDescent="0.45">
      <c r="E310" t="s">
        <v>1611</v>
      </c>
      <c r="G310" t="s">
        <v>160</v>
      </c>
      <c r="I310" t="s">
        <v>249</v>
      </c>
      <c r="J310" t="s">
        <v>1859</v>
      </c>
      <c r="K310">
        <v>7.5442736086913677E-6</v>
      </c>
      <c r="L310" t="s">
        <v>251</v>
      </c>
      <c r="N310" t="s">
        <v>419</v>
      </c>
      <c r="O310" t="s">
        <v>1859</v>
      </c>
      <c r="P310">
        <v>1.9038542938849999E-4</v>
      </c>
      <c r="Q310" t="s">
        <v>251</v>
      </c>
      <c r="S310" t="s">
        <v>420</v>
      </c>
      <c r="T310" t="s">
        <v>1859</v>
      </c>
      <c r="U310">
        <v>1.7128777815080001E-4</v>
      </c>
      <c r="V310" t="s">
        <v>251</v>
      </c>
      <c r="X310">
        <v>1.1415525114155251E-4</v>
      </c>
      <c r="Y310">
        <v>1.5579809230208258E-4</v>
      </c>
      <c r="Z310" t="s">
        <v>1859</v>
      </c>
      <c r="AA310" t="s">
        <v>25</v>
      </c>
      <c r="AC310" t="s">
        <v>22</v>
      </c>
      <c r="AD310" t="s">
        <v>1859</v>
      </c>
      <c r="AE310">
        <v>4.4913601379420554E-5</v>
      </c>
      <c r="AG310" t="s">
        <v>97</v>
      </c>
      <c r="AH310" t="s">
        <v>1859</v>
      </c>
      <c r="AI310">
        <v>0</v>
      </c>
      <c r="AK310">
        <v>2046</v>
      </c>
      <c r="AL310" t="s">
        <v>178</v>
      </c>
      <c r="AM310">
        <v>0.27500000000000002</v>
      </c>
      <c r="AN310" t="s">
        <v>430</v>
      </c>
    </row>
    <row r="311" spans="5:40" x14ac:dyDescent="0.45">
      <c r="E311" t="s">
        <v>1612</v>
      </c>
      <c r="G311" t="s">
        <v>160</v>
      </c>
      <c r="I311" t="s">
        <v>249</v>
      </c>
      <c r="J311" t="s">
        <v>1860</v>
      </c>
      <c r="K311">
        <v>0</v>
      </c>
      <c r="L311" t="s">
        <v>251</v>
      </c>
      <c r="N311" t="s">
        <v>419</v>
      </c>
      <c r="O311" t="s">
        <v>1860</v>
      </c>
      <c r="P311">
        <v>1.9118023735620001E-4</v>
      </c>
      <c r="Q311" t="s">
        <v>251</v>
      </c>
      <c r="S311" t="s">
        <v>420</v>
      </c>
      <c r="T311" t="s">
        <v>1860</v>
      </c>
      <c r="U311">
        <v>1.7893459321219999E-4</v>
      </c>
      <c r="V311" t="s">
        <v>251</v>
      </c>
      <c r="X311">
        <v>1.1415525114155251E-4</v>
      </c>
      <c r="Y311">
        <v>1.093901499142282E-4</v>
      </c>
      <c r="Z311" t="s">
        <v>1860</v>
      </c>
      <c r="AA311" t="s">
        <v>25</v>
      </c>
      <c r="AC311" t="s">
        <v>22</v>
      </c>
      <c r="AD311" t="s">
        <v>1860</v>
      </c>
      <c r="AE311">
        <v>4.4738681978156941E-5</v>
      </c>
      <c r="AG311" t="s">
        <v>97</v>
      </c>
      <c r="AH311" t="s">
        <v>1860</v>
      </c>
      <c r="AI311">
        <v>0</v>
      </c>
      <c r="AK311">
        <v>2047</v>
      </c>
      <c r="AL311" t="s">
        <v>151</v>
      </c>
      <c r="AM311">
        <v>0.25740000000000002</v>
      </c>
      <c r="AN311" t="s">
        <v>430</v>
      </c>
    </row>
    <row r="312" spans="5:40" x14ac:dyDescent="0.45">
      <c r="E312" t="s">
        <v>1613</v>
      </c>
      <c r="G312" t="s">
        <v>160</v>
      </c>
      <c r="I312" t="s">
        <v>249</v>
      </c>
      <c r="J312" t="s">
        <v>1861</v>
      </c>
      <c r="K312">
        <v>0</v>
      </c>
      <c r="L312" t="s">
        <v>251</v>
      </c>
      <c r="N312" t="s">
        <v>419</v>
      </c>
      <c r="O312" t="s">
        <v>1861</v>
      </c>
      <c r="P312">
        <v>1.903641200069E-4</v>
      </c>
      <c r="Q312" t="s">
        <v>251</v>
      </c>
      <c r="S312" t="s">
        <v>420</v>
      </c>
      <c r="T312" t="s">
        <v>1861</v>
      </c>
      <c r="U312">
        <v>1.8457655473509999E-4</v>
      </c>
      <c r="V312" t="s">
        <v>251</v>
      </c>
      <c r="X312">
        <v>1.1415525114155251E-4</v>
      </c>
      <c r="Y312">
        <v>7.9556472664893237E-5</v>
      </c>
      <c r="Z312" t="s">
        <v>1861</v>
      </c>
      <c r="AA312" t="s">
        <v>25</v>
      </c>
      <c r="AC312" t="s">
        <v>22</v>
      </c>
      <c r="AD312" t="s">
        <v>1861</v>
      </c>
      <c r="AE312">
        <v>4.3319272314400179E-5</v>
      </c>
      <c r="AG312" t="s">
        <v>97</v>
      </c>
      <c r="AH312" t="s">
        <v>1861</v>
      </c>
      <c r="AI312">
        <v>0</v>
      </c>
      <c r="AK312">
        <v>2047</v>
      </c>
      <c r="AL312" t="s">
        <v>156</v>
      </c>
      <c r="AM312">
        <v>0.27950000000000003</v>
      </c>
      <c r="AN312" t="s">
        <v>430</v>
      </c>
    </row>
    <row r="313" spans="5:40" x14ac:dyDescent="0.45">
      <c r="E313" t="s">
        <v>1614</v>
      </c>
      <c r="G313" t="s">
        <v>160</v>
      </c>
      <c r="I313" t="s">
        <v>249</v>
      </c>
      <c r="J313" t="s">
        <v>1862</v>
      </c>
      <c r="K313">
        <v>0</v>
      </c>
      <c r="L313" t="s">
        <v>251</v>
      </c>
      <c r="N313" t="s">
        <v>419</v>
      </c>
      <c r="O313" t="s">
        <v>1862</v>
      </c>
      <c r="P313">
        <v>1.838018657517E-4</v>
      </c>
      <c r="Q313" t="s">
        <v>251</v>
      </c>
      <c r="S313" t="s">
        <v>420</v>
      </c>
      <c r="T313" t="s">
        <v>1862</v>
      </c>
      <c r="U313">
        <v>1.90842614758E-4</v>
      </c>
      <c r="V313" t="s">
        <v>251</v>
      </c>
      <c r="X313">
        <v>1.1415525114155251E-4</v>
      </c>
      <c r="Y313">
        <v>5.6352501470966035E-5</v>
      </c>
      <c r="Z313" t="s">
        <v>1862</v>
      </c>
      <c r="AA313" t="s">
        <v>25</v>
      </c>
      <c r="AC313" t="s">
        <v>22</v>
      </c>
      <c r="AD313" t="s">
        <v>1862</v>
      </c>
      <c r="AE313">
        <v>6.0099279336253349E-5</v>
      </c>
      <c r="AG313" t="s">
        <v>97</v>
      </c>
      <c r="AH313" t="s">
        <v>1862</v>
      </c>
      <c r="AI313">
        <v>0</v>
      </c>
      <c r="AK313">
        <v>2047</v>
      </c>
      <c r="AL313" t="s">
        <v>159</v>
      </c>
      <c r="AM313">
        <v>0.2944</v>
      </c>
      <c r="AN313" t="s">
        <v>430</v>
      </c>
    </row>
    <row r="314" spans="5:40" x14ac:dyDescent="0.45">
      <c r="E314" t="s">
        <v>1615</v>
      </c>
      <c r="G314" t="s">
        <v>160</v>
      </c>
      <c r="I314" t="s">
        <v>249</v>
      </c>
      <c r="J314" t="s">
        <v>1863</v>
      </c>
      <c r="K314">
        <v>0</v>
      </c>
      <c r="L314" t="s">
        <v>251</v>
      </c>
      <c r="N314" t="s">
        <v>419</v>
      </c>
      <c r="O314" t="s">
        <v>1863</v>
      </c>
      <c r="P314">
        <v>1.834528707785E-4</v>
      </c>
      <c r="Q314" t="s">
        <v>251</v>
      </c>
      <c r="S314" t="s">
        <v>420</v>
      </c>
      <c r="T314" t="s">
        <v>1863</v>
      </c>
      <c r="U314">
        <v>1.992455160742E-4</v>
      </c>
      <c r="V314" t="s">
        <v>251</v>
      </c>
      <c r="X314">
        <v>1.1415525114155251E-4</v>
      </c>
      <c r="Y314">
        <v>2.9833677249334962E-5</v>
      </c>
      <c r="Z314" t="s">
        <v>1863</v>
      </c>
      <c r="AA314" t="s">
        <v>25</v>
      </c>
      <c r="AC314" t="s">
        <v>22</v>
      </c>
      <c r="AD314" t="s">
        <v>1863</v>
      </c>
      <c r="AE314">
        <v>8.1274554115971919E-5</v>
      </c>
      <c r="AG314" t="s">
        <v>97</v>
      </c>
      <c r="AH314" t="s">
        <v>1863</v>
      </c>
      <c r="AI314">
        <v>0</v>
      </c>
      <c r="AK314">
        <v>2047</v>
      </c>
      <c r="AL314" t="s">
        <v>163</v>
      </c>
      <c r="AM314">
        <v>0.33589999999999998</v>
      </c>
      <c r="AN314" t="s">
        <v>430</v>
      </c>
    </row>
    <row r="315" spans="5:40" x14ac:dyDescent="0.45">
      <c r="E315" t="s">
        <v>1616</v>
      </c>
      <c r="G315" t="s">
        <v>160</v>
      </c>
      <c r="I315" t="s">
        <v>249</v>
      </c>
      <c r="J315" t="s">
        <v>1864</v>
      </c>
      <c r="K315">
        <v>0</v>
      </c>
      <c r="L315" t="s">
        <v>251</v>
      </c>
      <c r="N315" t="s">
        <v>419</v>
      </c>
      <c r="O315" t="s">
        <v>1864</v>
      </c>
      <c r="P315">
        <v>1.8031729385539999E-4</v>
      </c>
      <c r="Q315" t="s">
        <v>251</v>
      </c>
      <c r="S315" t="s">
        <v>420</v>
      </c>
      <c r="T315" t="s">
        <v>1864</v>
      </c>
      <c r="U315">
        <v>2.0663610266530001E-4</v>
      </c>
      <c r="V315" t="s">
        <v>251</v>
      </c>
      <c r="X315">
        <v>1.1415525114155251E-4</v>
      </c>
      <c r="Y315">
        <v>2.1546544680075254E-5</v>
      </c>
      <c r="Z315" t="s">
        <v>1864</v>
      </c>
      <c r="AA315" t="s">
        <v>25</v>
      </c>
      <c r="AC315" t="s">
        <v>22</v>
      </c>
      <c r="AD315" t="s">
        <v>1864</v>
      </c>
      <c r="AE315">
        <v>8.3562990104477759E-5</v>
      </c>
      <c r="AG315" t="s">
        <v>97</v>
      </c>
      <c r="AH315" t="s">
        <v>1864</v>
      </c>
      <c r="AI315">
        <v>0</v>
      </c>
      <c r="AK315">
        <v>2047</v>
      </c>
      <c r="AL315" t="s">
        <v>167</v>
      </c>
      <c r="AM315">
        <v>0.36180000000000001</v>
      </c>
      <c r="AN315" t="s">
        <v>430</v>
      </c>
    </row>
    <row r="316" spans="5:40" x14ac:dyDescent="0.45">
      <c r="E316" t="s">
        <v>1617</v>
      </c>
      <c r="G316" t="s">
        <v>160</v>
      </c>
      <c r="I316" t="s">
        <v>249</v>
      </c>
      <c r="J316" t="s">
        <v>1865</v>
      </c>
      <c r="K316">
        <v>0</v>
      </c>
      <c r="L316" t="s">
        <v>251</v>
      </c>
      <c r="N316" t="s">
        <v>419</v>
      </c>
      <c r="O316" t="s">
        <v>1865</v>
      </c>
      <c r="P316">
        <v>1.7807660603270001E-4</v>
      </c>
      <c r="Q316" t="s">
        <v>251</v>
      </c>
      <c r="S316" t="s">
        <v>420</v>
      </c>
      <c r="T316" t="s">
        <v>1865</v>
      </c>
      <c r="U316">
        <v>2.1322937123329999E-4</v>
      </c>
      <c r="V316" t="s">
        <v>251</v>
      </c>
      <c r="X316">
        <v>1.1415525114155251E-4</v>
      </c>
      <c r="Y316">
        <v>1.4916838624667481E-5</v>
      </c>
      <c r="Z316" t="s">
        <v>1865</v>
      </c>
      <c r="AA316" t="s">
        <v>25</v>
      </c>
      <c r="AC316" t="s">
        <v>22</v>
      </c>
      <c r="AD316" t="s">
        <v>1865</v>
      </c>
      <c r="AE316">
        <v>9.805121872888376E-5</v>
      </c>
      <c r="AG316" t="s">
        <v>97</v>
      </c>
      <c r="AH316" t="s">
        <v>1865</v>
      </c>
      <c r="AI316">
        <v>0</v>
      </c>
      <c r="AK316">
        <v>2047</v>
      </c>
      <c r="AL316" t="s">
        <v>169</v>
      </c>
      <c r="AM316">
        <v>0.50639999999999996</v>
      </c>
      <c r="AN316" t="s">
        <v>430</v>
      </c>
    </row>
    <row r="317" spans="5:40" x14ac:dyDescent="0.45">
      <c r="E317" t="s">
        <v>1618</v>
      </c>
      <c r="G317" t="s">
        <v>160</v>
      </c>
      <c r="I317" t="s">
        <v>249</v>
      </c>
      <c r="J317" t="s">
        <v>1866</v>
      </c>
      <c r="K317">
        <v>0</v>
      </c>
      <c r="L317" t="s">
        <v>251</v>
      </c>
      <c r="N317" t="s">
        <v>419</v>
      </c>
      <c r="O317" t="s">
        <v>1866</v>
      </c>
      <c r="P317">
        <v>1.5964713057779999E-4</v>
      </c>
      <c r="Q317" t="s">
        <v>251</v>
      </c>
      <c r="S317" t="s">
        <v>420</v>
      </c>
      <c r="T317" t="s">
        <v>1866</v>
      </c>
      <c r="U317">
        <v>2.1369015131340001E-4</v>
      </c>
      <c r="V317" t="s">
        <v>251</v>
      </c>
      <c r="X317">
        <v>1.1415525114155251E-4</v>
      </c>
      <c r="Y317">
        <v>1.6574265138519424E-5</v>
      </c>
      <c r="Z317" t="s">
        <v>1866</v>
      </c>
      <c r="AA317" t="s">
        <v>25</v>
      </c>
      <c r="AC317" t="s">
        <v>22</v>
      </c>
      <c r="AD317" t="s">
        <v>1866</v>
      </c>
      <c r="AE317">
        <v>1.2149933158871524E-4</v>
      </c>
      <c r="AG317" t="s">
        <v>97</v>
      </c>
      <c r="AH317" t="s">
        <v>1866</v>
      </c>
      <c r="AI317">
        <v>0</v>
      </c>
      <c r="AK317">
        <v>2047</v>
      </c>
      <c r="AL317" t="s">
        <v>171</v>
      </c>
      <c r="AM317">
        <v>0.51149999999999995</v>
      </c>
      <c r="AN317" t="s">
        <v>430</v>
      </c>
    </row>
    <row r="318" spans="5:40" x14ac:dyDescent="0.45">
      <c r="E318" t="s">
        <v>1619</v>
      </c>
      <c r="G318" t="s">
        <v>160</v>
      </c>
      <c r="I318" t="s">
        <v>249</v>
      </c>
      <c r="J318" t="s">
        <v>1867</v>
      </c>
      <c r="K318">
        <v>0</v>
      </c>
      <c r="L318" t="s">
        <v>251</v>
      </c>
      <c r="N318" t="s">
        <v>419</v>
      </c>
      <c r="O318" t="s">
        <v>1867</v>
      </c>
      <c r="P318">
        <v>1.5595101638709999E-4</v>
      </c>
      <c r="Q318" t="s">
        <v>251</v>
      </c>
      <c r="S318" t="s">
        <v>420</v>
      </c>
      <c r="T318" t="s">
        <v>1867</v>
      </c>
      <c r="U318">
        <v>2.0330689452129999E-4</v>
      </c>
      <c r="V318" t="s">
        <v>251</v>
      </c>
      <c r="X318">
        <v>1.1415525114155251E-4</v>
      </c>
      <c r="Y318">
        <v>1.4585353321897093E-5</v>
      </c>
      <c r="Z318" t="s">
        <v>1867</v>
      </c>
      <c r="AA318" t="s">
        <v>25</v>
      </c>
      <c r="AC318" t="s">
        <v>22</v>
      </c>
      <c r="AD318" t="s">
        <v>1867</v>
      </c>
      <c r="AE318">
        <v>1.3827933861056843E-4</v>
      </c>
      <c r="AG318" t="s">
        <v>97</v>
      </c>
      <c r="AH318" t="s">
        <v>1867</v>
      </c>
      <c r="AI318">
        <v>0</v>
      </c>
      <c r="AK318">
        <v>2047</v>
      </c>
      <c r="AL318" t="s">
        <v>158</v>
      </c>
      <c r="AM318">
        <v>0.62080000000000002</v>
      </c>
      <c r="AN318" t="s">
        <v>430</v>
      </c>
    </row>
    <row r="319" spans="5:40" x14ac:dyDescent="0.45">
      <c r="E319" t="s">
        <v>1620</v>
      </c>
      <c r="G319" t="s">
        <v>160</v>
      </c>
      <c r="I319" t="s">
        <v>249</v>
      </c>
      <c r="J319" t="s">
        <v>1868</v>
      </c>
      <c r="K319">
        <v>0</v>
      </c>
      <c r="L319" t="s">
        <v>251</v>
      </c>
      <c r="N319" t="s">
        <v>419</v>
      </c>
      <c r="O319" t="s">
        <v>1868</v>
      </c>
      <c r="P319">
        <v>1.517742625749E-4</v>
      </c>
      <c r="Q319" t="s">
        <v>251</v>
      </c>
      <c r="S319" t="s">
        <v>420</v>
      </c>
      <c r="T319" t="s">
        <v>1868</v>
      </c>
      <c r="U319">
        <v>1.9888599523859999E-4</v>
      </c>
      <c r="V319" t="s">
        <v>251</v>
      </c>
      <c r="X319">
        <v>1.1415525114155251E-4</v>
      </c>
      <c r="Y319">
        <v>2.1215059377304864E-5</v>
      </c>
      <c r="Z319" t="s">
        <v>1868</v>
      </c>
      <c r="AA319" t="s">
        <v>25</v>
      </c>
      <c r="AC319" t="s">
        <v>22</v>
      </c>
      <c r="AD319" t="s">
        <v>1868</v>
      </c>
      <c r="AE319">
        <v>1.4302221689833341E-4</v>
      </c>
      <c r="AG319" t="s">
        <v>97</v>
      </c>
      <c r="AH319" t="s">
        <v>1868</v>
      </c>
      <c r="AI319">
        <v>0</v>
      </c>
      <c r="AK319">
        <v>2047</v>
      </c>
      <c r="AL319" t="s">
        <v>162</v>
      </c>
      <c r="AM319">
        <v>0.61750000000000005</v>
      </c>
      <c r="AN319" t="s">
        <v>430</v>
      </c>
    </row>
    <row r="320" spans="5:40" x14ac:dyDescent="0.45">
      <c r="E320" t="s">
        <v>1621</v>
      </c>
      <c r="G320" t="s">
        <v>160</v>
      </c>
      <c r="I320" t="s">
        <v>249</v>
      </c>
      <c r="J320" t="s">
        <v>1869</v>
      </c>
      <c r="K320">
        <v>0</v>
      </c>
      <c r="L320" t="s">
        <v>251</v>
      </c>
      <c r="N320" t="s">
        <v>419</v>
      </c>
      <c r="O320" t="s">
        <v>1869</v>
      </c>
      <c r="P320">
        <v>1.43090847237E-4</v>
      </c>
      <c r="Q320" t="s">
        <v>251</v>
      </c>
      <c r="S320" t="s">
        <v>420</v>
      </c>
      <c r="T320" t="s">
        <v>1869</v>
      </c>
      <c r="U320">
        <v>1.999096558271E-4</v>
      </c>
      <c r="V320" t="s">
        <v>251</v>
      </c>
      <c r="X320">
        <v>1.1415525114155251E-4</v>
      </c>
      <c r="Y320">
        <v>5.7678442682047593E-5</v>
      </c>
      <c r="Z320" t="s">
        <v>1869</v>
      </c>
      <c r="AA320" t="s">
        <v>25</v>
      </c>
      <c r="AC320" t="s">
        <v>22</v>
      </c>
      <c r="AD320" t="s">
        <v>1869</v>
      </c>
      <c r="AE320">
        <v>1.4327512584156167E-4</v>
      </c>
      <c r="AG320" t="s">
        <v>97</v>
      </c>
      <c r="AH320" t="s">
        <v>1869</v>
      </c>
      <c r="AI320">
        <v>0</v>
      </c>
      <c r="AK320">
        <v>2047</v>
      </c>
      <c r="AL320" t="s">
        <v>175</v>
      </c>
      <c r="AM320">
        <v>0.44309999999999999</v>
      </c>
      <c r="AN320" t="s">
        <v>430</v>
      </c>
    </row>
    <row r="321" spans="5:40" x14ac:dyDescent="0.45">
      <c r="E321" t="s">
        <v>1622</v>
      </c>
      <c r="G321" t="s">
        <v>160</v>
      </c>
      <c r="I321" t="s">
        <v>249</v>
      </c>
      <c r="J321" t="s">
        <v>1870</v>
      </c>
      <c r="K321">
        <v>1.0737675149134269E-5</v>
      </c>
      <c r="L321" t="s">
        <v>251</v>
      </c>
      <c r="N321" t="s">
        <v>419</v>
      </c>
      <c r="O321" t="s">
        <v>1870</v>
      </c>
      <c r="P321">
        <v>1.3621775335499999E-4</v>
      </c>
      <c r="Q321" t="s">
        <v>251</v>
      </c>
      <c r="S321" t="s">
        <v>420</v>
      </c>
      <c r="T321" t="s">
        <v>1870</v>
      </c>
      <c r="U321">
        <v>2.0286503895690001E-4</v>
      </c>
      <c r="V321" t="s">
        <v>251</v>
      </c>
      <c r="X321">
        <v>1.1415525114155251E-4</v>
      </c>
      <c r="Y321">
        <v>1.6905750441289813E-4</v>
      </c>
      <c r="Z321" t="s">
        <v>1870</v>
      </c>
      <c r="AA321" t="s">
        <v>25</v>
      </c>
      <c r="AC321" t="s">
        <v>22</v>
      </c>
      <c r="AD321" t="s">
        <v>1870</v>
      </c>
      <c r="AE321">
        <v>1.4308572266821896E-4</v>
      </c>
      <c r="AG321" t="s">
        <v>97</v>
      </c>
      <c r="AH321" t="s">
        <v>1870</v>
      </c>
      <c r="AI321">
        <v>0</v>
      </c>
      <c r="AK321">
        <v>2047</v>
      </c>
      <c r="AL321" t="s">
        <v>166</v>
      </c>
      <c r="AM321">
        <v>0.31790000000000002</v>
      </c>
      <c r="AN321" t="s">
        <v>430</v>
      </c>
    </row>
    <row r="322" spans="5:40" x14ac:dyDescent="0.45">
      <c r="E322" t="s">
        <v>1623</v>
      </c>
      <c r="G322" t="s">
        <v>160</v>
      </c>
      <c r="I322" t="s">
        <v>249</v>
      </c>
      <c r="J322" t="s">
        <v>1871</v>
      </c>
      <c r="K322">
        <v>4.8457822583000508E-5</v>
      </c>
      <c r="L322" t="s">
        <v>251</v>
      </c>
      <c r="N322" t="s">
        <v>419</v>
      </c>
      <c r="O322" t="s">
        <v>1871</v>
      </c>
      <c r="P322">
        <v>1.6498623835790001E-4</v>
      </c>
      <c r="Q322" t="s">
        <v>251</v>
      </c>
      <c r="S322" t="s">
        <v>420</v>
      </c>
      <c r="T322" t="s">
        <v>1871</v>
      </c>
      <c r="U322">
        <v>2.0341436238659999E-4</v>
      </c>
      <c r="V322" t="s">
        <v>251</v>
      </c>
      <c r="X322">
        <v>1.1415525114155251E-4</v>
      </c>
      <c r="Y322">
        <v>1.9060404909297337E-4</v>
      </c>
      <c r="Z322" t="s">
        <v>1871</v>
      </c>
      <c r="AA322" t="s">
        <v>25</v>
      </c>
      <c r="AC322" t="s">
        <v>22</v>
      </c>
      <c r="AD322" t="s">
        <v>1871</v>
      </c>
      <c r="AE322">
        <v>1.4366395941507122E-4</v>
      </c>
      <c r="AG322" t="s">
        <v>97</v>
      </c>
      <c r="AH322" t="s">
        <v>1871</v>
      </c>
      <c r="AI322">
        <v>0</v>
      </c>
      <c r="AK322">
        <v>2047</v>
      </c>
      <c r="AL322" t="s">
        <v>178</v>
      </c>
      <c r="AM322">
        <v>0.24079999999999999</v>
      </c>
      <c r="AN322" t="s">
        <v>430</v>
      </c>
    </row>
    <row r="323" spans="5:40" x14ac:dyDescent="0.45">
      <c r="E323" t="s">
        <v>431</v>
      </c>
      <c r="G323" t="s">
        <v>160</v>
      </c>
      <c r="I323" t="s">
        <v>249</v>
      </c>
      <c r="J323" t="s">
        <v>1872</v>
      </c>
      <c r="K323">
        <v>9.6683013531325565E-5</v>
      </c>
      <c r="L323" t="s">
        <v>251</v>
      </c>
      <c r="N323" t="s">
        <v>419</v>
      </c>
      <c r="O323" t="s">
        <v>1872</v>
      </c>
      <c r="P323">
        <v>1.933133914725E-4</v>
      </c>
      <c r="Q323" t="s">
        <v>251</v>
      </c>
      <c r="S323" t="s">
        <v>420</v>
      </c>
      <c r="T323" t="s">
        <v>1872</v>
      </c>
      <c r="U323">
        <v>2.0689590134360001E-4</v>
      </c>
      <c r="V323" t="s">
        <v>251</v>
      </c>
      <c r="X323">
        <v>1.1415525114155251E-4</v>
      </c>
      <c r="Y323">
        <v>1.4585353321897094E-4</v>
      </c>
      <c r="Z323" t="s">
        <v>1872</v>
      </c>
      <c r="AA323" t="s">
        <v>25</v>
      </c>
      <c r="AC323" t="s">
        <v>22</v>
      </c>
      <c r="AD323" t="s">
        <v>1872</v>
      </c>
      <c r="AE323">
        <v>1.4387564531468956E-4</v>
      </c>
      <c r="AG323" t="s">
        <v>97</v>
      </c>
      <c r="AH323" t="s">
        <v>1872</v>
      </c>
      <c r="AI323">
        <v>0</v>
      </c>
      <c r="AK323">
        <v>2048</v>
      </c>
      <c r="AL323" t="s">
        <v>151</v>
      </c>
      <c r="AM323">
        <v>0.2341</v>
      </c>
      <c r="AN323" t="s">
        <v>430</v>
      </c>
    </row>
    <row r="324" spans="5:40" x14ac:dyDescent="0.45">
      <c r="E324" t="s">
        <v>432</v>
      </c>
      <c r="G324" t="s">
        <v>160</v>
      </c>
      <c r="I324" t="s">
        <v>249</v>
      </c>
      <c r="J324" t="s">
        <v>1873</v>
      </c>
      <c r="K324">
        <v>1.4242419527190001E-4</v>
      </c>
      <c r="L324" t="s">
        <v>251</v>
      </c>
      <c r="N324" t="s">
        <v>419</v>
      </c>
      <c r="O324" t="s">
        <v>1873</v>
      </c>
      <c r="P324">
        <v>1.9339537813720001E-4</v>
      </c>
      <c r="Q324" t="s">
        <v>251</v>
      </c>
      <c r="S324" t="s">
        <v>420</v>
      </c>
      <c r="T324" t="s">
        <v>1873</v>
      </c>
      <c r="U324">
        <v>2.101767254678E-4</v>
      </c>
      <c r="V324" t="s">
        <v>251</v>
      </c>
      <c r="X324">
        <v>1.1415525114155251E-4</v>
      </c>
      <c r="Y324">
        <v>1.4452759200788939E-4</v>
      </c>
      <c r="Z324" t="s">
        <v>1873</v>
      </c>
      <c r="AA324" t="s">
        <v>25</v>
      </c>
      <c r="AC324" t="s">
        <v>22</v>
      </c>
      <c r="AD324" t="s">
        <v>1873</v>
      </c>
      <c r="AE324">
        <v>1.4386338981523799E-4</v>
      </c>
      <c r="AG324" t="s">
        <v>97</v>
      </c>
      <c r="AH324" t="s">
        <v>1873</v>
      </c>
      <c r="AI324">
        <v>0</v>
      </c>
      <c r="AK324">
        <v>2048</v>
      </c>
      <c r="AL324" t="s">
        <v>156</v>
      </c>
      <c r="AM324">
        <v>0.2361</v>
      </c>
      <c r="AN324" t="s">
        <v>430</v>
      </c>
    </row>
    <row r="325" spans="5:40" x14ac:dyDescent="0.45">
      <c r="E325" t="s">
        <v>433</v>
      </c>
      <c r="G325" t="s">
        <v>160</v>
      </c>
      <c r="I325" t="s">
        <v>249</v>
      </c>
      <c r="J325" t="s">
        <v>1874</v>
      </c>
      <c r="K325">
        <v>1.790672713978E-4</v>
      </c>
      <c r="L325" t="s">
        <v>251</v>
      </c>
      <c r="N325" t="s">
        <v>419</v>
      </c>
      <c r="O325" t="s">
        <v>1874</v>
      </c>
      <c r="P325">
        <v>1.9542269312800001E-4</v>
      </c>
      <c r="Q325" t="s">
        <v>251</v>
      </c>
      <c r="S325" t="s">
        <v>420</v>
      </c>
      <c r="T325" t="s">
        <v>1874</v>
      </c>
      <c r="U325">
        <v>2.083478734582E-4</v>
      </c>
      <c r="V325" t="s">
        <v>251</v>
      </c>
      <c r="X325">
        <v>1.1415525114155251E-4</v>
      </c>
      <c r="Y325">
        <v>1.408812536774151E-4</v>
      </c>
      <c r="Z325" t="s">
        <v>1874</v>
      </c>
      <c r="AA325" t="s">
        <v>25</v>
      </c>
      <c r="AC325" t="s">
        <v>22</v>
      </c>
      <c r="AD325" t="s">
        <v>1874</v>
      </c>
      <c r="AE325">
        <v>1.4366395941507119E-4</v>
      </c>
      <c r="AG325" t="s">
        <v>97</v>
      </c>
      <c r="AH325" t="s">
        <v>1874</v>
      </c>
      <c r="AI325">
        <v>0</v>
      </c>
      <c r="AK325">
        <v>2048</v>
      </c>
      <c r="AL325" t="s">
        <v>159</v>
      </c>
      <c r="AM325">
        <v>0.2873</v>
      </c>
      <c r="AN325" t="s">
        <v>430</v>
      </c>
    </row>
    <row r="326" spans="5:40" x14ac:dyDescent="0.45">
      <c r="E326" t="s">
        <v>434</v>
      </c>
      <c r="G326" t="s">
        <v>160</v>
      </c>
      <c r="I326" t="s">
        <v>249</v>
      </c>
      <c r="J326" t="s">
        <v>1875</v>
      </c>
      <c r="K326">
        <v>1.9326056293679999E-4</v>
      </c>
      <c r="L326" t="s">
        <v>251</v>
      </c>
      <c r="N326" t="s">
        <v>419</v>
      </c>
      <c r="O326" t="s">
        <v>1875</v>
      </c>
      <c r="P326">
        <v>2.0720309770169999E-4</v>
      </c>
      <c r="Q326" t="s">
        <v>251</v>
      </c>
      <c r="S326" t="s">
        <v>420</v>
      </c>
      <c r="T326" t="s">
        <v>1875</v>
      </c>
      <c r="U326">
        <v>2.0618104334659999E-4</v>
      </c>
      <c r="V326" t="s">
        <v>251</v>
      </c>
      <c r="X326">
        <v>1.1415525114155251E-4</v>
      </c>
      <c r="Y326">
        <v>1.4054976837464471E-4</v>
      </c>
      <c r="Z326" t="s">
        <v>1875</v>
      </c>
      <c r="AA326" t="s">
        <v>25</v>
      </c>
      <c r="AC326" t="s">
        <v>22</v>
      </c>
      <c r="AD326" t="s">
        <v>1875</v>
      </c>
      <c r="AE326">
        <v>1.4396031967453687E-4</v>
      </c>
      <c r="AG326" t="s">
        <v>97</v>
      </c>
      <c r="AH326" t="s">
        <v>1875</v>
      </c>
      <c r="AI326">
        <v>0</v>
      </c>
      <c r="AK326">
        <v>2048</v>
      </c>
      <c r="AL326" t="s">
        <v>163</v>
      </c>
      <c r="AM326">
        <v>0.3155</v>
      </c>
      <c r="AN326" t="s">
        <v>430</v>
      </c>
    </row>
    <row r="327" spans="5:40" x14ac:dyDescent="0.45">
      <c r="E327" t="s">
        <v>436</v>
      </c>
      <c r="G327" t="s">
        <v>160</v>
      </c>
      <c r="I327" t="s">
        <v>249</v>
      </c>
      <c r="J327" t="s">
        <v>1876</v>
      </c>
      <c r="K327">
        <v>1.9077595439709999E-4</v>
      </c>
      <c r="L327" t="s">
        <v>251</v>
      </c>
      <c r="N327" t="s">
        <v>419</v>
      </c>
      <c r="O327" t="s">
        <v>1876</v>
      </c>
      <c r="P327">
        <v>2.1954726931389999E-4</v>
      </c>
      <c r="Q327" t="s">
        <v>251</v>
      </c>
      <c r="S327" t="s">
        <v>420</v>
      </c>
      <c r="T327" t="s">
        <v>1876</v>
      </c>
      <c r="U327">
        <v>2.0623459943090001E-4</v>
      </c>
      <c r="V327" t="s">
        <v>251</v>
      </c>
      <c r="X327">
        <v>1.1415525114155251E-4</v>
      </c>
      <c r="Y327">
        <v>1.4253868019126702E-4</v>
      </c>
      <c r="Z327" t="s">
        <v>1876</v>
      </c>
      <c r="AA327" t="s">
        <v>25</v>
      </c>
      <c r="AC327" t="s">
        <v>22</v>
      </c>
      <c r="AD327" t="s">
        <v>1876</v>
      </c>
      <c r="AE327">
        <v>1.7210674536958216E-4</v>
      </c>
      <c r="AG327" t="s">
        <v>97</v>
      </c>
      <c r="AH327" t="s">
        <v>1876</v>
      </c>
      <c r="AI327">
        <v>0</v>
      </c>
      <c r="AK327">
        <v>2048</v>
      </c>
      <c r="AL327" t="s">
        <v>167</v>
      </c>
      <c r="AM327">
        <v>0.41060000000000002</v>
      </c>
      <c r="AN327" t="s">
        <v>430</v>
      </c>
    </row>
    <row r="328" spans="5:40" x14ac:dyDescent="0.45">
      <c r="E328" t="s">
        <v>438</v>
      </c>
      <c r="G328" t="s">
        <v>160</v>
      </c>
      <c r="I328" t="s">
        <v>249</v>
      </c>
      <c r="J328" t="s">
        <v>1877</v>
      </c>
      <c r="K328">
        <v>1.8567579754070001E-4</v>
      </c>
      <c r="L328" t="s">
        <v>251</v>
      </c>
      <c r="N328" t="s">
        <v>419</v>
      </c>
      <c r="O328" t="s">
        <v>1877</v>
      </c>
      <c r="P328">
        <v>2.2826400932510001E-4</v>
      </c>
      <c r="Q328" t="s">
        <v>251</v>
      </c>
      <c r="S328" t="s">
        <v>420</v>
      </c>
      <c r="T328" t="s">
        <v>1877</v>
      </c>
      <c r="U328">
        <v>2.0760107783299999E-4</v>
      </c>
      <c r="V328" t="s">
        <v>251</v>
      </c>
      <c r="X328">
        <v>1.1415525114155251E-4</v>
      </c>
      <c r="Y328">
        <v>1.4883690094390442E-4</v>
      </c>
      <c r="Z328" t="s">
        <v>1877</v>
      </c>
      <c r="AA328" t="s">
        <v>25</v>
      </c>
      <c r="AC328" t="s">
        <v>22</v>
      </c>
      <c r="AD328" t="s">
        <v>1877</v>
      </c>
      <c r="AE328">
        <v>1.7386373833641453E-4</v>
      </c>
      <c r="AG328" t="s">
        <v>97</v>
      </c>
      <c r="AH328" t="s">
        <v>1877</v>
      </c>
      <c r="AI328">
        <v>0</v>
      </c>
      <c r="AK328">
        <v>2048</v>
      </c>
      <c r="AL328" t="s">
        <v>169</v>
      </c>
      <c r="AM328">
        <v>0.46820000000000001</v>
      </c>
      <c r="AN328" t="s">
        <v>430</v>
      </c>
    </row>
    <row r="329" spans="5:40" x14ac:dyDescent="0.45">
      <c r="E329" t="s">
        <v>440</v>
      </c>
      <c r="G329" t="s">
        <v>160</v>
      </c>
      <c r="I329" t="s">
        <v>249</v>
      </c>
      <c r="J329" t="s">
        <v>1878</v>
      </c>
      <c r="K329">
        <v>1.6905672192350001E-4</v>
      </c>
      <c r="L329" t="s">
        <v>251</v>
      </c>
      <c r="N329" t="s">
        <v>419</v>
      </c>
      <c r="O329" t="s">
        <v>1878</v>
      </c>
      <c r="P329">
        <v>2.369388345672E-4</v>
      </c>
      <c r="Q329" t="s">
        <v>251</v>
      </c>
      <c r="S329" t="s">
        <v>420</v>
      </c>
      <c r="T329" t="s">
        <v>1878</v>
      </c>
      <c r="U329">
        <v>2.093538843937E-4</v>
      </c>
      <c r="V329" t="s">
        <v>251</v>
      </c>
      <c r="X329">
        <v>1.1415525114155251E-4</v>
      </c>
      <c r="Y329">
        <v>1.5049432745775637E-4</v>
      </c>
      <c r="Z329" t="s">
        <v>1878</v>
      </c>
      <c r="AA329" t="s">
        <v>25</v>
      </c>
      <c r="AC329" t="s">
        <v>22</v>
      </c>
      <c r="AD329" t="s">
        <v>1878</v>
      </c>
      <c r="AE329">
        <v>1.6688367433057759E-4</v>
      </c>
      <c r="AG329" t="s">
        <v>97</v>
      </c>
      <c r="AH329" t="s">
        <v>1878</v>
      </c>
      <c r="AI329">
        <v>0</v>
      </c>
      <c r="AK329">
        <v>2048</v>
      </c>
      <c r="AL329" t="s">
        <v>171</v>
      </c>
      <c r="AM329">
        <v>0.53469999999999995</v>
      </c>
      <c r="AN329" t="s">
        <v>430</v>
      </c>
    </row>
    <row r="330" spans="5:40" x14ac:dyDescent="0.45">
      <c r="E330" t="s">
        <v>442</v>
      </c>
      <c r="G330" t="s">
        <v>160</v>
      </c>
      <c r="I330" t="s">
        <v>249</v>
      </c>
      <c r="J330" t="s">
        <v>1879</v>
      </c>
      <c r="K330">
        <v>1.484320407479E-4</v>
      </c>
      <c r="L330" t="s">
        <v>251</v>
      </c>
      <c r="N330" t="s">
        <v>419</v>
      </c>
      <c r="O330" t="s">
        <v>1879</v>
      </c>
      <c r="P330">
        <v>2.130137576849E-4</v>
      </c>
      <c r="Q330" t="s">
        <v>251</v>
      </c>
      <c r="S330" t="s">
        <v>420</v>
      </c>
      <c r="T330" t="s">
        <v>1879</v>
      </c>
      <c r="U330">
        <v>2.0037622912769999E-4</v>
      </c>
      <c r="V330" t="s">
        <v>251</v>
      </c>
      <c r="X330">
        <v>1.1415525114155251E-4</v>
      </c>
      <c r="Y330">
        <v>1.7237235744060203E-4</v>
      </c>
      <c r="Z330" t="s">
        <v>1879</v>
      </c>
      <c r="AA330" t="s">
        <v>25</v>
      </c>
      <c r="AC330" t="s">
        <v>22</v>
      </c>
      <c r="AD330" t="s">
        <v>1879</v>
      </c>
      <c r="AE330">
        <v>1.4592454199573252E-4</v>
      </c>
      <c r="AG330" t="s">
        <v>97</v>
      </c>
      <c r="AH330" t="s">
        <v>1879</v>
      </c>
      <c r="AI330">
        <v>0</v>
      </c>
      <c r="AK330">
        <v>2048</v>
      </c>
      <c r="AL330" t="s">
        <v>158</v>
      </c>
      <c r="AM330">
        <v>0.68959999999999999</v>
      </c>
      <c r="AN330" t="s">
        <v>430</v>
      </c>
    </row>
    <row r="331" spans="5:40" x14ac:dyDescent="0.45">
      <c r="E331" t="s">
        <v>444</v>
      </c>
      <c r="G331" t="s">
        <v>160</v>
      </c>
      <c r="I331" t="s">
        <v>249</v>
      </c>
      <c r="J331" t="s">
        <v>1880</v>
      </c>
      <c r="K331">
        <v>1.250053252557E-4</v>
      </c>
      <c r="L331" t="s">
        <v>251</v>
      </c>
      <c r="N331" t="s">
        <v>419</v>
      </c>
      <c r="O331" t="s">
        <v>1880</v>
      </c>
      <c r="P331">
        <v>2.2092942296480001E-4</v>
      </c>
      <c r="Q331" t="s">
        <v>251</v>
      </c>
      <c r="S331" t="s">
        <v>420</v>
      </c>
      <c r="T331" t="s">
        <v>1880</v>
      </c>
      <c r="U331">
        <v>1.976511834033E-4</v>
      </c>
      <c r="V331" t="s">
        <v>251</v>
      </c>
      <c r="X331">
        <v>1.1415525114155251E-4</v>
      </c>
      <c r="Y331">
        <v>2.2209515285616027E-4</v>
      </c>
      <c r="Z331" t="s">
        <v>1880</v>
      </c>
      <c r="AA331" t="s">
        <v>25</v>
      </c>
      <c r="AC331" t="s">
        <v>22</v>
      </c>
      <c r="AD331" t="s">
        <v>1880</v>
      </c>
      <c r="AE331">
        <v>1.210715032442234E-4</v>
      </c>
      <c r="AG331" t="s">
        <v>97</v>
      </c>
      <c r="AH331" t="s">
        <v>1880</v>
      </c>
      <c r="AI331">
        <v>0</v>
      </c>
      <c r="AK331">
        <v>2048</v>
      </c>
      <c r="AL331" t="s">
        <v>162</v>
      </c>
      <c r="AM331">
        <v>0.58379999999999999</v>
      </c>
      <c r="AN331" t="s">
        <v>430</v>
      </c>
    </row>
    <row r="332" spans="5:40" x14ac:dyDescent="0.45">
      <c r="E332" t="s">
        <v>446</v>
      </c>
      <c r="G332" t="s">
        <v>160</v>
      </c>
      <c r="I332" t="s">
        <v>249</v>
      </c>
      <c r="J332" t="s">
        <v>1881</v>
      </c>
      <c r="K332">
        <v>7.5115173316010823E-5</v>
      </c>
      <c r="L332" t="s">
        <v>251</v>
      </c>
      <c r="N332" t="s">
        <v>419</v>
      </c>
      <c r="O332" t="s">
        <v>1881</v>
      </c>
      <c r="P332">
        <v>2.069616805868E-4</v>
      </c>
      <c r="Q332" t="s">
        <v>251</v>
      </c>
      <c r="S332" t="s">
        <v>420</v>
      </c>
      <c r="T332" t="s">
        <v>1881</v>
      </c>
      <c r="U332">
        <v>1.9335670095839999E-4</v>
      </c>
      <c r="V332" t="s">
        <v>251</v>
      </c>
      <c r="X332">
        <v>1.1415525114155251E-4</v>
      </c>
      <c r="Y332">
        <v>2.2209515285616027E-4</v>
      </c>
      <c r="Z332" t="s">
        <v>1881</v>
      </c>
      <c r="AA332" t="s">
        <v>25</v>
      </c>
      <c r="AC332" t="s">
        <v>22</v>
      </c>
      <c r="AD332" t="s">
        <v>1881</v>
      </c>
      <c r="AE332">
        <v>8.9962589090834873E-5</v>
      </c>
      <c r="AG332" t="s">
        <v>97</v>
      </c>
      <c r="AH332" t="s">
        <v>1881</v>
      </c>
      <c r="AI332">
        <v>0</v>
      </c>
      <c r="AK332">
        <v>2048</v>
      </c>
      <c r="AL332" t="s">
        <v>175</v>
      </c>
      <c r="AM332">
        <v>0.4778</v>
      </c>
      <c r="AN332" t="s">
        <v>430</v>
      </c>
    </row>
    <row r="333" spans="5:40" x14ac:dyDescent="0.45">
      <c r="E333" t="s">
        <v>447</v>
      </c>
      <c r="G333" t="s">
        <v>160</v>
      </c>
      <c r="I333" t="s">
        <v>249</v>
      </c>
      <c r="J333" t="s">
        <v>1882</v>
      </c>
      <c r="K333">
        <v>3.3285991608229174E-5</v>
      </c>
      <c r="L333" t="s">
        <v>251</v>
      </c>
      <c r="N333" t="s">
        <v>419</v>
      </c>
      <c r="O333" t="s">
        <v>1882</v>
      </c>
      <c r="P333">
        <v>2.0404928472280001E-4</v>
      </c>
      <c r="Q333" t="s">
        <v>251</v>
      </c>
      <c r="S333" t="s">
        <v>420</v>
      </c>
      <c r="T333" t="s">
        <v>1882</v>
      </c>
      <c r="U333">
        <v>1.902746589973E-4</v>
      </c>
      <c r="V333" t="s">
        <v>251</v>
      </c>
      <c r="X333">
        <v>1.1415525114155251E-4</v>
      </c>
      <c r="Y333">
        <v>1.7237235744060203E-4</v>
      </c>
      <c r="Z333" t="s">
        <v>1882</v>
      </c>
      <c r="AA333" t="s">
        <v>25</v>
      </c>
      <c r="AC333" t="s">
        <v>22</v>
      </c>
      <c r="AD333" t="s">
        <v>1882</v>
      </c>
      <c r="AE333">
        <v>5.614632369495894E-5</v>
      </c>
      <c r="AG333" t="s">
        <v>97</v>
      </c>
      <c r="AH333" t="s">
        <v>1882</v>
      </c>
      <c r="AI333">
        <v>0</v>
      </c>
      <c r="AK333">
        <v>2048</v>
      </c>
      <c r="AL333" t="s">
        <v>166</v>
      </c>
      <c r="AM333">
        <v>0.28249999999999997</v>
      </c>
      <c r="AN333" t="s">
        <v>430</v>
      </c>
    </row>
    <row r="334" spans="5:40" x14ac:dyDescent="0.45">
      <c r="E334" t="s">
        <v>448</v>
      </c>
      <c r="G334" t="s">
        <v>160</v>
      </c>
      <c r="I334" t="s">
        <v>249</v>
      </c>
      <c r="J334" t="s">
        <v>1883</v>
      </c>
      <c r="K334">
        <v>6.4349656098659466E-6</v>
      </c>
      <c r="L334" t="s">
        <v>251</v>
      </c>
      <c r="N334" t="s">
        <v>419</v>
      </c>
      <c r="O334" t="s">
        <v>1883</v>
      </c>
      <c r="P334">
        <v>1.950402643401E-4</v>
      </c>
      <c r="Q334" t="s">
        <v>251</v>
      </c>
      <c r="S334" t="s">
        <v>420</v>
      </c>
      <c r="T334" t="s">
        <v>1883</v>
      </c>
      <c r="U334">
        <v>1.91443661127E-4</v>
      </c>
      <c r="V334" t="s">
        <v>251</v>
      </c>
      <c r="X334">
        <v>1.1415525114155251E-4</v>
      </c>
      <c r="Y334">
        <v>1.5579809230208258E-4</v>
      </c>
      <c r="Z334" t="s">
        <v>1883</v>
      </c>
      <c r="AA334" t="s">
        <v>25</v>
      </c>
      <c r="AC334" t="s">
        <v>22</v>
      </c>
      <c r="AD334" t="s">
        <v>1883</v>
      </c>
      <c r="AE334">
        <v>4.9972894380299302E-5</v>
      </c>
      <c r="AG334" t="s">
        <v>97</v>
      </c>
      <c r="AH334" t="s">
        <v>1883</v>
      </c>
      <c r="AI334">
        <v>0</v>
      </c>
      <c r="AK334">
        <v>2048</v>
      </c>
      <c r="AL334" t="s">
        <v>178</v>
      </c>
      <c r="AM334">
        <v>0.25080000000000002</v>
      </c>
      <c r="AN334" t="s">
        <v>430</v>
      </c>
    </row>
    <row r="335" spans="5:40" x14ac:dyDescent="0.45">
      <c r="E335" t="s">
        <v>449</v>
      </c>
      <c r="G335" t="s">
        <v>160</v>
      </c>
      <c r="I335" t="s">
        <v>249</v>
      </c>
      <c r="J335" t="s">
        <v>1884</v>
      </c>
      <c r="K335">
        <v>0</v>
      </c>
      <c r="L335" t="s">
        <v>251</v>
      </c>
      <c r="N335" t="s">
        <v>419</v>
      </c>
      <c r="O335" t="s">
        <v>1884</v>
      </c>
      <c r="P335">
        <v>1.882576233068E-4</v>
      </c>
      <c r="Q335" t="s">
        <v>251</v>
      </c>
      <c r="S335" t="s">
        <v>420</v>
      </c>
      <c r="T335" t="s">
        <v>1884</v>
      </c>
      <c r="U335">
        <v>1.9738254190249999E-4</v>
      </c>
      <c r="V335" t="s">
        <v>251</v>
      </c>
      <c r="X335">
        <v>1.1415525114155251E-4</v>
      </c>
      <c r="Y335">
        <v>1.093901499142282E-4</v>
      </c>
      <c r="Z335" t="s">
        <v>1884</v>
      </c>
      <c r="AA335" t="s">
        <v>25</v>
      </c>
      <c r="AC335" t="s">
        <v>22</v>
      </c>
      <c r="AD335" t="s">
        <v>1884</v>
      </c>
      <c r="AE335">
        <v>4.9447022040194752E-5</v>
      </c>
      <c r="AG335" t="s">
        <v>97</v>
      </c>
      <c r="AH335" t="s">
        <v>1884</v>
      </c>
      <c r="AI335">
        <v>0</v>
      </c>
      <c r="AK335">
        <v>2049</v>
      </c>
      <c r="AL335" t="s">
        <v>151</v>
      </c>
      <c r="AM335">
        <v>0.23300000000000001</v>
      </c>
      <c r="AN335" t="s">
        <v>430</v>
      </c>
    </row>
    <row r="336" spans="5:40" x14ac:dyDescent="0.45">
      <c r="E336" t="s">
        <v>450</v>
      </c>
      <c r="G336" t="s">
        <v>160</v>
      </c>
      <c r="I336" t="s">
        <v>249</v>
      </c>
      <c r="J336" t="s">
        <v>1885</v>
      </c>
      <c r="K336">
        <v>0</v>
      </c>
      <c r="L336" t="s">
        <v>251</v>
      </c>
      <c r="N336" t="s">
        <v>419</v>
      </c>
      <c r="O336" t="s">
        <v>1885</v>
      </c>
      <c r="P336">
        <v>1.7927306726359999E-4</v>
      </c>
      <c r="Q336" t="s">
        <v>251</v>
      </c>
      <c r="S336" t="s">
        <v>420</v>
      </c>
      <c r="T336" t="s">
        <v>1885</v>
      </c>
      <c r="U336">
        <v>2.0282794789769999E-4</v>
      </c>
      <c r="V336" t="s">
        <v>251</v>
      </c>
      <c r="X336">
        <v>1.1415525114155251E-4</v>
      </c>
      <c r="Y336">
        <v>7.9556472664893237E-5</v>
      </c>
      <c r="Z336" t="s">
        <v>1885</v>
      </c>
      <c r="AA336" t="s">
        <v>25</v>
      </c>
      <c r="AC336" t="s">
        <v>22</v>
      </c>
      <c r="AD336" t="s">
        <v>1885</v>
      </c>
      <c r="AE336">
        <v>5.2526494811485004E-5</v>
      </c>
      <c r="AG336" t="s">
        <v>97</v>
      </c>
      <c r="AH336" t="s">
        <v>1885</v>
      </c>
      <c r="AI336">
        <v>0</v>
      </c>
      <c r="AK336">
        <v>2049</v>
      </c>
      <c r="AL336" t="s">
        <v>156</v>
      </c>
      <c r="AM336">
        <v>0.25209999999999999</v>
      </c>
      <c r="AN336" t="s">
        <v>430</v>
      </c>
    </row>
    <row r="337" spans="5:40" x14ac:dyDescent="0.45">
      <c r="E337" t="s">
        <v>451</v>
      </c>
      <c r="G337" t="s">
        <v>160</v>
      </c>
      <c r="I337" t="s">
        <v>249</v>
      </c>
      <c r="J337" t="s">
        <v>1886</v>
      </c>
      <c r="K337">
        <v>0</v>
      </c>
      <c r="L337" t="s">
        <v>251</v>
      </c>
      <c r="N337" t="s">
        <v>419</v>
      </c>
      <c r="O337" t="s">
        <v>1886</v>
      </c>
      <c r="P337">
        <v>1.6820696216449999E-4</v>
      </c>
      <c r="Q337" t="s">
        <v>251</v>
      </c>
      <c r="S337" t="s">
        <v>420</v>
      </c>
      <c r="T337" t="s">
        <v>1886</v>
      </c>
      <c r="U337">
        <v>2.0368442483749999E-4</v>
      </c>
      <c r="V337" t="s">
        <v>251</v>
      </c>
      <c r="X337">
        <v>1.1415525114155251E-4</v>
      </c>
      <c r="Y337">
        <v>5.6352501470966035E-5</v>
      </c>
      <c r="Z337" t="s">
        <v>1886</v>
      </c>
      <c r="AA337" t="s">
        <v>25</v>
      </c>
      <c r="AC337" t="s">
        <v>22</v>
      </c>
      <c r="AD337" t="s">
        <v>1886</v>
      </c>
      <c r="AE337">
        <v>7.2546410233812841E-5</v>
      </c>
      <c r="AG337" t="s">
        <v>97</v>
      </c>
      <c r="AH337" t="s">
        <v>1886</v>
      </c>
      <c r="AI337">
        <v>0</v>
      </c>
      <c r="AK337">
        <v>2049</v>
      </c>
      <c r="AL337" t="s">
        <v>159</v>
      </c>
      <c r="AM337">
        <v>0.27529999999999999</v>
      </c>
      <c r="AN337" t="s">
        <v>430</v>
      </c>
    </row>
    <row r="338" spans="5:40" x14ac:dyDescent="0.45">
      <c r="E338" t="s">
        <v>452</v>
      </c>
      <c r="G338" t="s">
        <v>160</v>
      </c>
      <c r="I338" t="s">
        <v>249</v>
      </c>
      <c r="J338" t="s">
        <v>1887</v>
      </c>
      <c r="K338">
        <v>0</v>
      </c>
      <c r="L338" t="s">
        <v>251</v>
      </c>
      <c r="N338" t="s">
        <v>419</v>
      </c>
      <c r="O338" t="s">
        <v>1887</v>
      </c>
      <c r="P338">
        <v>1.6713782935559999E-4</v>
      </c>
      <c r="Q338" t="s">
        <v>251</v>
      </c>
      <c r="S338" t="s">
        <v>420</v>
      </c>
      <c r="T338" t="s">
        <v>1887</v>
      </c>
      <c r="U338">
        <v>2.0332819525300001E-4</v>
      </c>
      <c r="V338" t="s">
        <v>251</v>
      </c>
      <c r="X338">
        <v>1.1415525114155251E-4</v>
      </c>
      <c r="Y338">
        <v>2.9833677249334962E-5</v>
      </c>
      <c r="Z338" t="s">
        <v>1887</v>
      </c>
      <c r="AA338" t="s">
        <v>25</v>
      </c>
      <c r="AC338" t="s">
        <v>22</v>
      </c>
      <c r="AD338" t="s">
        <v>1887</v>
      </c>
      <c r="AE338">
        <v>9.0126367128960652E-5</v>
      </c>
      <c r="AG338" t="s">
        <v>97</v>
      </c>
      <c r="AH338" t="s">
        <v>1887</v>
      </c>
      <c r="AI338">
        <v>0</v>
      </c>
      <c r="AK338">
        <v>2049</v>
      </c>
      <c r="AL338" t="s">
        <v>163</v>
      </c>
      <c r="AM338">
        <v>0.30709999999999998</v>
      </c>
      <c r="AN338" t="s">
        <v>430</v>
      </c>
    </row>
    <row r="339" spans="5:40" x14ac:dyDescent="0.45">
      <c r="E339" t="s">
        <v>453</v>
      </c>
      <c r="G339" t="s">
        <v>160</v>
      </c>
      <c r="I339" t="s">
        <v>249</v>
      </c>
      <c r="J339" t="s">
        <v>1888</v>
      </c>
      <c r="K339">
        <v>0</v>
      </c>
      <c r="L339" t="s">
        <v>251</v>
      </c>
      <c r="N339" t="s">
        <v>419</v>
      </c>
      <c r="O339" t="s">
        <v>1888</v>
      </c>
      <c r="P339">
        <v>1.73421694525E-4</v>
      </c>
      <c r="Q339" t="s">
        <v>251</v>
      </c>
      <c r="S339" t="s">
        <v>420</v>
      </c>
      <c r="T339" t="s">
        <v>1888</v>
      </c>
      <c r="U339">
        <v>2.0317483118199999E-4</v>
      </c>
      <c r="V339" t="s">
        <v>251</v>
      </c>
      <c r="X339">
        <v>1.1415525114155251E-4</v>
      </c>
      <c r="Y339">
        <v>2.1546544680075254E-5</v>
      </c>
      <c r="Z339" t="s">
        <v>1888</v>
      </c>
      <c r="AA339" t="s">
        <v>25</v>
      </c>
      <c r="AC339" t="s">
        <v>22</v>
      </c>
      <c r="AD339" t="s">
        <v>1888</v>
      </c>
      <c r="AE339">
        <v>9.1837680506928038E-5</v>
      </c>
      <c r="AG339" t="s">
        <v>97</v>
      </c>
      <c r="AH339" t="s">
        <v>1888</v>
      </c>
      <c r="AI339">
        <v>0</v>
      </c>
      <c r="AK339">
        <v>2049</v>
      </c>
      <c r="AL339" t="s">
        <v>167</v>
      </c>
      <c r="AM339">
        <v>0.41820000000000002</v>
      </c>
      <c r="AN339" t="s">
        <v>430</v>
      </c>
    </row>
    <row r="340" spans="5:40" x14ac:dyDescent="0.45">
      <c r="E340" t="s">
        <v>454</v>
      </c>
      <c r="G340" t="s">
        <v>160</v>
      </c>
      <c r="I340" t="s">
        <v>249</v>
      </c>
      <c r="J340" t="s">
        <v>1889</v>
      </c>
      <c r="K340">
        <v>0</v>
      </c>
      <c r="L340" t="s">
        <v>251</v>
      </c>
      <c r="N340" t="s">
        <v>419</v>
      </c>
      <c r="O340" t="s">
        <v>1889</v>
      </c>
      <c r="P340">
        <v>1.7916218320329999E-4</v>
      </c>
      <c r="Q340" t="s">
        <v>251</v>
      </c>
      <c r="S340" t="s">
        <v>420</v>
      </c>
      <c r="T340" t="s">
        <v>1889</v>
      </c>
      <c r="U340">
        <v>2.072345983158E-4</v>
      </c>
      <c r="V340" t="s">
        <v>251</v>
      </c>
      <c r="X340">
        <v>1.1415525114155251E-4</v>
      </c>
      <c r="Y340">
        <v>1.4916838624667481E-5</v>
      </c>
      <c r="Z340" t="s">
        <v>1889</v>
      </c>
      <c r="AA340" t="s">
        <v>25</v>
      </c>
      <c r="AC340" t="s">
        <v>22</v>
      </c>
      <c r="AD340" t="s">
        <v>1889</v>
      </c>
      <c r="AE340">
        <v>1.0519951731810161E-4</v>
      </c>
      <c r="AG340" t="s">
        <v>97</v>
      </c>
      <c r="AH340" t="s">
        <v>1889</v>
      </c>
      <c r="AI340">
        <v>0</v>
      </c>
      <c r="AK340">
        <v>2049</v>
      </c>
      <c r="AL340" t="s">
        <v>169</v>
      </c>
      <c r="AM340">
        <v>0.46750000000000003</v>
      </c>
      <c r="AN340" t="s">
        <v>430</v>
      </c>
    </row>
    <row r="341" spans="5:40" x14ac:dyDescent="0.45">
      <c r="E341" t="s">
        <v>455</v>
      </c>
      <c r="G341" t="s">
        <v>160</v>
      </c>
      <c r="I341" t="s">
        <v>249</v>
      </c>
      <c r="J341" t="s">
        <v>1890</v>
      </c>
      <c r="K341">
        <v>0</v>
      </c>
      <c r="L341" t="s">
        <v>251</v>
      </c>
      <c r="N341" t="s">
        <v>419</v>
      </c>
      <c r="O341" t="s">
        <v>1890</v>
      </c>
      <c r="P341">
        <v>1.66899068133E-4</v>
      </c>
      <c r="Q341" t="s">
        <v>251</v>
      </c>
      <c r="S341" t="s">
        <v>420</v>
      </c>
      <c r="T341" t="s">
        <v>1890</v>
      </c>
      <c r="U341">
        <v>2.054444706228E-4</v>
      </c>
      <c r="V341" t="s">
        <v>251</v>
      </c>
      <c r="X341">
        <v>1.1415525114155251E-4</v>
      </c>
      <c r="Y341">
        <v>1.6574265138519424E-5</v>
      </c>
      <c r="Z341" t="s">
        <v>1890</v>
      </c>
      <c r="AA341" t="s">
        <v>25</v>
      </c>
      <c r="AC341" t="s">
        <v>22</v>
      </c>
      <c r="AD341" t="s">
        <v>1890</v>
      </c>
      <c r="AE341">
        <v>1.4088641758481556E-4</v>
      </c>
      <c r="AG341" t="s">
        <v>97</v>
      </c>
      <c r="AH341" t="s">
        <v>1890</v>
      </c>
      <c r="AI341">
        <v>0</v>
      </c>
      <c r="AK341">
        <v>2049</v>
      </c>
      <c r="AL341" t="s">
        <v>171</v>
      </c>
      <c r="AM341">
        <v>0.52849999999999997</v>
      </c>
      <c r="AN341" t="s">
        <v>430</v>
      </c>
    </row>
    <row r="342" spans="5:40" x14ac:dyDescent="0.45">
      <c r="E342" t="s">
        <v>456</v>
      </c>
      <c r="G342" t="s">
        <v>160</v>
      </c>
      <c r="I342" t="s">
        <v>249</v>
      </c>
      <c r="J342" t="s">
        <v>1891</v>
      </c>
      <c r="K342">
        <v>0</v>
      </c>
      <c r="L342" t="s">
        <v>251</v>
      </c>
      <c r="N342" t="s">
        <v>419</v>
      </c>
      <c r="O342" t="s">
        <v>1891</v>
      </c>
      <c r="P342">
        <v>1.653941476242E-4</v>
      </c>
      <c r="Q342" t="s">
        <v>251</v>
      </c>
      <c r="S342" t="s">
        <v>420</v>
      </c>
      <c r="T342" t="s">
        <v>1891</v>
      </c>
      <c r="U342">
        <v>2.0347757131950001E-4</v>
      </c>
      <c r="V342" t="s">
        <v>251</v>
      </c>
      <c r="X342">
        <v>1.1415525114155251E-4</v>
      </c>
      <c r="Y342">
        <v>1.4585353321897093E-5</v>
      </c>
      <c r="Z342" t="s">
        <v>1891</v>
      </c>
      <c r="AA342" t="s">
        <v>25</v>
      </c>
      <c r="AC342" t="s">
        <v>22</v>
      </c>
      <c r="AD342" t="s">
        <v>1891</v>
      </c>
      <c r="AE342">
        <v>1.5403879676899833E-4</v>
      </c>
      <c r="AG342" t="s">
        <v>97</v>
      </c>
      <c r="AH342" t="s">
        <v>1891</v>
      </c>
      <c r="AI342">
        <v>0</v>
      </c>
      <c r="AK342">
        <v>2049</v>
      </c>
      <c r="AL342" t="s">
        <v>158</v>
      </c>
      <c r="AM342">
        <v>0.65500000000000003</v>
      </c>
      <c r="AN342" t="s">
        <v>430</v>
      </c>
    </row>
    <row r="343" spans="5:40" x14ac:dyDescent="0.45">
      <c r="E343" t="s">
        <v>457</v>
      </c>
      <c r="G343" t="s">
        <v>160</v>
      </c>
      <c r="I343" t="s">
        <v>249</v>
      </c>
      <c r="J343" t="s">
        <v>1892</v>
      </c>
      <c r="K343">
        <v>0</v>
      </c>
      <c r="L343" t="s">
        <v>251</v>
      </c>
      <c r="N343" t="s">
        <v>419</v>
      </c>
      <c r="O343" t="s">
        <v>1892</v>
      </c>
      <c r="P343">
        <v>1.4948890381629999E-4</v>
      </c>
      <c r="Q343" t="s">
        <v>251</v>
      </c>
      <c r="S343" t="s">
        <v>420</v>
      </c>
      <c r="T343" t="s">
        <v>1892</v>
      </c>
      <c r="U343">
        <v>2.023760339867E-4</v>
      </c>
      <c r="V343" t="s">
        <v>251</v>
      </c>
      <c r="X343">
        <v>1.1415525114155251E-4</v>
      </c>
      <c r="Y343">
        <v>2.1215059377304864E-5</v>
      </c>
      <c r="Z343" t="s">
        <v>1892</v>
      </c>
      <c r="AA343" t="s">
        <v>25</v>
      </c>
      <c r="AC343" t="s">
        <v>22</v>
      </c>
      <c r="AD343" t="s">
        <v>1892</v>
      </c>
      <c r="AE343">
        <v>1.548911110490407E-4</v>
      </c>
      <c r="AG343" t="s">
        <v>97</v>
      </c>
      <c r="AH343" t="s">
        <v>1892</v>
      </c>
      <c r="AI343">
        <v>0</v>
      </c>
      <c r="AK343">
        <v>2049</v>
      </c>
      <c r="AL343" t="s">
        <v>162</v>
      </c>
      <c r="AM343">
        <v>0.64280000000000004</v>
      </c>
      <c r="AN343" t="s">
        <v>430</v>
      </c>
    </row>
    <row r="344" spans="5:40" x14ac:dyDescent="0.45">
      <c r="E344" t="s">
        <v>458</v>
      </c>
      <c r="G344" t="s">
        <v>160</v>
      </c>
      <c r="I344" t="s">
        <v>249</v>
      </c>
      <c r="J344" t="s">
        <v>1893</v>
      </c>
      <c r="K344">
        <v>0</v>
      </c>
      <c r="L344" t="s">
        <v>251</v>
      </c>
      <c r="N344" t="s">
        <v>419</v>
      </c>
      <c r="O344" t="s">
        <v>1893</v>
      </c>
      <c r="P344">
        <v>1.403045954442E-4</v>
      </c>
      <c r="Q344" t="s">
        <v>251</v>
      </c>
      <c r="S344" t="s">
        <v>420</v>
      </c>
      <c r="T344" t="s">
        <v>1893</v>
      </c>
      <c r="U344">
        <v>2.027200133304E-4</v>
      </c>
      <c r="V344" t="s">
        <v>251</v>
      </c>
      <c r="X344">
        <v>1.1415525114155251E-4</v>
      </c>
      <c r="Y344">
        <v>5.7678442682047593E-5</v>
      </c>
      <c r="Z344" t="s">
        <v>1893</v>
      </c>
      <c r="AA344" t="s">
        <v>25</v>
      </c>
      <c r="AC344" t="s">
        <v>22</v>
      </c>
      <c r="AD344" t="s">
        <v>1893</v>
      </c>
      <c r="AE344">
        <v>1.5544929334224491E-4</v>
      </c>
      <c r="AG344" t="s">
        <v>97</v>
      </c>
      <c r="AH344" t="s">
        <v>1893</v>
      </c>
      <c r="AI344">
        <v>0</v>
      </c>
      <c r="AK344">
        <v>2049</v>
      </c>
      <c r="AL344" t="s">
        <v>175</v>
      </c>
      <c r="AM344">
        <v>0.45379999999999998</v>
      </c>
      <c r="AN344" t="s">
        <v>430</v>
      </c>
    </row>
    <row r="345" spans="5:40" x14ac:dyDescent="0.45">
      <c r="E345" t="s">
        <v>459</v>
      </c>
      <c r="G345" t="s">
        <v>160</v>
      </c>
      <c r="I345" t="s">
        <v>249</v>
      </c>
      <c r="J345" t="s">
        <v>1894</v>
      </c>
      <c r="K345">
        <v>7.4962108328330711E-6</v>
      </c>
      <c r="L345" t="s">
        <v>251</v>
      </c>
      <c r="N345" t="s">
        <v>419</v>
      </c>
      <c r="O345" t="s">
        <v>1894</v>
      </c>
      <c r="P345">
        <v>1.3402352757109999E-4</v>
      </c>
      <c r="Q345" t="s">
        <v>251</v>
      </c>
      <c r="S345" t="s">
        <v>420</v>
      </c>
      <c r="T345" t="s">
        <v>1894</v>
      </c>
      <c r="U345">
        <v>2.020522909912E-4</v>
      </c>
      <c r="V345" t="s">
        <v>251</v>
      </c>
      <c r="X345">
        <v>1.1415525114155251E-4</v>
      </c>
      <c r="Y345">
        <v>1.6905750441289813E-4</v>
      </c>
      <c r="Z345" t="s">
        <v>1894</v>
      </c>
      <c r="AA345" t="s">
        <v>25</v>
      </c>
      <c r="AC345" t="s">
        <v>22</v>
      </c>
      <c r="AD345" t="s">
        <v>1894</v>
      </c>
      <c r="AE345">
        <v>1.5544929334224491E-4</v>
      </c>
      <c r="AG345" t="s">
        <v>97</v>
      </c>
      <c r="AH345" t="s">
        <v>1894</v>
      </c>
      <c r="AI345">
        <v>0</v>
      </c>
      <c r="AK345">
        <v>2049</v>
      </c>
      <c r="AL345" t="s">
        <v>166</v>
      </c>
      <c r="AM345">
        <v>0.29730000000000001</v>
      </c>
      <c r="AN345" t="s">
        <v>430</v>
      </c>
    </row>
    <row r="346" spans="5:40" x14ac:dyDescent="0.45">
      <c r="E346" t="s">
        <v>460</v>
      </c>
      <c r="G346" t="s">
        <v>160</v>
      </c>
      <c r="I346" t="s">
        <v>249</v>
      </c>
      <c r="J346" t="s">
        <v>1895</v>
      </c>
      <c r="K346">
        <v>3.0457302986929732E-5</v>
      </c>
      <c r="L346" t="s">
        <v>251</v>
      </c>
      <c r="N346" t="s">
        <v>419</v>
      </c>
      <c r="O346" t="s">
        <v>1895</v>
      </c>
      <c r="P346">
        <v>1.5236627442199999E-4</v>
      </c>
      <c r="Q346" t="s">
        <v>251</v>
      </c>
      <c r="S346" t="s">
        <v>420</v>
      </c>
      <c r="T346" t="s">
        <v>1895</v>
      </c>
      <c r="U346">
        <v>2.0154330846349999E-4</v>
      </c>
      <c r="V346" t="s">
        <v>251</v>
      </c>
      <c r="X346">
        <v>1.1415525114155251E-4</v>
      </c>
      <c r="Y346">
        <v>1.9060404909297337E-4</v>
      </c>
      <c r="Z346" t="s">
        <v>1895</v>
      </c>
      <c r="AA346" t="s">
        <v>25</v>
      </c>
      <c r="AC346" t="s">
        <v>22</v>
      </c>
      <c r="AD346" t="s">
        <v>1895</v>
      </c>
      <c r="AE346">
        <v>1.569823449100073E-4</v>
      </c>
      <c r="AG346" t="s">
        <v>97</v>
      </c>
      <c r="AH346" t="s">
        <v>1895</v>
      </c>
      <c r="AI346">
        <v>0</v>
      </c>
      <c r="AK346">
        <v>2049</v>
      </c>
      <c r="AL346" t="s">
        <v>178</v>
      </c>
      <c r="AM346">
        <v>0.22620000000000001</v>
      </c>
      <c r="AN346" t="s">
        <v>430</v>
      </c>
    </row>
    <row r="347" spans="5:40" x14ac:dyDescent="0.45">
      <c r="E347" t="s">
        <v>192</v>
      </c>
      <c r="G347" t="s">
        <v>164</v>
      </c>
      <c r="I347" t="s">
        <v>249</v>
      </c>
      <c r="J347" t="s">
        <v>1896</v>
      </c>
      <c r="K347">
        <v>5.7589861926116608E-5</v>
      </c>
      <c r="L347" t="s">
        <v>251</v>
      </c>
      <c r="N347" t="s">
        <v>419</v>
      </c>
      <c r="O347" t="s">
        <v>1896</v>
      </c>
      <c r="P347">
        <v>1.7101292288719999E-4</v>
      </c>
      <c r="Q347" t="s">
        <v>251</v>
      </c>
      <c r="S347" t="s">
        <v>420</v>
      </c>
      <c r="T347" t="s">
        <v>1896</v>
      </c>
      <c r="U347">
        <v>2.0394983226029999E-4</v>
      </c>
      <c r="V347" t="s">
        <v>251</v>
      </c>
      <c r="X347">
        <v>1.1415525114155251E-4</v>
      </c>
      <c r="Y347">
        <v>1.4585353321897094E-4</v>
      </c>
      <c r="Z347" t="s">
        <v>1896</v>
      </c>
      <c r="AA347" t="s">
        <v>25</v>
      </c>
      <c r="AC347" t="s">
        <v>22</v>
      </c>
      <c r="AD347" t="s">
        <v>1896</v>
      </c>
      <c r="AE347">
        <v>1.5627709662338407E-4</v>
      </c>
      <c r="AG347" t="s">
        <v>97</v>
      </c>
      <c r="AH347" t="s">
        <v>1896</v>
      </c>
      <c r="AI347">
        <v>0</v>
      </c>
      <c r="AK347">
        <v>2050</v>
      </c>
      <c r="AL347" t="s">
        <v>151</v>
      </c>
      <c r="AM347">
        <v>0.26329999999999998</v>
      </c>
      <c r="AN347" t="s">
        <v>430</v>
      </c>
    </row>
    <row r="348" spans="5:40" x14ac:dyDescent="0.45">
      <c r="E348" t="s">
        <v>193</v>
      </c>
      <c r="G348" t="s">
        <v>164</v>
      </c>
      <c r="I348" t="s">
        <v>249</v>
      </c>
      <c r="J348" t="s">
        <v>1897</v>
      </c>
      <c r="K348">
        <v>8.8688248967149606E-5</v>
      </c>
      <c r="L348" t="s">
        <v>251</v>
      </c>
      <c r="N348" t="s">
        <v>419</v>
      </c>
      <c r="O348" t="s">
        <v>1897</v>
      </c>
      <c r="P348">
        <v>1.8195768970450001E-4</v>
      </c>
      <c r="Q348" t="s">
        <v>251</v>
      </c>
      <c r="S348" t="s">
        <v>420</v>
      </c>
      <c r="T348" t="s">
        <v>1897</v>
      </c>
      <c r="U348">
        <v>2.066648343883E-4</v>
      </c>
      <c r="V348" t="s">
        <v>251</v>
      </c>
      <c r="X348">
        <v>1.1415525114155251E-4</v>
      </c>
      <c r="Y348">
        <v>1.4452759200788939E-4</v>
      </c>
      <c r="Z348" t="s">
        <v>1897</v>
      </c>
      <c r="AA348" t="s">
        <v>25</v>
      </c>
      <c r="AC348" t="s">
        <v>22</v>
      </c>
      <c r="AD348" t="s">
        <v>1897</v>
      </c>
      <c r="AE348">
        <v>1.5627709662338401E-4</v>
      </c>
      <c r="AG348" t="s">
        <v>97</v>
      </c>
      <c r="AH348" t="s">
        <v>1897</v>
      </c>
      <c r="AI348">
        <v>0</v>
      </c>
      <c r="AK348">
        <v>2050</v>
      </c>
      <c r="AL348" t="s">
        <v>156</v>
      </c>
      <c r="AM348">
        <v>0.2621</v>
      </c>
      <c r="AN348" t="s">
        <v>430</v>
      </c>
    </row>
    <row r="349" spans="5:40" x14ac:dyDescent="0.45">
      <c r="E349" t="s">
        <v>194</v>
      </c>
      <c r="G349" t="s">
        <v>164</v>
      </c>
      <c r="I349" t="s">
        <v>249</v>
      </c>
      <c r="J349" t="s">
        <v>1898</v>
      </c>
      <c r="K349">
        <v>1.080282712155E-4</v>
      </c>
      <c r="L349" t="s">
        <v>251</v>
      </c>
      <c r="N349" t="s">
        <v>419</v>
      </c>
      <c r="O349" t="s">
        <v>1898</v>
      </c>
      <c r="P349">
        <v>1.855935428049E-4</v>
      </c>
      <c r="Q349" t="s">
        <v>251</v>
      </c>
      <c r="S349" t="s">
        <v>420</v>
      </c>
      <c r="T349" t="s">
        <v>1898</v>
      </c>
      <c r="U349">
        <v>2.0717134367129999E-4</v>
      </c>
      <c r="V349" t="s">
        <v>251</v>
      </c>
      <c r="X349">
        <v>1.1415525114155251E-4</v>
      </c>
      <c r="Y349">
        <v>1.408812536774151E-4</v>
      </c>
      <c r="Z349" t="s">
        <v>1898</v>
      </c>
      <c r="AA349" t="s">
        <v>25</v>
      </c>
      <c r="AC349" t="s">
        <v>22</v>
      </c>
      <c r="AD349" t="s">
        <v>1898</v>
      </c>
      <c r="AE349">
        <v>1.5468165342204988E-4</v>
      </c>
      <c r="AG349" t="s">
        <v>97</v>
      </c>
      <c r="AH349" t="s">
        <v>1898</v>
      </c>
      <c r="AI349">
        <v>0</v>
      </c>
      <c r="AK349">
        <v>2050</v>
      </c>
      <c r="AL349" t="s">
        <v>159</v>
      </c>
      <c r="AM349">
        <v>0.25269999999999998</v>
      </c>
      <c r="AN349" t="s">
        <v>430</v>
      </c>
    </row>
    <row r="350" spans="5:40" x14ac:dyDescent="0.45">
      <c r="E350" t="s">
        <v>195</v>
      </c>
      <c r="G350" t="s">
        <v>164</v>
      </c>
      <c r="I350" t="s">
        <v>249</v>
      </c>
      <c r="J350" t="s">
        <v>1899</v>
      </c>
      <c r="K350">
        <v>1.2720061017510001E-4</v>
      </c>
      <c r="L350" t="s">
        <v>251</v>
      </c>
      <c r="N350" t="s">
        <v>419</v>
      </c>
      <c r="O350" t="s">
        <v>1899</v>
      </c>
      <c r="P350">
        <v>1.8833347145609999E-4</v>
      </c>
      <c r="Q350" t="s">
        <v>251</v>
      </c>
      <c r="S350" t="s">
        <v>420</v>
      </c>
      <c r="T350" t="s">
        <v>1899</v>
      </c>
      <c r="U350">
        <v>2.0902086723480001E-4</v>
      </c>
      <c r="V350" t="s">
        <v>251</v>
      </c>
      <c r="X350">
        <v>1.1415525114155251E-4</v>
      </c>
      <c r="Y350">
        <v>1.4054976837464471E-4</v>
      </c>
      <c r="Z350" t="s">
        <v>1899</v>
      </c>
      <c r="AA350" t="s">
        <v>25</v>
      </c>
      <c r="AC350" t="s">
        <v>22</v>
      </c>
      <c r="AD350" t="s">
        <v>1899</v>
      </c>
      <c r="AE350">
        <v>1.5503260636089085E-4</v>
      </c>
      <c r="AG350" t="s">
        <v>97</v>
      </c>
      <c r="AH350" t="s">
        <v>1899</v>
      </c>
      <c r="AI350">
        <v>0</v>
      </c>
      <c r="AK350">
        <v>2050</v>
      </c>
      <c r="AL350" t="s">
        <v>163</v>
      </c>
      <c r="AM350">
        <v>0.31819999999999998</v>
      </c>
      <c r="AN350" t="s">
        <v>430</v>
      </c>
    </row>
    <row r="351" spans="5:40" x14ac:dyDescent="0.45">
      <c r="E351" t="s">
        <v>196</v>
      </c>
      <c r="G351" t="s">
        <v>164</v>
      </c>
      <c r="I351" t="s">
        <v>249</v>
      </c>
      <c r="J351" t="s">
        <v>1900</v>
      </c>
      <c r="K351">
        <v>1.4369397956280001E-4</v>
      </c>
      <c r="L351" t="s">
        <v>251</v>
      </c>
      <c r="N351" t="s">
        <v>419</v>
      </c>
      <c r="O351" t="s">
        <v>1900</v>
      </c>
      <c r="P351">
        <v>1.836222331204E-4</v>
      </c>
      <c r="Q351" t="s">
        <v>251</v>
      </c>
      <c r="S351" t="s">
        <v>420</v>
      </c>
      <c r="T351" t="s">
        <v>1900</v>
      </c>
      <c r="U351">
        <v>2.0922724416000001E-4</v>
      </c>
      <c r="V351" t="s">
        <v>251</v>
      </c>
      <c r="X351">
        <v>1.1415525114155251E-4</v>
      </c>
      <c r="Y351">
        <v>1.4253868019126702E-4</v>
      </c>
      <c r="Z351" t="s">
        <v>1900</v>
      </c>
      <c r="AA351" t="s">
        <v>25</v>
      </c>
      <c r="AC351" t="s">
        <v>22</v>
      </c>
      <c r="AD351" t="s">
        <v>1900</v>
      </c>
      <c r="AE351">
        <v>1.9563841845294719E-4</v>
      </c>
      <c r="AG351" t="s">
        <v>97</v>
      </c>
      <c r="AH351" t="s">
        <v>1900</v>
      </c>
      <c r="AI351">
        <v>0</v>
      </c>
      <c r="AK351">
        <v>2050</v>
      </c>
      <c r="AL351" t="s">
        <v>167</v>
      </c>
      <c r="AM351">
        <v>0.41739999999999999</v>
      </c>
      <c r="AN351" t="s">
        <v>430</v>
      </c>
    </row>
    <row r="352" spans="5:40" x14ac:dyDescent="0.45">
      <c r="E352" t="s">
        <v>197</v>
      </c>
      <c r="G352" t="s">
        <v>164</v>
      </c>
      <c r="I352" t="s">
        <v>249</v>
      </c>
      <c r="J352" t="s">
        <v>1901</v>
      </c>
      <c r="K352">
        <v>1.3228939470909999E-4</v>
      </c>
      <c r="L352" t="s">
        <v>251</v>
      </c>
      <c r="N352" t="s">
        <v>419</v>
      </c>
      <c r="O352" t="s">
        <v>1901</v>
      </c>
      <c r="P352">
        <v>1.855414055583E-4</v>
      </c>
      <c r="Q352" t="s">
        <v>251</v>
      </c>
      <c r="S352" t="s">
        <v>420</v>
      </c>
      <c r="T352" t="s">
        <v>1901</v>
      </c>
      <c r="U352">
        <v>2.0929071798919999E-4</v>
      </c>
      <c r="V352" t="s">
        <v>251</v>
      </c>
      <c r="X352">
        <v>1.1415525114155251E-4</v>
      </c>
      <c r="Y352">
        <v>1.4883690094390442E-4</v>
      </c>
      <c r="Z352" t="s">
        <v>1901</v>
      </c>
      <c r="AA352" t="s">
        <v>25</v>
      </c>
      <c r="AC352" t="s">
        <v>22</v>
      </c>
      <c r="AD352" t="s">
        <v>1901</v>
      </c>
      <c r="AE352">
        <v>1.9730962292361851E-4</v>
      </c>
      <c r="AG352" t="s">
        <v>97</v>
      </c>
      <c r="AH352" t="s">
        <v>1901</v>
      </c>
      <c r="AI352">
        <v>0</v>
      </c>
      <c r="AK352">
        <v>2050</v>
      </c>
      <c r="AL352" t="s">
        <v>169</v>
      </c>
      <c r="AM352">
        <v>0.47360000000000002</v>
      </c>
      <c r="AN352" t="s">
        <v>430</v>
      </c>
    </row>
    <row r="353" spans="5:40" x14ac:dyDescent="0.45">
      <c r="E353" t="s">
        <v>198</v>
      </c>
      <c r="G353" t="s">
        <v>164</v>
      </c>
      <c r="I353" t="s">
        <v>249</v>
      </c>
      <c r="J353" t="s">
        <v>1902</v>
      </c>
      <c r="K353">
        <v>1.2759784982819999E-4</v>
      </c>
      <c r="L353" t="s">
        <v>251</v>
      </c>
      <c r="N353" t="s">
        <v>419</v>
      </c>
      <c r="O353" t="s">
        <v>1902</v>
      </c>
      <c r="P353">
        <v>1.9221296638720001E-4</v>
      </c>
      <c r="Q353" t="s">
        <v>251</v>
      </c>
      <c r="S353" t="s">
        <v>420</v>
      </c>
      <c r="T353" t="s">
        <v>1902</v>
      </c>
      <c r="U353">
        <v>2.120034467339E-4</v>
      </c>
      <c r="V353" t="s">
        <v>251</v>
      </c>
      <c r="X353">
        <v>1.1415525114155251E-4</v>
      </c>
      <c r="Y353">
        <v>1.5049432745775637E-4</v>
      </c>
      <c r="Z353" t="s">
        <v>1902</v>
      </c>
      <c r="AA353" t="s">
        <v>25</v>
      </c>
      <c r="AC353" t="s">
        <v>22</v>
      </c>
      <c r="AD353" t="s">
        <v>1902</v>
      </c>
      <c r="AE353">
        <v>1.8844444027486435E-4</v>
      </c>
      <c r="AG353" t="s">
        <v>97</v>
      </c>
      <c r="AH353" t="s">
        <v>1902</v>
      </c>
      <c r="AI353">
        <v>0</v>
      </c>
      <c r="AK353">
        <v>2050</v>
      </c>
      <c r="AL353" t="s">
        <v>171</v>
      </c>
      <c r="AM353">
        <v>0.4929</v>
      </c>
      <c r="AN353" t="s">
        <v>430</v>
      </c>
    </row>
    <row r="354" spans="5:40" x14ac:dyDescent="0.45">
      <c r="E354" t="s">
        <v>199</v>
      </c>
      <c r="G354" t="s">
        <v>164</v>
      </c>
      <c r="I354" t="s">
        <v>249</v>
      </c>
      <c r="J354" t="s">
        <v>1903</v>
      </c>
      <c r="K354">
        <v>1.106799009264E-4</v>
      </c>
      <c r="L354" t="s">
        <v>251</v>
      </c>
      <c r="N354" t="s">
        <v>419</v>
      </c>
      <c r="O354" t="s">
        <v>1903</v>
      </c>
      <c r="P354">
        <v>1.7578362889579999E-4</v>
      </c>
      <c r="Q354" t="s">
        <v>251</v>
      </c>
      <c r="S354" t="s">
        <v>420</v>
      </c>
      <c r="T354" t="s">
        <v>1903</v>
      </c>
      <c r="U354">
        <v>2.0450206085360001E-4</v>
      </c>
      <c r="V354" t="s">
        <v>251</v>
      </c>
      <c r="X354">
        <v>1.1415525114155251E-4</v>
      </c>
      <c r="Y354">
        <v>1.7237235744060203E-4</v>
      </c>
      <c r="Z354" t="s">
        <v>1903</v>
      </c>
      <c r="AA354" t="s">
        <v>25</v>
      </c>
      <c r="AC354" t="s">
        <v>22</v>
      </c>
      <c r="AD354" t="s">
        <v>1903</v>
      </c>
      <c r="AE354">
        <v>1.5641524952629291E-4</v>
      </c>
      <c r="AG354" t="s">
        <v>97</v>
      </c>
      <c r="AH354" t="s">
        <v>1903</v>
      </c>
      <c r="AI354">
        <v>0</v>
      </c>
      <c r="AK354">
        <v>2050</v>
      </c>
      <c r="AL354" t="s">
        <v>158</v>
      </c>
      <c r="AM354">
        <v>0.67459999999999998</v>
      </c>
      <c r="AN354" t="s">
        <v>430</v>
      </c>
    </row>
    <row r="355" spans="5:40" x14ac:dyDescent="0.45">
      <c r="E355" t="s">
        <v>200</v>
      </c>
      <c r="G355" t="s">
        <v>164</v>
      </c>
      <c r="I355" t="s">
        <v>249</v>
      </c>
      <c r="J355" t="s">
        <v>1904</v>
      </c>
      <c r="K355">
        <v>8.6738954283812475E-5</v>
      </c>
      <c r="L355" t="s">
        <v>251</v>
      </c>
      <c r="N355" t="s">
        <v>419</v>
      </c>
      <c r="O355" t="s">
        <v>1904</v>
      </c>
      <c r="P355">
        <v>1.6921846899990001E-4</v>
      </c>
      <c r="Q355" t="s">
        <v>251</v>
      </c>
      <c r="S355" t="s">
        <v>420</v>
      </c>
      <c r="T355" t="s">
        <v>1904</v>
      </c>
      <c r="U355">
        <v>2.030809169795E-4</v>
      </c>
      <c r="V355" t="s">
        <v>251</v>
      </c>
      <c r="X355">
        <v>1.1415525114155251E-4</v>
      </c>
      <c r="Y355">
        <v>2.2209515285616027E-4</v>
      </c>
      <c r="Z355" t="s">
        <v>1904</v>
      </c>
      <c r="AA355" t="s">
        <v>25</v>
      </c>
      <c r="AC355" t="s">
        <v>22</v>
      </c>
      <c r="AD355" t="s">
        <v>1904</v>
      </c>
      <c r="AE355">
        <v>1.1401567796904938E-4</v>
      </c>
      <c r="AG355" t="s">
        <v>97</v>
      </c>
      <c r="AH355" t="s">
        <v>1904</v>
      </c>
      <c r="AI355">
        <v>0</v>
      </c>
      <c r="AK355">
        <v>2050</v>
      </c>
      <c r="AL355" t="s">
        <v>162</v>
      </c>
      <c r="AM355">
        <v>0.63300000000000001</v>
      </c>
      <c r="AN355" t="s">
        <v>430</v>
      </c>
    </row>
    <row r="356" spans="5:40" x14ac:dyDescent="0.45">
      <c r="E356" t="s">
        <v>201</v>
      </c>
      <c r="G356" t="s">
        <v>164</v>
      </c>
      <c r="I356" t="s">
        <v>249</v>
      </c>
      <c r="J356" t="s">
        <v>1905</v>
      </c>
      <c r="K356">
        <v>6.6664456754658683E-5</v>
      </c>
      <c r="L356" t="s">
        <v>251</v>
      </c>
      <c r="N356" t="s">
        <v>419</v>
      </c>
      <c r="O356" t="s">
        <v>1905</v>
      </c>
      <c r="P356">
        <v>1.6667569396219999E-4</v>
      </c>
      <c r="Q356" t="s">
        <v>251</v>
      </c>
      <c r="S356" t="s">
        <v>420</v>
      </c>
      <c r="T356" t="s">
        <v>1905</v>
      </c>
      <c r="U356">
        <v>2.0096482874499999E-4</v>
      </c>
      <c r="V356" t="s">
        <v>251</v>
      </c>
      <c r="X356">
        <v>1.1415525114155251E-4</v>
      </c>
      <c r="Y356">
        <v>2.2209515285616027E-4</v>
      </c>
      <c r="Z356" t="s">
        <v>1905</v>
      </c>
      <c r="AA356" t="s">
        <v>25</v>
      </c>
      <c r="AC356" t="s">
        <v>22</v>
      </c>
      <c r="AD356" t="s">
        <v>1905</v>
      </c>
      <c r="AE356">
        <v>8.3539593241888354E-5</v>
      </c>
      <c r="AG356" t="s">
        <v>97</v>
      </c>
      <c r="AH356" t="s">
        <v>1905</v>
      </c>
      <c r="AI356">
        <v>0</v>
      </c>
      <c r="AK356">
        <v>2050</v>
      </c>
      <c r="AL356" t="s">
        <v>175</v>
      </c>
      <c r="AM356">
        <v>0.48020000000000002</v>
      </c>
      <c r="AN356" t="s">
        <v>430</v>
      </c>
    </row>
    <row r="357" spans="5:40" x14ac:dyDescent="0.45">
      <c r="E357" t="s">
        <v>202</v>
      </c>
      <c r="G357" t="s">
        <v>164</v>
      </c>
      <c r="I357" t="s">
        <v>249</v>
      </c>
      <c r="J357" t="s">
        <v>1906</v>
      </c>
      <c r="K357">
        <v>3.010334448308699E-5</v>
      </c>
      <c r="L357" t="s">
        <v>251</v>
      </c>
      <c r="N357" t="s">
        <v>419</v>
      </c>
      <c r="O357" t="s">
        <v>1906</v>
      </c>
      <c r="P357">
        <v>1.6867329941290001E-4</v>
      </c>
      <c r="Q357" t="s">
        <v>251</v>
      </c>
      <c r="S357" t="s">
        <v>420</v>
      </c>
      <c r="T357" t="s">
        <v>1906</v>
      </c>
      <c r="U357">
        <v>2.001723348704E-4</v>
      </c>
      <c r="V357" t="s">
        <v>251</v>
      </c>
      <c r="X357">
        <v>1.1415525114155251E-4</v>
      </c>
      <c r="Y357">
        <v>1.7237235744060203E-4</v>
      </c>
      <c r="Z357" t="s">
        <v>1906</v>
      </c>
      <c r="AA357" t="s">
        <v>25</v>
      </c>
      <c r="AC357" t="s">
        <v>22</v>
      </c>
      <c r="AD357" t="s">
        <v>1906</v>
      </c>
      <c r="AE357">
        <v>5.41308511033294E-5</v>
      </c>
      <c r="AG357" t="s">
        <v>97</v>
      </c>
      <c r="AH357" t="s">
        <v>1906</v>
      </c>
      <c r="AI357">
        <v>0</v>
      </c>
      <c r="AK357">
        <v>2050</v>
      </c>
      <c r="AL357" t="s">
        <v>166</v>
      </c>
      <c r="AM357">
        <v>0.26769999999999999</v>
      </c>
      <c r="AN357" t="s">
        <v>430</v>
      </c>
    </row>
    <row r="358" spans="5:40" x14ac:dyDescent="0.45">
      <c r="E358" t="s">
        <v>203</v>
      </c>
      <c r="G358" t="s">
        <v>164</v>
      </c>
      <c r="I358" t="s">
        <v>249</v>
      </c>
      <c r="J358" t="s">
        <v>1907</v>
      </c>
      <c r="K358">
        <v>5.6737310909197053E-6</v>
      </c>
      <c r="L358" t="s">
        <v>251</v>
      </c>
      <c r="N358" t="s">
        <v>419</v>
      </c>
      <c r="O358" t="s">
        <v>1907</v>
      </c>
      <c r="P358">
        <v>1.627537503074E-4</v>
      </c>
      <c r="Q358" t="s">
        <v>251</v>
      </c>
      <c r="S358" t="s">
        <v>420</v>
      </c>
      <c r="T358" t="s">
        <v>1907</v>
      </c>
      <c r="U358">
        <v>1.9725739086350001E-4</v>
      </c>
      <c r="V358" t="s">
        <v>251</v>
      </c>
      <c r="X358">
        <v>1.1415525114155251E-4</v>
      </c>
      <c r="Y358">
        <v>1.5579809230208258E-4</v>
      </c>
      <c r="Z358" t="s">
        <v>1907</v>
      </c>
      <c r="AA358" t="s">
        <v>25</v>
      </c>
      <c r="AC358" t="s">
        <v>22</v>
      </c>
      <c r="AD358" t="s">
        <v>1907</v>
      </c>
      <c r="AE358">
        <v>5.0489853629893602E-5</v>
      </c>
      <c r="AG358" t="s">
        <v>97</v>
      </c>
      <c r="AH358" t="s">
        <v>1907</v>
      </c>
      <c r="AI358">
        <v>0</v>
      </c>
      <c r="AK358">
        <v>2050</v>
      </c>
      <c r="AL358" t="s">
        <v>178</v>
      </c>
      <c r="AM358">
        <v>0.23810000000000001</v>
      </c>
      <c r="AN358" t="s">
        <v>430</v>
      </c>
    </row>
    <row r="359" spans="5:40" x14ac:dyDescent="0.45">
      <c r="E359" t="s">
        <v>204</v>
      </c>
      <c r="G359" t="s">
        <v>164</v>
      </c>
      <c r="I359" t="s">
        <v>249</v>
      </c>
      <c r="J359" t="s">
        <v>1908</v>
      </c>
      <c r="K359">
        <v>0</v>
      </c>
      <c r="L359" t="s">
        <v>251</v>
      </c>
      <c r="N359" t="s">
        <v>419</v>
      </c>
      <c r="O359" t="s">
        <v>1908</v>
      </c>
      <c r="P359">
        <v>1.5168150245419999E-4</v>
      </c>
      <c r="Q359" t="s">
        <v>251</v>
      </c>
      <c r="S359" t="s">
        <v>420</v>
      </c>
      <c r="T359" t="s">
        <v>1908</v>
      </c>
      <c r="U359">
        <v>1.940680540647E-4</v>
      </c>
      <c r="V359" t="s">
        <v>251</v>
      </c>
      <c r="X359">
        <v>1.1415525114155251E-4</v>
      </c>
      <c r="Y359">
        <v>1.093901499142282E-4</v>
      </c>
      <c r="Z359" t="s">
        <v>1908</v>
      </c>
      <c r="AA359" t="s">
        <v>25</v>
      </c>
      <c r="AC359" t="s">
        <v>22</v>
      </c>
      <c r="AD359" t="s">
        <v>1908</v>
      </c>
      <c r="AE359">
        <v>5.2007307289263139E-5</v>
      </c>
      <c r="AG359" t="s">
        <v>97</v>
      </c>
      <c r="AH359" t="s">
        <v>1908</v>
      </c>
      <c r="AI359">
        <v>0</v>
      </c>
    </row>
    <row r="360" spans="5:40" x14ac:dyDescent="0.45">
      <c r="E360" t="s">
        <v>205</v>
      </c>
      <c r="G360" t="s">
        <v>164</v>
      </c>
      <c r="I360" t="s">
        <v>249</v>
      </c>
      <c r="J360" t="s">
        <v>1909</v>
      </c>
      <c r="K360">
        <v>0</v>
      </c>
      <c r="L360" t="s">
        <v>251</v>
      </c>
      <c r="N360" t="s">
        <v>419</v>
      </c>
      <c r="O360" t="s">
        <v>1909</v>
      </c>
      <c r="P360">
        <v>1.3924535518059999E-4</v>
      </c>
      <c r="Q360" t="s">
        <v>251</v>
      </c>
      <c r="S360" t="s">
        <v>420</v>
      </c>
      <c r="T360" t="s">
        <v>1909</v>
      </c>
      <c r="U360">
        <v>1.884499984252E-4</v>
      </c>
      <c r="V360" t="s">
        <v>251</v>
      </c>
      <c r="X360">
        <v>1.1415525114155251E-4</v>
      </c>
      <c r="Y360">
        <v>7.9556472664893237E-5</v>
      </c>
      <c r="Z360" t="s">
        <v>1909</v>
      </c>
      <c r="AA360" t="s">
        <v>25</v>
      </c>
      <c r="AC360" t="s">
        <v>22</v>
      </c>
      <c r="AD360" t="s">
        <v>1909</v>
      </c>
      <c r="AE360">
        <v>5.03450159091021E-5</v>
      </c>
      <c r="AG360" t="s">
        <v>97</v>
      </c>
      <c r="AH360" t="s">
        <v>1909</v>
      </c>
      <c r="AI360">
        <v>0</v>
      </c>
    </row>
    <row r="361" spans="5:40" x14ac:dyDescent="0.45">
      <c r="E361" t="s">
        <v>206</v>
      </c>
      <c r="G361" t="s">
        <v>164</v>
      </c>
      <c r="I361" t="s">
        <v>249</v>
      </c>
      <c r="J361" t="s">
        <v>1910</v>
      </c>
      <c r="K361">
        <v>0</v>
      </c>
      <c r="L361" t="s">
        <v>251</v>
      </c>
      <c r="N361" t="s">
        <v>419</v>
      </c>
      <c r="O361" t="s">
        <v>1910</v>
      </c>
      <c r="P361">
        <v>1.3332698680689999E-4</v>
      </c>
      <c r="Q361" t="s">
        <v>251</v>
      </c>
      <c r="S361" t="s">
        <v>420</v>
      </c>
      <c r="T361" t="s">
        <v>1910</v>
      </c>
      <c r="U361">
        <v>1.864056717942E-4</v>
      </c>
      <c r="V361" t="s">
        <v>251</v>
      </c>
      <c r="X361">
        <v>1.1415525114155251E-4</v>
      </c>
      <c r="Y361">
        <v>5.6352501470966035E-5</v>
      </c>
      <c r="Z361" t="s">
        <v>1910</v>
      </c>
      <c r="AA361" t="s">
        <v>25</v>
      </c>
      <c r="AC361" t="s">
        <v>22</v>
      </c>
      <c r="AD361" t="s">
        <v>1910</v>
      </c>
      <c r="AE361">
        <v>6.8025245072490201E-5</v>
      </c>
      <c r="AG361" t="s">
        <v>97</v>
      </c>
      <c r="AH361" t="s">
        <v>1910</v>
      </c>
      <c r="AI361">
        <v>0</v>
      </c>
    </row>
    <row r="362" spans="5:40" x14ac:dyDescent="0.45">
      <c r="E362" t="s">
        <v>207</v>
      </c>
      <c r="G362" t="s">
        <v>164</v>
      </c>
      <c r="I362" t="s">
        <v>249</v>
      </c>
      <c r="J362" t="s">
        <v>1911</v>
      </c>
      <c r="K362">
        <v>0</v>
      </c>
      <c r="L362" t="s">
        <v>251</v>
      </c>
      <c r="N362" t="s">
        <v>419</v>
      </c>
      <c r="O362" t="s">
        <v>1911</v>
      </c>
      <c r="P362">
        <v>1.3205920113479999E-4</v>
      </c>
      <c r="Q362" t="s">
        <v>251</v>
      </c>
      <c r="S362" t="s">
        <v>420</v>
      </c>
      <c r="T362" t="s">
        <v>1911</v>
      </c>
      <c r="U362">
        <v>1.897115077376E-4</v>
      </c>
      <c r="V362" t="s">
        <v>251</v>
      </c>
      <c r="X362">
        <v>1.1415525114155251E-4</v>
      </c>
      <c r="Y362">
        <v>2.9833677249334962E-5</v>
      </c>
      <c r="Z362" t="s">
        <v>1911</v>
      </c>
      <c r="AA362" t="s">
        <v>25</v>
      </c>
      <c r="AC362" t="s">
        <v>22</v>
      </c>
      <c r="AD362" t="s">
        <v>1911</v>
      </c>
      <c r="AE362">
        <v>8.8164373080392621E-5</v>
      </c>
      <c r="AG362" t="s">
        <v>97</v>
      </c>
      <c r="AH362" t="s">
        <v>1911</v>
      </c>
      <c r="AI362">
        <v>0</v>
      </c>
    </row>
    <row r="363" spans="5:40" x14ac:dyDescent="0.45">
      <c r="E363" t="s">
        <v>208</v>
      </c>
      <c r="G363" t="s">
        <v>164</v>
      </c>
      <c r="I363" t="s">
        <v>249</v>
      </c>
      <c r="J363" t="s">
        <v>1912</v>
      </c>
      <c r="K363">
        <v>0</v>
      </c>
      <c r="L363" t="s">
        <v>251</v>
      </c>
      <c r="N363" t="s">
        <v>419</v>
      </c>
      <c r="O363" t="s">
        <v>1912</v>
      </c>
      <c r="P363">
        <v>1.339250565798E-4</v>
      </c>
      <c r="Q363" t="s">
        <v>251</v>
      </c>
      <c r="S363" t="s">
        <v>420</v>
      </c>
      <c r="T363" t="s">
        <v>1912</v>
      </c>
      <c r="U363">
        <v>1.949424815339E-4</v>
      </c>
      <c r="V363" t="s">
        <v>251</v>
      </c>
      <c r="X363">
        <v>1.1415525114155251E-4</v>
      </c>
      <c r="Y363">
        <v>2.1546544680075254E-5</v>
      </c>
      <c r="Z363" t="s">
        <v>1912</v>
      </c>
      <c r="AA363" t="s">
        <v>25</v>
      </c>
      <c r="AC363" t="s">
        <v>22</v>
      </c>
      <c r="AD363" t="s">
        <v>1912</v>
      </c>
      <c r="AE363">
        <v>9.0351422664344431E-5</v>
      </c>
      <c r="AG363" t="s">
        <v>97</v>
      </c>
      <c r="AH363" t="s">
        <v>1912</v>
      </c>
      <c r="AI363">
        <v>0</v>
      </c>
    </row>
    <row r="364" spans="5:40" x14ac:dyDescent="0.45">
      <c r="E364" t="s">
        <v>209</v>
      </c>
      <c r="G364" t="s">
        <v>164</v>
      </c>
      <c r="I364" t="s">
        <v>249</v>
      </c>
      <c r="J364" t="s">
        <v>1913</v>
      </c>
      <c r="K364">
        <v>0</v>
      </c>
      <c r="L364" t="s">
        <v>251</v>
      </c>
      <c r="N364" t="s">
        <v>419</v>
      </c>
      <c r="O364" t="s">
        <v>1913</v>
      </c>
      <c r="P364">
        <v>1.3933169430699999E-4</v>
      </c>
      <c r="Q364" t="s">
        <v>251</v>
      </c>
      <c r="S364" t="s">
        <v>420</v>
      </c>
      <c r="T364" t="s">
        <v>1913</v>
      </c>
      <c r="U364">
        <v>1.994319487015E-4</v>
      </c>
      <c r="V364" t="s">
        <v>251</v>
      </c>
      <c r="X364">
        <v>1.1415525114155251E-4</v>
      </c>
      <c r="Y364">
        <v>1.4916838624667481E-5</v>
      </c>
      <c r="Z364" t="s">
        <v>1913</v>
      </c>
      <c r="AA364" t="s">
        <v>25</v>
      </c>
      <c r="AC364" t="s">
        <v>22</v>
      </c>
      <c r="AD364" t="s">
        <v>1913</v>
      </c>
      <c r="AE364">
        <v>1.0555604093851148E-4</v>
      </c>
      <c r="AG364" t="s">
        <v>97</v>
      </c>
      <c r="AH364" t="s">
        <v>1913</v>
      </c>
      <c r="AI364">
        <v>0</v>
      </c>
    </row>
    <row r="365" spans="5:40" x14ac:dyDescent="0.45">
      <c r="E365" t="s">
        <v>210</v>
      </c>
      <c r="G365" t="s">
        <v>164</v>
      </c>
      <c r="I365" t="s">
        <v>249</v>
      </c>
      <c r="J365" t="s">
        <v>1914</v>
      </c>
      <c r="K365">
        <v>0</v>
      </c>
      <c r="L365" t="s">
        <v>251</v>
      </c>
      <c r="N365" t="s">
        <v>419</v>
      </c>
      <c r="O365" t="s">
        <v>1914</v>
      </c>
      <c r="P365">
        <v>1.375315235491E-4</v>
      </c>
      <c r="Q365" t="s">
        <v>251</v>
      </c>
      <c r="S365" t="s">
        <v>420</v>
      </c>
      <c r="T365" t="s">
        <v>1914</v>
      </c>
      <c r="U365">
        <v>1.961440807708E-4</v>
      </c>
      <c r="V365" t="s">
        <v>251</v>
      </c>
      <c r="X365">
        <v>1.1415525114155251E-4</v>
      </c>
      <c r="Y365">
        <v>1.6574265138519424E-5</v>
      </c>
      <c r="Z365" t="s">
        <v>1914</v>
      </c>
      <c r="AA365" t="s">
        <v>25</v>
      </c>
      <c r="AC365" t="s">
        <v>22</v>
      </c>
      <c r="AD365" t="s">
        <v>1914</v>
      </c>
      <c r="AE365">
        <v>1.4088641758481558E-4</v>
      </c>
      <c r="AG365" t="s">
        <v>97</v>
      </c>
      <c r="AH365" t="s">
        <v>1914</v>
      </c>
      <c r="AI365">
        <v>0</v>
      </c>
    </row>
    <row r="366" spans="5:40" x14ac:dyDescent="0.45">
      <c r="E366" t="s">
        <v>211</v>
      </c>
      <c r="G366" t="s">
        <v>164</v>
      </c>
      <c r="I366" t="s">
        <v>249</v>
      </c>
      <c r="J366" t="s">
        <v>1915</v>
      </c>
      <c r="K366">
        <v>0</v>
      </c>
      <c r="L366" t="s">
        <v>251</v>
      </c>
      <c r="N366" t="s">
        <v>419</v>
      </c>
      <c r="O366" t="s">
        <v>1915</v>
      </c>
      <c r="P366">
        <v>1.148067556107E-4</v>
      </c>
      <c r="Q366" t="s">
        <v>251</v>
      </c>
      <c r="S366" t="s">
        <v>420</v>
      </c>
      <c r="T366" t="s">
        <v>1915</v>
      </c>
      <c r="U366">
        <v>1.780965297079E-4</v>
      </c>
      <c r="V366" t="s">
        <v>251</v>
      </c>
      <c r="X366">
        <v>1.1415525114155251E-4</v>
      </c>
      <c r="Y366">
        <v>1.4585353321897093E-5</v>
      </c>
      <c r="Z366" t="s">
        <v>1915</v>
      </c>
      <c r="AA366" t="s">
        <v>25</v>
      </c>
      <c r="AC366" t="s">
        <v>22</v>
      </c>
      <c r="AD366" t="s">
        <v>1915</v>
      </c>
      <c r="AE366">
        <v>1.5403879676899833E-4</v>
      </c>
      <c r="AG366" t="s">
        <v>97</v>
      </c>
      <c r="AH366" t="s">
        <v>1915</v>
      </c>
      <c r="AI366">
        <v>0</v>
      </c>
    </row>
    <row r="367" spans="5:40" x14ac:dyDescent="0.45">
      <c r="E367" t="s">
        <v>212</v>
      </c>
      <c r="G367" t="s">
        <v>164</v>
      </c>
      <c r="I367" t="s">
        <v>249</v>
      </c>
      <c r="J367" t="s">
        <v>1916</v>
      </c>
      <c r="K367">
        <v>0</v>
      </c>
      <c r="L367" t="s">
        <v>251</v>
      </c>
      <c r="N367" t="s">
        <v>419</v>
      </c>
      <c r="O367" t="s">
        <v>1916</v>
      </c>
      <c r="P367">
        <v>1.130424106051E-4</v>
      </c>
      <c r="Q367" t="s">
        <v>251</v>
      </c>
      <c r="S367" t="s">
        <v>420</v>
      </c>
      <c r="T367" t="s">
        <v>1916</v>
      </c>
      <c r="U367">
        <v>1.801381341055E-4</v>
      </c>
      <c r="V367" t="s">
        <v>251</v>
      </c>
      <c r="X367">
        <v>1.1415525114155251E-4</v>
      </c>
      <c r="Y367">
        <v>2.1215059377304864E-5</v>
      </c>
      <c r="Z367" t="s">
        <v>1916</v>
      </c>
      <c r="AA367" t="s">
        <v>25</v>
      </c>
      <c r="AC367" t="s">
        <v>22</v>
      </c>
      <c r="AD367" t="s">
        <v>1916</v>
      </c>
      <c r="AE367">
        <v>1.548911110490407E-4</v>
      </c>
      <c r="AG367" t="s">
        <v>97</v>
      </c>
      <c r="AH367" t="s">
        <v>1916</v>
      </c>
      <c r="AI367">
        <v>0</v>
      </c>
    </row>
    <row r="368" spans="5:40" x14ac:dyDescent="0.45">
      <c r="E368" t="s">
        <v>213</v>
      </c>
      <c r="G368" t="s">
        <v>164</v>
      </c>
      <c r="I368" t="s">
        <v>249</v>
      </c>
      <c r="J368" t="s">
        <v>1917</v>
      </c>
      <c r="K368">
        <v>0</v>
      </c>
      <c r="L368" t="s">
        <v>251</v>
      </c>
      <c r="N368" t="s">
        <v>419</v>
      </c>
      <c r="O368" t="s">
        <v>1917</v>
      </c>
      <c r="P368">
        <v>1.100891843703E-4</v>
      </c>
      <c r="Q368" t="s">
        <v>251</v>
      </c>
      <c r="S368" t="s">
        <v>420</v>
      </c>
      <c r="T368" t="s">
        <v>1917</v>
      </c>
      <c r="U368">
        <v>1.800812967614E-4</v>
      </c>
      <c r="V368" t="s">
        <v>251</v>
      </c>
      <c r="X368">
        <v>1.1415525114155251E-4</v>
      </c>
      <c r="Y368">
        <v>5.7678442682047593E-5</v>
      </c>
      <c r="Z368" t="s">
        <v>1917</v>
      </c>
      <c r="AA368" t="s">
        <v>25</v>
      </c>
      <c r="AC368" t="s">
        <v>22</v>
      </c>
      <c r="AD368" t="s">
        <v>1917</v>
      </c>
      <c r="AE368">
        <v>1.560665248600795E-4</v>
      </c>
      <c r="AG368" t="s">
        <v>97</v>
      </c>
      <c r="AH368" t="s">
        <v>1917</v>
      </c>
      <c r="AI368">
        <v>0</v>
      </c>
    </row>
    <row r="369" spans="5:35" x14ac:dyDescent="0.45">
      <c r="E369" t="s">
        <v>214</v>
      </c>
      <c r="G369" t="s">
        <v>164</v>
      </c>
      <c r="I369" t="s">
        <v>249</v>
      </c>
      <c r="J369" t="s">
        <v>1918</v>
      </c>
      <c r="K369">
        <v>7.0369842803580072E-6</v>
      </c>
      <c r="L369" t="s">
        <v>251</v>
      </c>
      <c r="N369" t="s">
        <v>419</v>
      </c>
      <c r="O369" t="s">
        <v>1918</v>
      </c>
      <c r="P369">
        <v>1.103311728867E-4</v>
      </c>
      <c r="Q369" t="s">
        <v>251</v>
      </c>
      <c r="S369" t="s">
        <v>420</v>
      </c>
      <c r="T369" t="s">
        <v>1918</v>
      </c>
      <c r="U369">
        <v>1.8082662748539999E-4</v>
      </c>
      <c r="V369" t="s">
        <v>251</v>
      </c>
      <c r="X369">
        <v>1.1415525114155251E-4</v>
      </c>
      <c r="Y369">
        <v>1.6905750441289813E-4</v>
      </c>
      <c r="Z369" t="s">
        <v>1918</v>
      </c>
      <c r="AA369" t="s">
        <v>25</v>
      </c>
      <c r="AC369" t="s">
        <v>22</v>
      </c>
      <c r="AD369" t="s">
        <v>1918</v>
      </c>
      <c r="AE369">
        <v>1.5610217722212047E-4</v>
      </c>
      <c r="AG369" t="s">
        <v>97</v>
      </c>
      <c r="AH369" t="s">
        <v>1918</v>
      </c>
      <c r="AI369">
        <v>0</v>
      </c>
    </row>
    <row r="370" spans="5:35" x14ac:dyDescent="0.45">
      <c r="E370" t="s">
        <v>215</v>
      </c>
      <c r="G370" t="s">
        <v>164</v>
      </c>
      <c r="I370" t="s">
        <v>249</v>
      </c>
      <c r="J370" t="s">
        <v>1919</v>
      </c>
      <c r="K370">
        <v>2.9020388039945902E-5</v>
      </c>
      <c r="L370" t="s">
        <v>251</v>
      </c>
      <c r="N370" t="s">
        <v>419</v>
      </c>
      <c r="O370" t="s">
        <v>1919</v>
      </c>
      <c r="P370">
        <v>1.376651323069E-4</v>
      </c>
      <c r="Q370" t="s">
        <v>251</v>
      </c>
      <c r="S370" t="s">
        <v>420</v>
      </c>
      <c r="T370" t="s">
        <v>1919</v>
      </c>
      <c r="U370">
        <v>1.8194660876499999E-4</v>
      </c>
      <c r="V370" t="s">
        <v>251</v>
      </c>
      <c r="X370">
        <v>1.1415525114155251E-4</v>
      </c>
      <c r="Y370">
        <v>1.9060404909297337E-4</v>
      </c>
      <c r="Z370" t="s">
        <v>1919</v>
      </c>
      <c r="AA370" t="s">
        <v>25</v>
      </c>
      <c r="AC370" t="s">
        <v>22</v>
      </c>
      <c r="AD370" t="s">
        <v>1919</v>
      </c>
      <c r="AE370">
        <v>1.5513510690175872E-4</v>
      </c>
      <c r="AG370" t="s">
        <v>97</v>
      </c>
      <c r="AH370" t="s">
        <v>1919</v>
      </c>
      <c r="AI370">
        <v>0</v>
      </c>
    </row>
    <row r="371" spans="5:35" x14ac:dyDescent="0.45">
      <c r="E371" t="s">
        <v>509</v>
      </c>
      <c r="G371" t="s">
        <v>435</v>
      </c>
      <c r="I371" t="s">
        <v>249</v>
      </c>
      <c r="J371" t="s">
        <v>1920</v>
      </c>
      <c r="K371">
        <v>6.254850849662851E-5</v>
      </c>
      <c r="L371" t="s">
        <v>251</v>
      </c>
      <c r="N371" t="s">
        <v>419</v>
      </c>
      <c r="O371" t="s">
        <v>1920</v>
      </c>
      <c r="P371">
        <v>1.608415317886E-4</v>
      </c>
      <c r="Q371" t="s">
        <v>251</v>
      </c>
      <c r="S371" t="s">
        <v>420</v>
      </c>
      <c r="T371" t="s">
        <v>1920</v>
      </c>
      <c r="U371">
        <v>1.829961528857E-4</v>
      </c>
      <c r="V371" t="s">
        <v>251</v>
      </c>
      <c r="X371">
        <v>1.1415525114155251E-4</v>
      </c>
      <c r="Y371">
        <v>1.4585353321897094E-4</v>
      </c>
      <c r="Z371" t="s">
        <v>1920</v>
      </c>
      <c r="AA371" t="s">
        <v>25</v>
      </c>
      <c r="AC371" t="s">
        <v>22</v>
      </c>
      <c r="AD371" t="s">
        <v>1920</v>
      </c>
      <c r="AE371">
        <v>1.5501032363461522E-4</v>
      </c>
      <c r="AG371" t="s">
        <v>97</v>
      </c>
      <c r="AH371" t="s">
        <v>1920</v>
      </c>
      <c r="AI371">
        <v>0</v>
      </c>
    </row>
    <row r="372" spans="5:35" x14ac:dyDescent="0.45">
      <c r="E372" t="s">
        <v>510</v>
      </c>
      <c r="G372" t="s">
        <v>435</v>
      </c>
      <c r="I372" t="s">
        <v>249</v>
      </c>
      <c r="J372" t="s">
        <v>1921</v>
      </c>
      <c r="K372">
        <v>9.5940180095517282E-5</v>
      </c>
      <c r="L372" t="s">
        <v>251</v>
      </c>
      <c r="N372" t="s">
        <v>419</v>
      </c>
      <c r="O372" t="s">
        <v>1921</v>
      </c>
      <c r="P372">
        <v>1.5825601965559999E-4</v>
      </c>
      <c r="Q372" t="s">
        <v>251</v>
      </c>
      <c r="S372" t="s">
        <v>420</v>
      </c>
      <c r="T372" t="s">
        <v>1921</v>
      </c>
      <c r="U372">
        <v>1.8124028999689999E-4</v>
      </c>
      <c r="V372" t="s">
        <v>251</v>
      </c>
      <c r="X372">
        <v>1.1415525114155251E-4</v>
      </c>
      <c r="Y372">
        <v>1.4452759200788939E-4</v>
      </c>
      <c r="Z372" t="s">
        <v>1921</v>
      </c>
      <c r="AA372" t="s">
        <v>25</v>
      </c>
      <c r="AC372" t="s">
        <v>22</v>
      </c>
      <c r="AD372" t="s">
        <v>1921</v>
      </c>
      <c r="AE372">
        <v>1.5501032363461522E-4</v>
      </c>
      <c r="AG372" t="s">
        <v>97</v>
      </c>
      <c r="AH372" t="s">
        <v>1921</v>
      </c>
      <c r="AI372">
        <v>0</v>
      </c>
    </row>
    <row r="373" spans="5:35" x14ac:dyDescent="0.45">
      <c r="E373" t="s">
        <v>511</v>
      </c>
      <c r="G373" t="s">
        <v>435</v>
      </c>
      <c r="I373" t="s">
        <v>249</v>
      </c>
      <c r="J373" t="s">
        <v>1922</v>
      </c>
      <c r="K373">
        <v>1.3329825386329999E-4</v>
      </c>
      <c r="L373" t="s">
        <v>251</v>
      </c>
      <c r="N373" t="s">
        <v>419</v>
      </c>
      <c r="O373" t="s">
        <v>1922</v>
      </c>
      <c r="P373">
        <v>1.4879516529410001E-4</v>
      </c>
      <c r="Q373" t="s">
        <v>251</v>
      </c>
      <c r="S373" t="s">
        <v>420</v>
      </c>
      <c r="T373" t="s">
        <v>1922</v>
      </c>
      <c r="U373">
        <v>1.7808911374909999E-4</v>
      </c>
      <c r="V373" t="s">
        <v>251</v>
      </c>
      <c r="X373">
        <v>1.1415525114155251E-4</v>
      </c>
      <c r="Y373">
        <v>1.408812536774151E-4</v>
      </c>
      <c r="Z373" t="s">
        <v>1922</v>
      </c>
      <c r="AA373" t="s">
        <v>25</v>
      </c>
      <c r="AC373" t="s">
        <v>22</v>
      </c>
      <c r="AD373" t="s">
        <v>1922</v>
      </c>
      <c r="AE373">
        <v>1.5471730578409088E-4</v>
      </c>
      <c r="AG373" t="s">
        <v>97</v>
      </c>
      <c r="AH373" t="s">
        <v>1922</v>
      </c>
      <c r="AI373">
        <v>0</v>
      </c>
    </row>
    <row r="374" spans="5:35" x14ac:dyDescent="0.45">
      <c r="E374" t="s">
        <v>512</v>
      </c>
      <c r="G374" t="s">
        <v>435</v>
      </c>
      <c r="I374" t="s">
        <v>249</v>
      </c>
      <c r="J374" t="s">
        <v>1923</v>
      </c>
      <c r="K374">
        <v>1.5606237985869999E-4</v>
      </c>
      <c r="L374" t="s">
        <v>251</v>
      </c>
      <c r="N374" t="s">
        <v>419</v>
      </c>
      <c r="O374" t="s">
        <v>1923</v>
      </c>
      <c r="P374">
        <v>1.4128304714520001E-4</v>
      </c>
      <c r="Q374" t="s">
        <v>251</v>
      </c>
      <c r="S374" t="s">
        <v>420</v>
      </c>
      <c r="T374" t="s">
        <v>1923</v>
      </c>
      <c r="U374">
        <v>1.7600837595550001E-4</v>
      </c>
      <c r="V374" t="s">
        <v>251</v>
      </c>
      <c r="X374">
        <v>1.1415525114155251E-4</v>
      </c>
      <c r="Y374">
        <v>1.4054976837464471E-4</v>
      </c>
      <c r="Z374" t="s">
        <v>1923</v>
      </c>
      <c r="AA374" t="s">
        <v>25</v>
      </c>
      <c r="AC374" t="s">
        <v>22</v>
      </c>
      <c r="AD374" t="s">
        <v>1923</v>
      </c>
      <c r="AE374">
        <v>1.5565095201503925E-4</v>
      </c>
      <c r="AG374" t="s">
        <v>97</v>
      </c>
      <c r="AH374" t="s">
        <v>1923</v>
      </c>
      <c r="AI374">
        <v>0</v>
      </c>
    </row>
    <row r="375" spans="5:35" x14ac:dyDescent="0.45">
      <c r="E375" t="s">
        <v>513</v>
      </c>
      <c r="G375" t="s">
        <v>435</v>
      </c>
      <c r="I375" t="s">
        <v>249</v>
      </c>
      <c r="J375" t="s">
        <v>1924</v>
      </c>
      <c r="K375">
        <v>1.6479396682420001E-4</v>
      </c>
      <c r="L375" t="s">
        <v>251</v>
      </c>
      <c r="N375" t="s">
        <v>419</v>
      </c>
      <c r="O375" t="s">
        <v>1924</v>
      </c>
      <c r="P375">
        <v>1.4153938194629999E-4</v>
      </c>
      <c r="Q375" t="s">
        <v>251</v>
      </c>
      <c r="S375" t="s">
        <v>420</v>
      </c>
      <c r="T375" t="s">
        <v>1924</v>
      </c>
      <c r="U375">
        <v>1.7741207846E-4</v>
      </c>
      <c r="V375" t="s">
        <v>251</v>
      </c>
      <c r="X375">
        <v>1.1415525114155251E-4</v>
      </c>
      <c r="Y375">
        <v>1.4253868019126702E-4</v>
      </c>
      <c r="Z375" t="s">
        <v>1924</v>
      </c>
      <c r="AA375" t="s">
        <v>25</v>
      </c>
      <c r="AC375" t="s">
        <v>22</v>
      </c>
      <c r="AD375" t="s">
        <v>1924</v>
      </c>
      <c r="AE375">
        <v>1.9563841845294722E-4</v>
      </c>
      <c r="AG375" t="s">
        <v>97</v>
      </c>
      <c r="AH375" t="s">
        <v>1924</v>
      </c>
      <c r="AI375">
        <v>0</v>
      </c>
    </row>
    <row r="376" spans="5:35" x14ac:dyDescent="0.45">
      <c r="E376" t="s">
        <v>514</v>
      </c>
      <c r="G376" t="s">
        <v>435</v>
      </c>
      <c r="I376" t="s">
        <v>249</v>
      </c>
      <c r="J376" t="s">
        <v>1925</v>
      </c>
      <c r="K376">
        <v>1.576344161109E-4</v>
      </c>
      <c r="L376" t="s">
        <v>251</v>
      </c>
      <c r="N376" t="s">
        <v>419</v>
      </c>
      <c r="O376" t="s">
        <v>1925</v>
      </c>
      <c r="P376">
        <v>1.4389215957459999E-4</v>
      </c>
      <c r="Q376" t="s">
        <v>251</v>
      </c>
      <c r="S376" t="s">
        <v>420</v>
      </c>
      <c r="T376" t="s">
        <v>1925</v>
      </c>
      <c r="U376">
        <v>1.7467039946100001E-4</v>
      </c>
      <c r="V376" t="s">
        <v>251</v>
      </c>
      <c r="X376">
        <v>1.1415525114155251E-4</v>
      </c>
      <c r="Y376">
        <v>1.4883690094390442E-4</v>
      </c>
      <c r="Z376" t="s">
        <v>1925</v>
      </c>
      <c r="AA376" t="s">
        <v>25</v>
      </c>
      <c r="AC376" t="s">
        <v>22</v>
      </c>
      <c r="AD376" t="s">
        <v>1925</v>
      </c>
      <c r="AE376">
        <v>1.9730962292361851E-4</v>
      </c>
      <c r="AG376" t="s">
        <v>97</v>
      </c>
      <c r="AH376" t="s">
        <v>1925</v>
      </c>
      <c r="AI376">
        <v>0</v>
      </c>
    </row>
    <row r="377" spans="5:35" x14ac:dyDescent="0.45">
      <c r="E377" t="s">
        <v>515</v>
      </c>
      <c r="G377" t="s">
        <v>435</v>
      </c>
      <c r="I377" t="s">
        <v>249</v>
      </c>
      <c r="J377" t="s">
        <v>1926</v>
      </c>
      <c r="K377">
        <v>1.5502894892389999E-4</v>
      </c>
      <c r="L377" t="s">
        <v>251</v>
      </c>
      <c r="N377" t="s">
        <v>419</v>
      </c>
      <c r="O377" t="s">
        <v>1926</v>
      </c>
      <c r="P377">
        <v>1.4856734746630001E-4</v>
      </c>
      <c r="Q377" t="s">
        <v>251</v>
      </c>
      <c r="S377" t="s">
        <v>420</v>
      </c>
      <c r="T377" t="s">
        <v>1926</v>
      </c>
      <c r="U377">
        <v>1.7691841825460001E-4</v>
      </c>
      <c r="V377" t="s">
        <v>251</v>
      </c>
      <c r="X377">
        <v>1.1415525114155251E-4</v>
      </c>
      <c r="Y377">
        <v>1.5049432745775637E-4</v>
      </c>
      <c r="Z377" t="s">
        <v>1926</v>
      </c>
      <c r="AA377" t="s">
        <v>25</v>
      </c>
      <c r="AC377" t="s">
        <v>22</v>
      </c>
      <c r="AD377" t="s">
        <v>1926</v>
      </c>
      <c r="AE377">
        <v>1.8844444027486435E-4</v>
      </c>
      <c r="AG377" t="s">
        <v>97</v>
      </c>
      <c r="AH377" t="s">
        <v>1926</v>
      </c>
      <c r="AI377">
        <v>0</v>
      </c>
    </row>
    <row r="378" spans="5:35" x14ac:dyDescent="0.45">
      <c r="E378" t="s">
        <v>516</v>
      </c>
      <c r="G378" t="s">
        <v>435</v>
      </c>
      <c r="I378" t="s">
        <v>249</v>
      </c>
      <c r="J378" t="s">
        <v>1927</v>
      </c>
      <c r="K378">
        <v>1.4229855590509999E-4</v>
      </c>
      <c r="L378" t="s">
        <v>251</v>
      </c>
      <c r="N378" t="s">
        <v>419</v>
      </c>
      <c r="O378" t="s">
        <v>1927</v>
      </c>
      <c r="P378">
        <v>1.478355075467E-4</v>
      </c>
      <c r="Q378" t="s">
        <v>251</v>
      </c>
      <c r="S378" t="s">
        <v>420</v>
      </c>
      <c r="T378" t="s">
        <v>1927</v>
      </c>
      <c r="U378">
        <v>1.6853291741660001E-4</v>
      </c>
      <c r="V378" t="s">
        <v>251</v>
      </c>
      <c r="X378">
        <v>1.1415525114155251E-4</v>
      </c>
      <c r="Y378">
        <v>1.7237235744060203E-4</v>
      </c>
      <c r="Z378" t="s">
        <v>1927</v>
      </c>
      <c r="AA378" t="s">
        <v>25</v>
      </c>
      <c r="AC378" t="s">
        <v>22</v>
      </c>
      <c r="AD378" t="s">
        <v>1927</v>
      </c>
      <c r="AE378">
        <v>1.5872708237738811E-4</v>
      </c>
      <c r="AG378" t="s">
        <v>97</v>
      </c>
      <c r="AH378" t="s">
        <v>1927</v>
      </c>
      <c r="AI378">
        <v>0</v>
      </c>
    </row>
    <row r="379" spans="5:35" x14ac:dyDescent="0.45">
      <c r="E379" t="s">
        <v>517</v>
      </c>
      <c r="G379" t="s">
        <v>435</v>
      </c>
      <c r="I379" t="s">
        <v>249</v>
      </c>
      <c r="J379" t="s">
        <v>1928</v>
      </c>
      <c r="K379">
        <v>1.1346059931749999E-4</v>
      </c>
      <c r="L379" t="s">
        <v>251</v>
      </c>
      <c r="N379" t="s">
        <v>419</v>
      </c>
      <c r="O379" t="s">
        <v>1928</v>
      </c>
      <c r="P379">
        <v>1.4983206126220001E-4</v>
      </c>
      <c r="Q379" t="s">
        <v>251</v>
      </c>
      <c r="S379" t="s">
        <v>420</v>
      </c>
      <c r="T379" t="s">
        <v>1928</v>
      </c>
      <c r="U379">
        <v>1.672829909351E-4</v>
      </c>
      <c r="V379" t="s">
        <v>251</v>
      </c>
      <c r="X379">
        <v>1.1415525114155251E-4</v>
      </c>
      <c r="Y379">
        <v>2.2209515285616027E-4</v>
      </c>
      <c r="Z379" t="s">
        <v>1928</v>
      </c>
      <c r="AA379" t="s">
        <v>25</v>
      </c>
      <c r="AC379" t="s">
        <v>22</v>
      </c>
      <c r="AD379" t="s">
        <v>1928</v>
      </c>
      <c r="AE379">
        <v>1.1514318391859558E-4</v>
      </c>
      <c r="AG379" t="s">
        <v>97</v>
      </c>
      <c r="AH379" t="s">
        <v>1928</v>
      </c>
      <c r="AI379">
        <v>0</v>
      </c>
    </row>
    <row r="380" spans="5:35" x14ac:dyDescent="0.45">
      <c r="E380" t="s">
        <v>518</v>
      </c>
      <c r="G380" t="s">
        <v>435</v>
      </c>
      <c r="I380" t="s">
        <v>249</v>
      </c>
      <c r="J380" t="s">
        <v>1929</v>
      </c>
      <c r="K380">
        <v>8.0628108975293729E-5</v>
      </c>
      <c r="L380" t="s">
        <v>251</v>
      </c>
      <c r="N380" t="s">
        <v>419</v>
      </c>
      <c r="O380" t="s">
        <v>1929</v>
      </c>
      <c r="P380">
        <v>1.283127022364E-4</v>
      </c>
      <c r="Q380" t="s">
        <v>251</v>
      </c>
      <c r="S380" t="s">
        <v>420</v>
      </c>
      <c r="T380" t="s">
        <v>1929</v>
      </c>
      <c r="U380">
        <v>1.7181106010270001E-4</v>
      </c>
      <c r="V380" t="s">
        <v>251</v>
      </c>
      <c r="X380">
        <v>1.1415525114155251E-4</v>
      </c>
      <c r="Y380">
        <v>2.2209515285616027E-4</v>
      </c>
      <c r="Z380" t="s">
        <v>1929</v>
      </c>
      <c r="AA380" t="s">
        <v>25</v>
      </c>
      <c r="AC380" t="s">
        <v>22</v>
      </c>
      <c r="AD380" t="s">
        <v>1929</v>
      </c>
      <c r="AE380">
        <v>8.3539593241888367E-5</v>
      </c>
      <c r="AG380" t="s">
        <v>97</v>
      </c>
      <c r="AH380" t="s">
        <v>1929</v>
      </c>
      <c r="AI380">
        <v>0</v>
      </c>
    </row>
    <row r="381" spans="5:35" x14ac:dyDescent="0.45">
      <c r="E381" t="s">
        <v>519</v>
      </c>
      <c r="G381" t="s">
        <v>435</v>
      </c>
      <c r="I381" t="s">
        <v>249</v>
      </c>
      <c r="J381" t="s">
        <v>1930</v>
      </c>
      <c r="K381">
        <v>3.2194654366013202E-5</v>
      </c>
      <c r="L381" t="s">
        <v>251</v>
      </c>
      <c r="N381" t="s">
        <v>419</v>
      </c>
      <c r="O381" t="s">
        <v>1930</v>
      </c>
      <c r="P381">
        <v>1.198447220981E-4</v>
      </c>
      <c r="Q381" t="s">
        <v>251</v>
      </c>
      <c r="S381" t="s">
        <v>420</v>
      </c>
      <c r="T381" t="s">
        <v>1930</v>
      </c>
      <c r="U381">
        <v>1.8101261112339999E-4</v>
      </c>
      <c r="V381" t="s">
        <v>251</v>
      </c>
      <c r="X381">
        <v>1.1415525114155251E-4</v>
      </c>
      <c r="Y381">
        <v>1.7237235744060203E-4</v>
      </c>
      <c r="Z381" t="s">
        <v>1930</v>
      </c>
      <c r="AA381" t="s">
        <v>25</v>
      </c>
      <c r="AC381" t="s">
        <v>22</v>
      </c>
      <c r="AD381" t="s">
        <v>1930</v>
      </c>
      <c r="AE381">
        <v>5.2888589113463767E-5</v>
      </c>
      <c r="AG381" t="s">
        <v>97</v>
      </c>
      <c r="AH381" t="s">
        <v>1930</v>
      </c>
      <c r="AI381">
        <v>0</v>
      </c>
    </row>
    <row r="382" spans="5:35" x14ac:dyDescent="0.45">
      <c r="E382" t="s">
        <v>520</v>
      </c>
      <c r="G382" t="s">
        <v>435</v>
      </c>
      <c r="I382" t="s">
        <v>249</v>
      </c>
      <c r="J382" t="s">
        <v>1931</v>
      </c>
      <c r="K382">
        <v>4.2761330426098627E-6</v>
      </c>
      <c r="L382" t="s">
        <v>251</v>
      </c>
      <c r="N382" t="s">
        <v>419</v>
      </c>
      <c r="O382" t="s">
        <v>1931</v>
      </c>
      <c r="P382">
        <v>1.205359833723E-4</v>
      </c>
      <c r="Q382" t="s">
        <v>251</v>
      </c>
      <c r="S382" t="s">
        <v>420</v>
      </c>
      <c r="T382" t="s">
        <v>1931</v>
      </c>
      <c r="U382">
        <v>1.868945459256E-4</v>
      </c>
      <c r="V382" t="s">
        <v>251</v>
      </c>
      <c r="X382">
        <v>1.1415525114155251E-4</v>
      </c>
      <c r="Y382">
        <v>1.5579809230208258E-4</v>
      </c>
      <c r="Z382" t="s">
        <v>1931</v>
      </c>
      <c r="AA382" t="s">
        <v>25</v>
      </c>
      <c r="AC382" t="s">
        <v>22</v>
      </c>
      <c r="AD382" t="s">
        <v>1931</v>
      </c>
      <c r="AE382">
        <v>4.7263314865184325E-5</v>
      </c>
      <c r="AG382" t="s">
        <v>97</v>
      </c>
      <c r="AH382" t="s">
        <v>1931</v>
      </c>
      <c r="AI382">
        <v>0</v>
      </c>
    </row>
    <row r="383" spans="5:35" x14ac:dyDescent="0.45">
      <c r="E383" t="s">
        <v>521</v>
      </c>
      <c r="G383" t="s">
        <v>435</v>
      </c>
      <c r="I383" t="s">
        <v>249</v>
      </c>
      <c r="J383" t="s">
        <v>1932</v>
      </c>
      <c r="K383">
        <v>0</v>
      </c>
      <c r="L383" t="s">
        <v>251</v>
      </c>
      <c r="N383" t="s">
        <v>419</v>
      </c>
      <c r="O383" t="s">
        <v>1932</v>
      </c>
      <c r="P383">
        <v>1.2031121067890001E-4</v>
      </c>
      <c r="Q383" t="s">
        <v>251</v>
      </c>
      <c r="S383" t="s">
        <v>420</v>
      </c>
      <c r="T383" t="s">
        <v>1932</v>
      </c>
      <c r="U383">
        <v>1.8195208865039999E-4</v>
      </c>
      <c r="V383" t="s">
        <v>251</v>
      </c>
      <c r="X383">
        <v>1.1415525114155251E-4</v>
      </c>
      <c r="Y383">
        <v>1.093901499142282E-4</v>
      </c>
      <c r="Z383" t="s">
        <v>1932</v>
      </c>
      <c r="AA383" t="s">
        <v>25</v>
      </c>
      <c r="AC383" t="s">
        <v>22</v>
      </c>
      <c r="AD383" t="s">
        <v>1932</v>
      </c>
      <c r="AE383">
        <v>4.7298967227225328E-5</v>
      </c>
      <c r="AG383" t="s">
        <v>97</v>
      </c>
      <c r="AH383" t="s">
        <v>1932</v>
      </c>
      <c r="AI383">
        <v>0</v>
      </c>
    </row>
    <row r="384" spans="5:35" x14ac:dyDescent="0.45">
      <c r="E384" t="s">
        <v>522</v>
      </c>
      <c r="G384" t="s">
        <v>435</v>
      </c>
      <c r="I384" t="s">
        <v>249</v>
      </c>
      <c r="J384" t="s">
        <v>1933</v>
      </c>
      <c r="K384">
        <v>0</v>
      </c>
      <c r="L384" t="s">
        <v>251</v>
      </c>
      <c r="N384" t="s">
        <v>419</v>
      </c>
      <c r="O384" t="s">
        <v>1933</v>
      </c>
      <c r="P384">
        <v>1.220611586009E-4</v>
      </c>
      <c r="Q384" t="s">
        <v>251</v>
      </c>
      <c r="S384" t="s">
        <v>420</v>
      </c>
      <c r="T384" t="s">
        <v>1933</v>
      </c>
      <c r="U384">
        <v>1.75966685248E-4</v>
      </c>
      <c r="V384" t="s">
        <v>251</v>
      </c>
      <c r="X384">
        <v>1.1415525114155251E-4</v>
      </c>
      <c r="Y384">
        <v>7.9556472664893237E-5</v>
      </c>
      <c r="Z384" t="s">
        <v>1933</v>
      </c>
      <c r="AA384" t="s">
        <v>25</v>
      </c>
      <c r="AC384" t="s">
        <v>22</v>
      </c>
      <c r="AD384" t="s">
        <v>1933</v>
      </c>
      <c r="AE384">
        <v>4.6179260231875612E-5</v>
      </c>
      <c r="AG384" t="s">
        <v>97</v>
      </c>
      <c r="AH384" t="s">
        <v>1933</v>
      </c>
      <c r="AI384">
        <v>0</v>
      </c>
    </row>
    <row r="385" spans="5:35" x14ac:dyDescent="0.45">
      <c r="E385" t="s">
        <v>523</v>
      </c>
      <c r="G385" t="s">
        <v>435</v>
      </c>
      <c r="I385" t="s">
        <v>249</v>
      </c>
      <c r="J385" t="s">
        <v>1934</v>
      </c>
      <c r="K385">
        <v>0</v>
      </c>
      <c r="L385" t="s">
        <v>251</v>
      </c>
      <c r="N385" t="s">
        <v>419</v>
      </c>
      <c r="O385" t="s">
        <v>1934</v>
      </c>
      <c r="P385">
        <v>1.218914894619E-4</v>
      </c>
      <c r="Q385" t="s">
        <v>251</v>
      </c>
      <c r="S385" t="s">
        <v>420</v>
      </c>
      <c r="T385" t="s">
        <v>1934</v>
      </c>
      <c r="U385">
        <v>1.7371148182239999E-4</v>
      </c>
      <c r="V385" t="s">
        <v>251</v>
      </c>
      <c r="X385">
        <v>1.1415525114155251E-4</v>
      </c>
      <c r="Y385">
        <v>5.6352501470966035E-5</v>
      </c>
      <c r="Z385" t="s">
        <v>1934</v>
      </c>
      <c r="AA385" t="s">
        <v>25</v>
      </c>
      <c r="AC385" t="s">
        <v>22</v>
      </c>
      <c r="AD385" t="s">
        <v>1934</v>
      </c>
      <c r="AE385">
        <v>5.850495027123296E-5</v>
      </c>
      <c r="AG385" t="s">
        <v>97</v>
      </c>
      <c r="AH385" t="s">
        <v>1934</v>
      </c>
      <c r="AI385">
        <v>0</v>
      </c>
    </row>
    <row r="386" spans="5:35" x14ac:dyDescent="0.45">
      <c r="E386" t="s">
        <v>524</v>
      </c>
      <c r="G386" t="s">
        <v>435</v>
      </c>
      <c r="I386" t="s">
        <v>249</v>
      </c>
      <c r="J386" t="s">
        <v>1935</v>
      </c>
      <c r="K386">
        <v>0</v>
      </c>
      <c r="L386" t="s">
        <v>251</v>
      </c>
      <c r="N386" t="s">
        <v>419</v>
      </c>
      <c r="O386" t="s">
        <v>1935</v>
      </c>
      <c r="P386">
        <v>1.2711185149259999E-4</v>
      </c>
      <c r="Q386" t="s">
        <v>251</v>
      </c>
      <c r="S386" t="s">
        <v>420</v>
      </c>
      <c r="T386" t="s">
        <v>1935</v>
      </c>
      <c r="U386">
        <v>1.763874763731E-4</v>
      </c>
      <c r="V386" t="s">
        <v>251</v>
      </c>
      <c r="X386">
        <v>1.1415525114155251E-4</v>
      </c>
      <c r="Y386">
        <v>2.9833677249334962E-5</v>
      </c>
      <c r="Z386" t="s">
        <v>1935</v>
      </c>
      <c r="AA386" t="s">
        <v>25</v>
      </c>
      <c r="AC386" t="s">
        <v>22</v>
      </c>
      <c r="AD386" t="s">
        <v>1935</v>
      </c>
      <c r="AE386">
        <v>8.1274554115971919E-5</v>
      </c>
      <c r="AG386" t="s">
        <v>97</v>
      </c>
      <c r="AH386" t="s">
        <v>1935</v>
      </c>
      <c r="AI386">
        <v>0</v>
      </c>
    </row>
    <row r="387" spans="5:35" x14ac:dyDescent="0.45">
      <c r="E387" t="s">
        <v>525</v>
      </c>
      <c r="G387" t="s">
        <v>435</v>
      </c>
      <c r="I387" t="s">
        <v>249</v>
      </c>
      <c r="J387" t="s">
        <v>1936</v>
      </c>
      <c r="K387">
        <v>0</v>
      </c>
      <c r="L387" t="s">
        <v>251</v>
      </c>
      <c r="N387" t="s">
        <v>419</v>
      </c>
      <c r="O387" t="s">
        <v>1936</v>
      </c>
      <c r="P387">
        <v>1.2601112764770001E-4</v>
      </c>
      <c r="Q387" t="s">
        <v>251</v>
      </c>
      <c r="S387" t="s">
        <v>420</v>
      </c>
      <c r="T387" t="s">
        <v>1936</v>
      </c>
      <c r="U387">
        <v>1.7798239725810001E-4</v>
      </c>
      <c r="V387" t="s">
        <v>251</v>
      </c>
      <c r="X387">
        <v>1.1415525114155251E-4</v>
      </c>
      <c r="Y387">
        <v>2.1546544680075254E-5</v>
      </c>
      <c r="Z387" t="s">
        <v>1936</v>
      </c>
      <c r="AA387" t="s">
        <v>25</v>
      </c>
      <c r="AC387" t="s">
        <v>22</v>
      </c>
      <c r="AD387" t="s">
        <v>1936</v>
      </c>
      <c r="AE387">
        <v>8.3562990104477759E-5</v>
      </c>
      <c r="AG387" t="s">
        <v>97</v>
      </c>
      <c r="AH387" t="s">
        <v>1936</v>
      </c>
      <c r="AI387">
        <v>0</v>
      </c>
    </row>
    <row r="388" spans="5:35" x14ac:dyDescent="0.45">
      <c r="E388" t="s">
        <v>526</v>
      </c>
      <c r="G388" t="s">
        <v>435</v>
      </c>
      <c r="I388" t="s">
        <v>249</v>
      </c>
      <c r="J388" t="s">
        <v>1937</v>
      </c>
      <c r="K388">
        <v>0</v>
      </c>
      <c r="L388" t="s">
        <v>251</v>
      </c>
      <c r="N388" t="s">
        <v>419</v>
      </c>
      <c r="O388" t="s">
        <v>1937</v>
      </c>
      <c r="P388">
        <v>1.211834667305E-4</v>
      </c>
      <c r="Q388" t="s">
        <v>251</v>
      </c>
      <c r="S388" t="s">
        <v>420</v>
      </c>
      <c r="T388" t="s">
        <v>1937</v>
      </c>
      <c r="U388">
        <v>1.8424080289859999E-4</v>
      </c>
      <c r="V388" t="s">
        <v>251</v>
      </c>
      <c r="X388">
        <v>1.1415525114155251E-4</v>
      </c>
      <c r="Y388">
        <v>1.4916838624667481E-5</v>
      </c>
      <c r="Z388" t="s">
        <v>1937</v>
      </c>
      <c r="AA388" t="s">
        <v>25</v>
      </c>
      <c r="AC388" t="s">
        <v>22</v>
      </c>
      <c r="AD388" t="s">
        <v>1937</v>
      </c>
      <c r="AE388">
        <v>9.805121872888376E-5</v>
      </c>
      <c r="AG388" t="s">
        <v>97</v>
      </c>
      <c r="AH388" t="s">
        <v>1937</v>
      </c>
      <c r="AI388">
        <v>0</v>
      </c>
    </row>
    <row r="389" spans="5:35" x14ac:dyDescent="0.45">
      <c r="E389" t="s">
        <v>527</v>
      </c>
      <c r="G389" t="s">
        <v>435</v>
      </c>
      <c r="I389" t="s">
        <v>249</v>
      </c>
      <c r="J389" t="s">
        <v>1938</v>
      </c>
      <c r="K389">
        <v>0</v>
      </c>
      <c r="L389" t="s">
        <v>251</v>
      </c>
      <c r="N389" t="s">
        <v>419</v>
      </c>
      <c r="O389" t="s">
        <v>1938</v>
      </c>
      <c r="P389">
        <v>1.083316747056E-4</v>
      </c>
      <c r="Q389" t="s">
        <v>251</v>
      </c>
      <c r="S389" t="s">
        <v>420</v>
      </c>
      <c r="T389" t="s">
        <v>1938</v>
      </c>
      <c r="U389">
        <v>1.8554314921530001E-4</v>
      </c>
      <c r="V389" t="s">
        <v>251</v>
      </c>
      <c r="X389">
        <v>1.1415525114155251E-4</v>
      </c>
      <c r="Y389">
        <v>1.6574265138519424E-5</v>
      </c>
      <c r="Z389" t="s">
        <v>1938</v>
      </c>
      <c r="AA389" t="s">
        <v>25</v>
      </c>
      <c r="AC389" t="s">
        <v>22</v>
      </c>
      <c r="AD389" t="s">
        <v>1938</v>
      </c>
      <c r="AE389">
        <v>1.2149933158871525E-4</v>
      </c>
      <c r="AG389" t="s">
        <v>97</v>
      </c>
      <c r="AH389" t="s">
        <v>1938</v>
      </c>
      <c r="AI389">
        <v>0</v>
      </c>
    </row>
    <row r="390" spans="5:35" x14ac:dyDescent="0.45">
      <c r="E390" t="s">
        <v>528</v>
      </c>
      <c r="G390" t="s">
        <v>435</v>
      </c>
      <c r="I390" t="s">
        <v>249</v>
      </c>
      <c r="J390" t="s">
        <v>1939</v>
      </c>
      <c r="K390">
        <v>0</v>
      </c>
      <c r="L390" t="s">
        <v>251</v>
      </c>
      <c r="N390" t="s">
        <v>419</v>
      </c>
      <c r="O390" t="s">
        <v>1939</v>
      </c>
      <c r="P390">
        <v>9.8520048618432765E-5</v>
      </c>
      <c r="Q390" t="s">
        <v>251</v>
      </c>
      <c r="S390" t="s">
        <v>420</v>
      </c>
      <c r="T390" t="s">
        <v>1939</v>
      </c>
      <c r="U390">
        <v>1.7961260235230001E-4</v>
      </c>
      <c r="V390" t="s">
        <v>251</v>
      </c>
      <c r="X390">
        <v>1.1415525114155251E-4</v>
      </c>
      <c r="Y390">
        <v>1.4585353321897093E-5</v>
      </c>
      <c r="Z390" t="s">
        <v>1939</v>
      </c>
      <c r="AA390" t="s">
        <v>25</v>
      </c>
      <c r="AC390" t="s">
        <v>22</v>
      </c>
      <c r="AD390" t="s">
        <v>1939</v>
      </c>
      <c r="AE390">
        <v>1.3843308942187017E-4</v>
      </c>
      <c r="AG390" t="s">
        <v>97</v>
      </c>
      <c r="AH390" t="s">
        <v>1939</v>
      </c>
      <c r="AI390">
        <v>0</v>
      </c>
    </row>
    <row r="391" spans="5:35" x14ac:dyDescent="0.45">
      <c r="E391" t="s">
        <v>529</v>
      </c>
      <c r="G391" t="s">
        <v>435</v>
      </c>
      <c r="I391" t="s">
        <v>249</v>
      </c>
      <c r="J391" t="s">
        <v>1940</v>
      </c>
      <c r="K391">
        <v>0</v>
      </c>
      <c r="L391" t="s">
        <v>251</v>
      </c>
      <c r="N391" t="s">
        <v>419</v>
      </c>
      <c r="O391" t="s">
        <v>1940</v>
      </c>
      <c r="P391">
        <v>9.34572788900108E-5</v>
      </c>
      <c r="Q391" t="s">
        <v>251</v>
      </c>
      <c r="S391" t="s">
        <v>420</v>
      </c>
      <c r="T391" t="s">
        <v>1940</v>
      </c>
      <c r="U391">
        <v>1.7526482950529999E-4</v>
      </c>
      <c r="V391" t="s">
        <v>251</v>
      </c>
      <c r="X391">
        <v>1.1415525114155251E-4</v>
      </c>
      <c r="Y391">
        <v>2.1215059377304864E-5</v>
      </c>
      <c r="Z391" t="s">
        <v>1940</v>
      </c>
      <c r="AA391" t="s">
        <v>25</v>
      </c>
      <c r="AC391" t="s">
        <v>22</v>
      </c>
      <c r="AD391" t="s">
        <v>1940</v>
      </c>
      <c r="AE391">
        <v>1.4317596770963519E-4</v>
      </c>
      <c r="AG391" t="s">
        <v>97</v>
      </c>
      <c r="AH391" t="s">
        <v>1940</v>
      </c>
      <c r="AI391">
        <v>0</v>
      </c>
    </row>
    <row r="392" spans="5:35" x14ac:dyDescent="0.45">
      <c r="E392" t="s">
        <v>530</v>
      </c>
      <c r="G392" t="s">
        <v>435</v>
      </c>
      <c r="I392" t="s">
        <v>249</v>
      </c>
      <c r="J392" t="s">
        <v>1941</v>
      </c>
      <c r="K392">
        <v>0</v>
      </c>
      <c r="L392" t="s">
        <v>251</v>
      </c>
      <c r="N392" t="s">
        <v>419</v>
      </c>
      <c r="O392" t="s">
        <v>1941</v>
      </c>
      <c r="P392">
        <v>9.4784510750611122E-5</v>
      </c>
      <c r="Q392" t="s">
        <v>251</v>
      </c>
      <c r="S392" t="s">
        <v>420</v>
      </c>
      <c r="T392" t="s">
        <v>1941</v>
      </c>
      <c r="U392">
        <v>1.693023390476E-4</v>
      </c>
      <c r="V392" t="s">
        <v>251</v>
      </c>
      <c r="X392">
        <v>1.1415525114155251E-4</v>
      </c>
      <c r="Y392">
        <v>5.7678442682047593E-5</v>
      </c>
      <c r="Z392" t="s">
        <v>1941</v>
      </c>
      <c r="AA392" t="s">
        <v>25</v>
      </c>
      <c r="AC392" t="s">
        <v>22</v>
      </c>
      <c r="AD392" t="s">
        <v>1941</v>
      </c>
      <c r="AE392">
        <v>1.4344001801600126E-4</v>
      </c>
      <c r="AG392" t="s">
        <v>97</v>
      </c>
      <c r="AH392" t="s">
        <v>1941</v>
      </c>
      <c r="AI392">
        <v>0</v>
      </c>
    </row>
    <row r="393" spans="5:35" x14ac:dyDescent="0.45">
      <c r="E393" t="s">
        <v>531</v>
      </c>
      <c r="G393" t="s">
        <v>435</v>
      </c>
      <c r="I393" t="s">
        <v>249</v>
      </c>
      <c r="J393" t="s">
        <v>1942</v>
      </c>
      <c r="K393">
        <v>5.8830506525029086E-6</v>
      </c>
      <c r="L393" t="s">
        <v>251</v>
      </c>
      <c r="N393" t="s">
        <v>419</v>
      </c>
      <c r="O393" t="s">
        <v>1942</v>
      </c>
      <c r="P393">
        <v>9.12287856459073E-5</v>
      </c>
      <c r="Q393" t="s">
        <v>251</v>
      </c>
      <c r="S393" t="s">
        <v>420</v>
      </c>
      <c r="T393" t="s">
        <v>1942</v>
      </c>
      <c r="U393">
        <v>1.601932940855E-4</v>
      </c>
      <c r="V393" t="s">
        <v>251</v>
      </c>
      <c r="X393">
        <v>1.1415525114155251E-4</v>
      </c>
      <c r="Y393">
        <v>1.6905750441289813E-4</v>
      </c>
      <c r="Z393" t="s">
        <v>1942</v>
      </c>
      <c r="AA393" t="s">
        <v>25</v>
      </c>
      <c r="AC393" t="s">
        <v>22</v>
      </c>
      <c r="AD393" t="s">
        <v>1942</v>
      </c>
      <c r="AE393">
        <v>1.4344001801600126E-4</v>
      </c>
      <c r="AG393" t="s">
        <v>97</v>
      </c>
      <c r="AH393" t="s">
        <v>1942</v>
      </c>
      <c r="AI393">
        <v>0</v>
      </c>
    </row>
    <row r="394" spans="5:35" x14ac:dyDescent="0.45">
      <c r="E394" t="s">
        <v>532</v>
      </c>
      <c r="G394" t="s">
        <v>435</v>
      </c>
      <c r="I394" t="s">
        <v>249</v>
      </c>
      <c r="J394" t="s">
        <v>1943</v>
      </c>
      <c r="K394">
        <v>2.6374471772130844E-5</v>
      </c>
      <c r="L394" t="s">
        <v>251</v>
      </c>
      <c r="N394" t="s">
        <v>419</v>
      </c>
      <c r="O394" t="s">
        <v>1943</v>
      </c>
      <c r="P394">
        <v>1.054113109837E-4</v>
      </c>
      <c r="Q394" t="s">
        <v>251</v>
      </c>
      <c r="S394" t="s">
        <v>420</v>
      </c>
      <c r="T394" t="s">
        <v>1943</v>
      </c>
      <c r="U394">
        <v>1.5540023864360001E-4</v>
      </c>
      <c r="V394" t="s">
        <v>251</v>
      </c>
      <c r="X394">
        <v>1.1415525114155251E-4</v>
      </c>
      <c r="Y394">
        <v>1.9060404909297337E-4</v>
      </c>
      <c r="Z394" t="s">
        <v>1943</v>
      </c>
      <c r="AA394" t="s">
        <v>25</v>
      </c>
      <c r="AC394" t="s">
        <v>22</v>
      </c>
      <c r="AD394" t="s">
        <v>1943</v>
      </c>
      <c r="AE394">
        <v>1.4369961177711219E-4</v>
      </c>
      <c r="AG394" t="s">
        <v>97</v>
      </c>
      <c r="AH394" t="s">
        <v>1943</v>
      </c>
      <c r="AI394">
        <v>0</v>
      </c>
    </row>
    <row r="395" spans="5:35" x14ac:dyDescent="0.45">
      <c r="E395" t="s">
        <v>240</v>
      </c>
      <c r="G395" t="s">
        <v>152</v>
      </c>
      <c r="I395" t="s">
        <v>249</v>
      </c>
      <c r="J395" t="s">
        <v>1944</v>
      </c>
      <c r="K395">
        <v>5.8718185060113219E-5</v>
      </c>
      <c r="L395" t="s">
        <v>251</v>
      </c>
      <c r="N395" t="s">
        <v>419</v>
      </c>
      <c r="O395" t="s">
        <v>1944</v>
      </c>
      <c r="P395">
        <v>1.207104011835E-4</v>
      </c>
      <c r="Q395" t="s">
        <v>251</v>
      </c>
      <c r="S395" t="s">
        <v>420</v>
      </c>
      <c r="T395" t="s">
        <v>1944</v>
      </c>
      <c r="U395">
        <v>1.5313587284409999E-4</v>
      </c>
      <c r="V395" t="s">
        <v>251</v>
      </c>
      <c r="X395">
        <v>1.1415525114155251E-4</v>
      </c>
      <c r="Y395">
        <v>1.4585353321897094E-4</v>
      </c>
      <c r="Z395" t="s">
        <v>1944</v>
      </c>
      <c r="AA395" t="s">
        <v>25</v>
      </c>
      <c r="AC395" t="s">
        <v>22</v>
      </c>
      <c r="AD395" t="s">
        <v>1944</v>
      </c>
      <c r="AE395">
        <v>1.4386338981523799E-4</v>
      </c>
      <c r="AG395" t="s">
        <v>97</v>
      </c>
      <c r="AH395" t="s">
        <v>1944</v>
      </c>
      <c r="AI395">
        <v>0</v>
      </c>
    </row>
    <row r="396" spans="5:35" x14ac:dyDescent="0.45">
      <c r="E396" t="s">
        <v>241</v>
      </c>
      <c r="G396" t="s">
        <v>152</v>
      </c>
      <c r="I396" t="s">
        <v>249</v>
      </c>
      <c r="J396" t="s">
        <v>1945</v>
      </c>
      <c r="K396">
        <v>9.1337058678560095E-5</v>
      </c>
      <c r="L396" t="s">
        <v>251</v>
      </c>
      <c r="N396" t="s">
        <v>419</v>
      </c>
      <c r="O396" t="s">
        <v>1945</v>
      </c>
      <c r="P396">
        <v>1.3247918325539999E-4</v>
      </c>
      <c r="Q396" t="s">
        <v>251</v>
      </c>
      <c r="S396" t="s">
        <v>420</v>
      </c>
      <c r="T396" t="s">
        <v>1945</v>
      </c>
      <c r="U396">
        <v>1.5541915171739999E-4</v>
      </c>
      <c r="V396" t="s">
        <v>251</v>
      </c>
      <c r="X396">
        <v>1.1415525114155251E-4</v>
      </c>
      <c r="Y396">
        <v>1.4452759200788939E-4</v>
      </c>
      <c r="Z396" t="s">
        <v>1945</v>
      </c>
      <c r="AA396" t="s">
        <v>25</v>
      </c>
      <c r="AC396" t="s">
        <v>22</v>
      </c>
      <c r="AD396" t="s">
        <v>1945</v>
      </c>
      <c r="AE396">
        <v>1.4386338981523799E-4</v>
      </c>
      <c r="AG396" t="s">
        <v>97</v>
      </c>
      <c r="AH396" t="s">
        <v>1945</v>
      </c>
      <c r="AI396">
        <v>0</v>
      </c>
    </row>
    <row r="397" spans="5:35" x14ac:dyDescent="0.45">
      <c r="E397" t="s">
        <v>242</v>
      </c>
      <c r="G397" t="s">
        <v>152</v>
      </c>
      <c r="I397" t="s">
        <v>249</v>
      </c>
      <c r="J397" t="s">
        <v>1946</v>
      </c>
      <c r="K397">
        <v>1.172473371246E-4</v>
      </c>
      <c r="L397" t="s">
        <v>251</v>
      </c>
      <c r="N397" t="s">
        <v>419</v>
      </c>
      <c r="O397" t="s">
        <v>1946</v>
      </c>
      <c r="P397">
        <v>1.2802060636720001E-4</v>
      </c>
      <c r="Q397" t="s">
        <v>251</v>
      </c>
      <c r="S397" t="s">
        <v>420</v>
      </c>
      <c r="T397" t="s">
        <v>1946</v>
      </c>
      <c r="U397">
        <v>1.604746370069E-4</v>
      </c>
      <c r="V397" t="s">
        <v>251</v>
      </c>
      <c r="X397">
        <v>1.1415525114155251E-4</v>
      </c>
      <c r="Y397">
        <v>1.408812536774151E-4</v>
      </c>
      <c r="Z397" t="s">
        <v>1946</v>
      </c>
      <c r="AA397" t="s">
        <v>25</v>
      </c>
      <c r="AC397" t="s">
        <v>22</v>
      </c>
      <c r="AD397" t="s">
        <v>1946</v>
      </c>
      <c r="AE397">
        <v>1.4387564531468953E-4</v>
      </c>
      <c r="AG397" t="s">
        <v>97</v>
      </c>
      <c r="AH397" t="s">
        <v>1946</v>
      </c>
      <c r="AI397">
        <v>0</v>
      </c>
    </row>
    <row r="398" spans="5:35" x14ac:dyDescent="0.45">
      <c r="E398" t="s">
        <v>243</v>
      </c>
      <c r="G398" t="s">
        <v>152</v>
      </c>
      <c r="I398" t="s">
        <v>249</v>
      </c>
      <c r="J398" t="s">
        <v>1947</v>
      </c>
      <c r="K398">
        <v>1.591540995549E-4</v>
      </c>
      <c r="L398" t="s">
        <v>251</v>
      </c>
      <c r="N398" t="s">
        <v>419</v>
      </c>
      <c r="O398" t="s">
        <v>1947</v>
      </c>
      <c r="P398">
        <v>1.2249370299149999E-4</v>
      </c>
      <c r="Q398" t="s">
        <v>251</v>
      </c>
      <c r="S398" t="s">
        <v>420</v>
      </c>
      <c r="T398" t="s">
        <v>1947</v>
      </c>
      <c r="U398">
        <v>1.6586853691730001E-4</v>
      </c>
      <c r="V398" t="s">
        <v>251</v>
      </c>
      <c r="X398">
        <v>1.1415525114155251E-4</v>
      </c>
      <c r="Y398">
        <v>1.4054976837464471E-4</v>
      </c>
      <c r="Z398" t="s">
        <v>1947</v>
      </c>
      <c r="AA398" t="s">
        <v>25</v>
      </c>
      <c r="AC398" t="s">
        <v>22</v>
      </c>
      <c r="AD398" t="s">
        <v>1947</v>
      </c>
      <c r="AE398">
        <v>1.4416086421101745E-4</v>
      </c>
      <c r="AG398" t="s">
        <v>97</v>
      </c>
      <c r="AH398" t="s">
        <v>1947</v>
      </c>
      <c r="AI398">
        <v>0</v>
      </c>
    </row>
    <row r="399" spans="5:35" x14ac:dyDescent="0.45">
      <c r="E399" t="s">
        <v>244</v>
      </c>
      <c r="G399" t="s">
        <v>152</v>
      </c>
      <c r="I399" t="s">
        <v>249</v>
      </c>
      <c r="J399" t="s">
        <v>1948</v>
      </c>
      <c r="K399">
        <v>1.884276671698E-4</v>
      </c>
      <c r="L399" t="s">
        <v>251</v>
      </c>
      <c r="N399" t="s">
        <v>419</v>
      </c>
      <c r="O399" t="s">
        <v>1948</v>
      </c>
      <c r="P399">
        <v>1.214479262059E-4</v>
      </c>
      <c r="Q399" t="s">
        <v>251</v>
      </c>
      <c r="S399" t="s">
        <v>420</v>
      </c>
      <c r="T399" t="s">
        <v>1948</v>
      </c>
      <c r="U399">
        <v>1.705950684063E-4</v>
      </c>
      <c r="V399" t="s">
        <v>251</v>
      </c>
      <c r="X399">
        <v>1.1415525114155251E-4</v>
      </c>
      <c r="Y399">
        <v>1.4253868019126702E-4</v>
      </c>
      <c r="Z399" t="s">
        <v>1948</v>
      </c>
      <c r="AA399" t="s">
        <v>25</v>
      </c>
      <c r="AC399" t="s">
        <v>22</v>
      </c>
      <c r="AD399" t="s">
        <v>1948</v>
      </c>
      <c r="AE399">
        <v>1.7197527728455604E-4</v>
      </c>
      <c r="AG399" t="s">
        <v>97</v>
      </c>
      <c r="AH399" t="s">
        <v>1948</v>
      </c>
      <c r="AI399">
        <v>0</v>
      </c>
    </row>
    <row r="400" spans="5:35" x14ac:dyDescent="0.45">
      <c r="E400" t="s">
        <v>245</v>
      </c>
      <c r="G400" t="s">
        <v>152</v>
      </c>
      <c r="I400" t="s">
        <v>249</v>
      </c>
      <c r="J400" t="s">
        <v>1949</v>
      </c>
      <c r="K400">
        <v>1.7529246306250001E-4</v>
      </c>
      <c r="L400" t="s">
        <v>251</v>
      </c>
      <c r="N400" t="s">
        <v>419</v>
      </c>
      <c r="O400" t="s">
        <v>1949</v>
      </c>
      <c r="P400">
        <v>1.170295112227E-4</v>
      </c>
      <c r="Q400" t="s">
        <v>251</v>
      </c>
      <c r="S400" t="s">
        <v>420</v>
      </c>
      <c r="T400" t="s">
        <v>1949</v>
      </c>
      <c r="U400">
        <v>1.647392022292E-4</v>
      </c>
      <c r="V400" t="s">
        <v>251</v>
      </c>
      <c r="X400">
        <v>1.1415525114155251E-4</v>
      </c>
      <c r="Y400">
        <v>1.4883690094390442E-4</v>
      </c>
      <c r="Z400" t="s">
        <v>1949</v>
      </c>
      <c r="AA400" t="s">
        <v>25</v>
      </c>
      <c r="AC400" t="s">
        <v>22</v>
      </c>
      <c r="AD400" t="s">
        <v>1949</v>
      </c>
      <c r="AE400">
        <v>1.7373338438770219E-4</v>
      </c>
      <c r="AG400" t="s">
        <v>97</v>
      </c>
      <c r="AH400" t="s">
        <v>1949</v>
      </c>
      <c r="AI400">
        <v>0</v>
      </c>
    </row>
    <row r="401" spans="5:35" x14ac:dyDescent="0.45">
      <c r="E401" t="s">
        <v>246</v>
      </c>
      <c r="G401" t="s">
        <v>152</v>
      </c>
      <c r="I401" t="s">
        <v>249</v>
      </c>
      <c r="J401" t="s">
        <v>1950</v>
      </c>
      <c r="K401">
        <v>1.8585651164819999E-4</v>
      </c>
      <c r="L401" t="s">
        <v>251</v>
      </c>
      <c r="N401" t="s">
        <v>419</v>
      </c>
      <c r="O401" t="s">
        <v>1950</v>
      </c>
      <c r="P401">
        <v>1.2490181674820001E-4</v>
      </c>
      <c r="Q401" t="s">
        <v>251</v>
      </c>
      <c r="S401" t="s">
        <v>420</v>
      </c>
      <c r="T401" t="s">
        <v>1950</v>
      </c>
      <c r="U401">
        <v>1.6790724781839999E-4</v>
      </c>
      <c r="V401" t="s">
        <v>251</v>
      </c>
      <c r="X401">
        <v>1.1415525114155251E-4</v>
      </c>
      <c r="Y401">
        <v>1.5049432745775637E-4</v>
      </c>
      <c r="Z401" t="s">
        <v>1950</v>
      </c>
      <c r="AA401" t="s">
        <v>25</v>
      </c>
      <c r="AC401" t="s">
        <v>22</v>
      </c>
      <c r="AD401" t="s">
        <v>1950</v>
      </c>
      <c r="AE401">
        <v>1.6688367433057759E-4</v>
      </c>
      <c r="AG401" t="s">
        <v>97</v>
      </c>
      <c r="AH401" t="s">
        <v>1950</v>
      </c>
      <c r="AI401">
        <v>0</v>
      </c>
    </row>
    <row r="402" spans="5:35" x14ac:dyDescent="0.45">
      <c r="E402" t="s">
        <v>247</v>
      </c>
      <c r="G402" t="s">
        <v>152</v>
      </c>
      <c r="I402" t="s">
        <v>249</v>
      </c>
      <c r="J402" t="s">
        <v>1951</v>
      </c>
      <c r="K402">
        <v>1.520995413796E-4</v>
      </c>
      <c r="L402" t="s">
        <v>251</v>
      </c>
      <c r="N402" t="s">
        <v>419</v>
      </c>
      <c r="O402" t="s">
        <v>1951</v>
      </c>
      <c r="P402">
        <v>9.866894097634884E-5</v>
      </c>
      <c r="Q402" t="s">
        <v>251</v>
      </c>
      <c r="S402" t="s">
        <v>420</v>
      </c>
      <c r="T402" t="s">
        <v>1951</v>
      </c>
      <c r="U402">
        <v>1.6725772135039999E-4</v>
      </c>
      <c r="V402" t="s">
        <v>251</v>
      </c>
      <c r="X402">
        <v>1.1415525114155251E-4</v>
      </c>
      <c r="Y402">
        <v>1.7237235744060203E-4</v>
      </c>
      <c r="Z402" t="s">
        <v>1951</v>
      </c>
      <c r="AA402" t="s">
        <v>25</v>
      </c>
      <c r="AC402" t="s">
        <v>22</v>
      </c>
      <c r="AD402" t="s">
        <v>1951</v>
      </c>
      <c r="AE402">
        <v>1.4592454199573252E-4</v>
      </c>
      <c r="AG402" t="s">
        <v>97</v>
      </c>
      <c r="AH402" t="s">
        <v>1951</v>
      </c>
      <c r="AI402">
        <v>0</v>
      </c>
    </row>
    <row r="403" spans="5:35" x14ac:dyDescent="0.45">
      <c r="I403" t="s">
        <v>249</v>
      </c>
      <c r="J403" t="s">
        <v>1952</v>
      </c>
      <c r="K403">
        <v>1.136335430105E-4</v>
      </c>
      <c r="L403" t="s">
        <v>251</v>
      </c>
      <c r="N403" t="s">
        <v>419</v>
      </c>
      <c r="O403" t="s">
        <v>1952</v>
      </c>
      <c r="P403">
        <v>1.126746932942E-4</v>
      </c>
      <c r="Q403" t="s">
        <v>251</v>
      </c>
      <c r="S403" t="s">
        <v>420</v>
      </c>
      <c r="T403" t="s">
        <v>1952</v>
      </c>
      <c r="U403">
        <v>1.7191431129749999E-4</v>
      </c>
      <c r="V403" t="s">
        <v>251</v>
      </c>
      <c r="X403">
        <v>1.1415525114155251E-4</v>
      </c>
      <c r="Y403">
        <v>2.2209515285616027E-4</v>
      </c>
      <c r="Z403" t="s">
        <v>1952</v>
      </c>
      <c r="AA403" t="s">
        <v>25</v>
      </c>
      <c r="AC403" t="s">
        <v>22</v>
      </c>
      <c r="AD403" t="s">
        <v>1952</v>
      </c>
      <c r="AE403">
        <v>1.2107150324422339E-4</v>
      </c>
      <c r="AG403" t="s">
        <v>97</v>
      </c>
      <c r="AH403" t="s">
        <v>1952</v>
      </c>
      <c r="AI403">
        <v>0</v>
      </c>
    </row>
    <row r="404" spans="5:35" x14ac:dyDescent="0.45">
      <c r="I404" t="s">
        <v>249</v>
      </c>
      <c r="J404" t="s">
        <v>1953</v>
      </c>
      <c r="K404">
        <v>6.8360790772152542E-5</v>
      </c>
      <c r="L404" t="s">
        <v>251</v>
      </c>
      <c r="N404" t="s">
        <v>419</v>
      </c>
      <c r="O404" t="s">
        <v>1953</v>
      </c>
      <c r="P404">
        <v>1.087887152725E-4</v>
      </c>
      <c r="Q404" t="s">
        <v>251</v>
      </c>
      <c r="S404" t="s">
        <v>420</v>
      </c>
      <c r="T404" t="s">
        <v>1953</v>
      </c>
      <c r="U404">
        <v>1.793667447263E-4</v>
      </c>
      <c r="V404" t="s">
        <v>251</v>
      </c>
      <c r="X404">
        <v>1.1415525114155251E-4</v>
      </c>
      <c r="Y404">
        <v>2.2209515285616027E-4</v>
      </c>
      <c r="Z404" t="s">
        <v>1953</v>
      </c>
      <c r="AA404" t="s">
        <v>25</v>
      </c>
      <c r="AC404" t="s">
        <v>22</v>
      </c>
      <c r="AD404" t="s">
        <v>1953</v>
      </c>
      <c r="AE404">
        <v>8.9962589090834873E-5</v>
      </c>
      <c r="AG404" t="s">
        <v>97</v>
      </c>
      <c r="AH404" t="s">
        <v>1953</v>
      </c>
      <c r="AI404">
        <v>0</v>
      </c>
    </row>
    <row r="405" spans="5:35" x14ac:dyDescent="0.45">
      <c r="I405" t="s">
        <v>249</v>
      </c>
      <c r="J405" t="s">
        <v>1954</v>
      </c>
      <c r="K405">
        <v>2.6584719071291404E-5</v>
      </c>
      <c r="L405" t="s">
        <v>251</v>
      </c>
      <c r="N405" t="s">
        <v>419</v>
      </c>
      <c r="O405" t="s">
        <v>1954</v>
      </c>
      <c r="P405">
        <v>1.2208028738510001E-4</v>
      </c>
      <c r="Q405" t="s">
        <v>251</v>
      </c>
      <c r="S405" t="s">
        <v>420</v>
      </c>
      <c r="T405" t="s">
        <v>1954</v>
      </c>
      <c r="U405">
        <v>1.807915951222E-4</v>
      </c>
      <c r="V405" t="s">
        <v>251</v>
      </c>
      <c r="X405">
        <v>1.1415525114155251E-4</v>
      </c>
      <c r="Y405">
        <v>1.7237235744060203E-4</v>
      </c>
      <c r="Z405" t="s">
        <v>1954</v>
      </c>
      <c r="AA405" t="s">
        <v>25</v>
      </c>
      <c r="AC405" t="s">
        <v>22</v>
      </c>
      <c r="AD405" t="s">
        <v>1954</v>
      </c>
      <c r="AE405">
        <v>5.4902947568779515E-5</v>
      </c>
      <c r="AG405" t="s">
        <v>97</v>
      </c>
      <c r="AH405" t="s">
        <v>1954</v>
      </c>
      <c r="AI405">
        <v>0</v>
      </c>
    </row>
    <row r="406" spans="5:35" x14ac:dyDescent="0.45">
      <c r="I406" t="s">
        <v>249</v>
      </c>
      <c r="J406" t="s">
        <v>1955</v>
      </c>
      <c r="K406">
        <v>2.8774524670806219E-6</v>
      </c>
      <c r="L406" t="s">
        <v>251</v>
      </c>
      <c r="N406" t="s">
        <v>419</v>
      </c>
      <c r="O406" t="s">
        <v>1955</v>
      </c>
      <c r="P406">
        <v>1.2949964727649999E-4</v>
      </c>
      <c r="Q406" t="s">
        <v>251</v>
      </c>
      <c r="S406" t="s">
        <v>420</v>
      </c>
      <c r="T406" t="s">
        <v>1955</v>
      </c>
      <c r="U406">
        <v>1.7827188201359999E-4</v>
      </c>
      <c r="V406" t="s">
        <v>251</v>
      </c>
      <c r="X406">
        <v>1.1415525114155251E-4</v>
      </c>
      <c r="Y406">
        <v>1.5579809230208258E-4</v>
      </c>
      <c r="Z406" t="s">
        <v>1955</v>
      </c>
      <c r="AA406" t="s">
        <v>25</v>
      </c>
      <c r="AC406" t="s">
        <v>22</v>
      </c>
      <c r="AD406" t="s">
        <v>1955</v>
      </c>
      <c r="AE406">
        <v>4.7263314865184305E-5</v>
      </c>
      <c r="AG406" t="s">
        <v>97</v>
      </c>
      <c r="AH406" t="s">
        <v>1955</v>
      </c>
      <c r="AI406">
        <v>0</v>
      </c>
    </row>
    <row r="407" spans="5:35" x14ac:dyDescent="0.45">
      <c r="I407" t="s">
        <v>249</v>
      </c>
      <c r="J407" t="s">
        <v>1956</v>
      </c>
      <c r="K407">
        <v>0</v>
      </c>
      <c r="L407" t="s">
        <v>251</v>
      </c>
      <c r="N407" t="s">
        <v>419</v>
      </c>
      <c r="O407" t="s">
        <v>1956</v>
      </c>
      <c r="P407">
        <v>1.3893851906209999E-4</v>
      </c>
      <c r="Q407" t="s">
        <v>251</v>
      </c>
      <c r="S407" t="s">
        <v>420</v>
      </c>
      <c r="T407" t="s">
        <v>1956</v>
      </c>
      <c r="U407">
        <v>1.688570018209E-4</v>
      </c>
      <c r="V407" t="s">
        <v>251</v>
      </c>
      <c r="X407">
        <v>1.1415525114155251E-4</v>
      </c>
      <c r="Y407">
        <v>1.093901499142282E-4</v>
      </c>
      <c r="Z407" t="s">
        <v>1956</v>
      </c>
      <c r="AA407" t="s">
        <v>25</v>
      </c>
      <c r="AC407" t="s">
        <v>22</v>
      </c>
      <c r="AD407" t="s">
        <v>1956</v>
      </c>
      <c r="AE407">
        <v>4.7298967227225342E-5</v>
      </c>
      <c r="AG407" t="s">
        <v>97</v>
      </c>
      <c r="AH407" t="s">
        <v>1956</v>
      </c>
      <c r="AI407">
        <v>0</v>
      </c>
    </row>
    <row r="408" spans="5:35" x14ac:dyDescent="0.45">
      <c r="I408" t="s">
        <v>249</v>
      </c>
      <c r="J408" t="s">
        <v>1957</v>
      </c>
      <c r="K408">
        <v>0</v>
      </c>
      <c r="L408" t="s">
        <v>251</v>
      </c>
      <c r="N408" t="s">
        <v>419</v>
      </c>
      <c r="O408" t="s">
        <v>1957</v>
      </c>
      <c r="P408">
        <v>1.4628662882370001E-4</v>
      </c>
      <c r="Q408" t="s">
        <v>251</v>
      </c>
      <c r="S408" t="s">
        <v>420</v>
      </c>
      <c r="T408" t="s">
        <v>1957</v>
      </c>
      <c r="U408">
        <v>1.612767549545E-4</v>
      </c>
      <c r="V408" t="s">
        <v>251</v>
      </c>
      <c r="X408">
        <v>1.1415525114155251E-4</v>
      </c>
      <c r="Y408">
        <v>7.9556472664893237E-5</v>
      </c>
      <c r="Z408" t="s">
        <v>1957</v>
      </c>
      <c r="AA408" t="s">
        <v>25</v>
      </c>
      <c r="AC408" t="s">
        <v>22</v>
      </c>
      <c r="AD408" t="s">
        <v>1957</v>
      </c>
      <c r="AE408">
        <v>4.8152395643581416E-5</v>
      </c>
      <c r="AG408" t="s">
        <v>97</v>
      </c>
      <c r="AH408" t="s">
        <v>1957</v>
      </c>
      <c r="AI408">
        <v>0</v>
      </c>
    </row>
    <row r="409" spans="5:35" x14ac:dyDescent="0.45">
      <c r="I409" t="s">
        <v>249</v>
      </c>
      <c r="J409" t="s">
        <v>1958</v>
      </c>
      <c r="K409">
        <v>0</v>
      </c>
      <c r="L409" t="s">
        <v>251</v>
      </c>
      <c r="N409" t="s">
        <v>419</v>
      </c>
      <c r="O409" t="s">
        <v>1958</v>
      </c>
      <c r="P409">
        <v>1.5022555921660001E-4</v>
      </c>
      <c r="Q409" t="s">
        <v>251</v>
      </c>
      <c r="S409" t="s">
        <v>420</v>
      </c>
      <c r="T409" t="s">
        <v>1958</v>
      </c>
      <c r="U409">
        <v>1.638423430661E-4</v>
      </c>
      <c r="V409" t="s">
        <v>251</v>
      </c>
      <c r="X409">
        <v>1.1415525114155251E-4</v>
      </c>
      <c r="Y409">
        <v>5.6352501470966035E-5</v>
      </c>
      <c r="Z409" t="s">
        <v>1958</v>
      </c>
      <c r="AA409" t="s">
        <v>25</v>
      </c>
      <c r="AC409" t="s">
        <v>22</v>
      </c>
      <c r="AD409" t="s">
        <v>1958</v>
      </c>
      <c r="AE409">
        <v>6.0099279336253349E-5</v>
      </c>
      <c r="AG409" t="s">
        <v>97</v>
      </c>
      <c r="AH409" t="s">
        <v>1958</v>
      </c>
      <c r="AI409">
        <v>0</v>
      </c>
    </row>
    <row r="410" spans="5:35" x14ac:dyDescent="0.45">
      <c r="I410" t="s">
        <v>249</v>
      </c>
      <c r="J410" t="s">
        <v>1959</v>
      </c>
      <c r="K410">
        <v>0</v>
      </c>
      <c r="L410" t="s">
        <v>251</v>
      </c>
      <c r="N410" t="s">
        <v>419</v>
      </c>
      <c r="O410" t="s">
        <v>1959</v>
      </c>
      <c r="P410">
        <v>1.508597038331E-4</v>
      </c>
      <c r="Q410" t="s">
        <v>251</v>
      </c>
      <c r="S410" t="s">
        <v>420</v>
      </c>
      <c r="T410" t="s">
        <v>1959</v>
      </c>
      <c r="U410">
        <v>1.6798672363750001E-4</v>
      </c>
      <c r="V410" t="s">
        <v>251</v>
      </c>
      <c r="X410">
        <v>1.1415525114155251E-4</v>
      </c>
      <c r="Y410">
        <v>2.9833677249334962E-5</v>
      </c>
      <c r="Z410" t="s">
        <v>1959</v>
      </c>
      <c r="AA410" t="s">
        <v>25</v>
      </c>
      <c r="AC410" t="s">
        <v>22</v>
      </c>
      <c r="AD410" t="s">
        <v>1959</v>
      </c>
      <c r="AE410">
        <v>8.3236548164539978E-5</v>
      </c>
      <c r="AG410" t="s">
        <v>97</v>
      </c>
      <c r="AH410" t="s">
        <v>1959</v>
      </c>
      <c r="AI410">
        <v>0</v>
      </c>
    </row>
    <row r="411" spans="5:35" x14ac:dyDescent="0.45">
      <c r="I411" t="s">
        <v>249</v>
      </c>
      <c r="J411" t="s">
        <v>339</v>
      </c>
      <c r="K411">
        <v>4.4161886395665184E-4</v>
      </c>
      <c r="L411" t="s">
        <v>251</v>
      </c>
      <c r="N411" t="s">
        <v>419</v>
      </c>
      <c r="O411" t="s">
        <v>339</v>
      </c>
      <c r="P411">
        <v>1.9118426725224447E-2</v>
      </c>
      <c r="Q411" t="s">
        <v>251</v>
      </c>
      <c r="S411" t="s">
        <v>420</v>
      </c>
      <c r="T411" t="s">
        <v>339</v>
      </c>
      <c r="U411">
        <v>1.8836010562202778E-2</v>
      </c>
      <c r="V411" t="s">
        <v>251</v>
      </c>
      <c r="X411">
        <v>2.2374429223744292E-2</v>
      </c>
      <c r="Y411">
        <v>8.8360722306474754E-3</v>
      </c>
      <c r="Z411" t="s">
        <v>339</v>
      </c>
      <c r="AA411" t="s">
        <v>25</v>
      </c>
      <c r="AC411" t="s">
        <v>22</v>
      </c>
      <c r="AD411" t="s">
        <v>339</v>
      </c>
      <c r="AE411">
        <v>2.3128454031015211E-2</v>
      </c>
      <c r="AG411" t="s">
        <v>97</v>
      </c>
      <c r="AH411" t="s">
        <v>339</v>
      </c>
      <c r="AI411">
        <v>0.11911280274692393</v>
      </c>
    </row>
    <row r="412" spans="5:35" x14ac:dyDescent="0.45">
      <c r="I412" t="s">
        <v>249</v>
      </c>
      <c r="J412" t="s">
        <v>340</v>
      </c>
      <c r="K412">
        <v>2.4597449602799812E-3</v>
      </c>
      <c r="L412" t="s">
        <v>251</v>
      </c>
      <c r="N412" t="s">
        <v>419</v>
      </c>
      <c r="O412" t="s">
        <v>340</v>
      </c>
      <c r="P412">
        <v>2.3807499063995398E-3</v>
      </c>
      <c r="Q412" t="s">
        <v>251</v>
      </c>
      <c r="S412" t="s">
        <v>420</v>
      </c>
      <c r="T412" t="s">
        <v>340</v>
      </c>
      <c r="U412">
        <v>2.4586436513813984E-3</v>
      </c>
      <c r="V412" t="s">
        <v>251</v>
      </c>
      <c r="X412">
        <v>3.1963470319634705E-3</v>
      </c>
      <c r="Y412">
        <v>5.3369133746032542E-3</v>
      </c>
      <c r="Z412" t="s">
        <v>340</v>
      </c>
      <c r="AA412" t="s">
        <v>25</v>
      </c>
      <c r="AC412" t="s">
        <v>22</v>
      </c>
      <c r="AD412" t="s">
        <v>340</v>
      </c>
      <c r="AE412">
        <v>3.824434004937401E-3</v>
      </c>
      <c r="AG412" t="s">
        <v>97</v>
      </c>
      <c r="AH412" t="s">
        <v>340</v>
      </c>
      <c r="AI412">
        <v>5.8560594646175579E-2</v>
      </c>
    </row>
    <row r="413" spans="5:35" x14ac:dyDescent="0.45">
      <c r="I413" t="s">
        <v>249</v>
      </c>
      <c r="J413" t="s">
        <v>341</v>
      </c>
      <c r="K413">
        <v>4.6874316948665598E-3</v>
      </c>
      <c r="L413" t="s">
        <v>251</v>
      </c>
      <c r="N413" t="s">
        <v>419</v>
      </c>
      <c r="O413" t="s">
        <v>341</v>
      </c>
      <c r="P413">
        <v>2.5476374666308704E-3</v>
      </c>
      <c r="Q413" t="s">
        <v>251</v>
      </c>
      <c r="S413" t="s">
        <v>420</v>
      </c>
      <c r="T413" t="s">
        <v>341</v>
      </c>
      <c r="U413">
        <v>2.4101315701890633E-3</v>
      </c>
      <c r="V413" t="s">
        <v>251</v>
      </c>
      <c r="X413">
        <v>3.1963470319634705E-3</v>
      </c>
      <c r="Y413">
        <v>4.0838989301311864E-3</v>
      </c>
      <c r="Z413" t="s">
        <v>341</v>
      </c>
      <c r="AA413" t="s">
        <v>25</v>
      </c>
      <c r="AC413" t="s">
        <v>22</v>
      </c>
      <c r="AD413" t="s">
        <v>341</v>
      </c>
      <c r="AE413">
        <v>3.8910069920947473E-3</v>
      </c>
      <c r="AG413" t="s">
        <v>97</v>
      </c>
      <c r="AH413" t="s">
        <v>341</v>
      </c>
      <c r="AI413">
        <v>5.8791446439802053E-2</v>
      </c>
    </row>
    <row r="414" spans="5:35" x14ac:dyDescent="0.45">
      <c r="I414" t="s">
        <v>249</v>
      </c>
      <c r="J414" t="s">
        <v>342</v>
      </c>
      <c r="K414">
        <v>6.2532504693274E-3</v>
      </c>
      <c r="L414" t="s">
        <v>251</v>
      </c>
      <c r="N414" t="s">
        <v>419</v>
      </c>
      <c r="O414" t="s">
        <v>342</v>
      </c>
      <c r="P414">
        <v>2.5278076027277054E-3</v>
      </c>
      <c r="Q414" t="s">
        <v>251</v>
      </c>
      <c r="S414" t="s">
        <v>420</v>
      </c>
      <c r="T414" t="s">
        <v>342</v>
      </c>
      <c r="U414">
        <v>2.3826449796583689E-3</v>
      </c>
      <c r="V414" t="s">
        <v>251</v>
      </c>
      <c r="X414">
        <v>3.1963470319634705E-3</v>
      </c>
      <c r="Y414">
        <v>4.0467725762209023E-3</v>
      </c>
      <c r="Z414" t="s">
        <v>342</v>
      </c>
      <c r="AA414" t="s">
        <v>25</v>
      </c>
      <c r="AC414" t="s">
        <v>22</v>
      </c>
      <c r="AD414" t="s">
        <v>342</v>
      </c>
      <c r="AE414">
        <v>3.8980171377810562E-3</v>
      </c>
      <c r="AG414" t="s">
        <v>97</v>
      </c>
      <c r="AH414" t="s">
        <v>342</v>
      </c>
      <c r="AI414">
        <v>5.5872862670349521E-2</v>
      </c>
    </row>
    <row r="415" spans="5:35" x14ac:dyDescent="0.45">
      <c r="I415" t="s">
        <v>249</v>
      </c>
      <c r="J415" t="s">
        <v>343</v>
      </c>
      <c r="K415">
        <v>4.83450062161353E-2</v>
      </c>
      <c r="L415" t="s">
        <v>251</v>
      </c>
      <c r="N415" t="s">
        <v>419</v>
      </c>
      <c r="O415" t="s">
        <v>343</v>
      </c>
      <c r="P415">
        <v>1.8270835092413281E-2</v>
      </c>
      <c r="Q415" t="s">
        <v>251</v>
      </c>
      <c r="S415" t="s">
        <v>420</v>
      </c>
      <c r="T415" t="s">
        <v>343</v>
      </c>
      <c r="U415">
        <v>1.9201284916892408E-2</v>
      </c>
      <c r="V415" t="s">
        <v>251</v>
      </c>
      <c r="X415">
        <v>2.2374429223744292E-2</v>
      </c>
      <c r="Y415">
        <v>3.1297516346368993E-2</v>
      </c>
      <c r="Z415" t="s">
        <v>343</v>
      </c>
      <c r="AA415" t="s">
        <v>25</v>
      </c>
      <c r="AC415" t="s">
        <v>22</v>
      </c>
      <c r="AD415" t="s">
        <v>343</v>
      </c>
      <c r="AE415">
        <v>2.8055870058840689E-2</v>
      </c>
      <c r="AG415" t="s">
        <v>97</v>
      </c>
      <c r="AH415" t="s">
        <v>343</v>
      </c>
      <c r="AI415">
        <v>0.13816394941270338</v>
      </c>
    </row>
    <row r="416" spans="5:35" x14ac:dyDescent="0.45">
      <c r="I416" t="s">
        <v>249</v>
      </c>
      <c r="J416" t="s">
        <v>344</v>
      </c>
      <c r="K416">
        <v>3.5326441520984815E-3</v>
      </c>
      <c r="L416" t="s">
        <v>251</v>
      </c>
      <c r="N416" t="s">
        <v>419</v>
      </c>
      <c r="O416" t="s">
        <v>344</v>
      </c>
      <c r="P416">
        <v>2.802496174126637E-3</v>
      </c>
      <c r="Q416" t="s">
        <v>251</v>
      </c>
      <c r="S416" t="s">
        <v>420</v>
      </c>
      <c r="T416" t="s">
        <v>344</v>
      </c>
      <c r="U416">
        <v>3.1550960206248218E-3</v>
      </c>
      <c r="V416" t="s">
        <v>251</v>
      </c>
      <c r="X416">
        <v>3.1963470319634705E-3</v>
      </c>
      <c r="Y416">
        <v>6.2186642799724884E-3</v>
      </c>
      <c r="Z416" t="s">
        <v>344</v>
      </c>
      <c r="AA416" t="s">
        <v>25</v>
      </c>
      <c r="AC416" t="s">
        <v>22</v>
      </c>
      <c r="AD416" t="s">
        <v>344</v>
      </c>
      <c r="AE416">
        <v>1.919315501051546E-3</v>
      </c>
      <c r="AG416" t="s">
        <v>97</v>
      </c>
      <c r="AH416" t="s">
        <v>344</v>
      </c>
      <c r="AI416">
        <v>5.8828883006043498E-2</v>
      </c>
    </row>
    <row r="417" spans="9:35" x14ac:dyDescent="0.45">
      <c r="I417" t="s">
        <v>249</v>
      </c>
      <c r="J417" t="s">
        <v>345</v>
      </c>
      <c r="K417">
        <v>1.3652460869706727E-3</v>
      </c>
      <c r="L417" t="s">
        <v>251</v>
      </c>
      <c r="N417" t="s">
        <v>419</v>
      </c>
      <c r="O417" t="s">
        <v>345</v>
      </c>
      <c r="P417">
        <v>3.0168448422968662E-3</v>
      </c>
      <c r="Q417" t="s">
        <v>251</v>
      </c>
      <c r="S417" t="s">
        <v>420</v>
      </c>
      <c r="T417" t="s">
        <v>345</v>
      </c>
      <c r="U417">
        <v>3.1348823257414727E-3</v>
      </c>
      <c r="V417" t="s">
        <v>251</v>
      </c>
      <c r="X417">
        <v>3.1963470319634705E-3</v>
      </c>
      <c r="Y417">
        <v>4.8264260083368555E-3</v>
      </c>
      <c r="Z417" t="s">
        <v>345</v>
      </c>
      <c r="AA417" t="s">
        <v>25</v>
      </c>
      <c r="AC417" t="s">
        <v>22</v>
      </c>
      <c r="AD417" t="s">
        <v>345</v>
      </c>
      <c r="AE417">
        <v>1.6284512760217245E-3</v>
      </c>
      <c r="AG417" t="s">
        <v>97</v>
      </c>
      <c r="AH417" t="s">
        <v>345</v>
      </c>
      <c r="AI417">
        <v>4.4786928750360611E-2</v>
      </c>
    </row>
    <row r="418" spans="9:35" x14ac:dyDescent="0.45">
      <c r="I418" t="s">
        <v>249</v>
      </c>
      <c r="J418" t="s">
        <v>346</v>
      </c>
      <c r="K418">
        <v>0</v>
      </c>
      <c r="L418" t="s">
        <v>251</v>
      </c>
      <c r="N418" t="s">
        <v>419</v>
      </c>
      <c r="O418" t="s">
        <v>346</v>
      </c>
      <c r="P418">
        <v>1.5854391032997614E-2</v>
      </c>
      <c r="Q418" t="s">
        <v>251</v>
      </c>
      <c r="S418" t="s">
        <v>420</v>
      </c>
      <c r="T418" t="s">
        <v>346</v>
      </c>
      <c r="U418">
        <v>1.4469447349389904E-2</v>
      </c>
      <c r="V418" t="s">
        <v>251</v>
      </c>
      <c r="X418">
        <v>1.5981735159817351E-2</v>
      </c>
      <c r="Y418">
        <v>1.2066065020842141E-2</v>
      </c>
      <c r="Z418" t="s">
        <v>346</v>
      </c>
      <c r="AA418" t="s">
        <v>25</v>
      </c>
      <c r="AC418" t="s">
        <v>22</v>
      </c>
      <c r="AD418" t="s">
        <v>346</v>
      </c>
      <c r="AE418">
        <v>7.7222247615406185E-3</v>
      </c>
      <c r="AG418" t="s">
        <v>97</v>
      </c>
      <c r="AH418" t="s">
        <v>346</v>
      </c>
      <c r="AI418">
        <v>0.1302493478575617</v>
      </c>
    </row>
    <row r="419" spans="9:35" x14ac:dyDescent="0.45">
      <c r="I419" t="s">
        <v>249</v>
      </c>
      <c r="J419" t="s">
        <v>1962</v>
      </c>
      <c r="K419">
        <v>0</v>
      </c>
      <c r="L419" t="s">
        <v>251</v>
      </c>
      <c r="N419" t="s">
        <v>419</v>
      </c>
      <c r="O419" t="s">
        <v>1962</v>
      </c>
      <c r="P419">
        <v>2.0766178773389999E-4</v>
      </c>
      <c r="Q419" t="s">
        <v>251</v>
      </c>
      <c r="S419" t="s">
        <v>420</v>
      </c>
      <c r="T419" t="s">
        <v>1962</v>
      </c>
      <c r="U419">
        <v>1.5970407224059999E-4</v>
      </c>
      <c r="V419" t="s">
        <v>251</v>
      </c>
      <c r="X419">
        <v>1.1415525114155251E-4</v>
      </c>
      <c r="Y419">
        <v>2.1546544680075254E-5</v>
      </c>
      <c r="Z419" t="s">
        <v>1962</v>
      </c>
      <c r="AA419" t="s">
        <v>25</v>
      </c>
      <c r="AC419" t="s">
        <v>22</v>
      </c>
      <c r="AD419" t="s">
        <v>1962</v>
      </c>
      <c r="AE419">
        <v>7.6304832705016221E-5</v>
      </c>
      <c r="AG419" t="s">
        <v>97</v>
      </c>
      <c r="AH419" t="s">
        <v>1962</v>
      </c>
      <c r="AI419">
        <v>0</v>
      </c>
    </row>
    <row r="420" spans="9:35" x14ac:dyDescent="0.45">
      <c r="I420" t="s">
        <v>249</v>
      </c>
      <c r="J420" t="s">
        <v>1963</v>
      </c>
      <c r="K420">
        <v>0</v>
      </c>
      <c r="L420" t="s">
        <v>251</v>
      </c>
      <c r="N420" t="s">
        <v>419</v>
      </c>
      <c r="O420" t="s">
        <v>1963</v>
      </c>
      <c r="P420">
        <v>2.1347837247980001E-4</v>
      </c>
      <c r="Q420" t="s">
        <v>251</v>
      </c>
      <c r="S420" t="s">
        <v>420</v>
      </c>
      <c r="T420" t="s">
        <v>1963</v>
      </c>
      <c r="U420">
        <v>1.711391942759E-4</v>
      </c>
      <c r="V420" t="s">
        <v>251</v>
      </c>
      <c r="X420">
        <v>1.1415525114155251E-4</v>
      </c>
      <c r="Y420">
        <v>1.4916838624667481E-5</v>
      </c>
      <c r="Z420" t="s">
        <v>1963</v>
      </c>
      <c r="AA420" t="s">
        <v>25</v>
      </c>
      <c r="AC420" t="s">
        <v>22</v>
      </c>
      <c r="AD420" t="s">
        <v>1963</v>
      </c>
      <c r="AE420">
        <v>9.3688701608938605E-5</v>
      </c>
      <c r="AG420" t="s">
        <v>97</v>
      </c>
      <c r="AH420" t="s">
        <v>1963</v>
      </c>
      <c r="AI420">
        <v>0</v>
      </c>
    </row>
    <row r="421" spans="9:35" x14ac:dyDescent="0.45">
      <c r="I421" t="s">
        <v>249</v>
      </c>
      <c r="J421" t="s">
        <v>1964</v>
      </c>
      <c r="K421">
        <v>0</v>
      </c>
      <c r="L421" t="s">
        <v>251</v>
      </c>
      <c r="N421" t="s">
        <v>419</v>
      </c>
      <c r="O421" t="s">
        <v>1964</v>
      </c>
      <c r="P421">
        <v>2.14187079297E-4</v>
      </c>
      <c r="Q421" t="s">
        <v>251</v>
      </c>
      <c r="S421" t="s">
        <v>420</v>
      </c>
      <c r="T421" t="s">
        <v>1964</v>
      </c>
      <c r="U421">
        <v>1.7921568731760001E-4</v>
      </c>
      <c r="V421" t="s">
        <v>251</v>
      </c>
      <c r="X421">
        <v>1.1415525114155251E-4</v>
      </c>
      <c r="Y421">
        <v>1.6574265138519424E-5</v>
      </c>
      <c r="Z421" t="s">
        <v>1964</v>
      </c>
      <c r="AA421" t="s">
        <v>25</v>
      </c>
      <c r="AC421" t="s">
        <v>22</v>
      </c>
      <c r="AD421" t="s">
        <v>1964</v>
      </c>
      <c r="AE421">
        <v>1.1616751587578077E-4</v>
      </c>
      <c r="AG421" t="s">
        <v>97</v>
      </c>
      <c r="AH421" t="s">
        <v>1964</v>
      </c>
      <c r="AI421">
        <v>0</v>
      </c>
    </row>
    <row r="422" spans="9:35" x14ac:dyDescent="0.45">
      <c r="I422" t="s">
        <v>249</v>
      </c>
      <c r="J422" t="s">
        <v>1965</v>
      </c>
      <c r="K422">
        <v>0</v>
      </c>
      <c r="L422" t="s">
        <v>251</v>
      </c>
      <c r="N422" t="s">
        <v>419</v>
      </c>
      <c r="O422" t="s">
        <v>1965</v>
      </c>
      <c r="P422">
        <v>1.8401655240089999E-4</v>
      </c>
      <c r="Q422" t="s">
        <v>251</v>
      </c>
      <c r="S422" t="s">
        <v>420</v>
      </c>
      <c r="T422" t="s">
        <v>1965</v>
      </c>
      <c r="U422">
        <v>1.671429840906E-4</v>
      </c>
      <c r="V422" t="s">
        <v>251</v>
      </c>
      <c r="X422">
        <v>1.1415525114155251E-4</v>
      </c>
      <c r="Y422">
        <v>1.4585353321897093E-5</v>
      </c>
      <c r="Z422" t="s">
        <v>1965</v>
      </c>
      <c r="AA422" t="s">
        <v>25</v>
      </c>
      <c r="AC422" t="s">
        <v>22</v>
      </c>
      <c r="AD422" t="s">
        <v>1965</v>
      </c>
      <c r="AE422">
        <v>1.2855114100345476E-4</v>
      </c>
      <c r="AG422" t="s">
        <v>97</v>
      </c>
      <c r="AH422" t="s">
        <v>1965</v>
      </c>
      <c r="AI422">
        <v>0</v>
      </c>
    </row>
    <row r="423" spans="9:35" x14ac:dyDescent="0.45">
      <c r="I423" t="s">
        <v>249</v>
      </c>
      <c r="J423" t="s">
        <v>1966</v>
      </c>
      <c r="K423">
        <v>0</v>
      </c>
      <c r="L423" t="s">
        <v>251</v>
      </c>
      <c r="N423" t="s">
        <v>419</v>
      </c>
      <c r="O423" t="s">
        <v>1966</v>
      </c>
      <c r="P423">
        <v>1.842748975716E-4</v>
      </c>
      <c r="Q423" t="s">
        <v>251</v>
      </c>
      <c r="S423" t="s">
        <v>420</v>
      </c>
      <c r="T423" t="s">
        <v>1966</v>
      </c>
      <c r="U423">
        <v>1.8199441360269999E-4</v>
      </c>
      <c r="V423" t="s">
        <v>251</v>
      </c>
      <c r="X423">
        <v>1.1415525114155251E-4</v>
      </c>
      <c r="Y423">
        <v>2.1215059377304864E-5</v>
      </c>
      <c r="Z423" t="s">
        <v>1966</v>
      </c>
      <c r="AA423" t="s">
        <v>25</v>
      </c>
      <c r="AC423" t="s">
        <v>22</v>
      </c>
      <c r="AD423" t="s">
        <v>1966</v>
      </c>
      <c r="AE423">
        <v>1.291962259291339E-4</v>
      </c>
      <c r="AG423" t="s">
        <v>97</v>
      </c>
      <c r="AH423" t="s">
        <v>1966</v>
      </c>
      <c r="AI423">
        <v>0</v>
      </c>
    </row>
    <row r="424" spans="9:35" x14ac:dyDescent="0.45">
      <c r="I424" t="s">
        <v>249</v>
      </c>
      <c r="J424" t="s">
        <v>1967</v>
      </c>
      <c r="K424">
        <v>0</v>
      </c>
      <c r="L424" t="s">
        <v>251</v>
      </c>
      <c r="N424" t="s">
        <v>419</v>
      </c>
      <c r="O424" t="s">
        <v>1967</v>
      </c>
      <c r="P424">
        <v>1.774848406302E-4</v>
      </c>
      <c r="Q424" t="s">
        <v>251</v>
      </c>
      <c r="S424" t="s">
        <v>420</v>
      </c>
      <c r="T424" t="s">
        <v>1967</v>
      </c>
      <c r="U424">
        <v>1.893422553422E-4</v>
      </c>
      <c r="V424" t="s">
        <v>251</v>
      </c>
      <c r="X424">
        <v>1.1415525114155251E-4</v>
      </c>
      <c r="Y424">
        <v>5.7678442682047593E-5</v>
      </c>
      <c r="Z424" t="s">
        <v>1967</v>
      </c>
      <c r="AA424" t="s">
        <v>25</v>
      </c>
      <c r="AC424" t="s">
        <v>22</v>
      </c>
      <c r="AD424" t="s">
        <v>1967</v>
      </c>
      <c r="AE424">
        <v>1.2891434944174734E-4</v>
      </c>
      <c r="AG424" t="s">
        <v>97</v>
      </c>
      <c r="AH424" t="s">
        <v>1967</v>
      </c>
      <c r="AI424">
        <v>0</v>
      </c>
    </row>
    <row r="425" spans="9:35" x14ac:dyDescent="0.45">
      <c r="I425" t="s">
        <v>249</v>
      </c>
      <c r="J425" t="s">
        <v>1968</v>
      </c>
      <c r="K425">
        <v>1.8794390421985543E-5</v>
      </c>
      <c r="L425" t="s">
        <v>251</v>
      </c>
      <c r="N425" t="s">
        <v>419</v>
      </c>
      <c r="O425" t="s">
        <v>1968</v>
      </c>
      <c r="P425">
        <v>1.750182259011E-4</v>
      </c>
      <c r="Q425" t="s">
        <v>251</v>
      </c>
      <c r="S425" t="s">
        <v>420</v>
      </c>
      <c r="T425" t="s">
        <v>1968</v>
      </c>
      <c r="U425">
        <v>1.9123956533889999E-4</v>
      </c>
      <c r="V425" t="s">
        <v>251</v>
      </c>
      <c r="X425">
        <v>1.1415525114155251E-4</v>
      </c>
      <c r="Y425">
        <v>1.6905750441289813E-4</v>
      </c>
      <c r="Z425" t="s">
        <v>1968</v>
      </c>
      <c r="AA425" t="s">
        <v>25</v>
      </c>
      <c r="AC425" t="s">
        <v>22</v>
      </c>
      <c r="AD425" t="s">
        <v>1968</v>
      </c>
      <c r="AE425">
        <v>1.3260436891298946E-4</v>
      </c>
      <c r="AG425" t="s">
        <v>97</v>
      </c>
      <c r="AH425" t="s">
        <v>1968</v>
      </c>
      <c r="AI425">
        <v>0</v>
      </c>
    </row>
    <row r="426" spans="9:35" x14ac:dyDescent="0.45">
      <c r="I426" t="s">
        <v>249</v>
      </c>
      <c r="J426" t="s">
        <v>1969</v>
      </c>
      <c r="K426">
        <v>1.183863417333E-4</v>
      </c>
      <c r="L426" t="s">
        <v>251</v>
      </c>
      <c r="N426" t="s">
        <v>419</v>
      </c>
      <c r="O426" t="s">
        <v>1969</v>
      </c>
      <c r="P426">
        <v>1.725423546264E-4</v>
      </c>
      <c r="Q426" t="s">
        <v>251</v>
      </c>
      <c r="S426" t="s">
        <v>420</v>
      </c>
      <c r="T426" t="s">
        <v>1969</v>
      </c>
      <c r="U426">
        <v>1.853321435779E-4</v>
      </c>
      <c r="V426" t="s">
        <v>251</v>
      </c>
      <c r="X426">
        <v>1.1415525114155251E-4</v>
      </c>
      <c r="Y426">
        <v>1.9060404909297337E-4</v>
      </c>
      <c r="Z426" t="s">
        <v>1969</v>
      </c>
      <c r="AA426" t="s">
        <v>25</v>
      </c>
      <c r="AC426" t="s">
        <v>22</v>
      </c>
      <c r="AD426" t="s">
        <v>1969</v>
      </c>
      <c r="AE426">
        <v>1.2938340082984905E-4</v>
      </c>
      <c r="AG426" t="s">
        <v>97</v>
      </c>
      <c r="AH426" t="s">
        <v>1969</v>
      </c>
      <c r="AI426">
        <v>0</v>
      </c>
    </row>
    <row r="427" spans="9:35" x14ac:dyDescent="0.45">
      <c r="I427" t="s">
        <v>249</v>
      </c>
      <c r="J427" t="s">
        <v>1970</v>
      </c>
      <c r="K427">
        <v>2.2200264471580001E-4</v>
      </c>
      <c r="L427" t="s">
        <v>251</v>
      </c>
      <c r="N427" t="s">
        <v>419</v>
      </c>
      <c r="O427" t="s">
        <v>1970</v>
      </c>
      <c r="P427">
        <v>1.771889372087E-4</v>
      </c>
      <c r="Q427" t="s">
        <v>251</v>
      </c>
      <c r="S427" t="s">
        <v>420</v>
      </c>
      <c r="T427" t="s">
        <v>1970</v>
      </c>
      <c r="U427">
        <v>1.7759294244639999E-4</v>
      </c>
      <c r="V427" t="s">
        <v>251</v>
      </c>
      <c r="X427">
        <v>1.1415525114155251E-4</v>
      </c>
      <c r="Y427">
        <v>1.4585353321897094E-4</v>
      </c>
      <c r="Z427" t="s">
        <v>1970</v>
      </c>
      <c r="AA427" t="s">
        <v>25</v>
      </c>
      <c r="AC427" t="s">
        <v>22</v>
      </c>
      <c r="AD427" t="s">
        <v>1970</v>
      </c>
      <c r="AE427">
        <v>1.2883635989978265E-4</v>
      </c>
      <c r="AG427" t="s">
        <v>97</v>
      </c>
      <c r="AH427" t="s">
        <v>1970</v>
      </c>
      <c r="AI427">
        <v>0</v>
      </c>
    </row>
    <row r="428" spans="9:35" x14ac:dyDescent="0.45">
      <c r="I428" t="s">
        <v>249</v>
      </c>
      <c r="J428" t="s">
        <v>1971</v>
      </c>
      <c r="K428">
        <v>2.8461061394519999E-4</v>
      </c>
      <c r="L428" t="s">
        <v>251</v>
      </c>
      <c r="N428" t="s">
        <v>419</v>
      </c>
      <c r="O428" t="s">
        <v>1971</v>
      </c>
      <c r="P428">
        <v>1.8256115212570001E-4</v>
      </c>
      <c r="Q428" t="s">
        <v>251</v>
      </c>
      <c r="S428" t="s">
        <v>420</v>
      </c>
      <c r="T428" t="s">
        <v>1971</v>
      </c>
      <c r="U428">
        <v>1.7020757370490001E-4</v>
      </c>
      <c r="V428" t="s">
        <v>251</v>
      </c>
      <c r="X428">
        <v>1.1415525114155251E-4</v>
      </c>
      <c r="Y428">
        <v>1.4452759200788939E-4</v>
      </c>
      <c r="Z428" t="s">
        <v>1971</v>
      </c>
      <c r="AA428" t="s">
        <v>25</v>
      </c>
      <c r="AC428" t="s">
        <v>22</v>
      </c>
      <c r="AD428" t="s">
        <v>1971</v>
      </c>
      <c r="AE428">
        <v>1.2984688153638187E-4</v>
      </c>
      <c r="AG428" t="s">
        <v>97</v>
      </c>
      <c r="AH428" t="s">
        <v>1971</v>
      </c>
      <c r="AI428">
        <v>0</v>
      </c>
    </row>
    <row r="429" spans="9:35" x14ac:dyDescent="0.45">
      <c r="I429" t="s">
        <v>249</v>
      </c>
      <c r="J429" t="s">
        <v>1972</v>
      </c>
      <c r="K429">
        <v>3.1527131174559998E-4</v>
      </c>
      <c r="L429" t="s">
        <v>251</v>
      </c>
      <c r="N429" t="s">
        <v>419</v>
      </c>
      <c r="O429" t="s">
        <v>1972</v>
      </c>
      <c r="P429">
        <v>1.9693935425190001E-4</v>
      </c>
      <c r="Q429" t="s">
        <v>251</v>
      </c>
      <c r="S429" t="s">
        <v>420</v>
      </c>
      <c r="T429" t="s">
        <v>1972</v>
      </c>
      <c r="U429">
        <v>1.6620215658310001E-4</v>
      </c>
      <c r="V429" t="s">
        <v>251</v>
      </c>
      <c r="X429">
        <v>1.1415525114155251E-4</v>
      </c>
      <c r="Y429">
        <v>1.408812536774151E-4</v>
      </c>
      <c r="Z429" t="s">
        <v>1972</v>
      </c>
      <c r="AA429" t="s">
        <v>25</v>
      </c>
      <c r="AC429" t="s">
        <v>22</v>
      </c>
      <c r="AD429" t="s">
        <v>1972</v>
      </c>
      <c r="AE429">
        <v>1.2987362080791261E-4</v>
      </c>
      <c r="AG429" t="s">
        <v>97</v>
      </c>
      <c r="AH429" t="s">
        <v>1972</v>
      </c>
      <c r="AI429">
        <v>0</v>
      </c>
    </row>
    <row r="430" spans="9:35" x14ac:dyDescent="0.45">
      <c r="I430" t="s">
        <v>249</v>
      </c>
      <c r="J430" t="s">
        <v>1973</v>
      </c>
      <c r="K430">
        <v>3.2639458754219998E-4</v>
      </c>
      <c r="L430" t="s">
        <v>251</v>
      </c>
      <c r="N430" t="s">
        <v>419</v>
      </c>
      <c r="O430" t="s">
        <v>1973</v>
      </c>
      <c r="P430">
        <v>1.956956100719E-4</v>
      </c>
      <c r="Q430" t="s">
        <v>251</v>
      </c>
      <c r="S430" t="s">
        <v>420</v>
      </c>
      <c r="T430" t="s">
        <v>1973</v>
      </c>
      <c r="U430">
        <v>1.6540467120669999E-4</v>
      </c>
      <c r="V430" t="s">
        <v>251</v>
      </c>
      <c r="X430">
        <v>1.1415525114155251E-4</v>
      </c>
      <c r="Y430">
        <v>1.4054976837464471E-4</v>
      </c>
      <c r="Z430" t="s">
        <v>1973</v>
      </c>
      <c r="AA430" t="s">
        <v>25</v>
      </c>
      <c r="AC430" t="s">
        <v>22</v>
      </c>
      <c r="AD430" t="s">
        <v>1973</v>
      </c>
      <c r="AE430">
        <v>1.3054878741406377E-4</v>
      </c>
      <c r="AG430" t="s">
        <v>97</v>
      </c>
      <c r="AH430" t="s">
        <v>1973</v>
      </c>
      <c r="AI430">
        <v>0</v>
      </c>
    </row>
    <row r="431" spans="9:35" x14ac:dyDescent="0.45">
      <c r="I431" t="s">
        <v>249</v>
      </c>
      <c r="J431" t="s">
        <v>1974</v>
      </c>
      <c r="K431">
        <v>3.2322029180900002E-4</v>
      </c>
      <c r="L431" t="s">
        <v>251</v>
      </c>
      <c r="N431" t="s">
        <v>419</v>
      </c>
      <c r="O431" t="s">
        <v>1974</v>
      </c>
      <c r="P431">
        <v>2.05800816537E-4</v>
      </c>
      <c r="Q431" t="s">
        <v>251</v>
      </c>
      <c r="S431" t="s">
        <v>420</v>
      </c>
      <c r="T431" t="s">
        <v>1974</v>
      </c>
      <c r="U431">
        <v>1.6797050695960001E-4</v>
      </c>
      <c r="V431" t="s">
        <v>251</v>
      </c>
      <c r="X431">
        <v>1.1415525114155251E-4</v>
      </c>
      <c r="Y431">
        <v>1.4253868019126702E-4</v>
      </c>
      <c r="Z431" t="s">
        <v>1974</v>
      </c>
      <c r="AA431" t="s">
        <v>25</v>
      </c>
      <c r="AC431" t="s">
        <v>22</v>
      </c>
      <c r="AD431" t="s">
        <v>1974</v>
      </c>
      <c r="AE431">
        <v>1.6625239972548449E-4</v>
      </c>
      <c r="AG431" t="s">
        <v>97</v>
      </c>
      <c r="AH431" t="s">
        <v>1974</v>
      </c>
      <c r="AI431">
        <v>0</v>
      </c>
    </row>
    <row r="432" spans="9:35" x14ac:dyDescent="0.45">
      <c r="I432" t="s">
        <v>249</v>
      </c>
      <c r="J432" t="s">
        <v>1975</v>
      </c>
      <c r="K432">
        <v>3.2158472172189999E-4</v>
      </c>
      <c r="L432" t="s">
        <v>251</v>
      </c>
      <c r="N432" t="s">
        <v>419</v>
      </c>
      <c r="O432" t="s">
        <v>1975</v>
      </c>
      <c r="P432">
        <v>2.1101451022960001E-4</v>
      </c>
      <c r="Q432" t="s">
        <v>251</v>
      </c>
      <c r="S432" t="s">
        <v>420</v>
      </c>
      <c r="T432" t="s">
        <v>1975</v>
      </c>
      <c r="U432">
        <v>1.7283814611719999E-4</v>
      </c>
      <c r="V432" t="s">
        <v>251</v>
      </c>
      <c r="X432">
        <v>1.1415525114155251E-4</v>
      </c>
      <c r="Y432">
        <v>1.4883690094390442E-4</v>
      </c>
      <c r="Z432" t="s">
        <v>1975</v>
      </c>
      <c r="AA432" t="s">
        <v>25</v>
      </c>
      <c r="AC432" t="s">
        <v>22</v>
      </c>
      <c r="AD432" t="s">
        <v>1975</v>
      </c>
      <c r="AE432">
        <v>1.6706683337085827E-4</v>
      </c>
      <c r="AG432" t="s">
        <v>97</v>
      </c>
      <c r="AH432" t="s">
        <v>1975</v>
      </c>
      <c r="AI432">
        <v>0</v>
      </c>
    </row>
    <row r="433" spans="9:35" x14ac:dyDescent="0.45">
      <c r="I433" t="s">
        <v>249</v>
      </c>
      <c r="J433" t="s">
        <v>1976</v>
      </c>
      <c r="K433">
        <v>3.156218752383E-4</v>
      </c>
      <c r="L433" t="s">
        <v>251</v>
      </c>
      <c r="N433" t="s">
        <v>419</v>
      </c>
      <c r="O433" t="s">
        <v>1976</v>
      </c>
      <c r="P433">
        <v>2.1948800771510001E-4</v>
      </c>
      <c r="Q433" t="s">
        <v>251</v>
      </c>
      <c r="S433" t="s">
        <v>420</v>
      </c>
      <c r="T433" t="s">
        <v>1976</v>
      </c>
      <c r="U433">
        <v>1.791203957583E-4</v>
      </c>
      <c r="V433" t="s">
        <v>251</v>
      </c>
      <c r="X433">
        <v>1.1415525114155251E-4</v>
      </c>
      <c r="Y433">
        <v>1.5049432745775637E-4</v>
      </c>
      <c r="Z433" t="s">
        <v>1976</v>
      </c>
      <c r="AA433" t="s">
        <v>25</v>
      </c>
      <c r="AC433" t="s">
        <v>22</v>
      </c>
      <c r="AD433" t="s">
        <v>1976</v>
      </c>
      <c r="AE433">
        <v>1.5633324412389369E-4</v>
      </c>
      <c r="AG433" t="s">
        <v>97</v>
      </c>
      <c r="AH433" t="s">
        <v>1976</v>
      </c>
      <c r="AI433">
        <v>0</v>
      </c>
    </row>
    <row r="434" spans="9:35" x14ac:dyDescent="0.45">
      <c r="I434" t="s">
        <v>249</v>
      </c>
      <c r="J434" t="s">
        <v>1977</v>
      </c>
      <c r="K434">
        <v>2.9485825278740001E-4</v>
      </c>
      <c r="L434" t="s">
        <v>251</v>
      </c>
      <c r="N434" t="s">
        <v>419</v>
      </c>
      <c r="O434" t="s">
        <v>1977</v>
      </c>
      <c r="P434">
        <v>1.841693668616E-4</v>
      </c>
      <c r="Q434" t="s">
        <v>251</v>
      </c>
      <c r="S434" t="s">
        <v>420</v>
      </c>
      <c r="T434" t="s">
        <v>1977</v>
      </c>
      <c r="U434">
        <v>1.8136718929710001E-4</v>
      </c>
      <c r="V434" t="s">
        <v>251</v>
      </c>
      <c r="X434">
        <v>1.1415525114155251E-4</v>
      </c>
      <c r="Y434">
        <v>1.7237235744060203E-4</v>
      </c>
      <c r="Z434" t="s">
        <v>1977</v>
      </c>
      <c r="AA434" t="s">
        <v>25</v>
      </c>
      <c r="AC434" t="s">
        <v>22</v>
      </c>
      <c r="AD434" t="s">
        <v>1977</v>
      </c>
      <c r="AE434">
        <v>1.2633623801165848E-4</v>
      </c>
      <c r="AG434" t="s">
        <v>97</v>
      </c>
      <c r="AH434" t="s">
        <v>1977</v>
      </c>
      <c r="AI434">
        <v>0</v>
      </c>
    </row>
    <row r="435" spans="9:35" x14ac:dyDescent="0.45">
      <c r="I435" t="s">
        <v>249</v>
      </c>
      <c r="J435" t="s">
        <v>1978</v>
      </c>
      <c r="K435">
        <v>2.4740565046389999E-4</v>
      </c>
      <c r="L435" t="s">
        <v>251</v>
      </c>
      <c r="N435" t="s">
        <v>419</v>
      </c>
      <c r="O435" t="s">
        <v>1978</v>
      </c>
      <c r="P435">
        <v>2.158703245973E-4</v>
      </c>
      <c r="Q435" t="s">
        <v>251</v>
      </c>
      <c r="S435" t="s">
        <v>420</v>
      </c>
      <c r="T435" t="s">
        <v>1978</v>
      </c>
      <c r="U435">
        <v>1.878500342068E-4</v>
      </c>
      <c r="V435" t="s">
        <v>251</v>
      </c>
      <c r="X435">
        <v>1.1415525114155251E-4</v>
      </c>
      <c r="Y435">
        <v>2.2209515285616027E-4</v>
      </c>
      <c r="Z435" t="s">
        <v>1978</v>
      </c>
      <c r="AA435" t="s">
        <v>25</v>
      </c>
      <c r="AC435" t="s">
        <v>22</v>
      </c>
      <c r="AD435" t="s">
        <v>1978</v>
      </c>
      <c r="AE435">
        <v>1.0185866319789348E-4</v>
      </c>
      <c r="AG435" t="s">
        <v>97</v>
      </c>
      <c r="AH435" t="s">
        <v>1978</v>
      </c>
      <c r="AI435">
        <v>0</v>
      </c>
    </row>
    <row r="436" spans="9:35" x14ac:dyDescent="0.45">
      <c r="I436" t="s">
        <v>249</v>
      </c>
      <c r="J436" t="s">
        <v>1979</v>
      </c>
      <c r="K436">
        <v>1.7430925399790001E-4</v>
      </c>
      <c r="L436" t="s">
        <v>251</v>
      </c>
      <c r="N436" t="s">
        <v>419</v>
      </c>
      <c r="O436" t="s">
        <v>1979</v>
      </c>
      <c r="P436">
        <v>2.4750241241250001E-4</v>
      </c>
      <c r="Q436" t="s">
        <v>251</v>
      </c>
      <c r="S436" t="s">
        <v>420</v>
      </c>
      <c r="T436" t="s">
        <v>1979</v>
      </c>
      <c r="U436">
        <v>1.9634541735209999E-4</v>
      </c>
      <c r="V436" t="s">
        <v>251</v>
      </c>
      <c r="X436">
        <v>1.1415525114155251E-4</v>
      </c>
      <c r="Y436">
        <v>2.2209515285616027E-4</v>
      </c>
      <c r="Z436" t="s">
        <v>1979</v>
      </c>
      <c r="AA436" t="s">
        <v>25</v>
      </c>
      <c r="AC436" t="s">
        <v>22</v>
      </c>
      <c r="AD436" t="s">
        <v>1979</v>
      </c>
      <c r="AE436">
        <v>7.3087207030817172E-5</v>
      </c>
      <c r="AG436" t="s">
        <v>97</v>
      </c>
      <c r="AH436" t="s">
        <v>1979</v>
      </c>
      <c r="AI436">
        <v>0</v>
      </c>
    </row>
    <row r="437" spans="9:35" x14ac:dyDescent="0.45">
      <c r="I437" t="s">
        <v>249</v>
      </c>
      <c r="J437" t="s">
        <v>1980</v>
      </c>
      <c r="K437">
        <v>6.6977024383169209E-5</v>
      </c>
      <c r="L437" t="s">
        <v>251</v>
      </c>
      <c r="N437" t="s">
        <v>419</v>
      </c>
      <c r="O437" t="s">
        <v>1980</v>
      </c>
      <c r="P437">
        <v>2.5909155303880001E-4</v>
      </c>
      <c r="Q437" t="s">
        <v>251</v>
      </c>
      <c r="S437" t="s">
        <v>420</v>
      </c>
      <c r="T437" t="s">
        <v>1980</v>
      </c>
      <c r="U437">
        <v>1.97077642811E-4</v>
      </c>
      <c r="V437" t="s">
        <v>251</v>
      </c>
      <c r="X437">
        <v>1.1415525114155251E-4</v>
      </c>
      <c r="Y437">
        <v>1.7237235744060203E-4</v>
      </c>
      <c r="Z437" t="s">
        <v>1980</v>
      </c>
      <c r="AA437" t="s">
        <v>25</v>
      </c>
      <c r="AC437" t="s">
        <v>22</v>
      </c>
      <c r="AD437" t="s">
        <v>1980</v>
      </c>
      <c r="AE437">
        <v>5.5359070005936496E-5</v>
      </c>
      <c r="AG437" t="s">
        <v>97</v>
      </c>
      <c r="AH437" t="s">
        <v>1980</v>
      </c>
      <c r="AI437">
        <v>0</v>
      </c>
    </row>
    <row r="438" spans="9:35" x14ac:dyDescent="0.45">
      <c r="I438" t="s">
        <v>249</v>
      </c>
      <c r="J438" t="s">
        <v>1981</v>
      </c>
      <c r="K438">
        <v>0</v>
      </c>
      <c r="L438" t="s">
        <v>251</v>
      </c>
      <c r="N438" t="s">
        <v>419</v>
      </c>
      <c r="O438" t="s">
        <v>1981</v>
      </c>
      <c r="P438">
        <v>2.6911438450469998E-4</v>
      </c>
      <c r="Q438" t="s">
        <v>251</v>
      </c>
      <c r="S438" t="s">
        <v>420</v>
      </c>
      <c r="T438" t="s">
        <v>1981</v>
      </c>
      <c r="U438">
        <v>1.9343479284309999E-4</v>
      </c>
      <c r="V438" t="s">
        <v>251</v>
      </c>
      <c r="X438">
        <v>1.1415525114155251E-4</v>
      </c>
      <c r="Y438">
        <v>1.5579809230208258E-4</v>
      </c>
      <c r="Z438" t="s">
        <v>1981</v>
      </c>
      <c r="AA438" t="s">
        <v>25</v>
      </c>
      <c r="AC438" t="s">
        <v>22</v>
      </c>
      <c r="AD438" t="s">
        <v>1981</v>
      </c>
      <c r="AE438">
        <v>5.0842361389868984E-5</v>
      </c>
      <c r="AG438" t="s">
        <v>97</v>
      </c>
      <c r="AH438" t="s">
        <v>1981</v>
      </c>
      <c r="AI438">
        <v>0</v>
      </c>
    </row>
    <row r="439" spans="9:35" x14ac:dyDescent="0.45">
      <c r="I439" t="s">
        <v>249</v>
      </c>
      <c r="J439" t="s">
        <v>1982</v>
      </c>
      <c r="K439">
        <v>0</v>
      </c>
      <c r="L439" t="s">
        <v>251</v>
      </c>
      <c r="N439" t="s">
        <v>419</v>
      </c>
      <c r="O439" t="s">
        <v>1982</v>
      </c>
      <c r="P439">
        <v>2.768001867081E-4</v>
      </c>
      <c r="Q439" t="s">
        <v>251</v>
      </c>
      <c r="S439" t="s">
        <v>420</v>
      </c>
      <c r="T439" t="s">
        <v>1982</v>
      </c>
      <c r="U439">
        <v>1.8975049941419999E-4</v>
      </c>
      <c r="V439" t="s">
        <v>251</v>
      </c>
      <c r="X439">
        <v>1.1415525114155251E-4</v>
      </c>
      <c r="Y439">
        <v>1.093901499142282E-4</v>
      </c>
      <c r="Z439" t="s">
        <v>1982</v>
      </c>
      <c r="AA439" t="s">
        <v>25</v>
      </c>
      <c r="AC439" t="s">
        <v>22</v>
      </c>
      <c r="AD439" t="s">
        <v>1982</v>
      </c>
      <c r="AE439">
        <v>4.9173385191825293E-5</v>
      </c>
      <c r="AG439" t="s">
        <v>97</v>
      </c>
      <c r="AH439" t="s">
        <v>1982</v>
      </c>
      <c r="AI439">
        <v>0</v>
      </c>
    </row>
    <row r="440" spans="9:35" x14ac:dyDescent="0.45">
      <c r="I440" t="s">
        <v>249</v>
      </c>
      <c r="J440" t="s">
        <v>1983</v>
      </c>
      <c r="K440">
        <v>0</v>
      </c>
      <c r="L440" t="s">
        <v>251</v>
      </c>
      <c r="N440" t="s">
        <v>419</v>
      </c>
      <c r="O440" t="s">
        <v>1983</v>
      </c>
      <c r="P440">
        <v>2.8206184108399998E-4</v>
      </c>
      <c r="Q440" t="s">
        <v>251</v>
      </c>
      <c r="S440" t="s">
        <v>420</v>
      </c>
      <c r="T440" t="s">
        <v>1983</v>
      </c>
      <c r="U440">
        <v>1.9041637668470001E-4</v>
      </c>
      <c r="V440" t="s">
        <v>251</v>
      </c>
      <c r="X440">
        <v>1.1415525114155251E-4</v>
      </c>
      <c r="Y440">
        <v>7.9556472664893237E-5</v>
      </c>
      <c r="Z440" t="s">
        <v>1983</v>
      </c>
      <c r="AA440" t="s">
        <v>25</v>
      </c>
      <c r="AC440" t="s">
        <v>22</v>
      </c>
      <c r="AD440" t="s">
        <v>1983</v>
      </c>
      <c r="AE440">
        <v>5.0280836687723458E-5</v>
      </c>
      <c r="AG440" t="s">
        <v>97</v>
      </c>
      <c r="AH440" t="s">
        <v>1983</v>
      </c>
      <c r="AI440">
        <v>0</v>
      </c>
    </row>
    <row r="441" spans="9:35" x14ac:dyDescent="0.45">
      <c r="I441" t="s">
        <v>249</v>
      </c>
      <c r="J441" t="s">
        <v>1984</v>
      </c>
      <c r="K441">
        <v>0</v>
      </c>
      <c r="L441" t="s">
        <v>251</v>
      </c>
      <c r="N441" t="s">
        <v>419</v>
      </c>
      <c r="O441" t="s">
        <v>1984</v>
      </c>
      <c r="P441">
        <v>2.907673734256E-4</v>
      </c>
      <c r="Q441" t="s">
        <v>251</v>
      </c>
      <c r="S441" t="s">
        <v>420</v>
      </c>
      <c r="T441" t="s">
        <v>1984</v>
      </c>
      <c r="U441">
        <v>1.9810828326999999E-4</v>
      </c>
      <c r="V441" t="s">
        <v>251</v>
      </c>
      <c r="X441">
        <v>1.1415525114155251E-4</v>
      </c>
      <c r="Y441">
        <v>5.6352501470966035E-5</v>
      </c>
      <c r="Z441" t="s">
        <v>1984</v>
      </c>
      <c r="AA441" t="s">
        <v>25</v>
      </c>
      <c r="AC441" t="s">
        <v>22</v>
      </c>
      <c r="AD441" t="s">
        <v>1984</v>
      </c>
      <c r="AE441">
        <v>6.4639825499730857E-5</v>
      </c>
      <c r="AG441" t="s">
        <v>97</v>
      </c>
      <c r="AH441" t="s">
        <v>1984</v>
      </c>
      <c r="AI441">
        <v>0</v>
      </c>
    </row>
    <row r="442" spans="9:35" x14ac:dyDescent="0.45">
      <c r="I442" t="s">
        <v>249</v>
      </c>
      <c r="J442" t="s">
        <v>1985</v>
      </c>
      <c r="K442">
        <v>0</v>
      </c>
      <c r="L442" t="s">
        <v>251</v>
      </c>
      <c r="N442" t="s">
        <v>419</v>
      </c>
      <c r="O442" t="s">
        <v>1985</v>
      </c>
      <c r="P442">
        <v>3.0086870076910001E-4</v>
      </c>
      <c r="Q442" t="s">
        <v>251</v>
      </c>
      <c r="S442" t="s">
        <v>420</v>
      </c>
      <c r="T442" t="s">
        <v>1985</v>
      </c>
      <c r="U442">
        <v>2.041726988663E-4</v>
      </c>
      <c r="V442" t="s">
        <v>251</v>
      </c>
      <c r="X442">
        <v>1.1415525114155251E-4</v>
      </c>
      <c r="Y442">
        <v>2.9833677249334962E-5</v>
      </c>
      <c r="Z442" t="s">
        <v>1985</v>
      </c>
      <c r="AA442" t="s">
        <v>25</v>
      </c>
      <c r="AC442" t="s">
        <v>22</v>
      </c>
      <c r="AD442" t="s">
        <v>1985</v>
      </c>
      <c r="AE442">
        <v>8.0477273200125441E-5</v>
      </c>
      <c r="AG442" t="s">
        <v>97</v>
      </c>
      <c r="AH442" t="s">
        <v>1985</v>
      </c>
      <c r="AI442">
        <v>0</v>
      </c>
    </row>
    <row r="443" spans="9:35" x14ac:dyDescent="0.45">
      <c r="I443" t="s">
        <v>249</v>
      </c>
      <c r="J443" t="s">
        <v>1986</v>
      </c>
      <c r="K443">
        <v>0</v>
      </c>
      <c r="L443" t="s">
        <v>251</v>
      </c>
      <c r="N443" t="s">
        <v>419</v>
      </c>
      <c r="O443" t="s">
        <v>1986</v>
      </c>
      <c r="P443">
        <v>3.0448017418200003E-4</v>
      </c>
      <c r="Q443" t="s">
        <v>251</v>
      </c>
      <c r="S443" t="s">
        <v>420</v>
      </c>
      <c r="T443" t="s">
        <v>1986</v>
      </c>
      <c r="U443">
        <v>2.034218940266E-4</v>
      </c>
      <c r="V443" t="s">
        <v>251</v>
      </c>
      <c r="X443">
        <v>1.1415525114155251E-4</v>
      </c>
      <c r="Y443">
        <v>2.1546544680075254E-5</v>
      </c>
      <c r="Z443" t="s">
        <v>1986</v>
      </c>
      <c r="AA443" t="s">
        <v>25</v>
      </c>
      <c r="AC443" t="s">
        <v>22</v>
      </c>
      <c r="AD443" t="s">
        <v>1986</v>
      </c>
      <c r="AE443">
        <v>8.5124335764905307E-5</v>
      </c>
      <c r="AG443" t="s">
        <v>97</v>
      </c>
      <c r="AH443" t="s">
        <v>1986</v>
      </c>
      <c r="AI443">
        <v>0</v>
      </c>
    </row>
    <row r="444" spans="9:35" x14ac:dyDescent="0.45">
      <c r="I444" t="s">
        <v>249</v>
      </c>
      <c r="J444" t="s">
        <v>1987</v>
      </c>
      <c r="K444">
        <v>0</v>
      </c>
      <c r="L444" t="s">
        <v>251</v>
      </c>
      <c r="N444" t="s">
        <v>419</v>
      </c>
      <c r="O444" t="s">
        <v>1987</v>
      </c>
      <c r="P444">
        <v>2.9725454780980001E-4</v>
      </c>
      <c r="Q444" t="s">
        <v>251</v>
      </c>
      <c r="S444" t="s">
        <v>420</v>
      </c>
      <c r="T444" t="s">
        <v>1987</v>
      </c>
      <c r="U444">
        <v>1.9646118992950001E-4</v>
      </c>
      <c r="V444" t="s">
        <v>251</v>
      </c>
      <c r="X444">
        <v>1.1415525114155251E-4</v>
      </c>
      <c r="Y444">
        <v>1.4916838624667481E-5</v>
      </c>
      <c r="Z444" t="s">
        <v>1987</v>
      </c>
      <c r="AA444" t="s">
        <v>25</v>
      </c>
      <c r="AC444" t="s">
        <v>22</v>
      </c>
      <c r="AD444" t="s">
        <v>1987</v>
      </c>
      <c r="AE444">
        <v>9.8911772647943173E-5</v>
      </c>
      <c r="AG444" t="s">
        <v>97</v>
      </c>
      <c r="AH444" t="s">
        <v>1987</v>
      </c>
      <c r="AI444">
        <v>0</v>
      </c>
    </row>
    <row r="445" spans="9:35" x14ac:dyDescent="0.45">
      <c r="I445" t="s">
        <v>249</v>
      </c>
      <c r="J445" t="s">
        <v>1988</v>
      </c>
      <c r="K445">
        <v>0</v>
      </c>
      <c r="L445" t="s">
        <v>251</v>
      </c>
      <c r="N445" t="s">
        <v>419</v>
      </c>
      <c r="O445" t="s">
        <v>1988</v>
      </c>
      <c r="P445">
        <v>2.8014084277650002E-4</v>
      </c>
      <c r="Q445" t="s">
        <v>251</v>
      </c>
      <c r="S445" t="s">
        <v>420</v>
      </c>
      <c r="T445" t="s">
        <v>1988</v>
      </c>
      <c r="U445">
        <v>1.883313555996E-4</v>
      </c>
      <c r="V445" t="s">
        <v>251</v>
      </c>
      <c r="X445">
        <v>1.1415525114155251E-4</v>
      </c>
      <c r="Y445">
        <v>1.6574265138519424E-5</v>
      </c>
      <c r="Z445" t="s">
        <v>1988</v>
      </c>
      <c r="AA445" t="s">
        <v>25</v>
      </c>
      <c r="AC445" t="s">
        <v>22</v>
      </c>
      <c r="AD445" t="s">
        <v>1988</v>
      </c>
      <c r="AE445">
        <v>1.2726765596997924E-4</v>
      </c>
      <c r="AG445" t="s">
        <v>97</v>
      </c>
      <c r="AH445" t="s">
        <v>1988</v>
      </c>
      <c r="AI445">
        <v>0</v>
      </c>
    </row>
    <row r="446" spans="9:35" x14ac:dyDescent="0.45">
      <c r="I446" t="s">
        <v>249</v>
      </c>
      <c r="J446" t="s">
        <v>1989</v>
      </c>
      <c r="K446">
        <v>0</v>
      </c>
      <c r="L446" t="s">
        <v>251</v>
      </c>
      <c r="N446" t="s">
        <v>419</v>
      </c>
      <c r="O446" t="s">
        <v>1989</v>
      </c>
      <c r="P446">
        <v>2.2878523234230001E-4</v>
      </c>
      <c r="Q446" t="s">
        <v>251</v>
      </c>
      <c r="S446" t="s">
        <v>420</v>
      </c>
      <c r="T446" t="s">
        <v>1989</v>
      </c>
      <c r="U446">
        <v>1.664839532431E-4</v>
      </c>
      <c r="V446" t="s">
        <v>251</v>
      </c>
      <c r="X446">
        <v>1.1415525114155251E-4</v>
      </c>
      <c r="Y446">
        <v>1.4585353321897093E-5</v>
      </c>
      <c r="Z446" t="s">
        <v>1989</v>
      </c>
      <c r="AA446" t="s">
        <v>25</v>
      </c>
      <c r="AC446" t="s">
        <v>22</v>
      </c>
      <c r="AD446" t="s">
        <v>1989</v>
      </c>
      <c r="AE446">
        <v>1.3946856274219316E-4</v>
      </c>
      <c r="AG446" t="s">
        <v>97</v>
      </c>
      <c r="AH446" t="s">
        <v>1989</v>
      </c>
      <c r="AI446">
        <v>0</v>
      </c>
    </row>
    <row r="447" spans="9:35" x14ac:dyDescent="0.45">
      <c r="I447" t="s">
        <v>249</v>
      </c>
      <c r="J447" t="s">
        <v>1990</v>
      </c>
      <c r="K447">
        <v>0</v>
      </c>
      <c r="L447" t="s">
        <v>251</v>
      </c>
      <c r="N447" t="s">
        <v>419</v>
      </c>
      <c r="O447" t="s">
        <v>1990</v>
      </c>
      <c r="P447">
        <v>2.1594029085499999E-4</v>
      </c>
      <c r="Q447" t="s">
        <v>251</v>
      </c>
      <c r="S447" t="s">
        <v>420</v>
      </c>
      <c r="T447" t="s">
        <v>1990</v>
      </c>
      <c r="U447">
        <v>1.6294513786660001E-4</v>
      </c>
      <c r="V447" t="s">
        <v>251</v>
      </c>
      <c r="X447">
        <v>1.1415525114155251E-4</v>
      </c>
      <c r="Y447">
        <v>2.1215059377304864E-5</v>
      </c>
      <c r="Z447" t="s">
        <v>1990</v>
      </c>
      <c r="AA447" t="s">
        <v>25</v>
      </c>
      <c r="AC447" t="s">
        <v>22</v>
      </c>
      <c r="AD447" t="s">
        <v>1990</v>
      </c>
      <c r="AE447">
        <v>1.368091193611983E-4</v>
      </c>
      <c r="AG447" t="s">
        <v>97</v>
      </c>
      <c r="AH447" t="s">
        <v>1990</v>
      </c>
      <c r="AI447">
        <v>0</v>
      </c>
    </row>
    <row r="448" spans="9:35" x14ac:dyDescent="0.45">
      <c r="I448" t="s">
        <v>249</v>
      </c>
      <c r="J448" t="s">
        <v>1991</v>
      </c>
      <c r="K448">
        <v>0</v>
      </c>
      <c r="L448" t="s">
        <v>251</v>
      </c>
      <c r="N448" t="s">
        <v>419</v>
      </c>
      <c r="O448" t="s">
        <v>1991</v>
      </c>
      <c r="P448">
        <v>2.1279267916699999E-4</v>
      </c>
      <c r="Q448" t="s">
        <v>251</v>
      </c>
      <c r="S448" t="s">
        <v>420</v>
      </c>
      <c r="T448" t="s">
        <v>1991</v>
      </c>
      <c r="U448">
        <v>1.681263697274E-4</v>
      </c>
      <c r="V448" t="s">
        <v>251</v>
      </c>
      <c r="X448">
        <v>1.1415525114155251E-4</v>
      </c>
      <c r="Y448">
        <v>5.7678442682047593E-5</v>
      </c>
      <c r="Z448" t="s">
        <v>1991</v>
      </c>
      <c r="AA448" t="s">
        <v>25</v>
      </c>
      <c r="AC448" t="s">
        <v>22</v>
      </c>
      <c r="AD448" t="s">
        <v>1991</v>
      </c>
      <c r="AE448">
        <v>1.3823409970652403E-4</v>
      </c>
      <c r="AG448" t="s">
        <v>97</v>
      </c>
      <c r="AH448" t="s">
        <v>1991</v>
      </c>
      <c r="AI448">
        <v>0</v>
      </c>
    </row>
    <row r="449" spans="9:35" x14ac:dyDescent="0.45">
      <c r="I449" t="s">
        <v>249</v>
      </c>
      <c r="J449" t="s">
        <v>1992</v>
      </c>
      <c r="K449">
        <v>1.9950996497769257E-5</v>
      </c>
      <c r="L449" t="s">
        <v>251</v>
      </c>
      <c r="N449" t="s">
        <v>419</v>
      </c>
      <c r="O449" t="s">
        <v>1992</v>
      </c>
      <c r="P449">
        <v>2.0411398424090001E-4</v>
      </c>
      <c r="Q449" t="s">
        <v>251</v>
      </c>
      <c r="S449" t="s">
        <v>420</v>
      </c>
      <c r="T449" t="s">
        <v>1992</v>
      </c>
      <c r="U449">
        <v>1.716533689164E-4</v>
      </c>
      <c r="V449" t="s">
        <v>251</v>
      </c>
      <c r="X449">
        <v>1.1415525114155251E-4</v>
      </c>
      <c r="Y449">
        <v>1.6905750441289813E-4</v>
      </c>
      <c r="Z449" t="s">
        <v>1992</v>
      </c>
      <c r="AA449" t="s">
        <v>25</v>
      </c>
      <c r="AC449" t="s">
        <v>22</v>
      </c>
      <c r="AD449" t="s">
        <v>1992</v>
      </c>
      <c r="AE449">
        <v>1.3831654579374379E-4</v>
      </c>
      <c r="AG449" t="s">
        <v>97</v>
      </c>
      <c r="AH449" t="s">
        <v>1992</v>
      </c>
      <c r="AI449">
        <v>0</v>
      </c>
    </row>
    <row r="450" spans="9:35" x14ac:dyDescent="0.45">
      <c r="I450" t="s">
        <v>249</v>
      </c>
      <c r="J450" t="s">
        <v>1993</v>
      </c>
      <c r="K450">
        <v>9.5626630561243433E-5</v>
      </c>
      <c r="L450" t="s">
        <v>251</v>
      </c>
      <c r="N450" t="s">
        <v>419</v>
      </c>
      <c r="O450" t="s">
        <v>1993</v>
      </c>
      <c r="P450">
        <v>2.1248900303439999E-4</v>
      </c>
      <c r="Q450" t="s">
        <v>251</v>
      </c>
      <c r="S450" t="s">
        <v>420</v>
      </c>
      <c r="T450" t="s">
        <v>1993</v>
      </c>
      <c r="U450">
        <v>1.68280137885E-4</v>
      </c>
      <c r="V450" t="s">
        <v>251</v>
      </c>
      <c r="X450">
        <v>1.1415525114155251E-4</v>
      </c>
      <c r="Y450">
        <v>1.9060404909297337E-4</v>
      </c>
      <c r="Z450" t="s">
        <v>1993</v>
      </c>
      <c r="AA450" t="s">
        <v>25</v>
      </c>
      <c r="AC450" t="s">
        <v>22</v>
      </c>
      <c r="AD450" t="s">
        <v>1993</v>
      </c>
      <c r="AE450">
        <v>1.3657403659899056E-4</v>
      </c>
      <c r="AG450" t="s">
        <v>97</v>
      </c>
      <c r="AH450" t="s">
        <v>1993</v>
      </c>
      <c r="AI450">
        <v>0</v>
      </c>
    </row>
    <row r="451" spans="9:35" x14ac:dyDescent="0.45">
      <c r="I451" t="s">
        <v>249</v>
      </c>
      <c r="J451" t="s">
        <v>1994</v>
      </c>
      <c r="K451">
        <v>1.778259179761E-4</v>
      </c>
      <c r="L451" t="s">
        <v>251</v>
      </c>
      <c r="N451" t="s">
        <v>419</v>
      </c>
      <c r="O451" t="s">
        <v>1994</v>
      </c>
      <c r="P451">
        <v>2.361427805255E-4</v>
      </c>
      <c r="Q451" t="s">
        <v>251</v>
      </c>
      <c r="S451" t="s">
        <v>420</v>
      </c>
      <c r="T451" t="s">
        <v>1994</v>
      </c>
      <c r="U451">
        <v>1.5915838329789999E-4</v>
      </c>
      <c r="V451" t="s">
        <v>251</v>
      </c>
      <c r="X451">
        <v>1.1415525114155251E-4</v>
      </c>
      <c r="Y451">
        <v>1.4585353321897094E-4</v>
      </c>
      <c r="Z451" t="s">
        <v>1994</v>
      </c>
      <c r="AA451" t="s">
        <v>25</v>
      </c>
      <c r="AC451" t="s">
        <v>22</v>
      </c>
      <c r="AD451" t="s">
        <v>1994</v>
      </c>
      <c r="AE451">
        <v>1.378786902224279E-4</v>
      </c>
      <c r="AG451" t="s">
        <v>97</v>
      </c>
      <c r="AH451" t="s">
        <v>1994</v>
      </c>
      <c r="AI451">
        <v>0</v>
      </c>
    </row>
    <row r="452" spans="9:35" x14ac:dyDescent="0.45">
      <c r="I452" t="s">
        <v>249</v>
      </c>
      <c r="J452" t="s">
        <v>1995</v>
      </c>
      <c r="K452">
        <v>2.2556559978650001E-4</v>
      </c>
      <c r="L452" t="s">
        <v>251</v>
      </c>
      <c r="N452" t="s">
        <v>419</v>
      </c>
      <c r="O452" t="s">
        <v>1995</v>
      </c>
      <c r="P452">
        <v>2.3718005519890001E-4</v>
      </c>
      <c r="Q452" t="s">
        <v>251</v>
      </c>
      <c r="S452" t="s">
        <v>420</v>
      </c>
      <c r="T452" t="s">
        <v>1995</v>
      </c>
      <c r="U452">
        <v>1.503424897695E-4</v>
      </c>
      <c r="V452" t="s">
        <v>251</v>
      </c>
      <c r="X452">
        <v>1.1415525114155251E-4</v>
      </c>
      <c r="Y452">
        <v>1.4452759200788939E-4</v>
      </c>
      <c r="Z452" t="s">
        <v>1995</v>
      </c>
      <c r="AA452" t="s">
        <v>25</v>
      </c>
      <c r="AC452" t="s">
        <v>22</v>
      </c>
      <c r="AD452" t="s">
        <v>1995</v>
      </c>
      <c r="AE452">
        <v>1.3667876541248596E-4</v>
      </c>
      <c r="AG452" t="s">
        <v>97</v>
      </c>
      <c r="AH452" t="s">
        <v>1995</v>
      </c>
      <c r="AI452">
        <v>0</v>
      </c>
    </row>
    <row r="453" spans="9:35" x14ac:dyDescent="0.45">
      <c r="I453" t="s">
        <v>249</v>
      </c>
      <c r="J453" t="s">
        <v>1996</v>
      </c>
      <c r="K453">
        <v>2.4967423461939999E-4</v>
      </c>
      <c r="L453" t="s">
        <v>251</v>
      </c>
      <c r="N453" t="s">
        <v>419</v>
      </c>
      <c r="O453" t="s">
        <v>1996</v>
      </c>
      <c r="P453">
        <v>2.36402326187E-4</v>
      </c>
      <c r="Q453" t="s">
        <v>251</v>
      </c>
      <c r="S453" t="s">
        <v>420</v>
      </c>
      <c r="T453" t="s">
        <v>1996</v>
      </c>
      <c r="U453">
        <v>1.4278728398690001E-4</v>
      </c>
      <c r="V453" t="s">
        <v>251</v>
      </c>
      <c r="X453">
        <v>1.1415525114155251E-4</v>
      </c>
      <c r="Y453">
        <v>1.408812536774151E-4</v>
      </c>
      <c r="Z453" t="s">
        <v>1996</v>
      </c>
      <c r="AA453" t="s">
        <v>25</v>
      </c>
      <c r="AC453" t="s">
        <v>22</v>
      </c>
      <c r="AD453" t="s">
        <v>1996</v>
      </c>
      <c r="AE453">
        <v>1.3423992102161973E-4</v>
      </c>
      <c r="AG453" t="s">
        <v>97</v>
      </c>
      <c r="AH453" t="s">
        <v>1996</v>
      </c>
      <c r="AI453">
        <v>0</v>
      </c>
    </row>
    <row r="454" spans="9:35" x14ac:dyDescent="0.45">
      <c r="I454" t="s">
        <v>249</v>
      </c>
      <c r="J454" t="s">
        <v>1997</v>
      </c>
      <c r="K454">
        <v>2.5534996256659998E-4</v>
      </c>
      <c r="L454" t="s">
        <v>251</v>
      </c>
      <c r="N454" t="s">
        <v>419</v>
      </c>
      <c r="O454" t="s">
        <v>1997</v>
      </c>
      <c r="P454">
        <v>2.4005857599E-4</v>
      </c>
      <c r="Q454" t="s">
        <v>251</v>
      </c>
      <c r="S454" t="s">
        <v>420</v>
      </c>
      <c r="T454" t="s">
        <v>1997</v>
      </c>
      <c r="U454">
        <v>1.3685744494769999E-4</v>
      </c>
      <c r="V454" t="s">
        <v>251</v>
      </c>
      <c r="X454">
        <v>1.1415525114155251E-4</v>
      </c>
      <c r="Y454">
        <v>1.4054976837464471E-4</v>
      </c>
      <c r="Z454" t="s">
        <v>1997</v>
      </c>
      <c r="AA454" t="s">
        <v>25</v>
      </c>
      <c r="AC454" t="s">
        <v>22</v>
      </c>
      <c r="AD454" t="s">
        <v>1997</v>
      </c>
      <c r="AE454">
        <v>1.3558691182498077E-4</v>
      </c>
      <c r="AG454" t="s">
        <v>97</v>
      </c>
      <c r="AH454" t="s">
        <v>1997</v>
      </c>
      <c r="AI454">
        <v>0</v>
      </c>
    </row>
    <row r="455" spans="9:35" x14ac:dyDescent="0.45">
      <c r="I455" t="s">
        <v>249</v>
      </c>
      <c r="J455" t="s">
        <v>1998</v>
      </c>
      <c r="K455">
        <v>2.4647421666699999E-4</v>
      </c>
      <c r="L455" t="s">
        <v>251</v>
      </c>
      <c r="N455" t="s">
        <v>419</v>
      </c>
      <c r="O455" t="s">
        <v>1998</v>
      </c>
      <c r="P455">
        <v>2.3981355003220001E-4</v>
      </c>
      <c r="Q455" t="s">
        <v>251</v>
      </c>
      <c r="S455" t="s">
        <v>420</v>
      </c>
      <c r="T455" t="s">
        <v>1998</v>
      </c>
      <c r="U455">
        <v>1.4114387043400001E-4</v>
      </c>
      <c r="V455" t="s">
        <v>251</v>
      </c>
      <c r="X455">
        <v>1.1415525114155251E-4</v>
      </c>
      <c r="Y455">
        <v>1.4253868019126702E-4</v>
      </c>
      <c r="Z455" t="s">
        <v>1998</v>
      </c>
      <c r="AA455" t="s">
        <v>25</v>
      </c>
      <c r="AC455" t="s">
        <v>22</v>
      </c>
      <c r="AD455" t="s">
        <v>1998</v>
      </c>
      <c r="AE455">
        <v>1.7660272608050848E-4</v>
      </c>
      <c r="AG455" t="s">
        <v>97</v>
      </c>
      <c r="AH455" t="s">
        <v>1998</v>
      </c>
      <c r="AI455">
        <v>0</v>
      </c>
    </row>
    <row r="456" spans="9:35" x14ac:dyDescent="0.45">
      <c r="I456" t="s">
        <v>249</v>
      </c>
      <c r="J456" t="s">
        <v>1999</v>
      </c>
      <c r="K456">
        <v>2.3817434424810001E-4</v>
      </c>
      <c r="L456" t="s">
        <v>251</v>
      </c>
      <c r="N456" t="s">
        <v>419</v>
      </c>
      <c r="O456" t="s">
        <v>1999</v>
      </c>
      <c r="P456">
        <v>2.486752263917E-4</v>
      </c>
      <c r="Q456" t="s">
        <v>251</v>
      </c>
      <c r="S456" t="s">
        <v>420</v>
      </c>
      <c r="T456" t="s">
        <v>1999</v>
      </c>
      <c r="U456">
        <v>1.575961240306E-4</v>
      </c>
      <c r="V456" t="s">
        <v>251</v>
      </c>
      <c r="X456">
        <v>1.1415525114155251E-4</v>
      </c>
      <c r="Y456">
        <v>1.4883690094390442E-4</v>
      </c>
      <c r="Z456" t="s">
        <v>1999</v>
      </c>
      <c r="AA456" t="s">
        <v>25</v>
      </c>
      <c r="AC456" t="s">
        <v>22</v>
      </c>
      <c r="AD456" t="s">
        <v>1999</v>
      </c>
      <c r="AE456">
        <v>1.7884771075277683E-4</v>
      </c>
      <c r="AG456" t="s">
        <v>97</v>
      </c>
      <c r="AH456" t="s">
        <v>1999</v>
      </c>
      <c r="AI456">
        <v>0</v>
      </c>
    </row>
    <row r="457" spans="9:35" x14ac:dyDescent="0.45">
      <c r="I457" t="s">
        <v>249</v>
      </c>
      <c r="J457" t="s">
        <v>2000</v>
      </c>
      <c r="K457">
        <v>2.239089359479E-4</v>
      </c>
      <c r="L457" t="s">
        <v>251</v>
      </c>
      <c r="N457" t="s">
        <v>419</v>
      </c>
      <c r="O457" t="s">
        <v>2000</v>
      </c>
      <c r="P457">
        <v>2.4210196771079999E-4</v>
      </c>
      <c r="Q457" t="s">
        <v>251</v>
      </c>
      <c r="S457" t="s">
        <v>420</v>
      </c>
      <c r="T457" t="s">
        <v>2000</v>
      </c>
      <c r="U457">
        <v>1.612703508766E-4</v>
      </c>
      <c r="V457" t="s">
        <v>251</v>
      </c>
      <c r="X457">
        <v>1.1415525114155251E-4</v>
      </c>
      <c r="Y457">
        <v>1.5049432745775637E-4</v>
      </c>
      <c r="Z457" t="s">
        <v>2000</v>
      </c>
      <c r="AA457" t="s">
        <v>25</v>
      </c>
      <c r="AC457" t="s">
        <v>22</v>
      </c>
      <c r="AD457" t="s">
        <v>2000</v>
      </c>
      <c r="AE457">
        <v>1.6998252810402272E-4</v>
      </c>
      <c r="AG457" t="s">
        <v>97</v>
      </c>
      <c r="AH457" t="s">
        <v>2000</v>
      </c>
      <c r="AI457">
        <v>0</v>
      </c>
    </row>
    <row r="458" spans="9:35" x14ac:dyDescent="0.45">
      <c r="I458" t="s">
        <v>249</v>
      </c>
      <c r="J458" t="s">
        <v>2001</v>
      </c>
      <c r="K458">
        <v>1.984075830012E-4</v>
      </c>
      <c r="L458" t="s">
        <v>251</v>
      </c>
      <c r="N458" t="s">
        <v>419</v>
      </c>
      <c r="O458" t="s">
        <v>2001</v>
      </c>
      <c r="P458">
        <v>2.2302214972660001E-4</v>
      </c>
      <c r="Q458" t="s">
        <v>251</v>
      </c>
      <c r="S458" t="s">
        <v>420</v>
      </c>
      <c r="T458" t="s">
        <v>2001</v>
      </c>
      <c r="U458">
        <v>1.6114489316479999E-4</v>
      </c>
      <c r="V458" t="s">
        <v>251</v>
      </c>
      <c r="X458">
        <v>1.1415525114155251E-4</v>
      </c>
      <c r="Y458">
        <v>1.7237235744060203E-4</v>
      </c>
      <c r="Z458" t="s">
        <v>2001</v>
      </c>
      <c r="AA458" t="s">
        <v>25</v>
      </c>
      <c r="AC458" t="s">
        <v>22</v>
      </c>
      <c r="AD458" t="s">
        <v>2001</v>
      </c>
      <c r="AE458">
        <v>1.3430119851887766E-4</v>
      </c>
      <c r="AG458" t="s">
        <v>97</v>
      </c>
      <c r="AH458" t="s">
        <v>2001</v>
      </c>
      <c r="AI458">
        <v>0</v>
      </c>
    </row>
    <row r="459" spans="9:35" x14ac:dyDescent="0.45">
      <c r="I459" t="s">
        <v>249</v>
      </c>
      <c r="J459" t="s">
        <v>2002</v>
      </c>
      <c r="K459">
        <v>1.541430318089E-4</v>
      </c>
      <c r="L459" t="s">
        <v>251</v>
      </c>
      <c r="N459" t="s">
        <v>419</v>
      </c>
      <c r="O459" t="s">
        <v>2002</v>
      </c>
      <c r="P459">
        <v>2.248306533483E-4</v>
      </c>
      <c r="Q459" t="s">
        <v>251</v>
      </c>
      <c r="S459" t="s">
        <v>420</v>
      </c>
      <c r="T459" t="s">
        <v>2002</v>
      </c>
      <c r="U459">
        <v>1.6292579327149999E-4</v>
      </c>
      <c r="V459" t="s">
        <v>251</v>
      </c>
      <c r="X459">
        <v>1.1415525114155251E-4</v>
      </c>
      <c r="Y459">
        <v>2.2209515285616027E-4</v>
      </c>
      <c r="Z459" t="s">
        <v>2002</v>
      </c>
      <c r="AA459" t="s">
        <v>25</v>
      </c>
      <c r="AC459" t="s">
        <v>22</v>
      </c>
      <c r="AD459" t="s">
        <v>2002</v>
      </c>
      <c r="AE459">
        <v>8.8715197104220973E-5</v>
      </c>
      <c r="AG459" t="s">
        <v>97</v>
      </c>
      <c r="AH459" t="s">
        <v>2002</v>
      </c>
      <c r="AI459">
        <v>0</v>
      </c>
    </row>
    <row r="460" spans="9:35" x14ac:dyDescent="0.45">
      <c r="I460" t="s">
        <v>249</v>
      </c>
      <c r="J460" t="s">
        <v>2003</v>
      </c>
      <c r="K460">
        <v>9.4635246970091761E-5</v>
      </c>
      <c r="L460" t="s">
        <v>251</v>
      </c>
      <c r="N460" t="s">
        <v>419</v>
      </c>
      <c r="O460" t="s">
        <v>2003</v>
      </c>
      <c r="P460">
        <v>2.3536014892130001E-4</v>
      </c>
      <c r="Q460" t="s">
        <v>251</v>
      </c>
      <c r="S460" t="s">
        <v>420</v>
      </c>
      <c r="T460" t="s">
        <v>2003</v>
      </c>
      <c r="U460">
        <v>1.664676977194E-4</v>
      </c>
      <c r="V460" t="s">
        <v>251</v>
      </c>
      <c r="X460">
        <v>1.1415525114155251E-4</v>
      </c>
      <c r="Y460">
        <v>2.2209515285616027E-4</v>
      </c>
      <c r="Z460" t="s">
        <v>2003</v>
      </c>
      <c r="AA460" t="s">
        <v>25</v>
      </c>
      <c r="AC460" t="s">
        <v>22</v>
      </c>
      <c r="AD460" t="s">
        <v>2003</v>
      </c>
      <c r="AE460">
        <v>5.4917872025679289E-5</v>
      </c>
      <c r="AG460" t="s">
        <v>97</v>
      </c>
      <c r="AH460" t="s">
        <v>2003</v>
      </c>
      <c r="AI460">
        <v>0</v>
      </c>
    </row>
    <row r="461" spans="9:35" x14ac:dyDescent="0.45">
      <c r="I461" t="s">
        <v>249</v>
      </c>
      <c r="J461" t="s">
        <v>2004</v>
      </c>
      <c r="K461">
        <v>2.822090409670705E-5</v>
      </c>
      <c r="L461" t="s">
        <v>251</v>
      </c>
      <c r="N461" t="s">
        <v>419</v>
      </c>
      <c r="O461" t="s">
        <v>2004</v>
      </c>
      <c r="P461">
        <v>2.5209350272319998E-4</v>
      </c>
      <c r="Q461" t="s">
        <v>251</v>
      </c>
      <c r="S461" t="s">
        <v>420</v>
      </c>
      <c r="T461" t="s">
        <v>2004</v>
      </c>
      <c r="U461">
        <v>1.664034153305E-4</v>
      </c>
      <c r="V461" t="s">
        <v>251</v>
      </c>
      <c r="X461">
        <v>1.1415525114155251E-4</v>
      </c>
      <c r="Y461">
        <v>1.7237235744060203E-4</v>
      </c>
      <c r="Z461" t="s">
        <v>2004</v>
      </c>
      <c r="AA461" t="s">
        <v>25</v>
      </c>
      <c r="AC461" t="s">
        <v>22</v>
      </c>
      <c r="AD461" t="s">
        <v>2004</v>
      </c>
      <c r="AE461">
        <v>5.4840996620028397E-5</v>
      </c>
      <c r="AG461" t="s">
        <v>97</v>
      </c>
      <c r="AH461" t="s">
        <v>2004</v>
      </c>
      <c r="AI461">
        <v>0</v>
      </c>
    </row>
    <row r="462" spans="9:35" x14ac:dyDescent="0.45">
      <c r="I462" t="s">
        <v>249</v>
      </c>
      <c r="J462" t="s">
        <v>2005</v>
      </c>
      <c r="K462">
        <v>0</v>
      </c>
      <c r="L462" t="s">
        <v>251</v>
      </c>
      <c r="N462" t="s">
        <v>419</v>
      </c>
      <c r="O462" t="s">
        <v>2005</v>
      </c>
      <c r="P462">
        <v>2.5840671559639999E-4</v>
      </c>
      <c r="Q462" t="s">
        <v>251</v>
      </c>
      <c r="S462" t="s">
        <v>420</v>
      </c>
      <c r="T462" t="s">
        <v>2005</v>
      </c>
      <c r="U462">
        <v>1.7051926654800001E-4</v>
      </c>
      <c r="V462" t="s">
        <v>251</v>
      </c>
      <c r="X462">
        <v>1.1415525114155251E-4</v>
      </c>
      <c r="Y462">
        <v>1.5579809230208258E-4</v>
      </c>
      <c r="Z462" t="s">
        <v>2005</v>
      </c>
      <c r="AA462" t="s">
        <v>25</v>
      </c>
      <c r="AC462" t="s">
        <v>22</v>
      </c>
      <c r="AD462" t="s">
        <v>2005</v>
      </c>
      <c r="AE462">
        <v>5.0324288003960878E-5</v>
      </c>
      <c r="AG462" t="s">
        <v>97</v>
      </c>
      <c r="AH462" t="s">
        <v>2005</v>
      </c>
      <c r="AI462">
        <v>0</v>
      </c>
    </row>
    <row r="463" spans="9:35" x14ac:dyDescent="0.45">
      <c r="I463" t="s">
        <v>249</v>
      </c>
      <c r="J463" t="s">
        <v>2006</v>
      </c>
      <c r="K463">
        <v>0</v>
      </c>
      <c r="L463" t="s">
        <v>251</v>
      </c>
      <c r="N463" t="s">
        <v>419</v>
      </c>
      <c r="O463" t="s">
        <v>2006</v>
      </c>
      <c r="P463">
        <v>2.5414486127610001E-4</v>
      </c>
      <c r="Q463" t="s">
        <v>251</v>
      </c>
      <c r="S463" t="s">
        <v>420</v>
      </c>
      <c r="T463" t="s">
        <v>2006</v>
      </c>
      <c r="U463">
        <v>1.706210527805E-4</v>
      </c>
      <c r="V463" t="s">
        <v>251</v>
      </c>
      <c r="X463">
        <v>1.1415525114155251E-4</v>
      </c>
      <c r="Y463">
        <v>1.093901499142282E-4</v>
      </c>
      <c r="Z463" t="s">
        <v>2006</v>
      </c>
      <c r="AA463" t="s">
        <v>25</v>
      </c>
      <c r="AC463" t="s">
        <v>22</v>
      </c>
      <c r="AD463" t="s">
        <v>2006</v>
      </c>
      <c r="AE463">
        <v>4.9173385191825293E-5</v>
      </c>
      <c r="AG463" t="s">
        <v>97</v>
      </c>
      <c r="AH463" t="s">
        <v>2006</v>
      </c>
      <c r="AI463">
        <v>0</v>
      </c>
    </row>
    <row r="464" spans="9:35" x14ac:dyDescent="0.45">
      <c r="I464" t="s">
        <v>249</v>
      </c>
      <c r="J464" t="s">
        <v>2007</v>
      </c>
      <c r="K464">
        <v>0</v>
      </c>
      <c r="L464" t="s">
        <v>251</v>
      </c>
      <c r="N464" t="s">
        <v>419</v>
      </c>
      <c r="O464" t="s">
        <v>2007</v>
      </c>
      <c r="P464">
        <v>2.5030531389610001E-4</v>
      </c>
      <c r="Q464" t="s">
        <v>251</v>
      </c>
      <c r="S464" t="s">
        <v>420</v>
      </c>
      <c r="T464" t="s">
        <v>2007</v>
      </c>
      <c r="U464">
        <v>1.6867670240689999E-4</v>
      </c>
      <c r="V464" t="s">
        <v>251</v>
      </c>
      <c r="X464">
        <v>1.1415525114155251E-4</v>
      </c>
      <c r="Y464">
        <v>7.9556472664893237E-5</v>
      </c>
      <c r="Z464" t="s">
        <v>2007</v>
      </c>
      <c r="AA464" t="s">
        <v>25</v>
      </c>
      <c r="AC464" t="s">
        <v>22</v>
      </c>
      <c r="AD464" t="s">
        <v>2007</v>
      </c>
      <c r="AE464">
        <v>5.2177096693778417E-5</v>
      </c>
      <c r="AG464" t="s">
        <v>97</v>
      </c>
      <c r="AH464" t="s">
        <v>2007</v>
      </c>
      <c r="AI464">
        <v>0</v>
      </c>
    </row>
    <row r="465" spans="9:35" x14ac:dyDescent="0.45">
      <c r="I465" t="s">
        <v>249</v>
      </c>
      <c r="J465" t="s">
        <v>2008</v>
      </c>
      <c r="K465">
        <v>0</v>
      </c>
      <c r="L465" t="s">
        <v>251</v>
      </c>
      <c r="N465" t="s">
        <v>419</v>
      </c>
      <c r="O465" t="s">
        <v>2008</v>
      </c>
      <c r="P465">
        <v>2.433275568798E-4</v>
      </c>
      <c r="Q465" t="s">
        <v>251</v>
      </c>
      <c r="S465" t="s">
        <v>420</v>
      </c>
      <c r="T465" t="s">
        <v>2008</v>
      </c>
      <c r="U465">
        <v>1.677568389307E-4</v>
      </c>
      <c r="V465" t="s">
        <v>251</v>
      </c>
      <c r="X465">
        <v>1.1415525114155251E-4</v>
      </c>
      <c r="Y465">
        <v>5.6352501470966035E-5</v>
      </c>
      <c r="Z465" t="s">
        <v>2008</v>
      </c>
      <c r="AA465" t="s">
        <v>25</v>
      </c>
      <c r="AC465" t="s">
        <v>22</v>
      </c>
      <c r="AD465" t="s">
        <v>2008</v>
      </c>
      <c r="AE465">
        <v>6.4639825499730857E-5</v>
      </c>
      <c r="AG465" t="s">
        <v>97</v>
      </c>
      <c r="AH465" t="s">
        <v>2008</v>
      </c>
      <c r="AI465">
        <v>0</v>
      </c>
    </row>
    <row r="466" spans="9:35" x14ac:dyDescent="0.45">
      <c r="I466" t="s">
        <v>249</v>
      </c>
      <c r="J466" t="s">
        <v>2009</v>
      </c>
      <c r="K466">
        <v>0</v>
      </c>
      <c r="L466" t="s">
        <v>251</v>
      </c>
      <c r="N466" t="s">
        <v>419</v>
      </c>
      <c r="O466" t="s">
        <v>2009</v>
      </c>
      <c r="P466">
        <v>2.416898982741E-4</v>
      </c>
      <c r="Q466" t="s">
        <v>251</v>
      </c>
      <c r="S466" t="s">
        <v>420</v>
      </c>
      <c r="T466" t="s">
        <v>2009</v>
      </c>
      <c r="U466">
        <v>1.7174100174189999E-4</v>
      </c>
      <c r="V466" t="s">
        <v>251</v>
      </c>
      <c r="X466">
        <v>1.1415525114155251E-4</v>
      </c>
      <c r="Y466">
        <v>2.9833677249334962E-5</v>
      </c>
      <c r="Z466" t="s">
        <v>2009</v>
      </c>
      <c r="AA466" t="s">
        <v>25</v>
      </c>
      <c r="AC466" t="s">
        <v>22</v>
      </c>
      <c r="AD466" t="s">
        <v>2009</v>
      </c>
      <c r="AE466">
        <v>8.0477273200125441E-5</v>
      </c>
      <c r="AG466" t="s">
        <v>97</v>
      </c>
      <c r="AH466" t="s">
        <v>2009</v>
      </c>
      <c r="AI466">
        <v>0</v>
      </c>
    </row>
    <row r="467" spans="9:35" x14ac:dyDescent="0.45">
      <c r="I467" t="s">
        <v>249</v>
      </c>
      <c r="J467" t="s">
        <v>371</v>
      </c>
      <c r="K467">
        <v>6.3403489372097896E-4</v>
      </c>
      <c r="L467" t="s">
        <v>251</v>
      </c>
      <c r="N467" t="s">
        <v>419</v>
      </c>
      <c r="O467" t="s">
        <v>371</v>
      </c>
      <c r="P467">
        <v>1.2435653056473135E-2</v>
      </c>
      <c r="Q467" t="s">
        <v>251</v>
      </c>
      <c r="S467" t="s">
        <v>420</v>
      </c>
      <c r="T467" t="s">
        <v>371</v>
      </c>
      <c r="U467">
        <v>1.5488070688631525E-2</v>
      </c>
      <c r="V467" t="s">
        <v>251</v>
      </c>
      <c r="X467">
        <v>2.4771689497716895E-2</v>
      </c>
      <c r="Y467">
        <v>9.7827942553597048E-3</v>
      </c>
      <c r="Z467" t="s">
        <v>371</v>
      </c>
      <c r="AA467" t="s">
        <v>25</v>
      </c>
      <c r="AC467" t="s">
        <v>22</v>
      </c>
      <c r="AD467" t="s">
        <v>371</v>
      </c>
      <c r="AE467">
        <v>2.3934028632773042E-2</v>
      </c>
      <c r="AG467" t="s">
        <v>97</v>
      </c>
      <c r="AH467" t="s">
        <v>371</v>
      </c>
      <c r="AI467">
        <v>0.13679072694273109</v>
      </c>
    </row>
    <row r="468" spans="9:35" x14ac:dyDescent="0.45">
      <c r="I468" t="s">
        <v>249</v>
      </c>
      <c r="J468" t="s">
        <v>372</v>
      </c>
      <c r="K468">
        <v>3.8263330103221272E-3</v>
      </c>
      <c r="L468" t="s">
        <v>251</v>
      </c>
      <c r="N468" t="s">
        <v>419</v>
      </c>
      <c r="O468" t="s">
        <v>372</v>
      </c>
      <c r="P468">
        <v>1.3649581269337327E-3</v>
      </c>
      <c r="Q468" t="s">
        <v>251</v>
      </c>
      <c r="S468" t="s">
        <v>420</v>
      </c>
      <c r="T468" t="s">
        <v>372</v>
      </c>
      <c r="U468">
        <v>1.995264486450884E-3</v>
      </c>
      <c r="V468" t="s">
        <v>251</v>
      </c>
      <c r="X468">
        <v>3.5388127853881279E-3</v>
      </c>
      <c r="Y468">
        <v>5.9087255218821738E-3</v>
      </c>
      <c r="Z468" t="s">
        <v>372</v>
      </c>
      <c r="AA468" t="s">
        <v>25</v>
      </c>
      <c r="AC468" t="s">
        <v>22</v>
      </c>
      <c r="AD468" t="s">
        <v>372</v>
      </c>
      <c r="AE468">
        <v>3.9657988848695565E-3</v>
      </c>
      <c r="AG468" t="s">
        <v>97</v>
      </c>
      <c r="AH468" t="s">
        <v>372</v>
      </c>
      <c r="AI468">
        <v>5.6729088378576265E-2</v>
      </c>
    </row>
    <row r="469" spans="9:35" x14ac:dyDescent="0.45">
      <c r="I469" t="s">
        <v>249</v>
      </c>
      <c r="J469" t="s">
        <v>373</v>
      </c>
      <c r="K469">
        <v>6.7150870858792002E-3</v>
      </c>
      <c r="L469" t="s">
        <v>251</v>
      </c>
      <c r="N469" t="s">
        <v>419</v>
      </c>
      <c r="O469" t="s">
        <v>373</v>
      </c>
      <c r="P469">
        <v>1.3225329764351757E-3</v>
      </c>
      <c r="Q469" t="s">
        <v>251</v>
      </c>
      <c r="S469" t="s">
        <v>420</v>
      </c>
      <c r="T469" t="s">
        <v>373</v>
      </c>
      <c r="U469">
        <v>1.9162130597774412E-3</v>
      </c>
      <c r="V469" t="s">
        <v>251</v>
      </c>
      <c r="X469">
        <v>3.5388127853881279E-3</v>
      </c>
      <c r="Y469">
        <v>4.521459529788099E-3</v>
      </c>
      <c r="Z469" t="s">
        <v>373</v>
      </c>
      <c r="AA469" t="s">
        <v>25</v>
      </c>
      <c r="AC469" t="s">
        <v>22</v>
      </c>
      <c r="AD469" t="s">
        <v>373</v>
      </c>
      <c r="AE469">
        <v>4.0884697495620825E-3</v>
      </c>
      <c r="AG469" t="s">
        <v>97</v>
      </c>
      <c r="AH469" t="s">
        <v>373</v>
      </c>
      <c r="AI469">
        <v>5.4226425435626613E-2</v>
      </c>
    </row>
    <row r="470" spans="9:35" x14ac:dyDescent="0.45">
      <c r="I470" t="s">
        <v>249</v>
      </c>
      <c r="J470" t="s">
        <v>374</v>
      </c>
      <c r="K470">
        <v>8.6003159860488006E-3</v>
      </c>
      <c r="L470" t="s">
        <v>251</v>
      </c>
      <c r="N470" t="s">
        <v>419</v>
      </c>
      <c r="O470" t="s">
        <v>374</v>
      </c>
      <c r="P470">
        <v>1.2776880862943592E-3</v>
      </c>
      <c r="Q470" t="s">
        <v>251</v>
      </c>
      <c r="S470" t="s">
        <v>420</v>
      </c>
      <c r="T470" t="s">
        <v>374</v>
      </c>
      <c r="U470">
        <v>1.8593174914847584E-3</v>
      </c>
      <c r="V470" t="s">
        <v>251</v>
      </c>
      <c r="X470">
        <v>3.5388127853881279E-3</v>
      </c>
      <c r="Y470">
        <v>4.4803553522445696E-3</v>
      </c>
      <c r="Z470" t="s">
        <v>374</v>
      </c>
      <c r="AA470" t="s">
        <v>25</v>
      </c>
      <c r="AC470" t="s">
        <v>22</v>
      </c>
      <c r="AD470" t="s">
        <v>374</v>
      </c>
      <c r="AE470">
        <v>4.1133094186778258E-3</v>
      </c>
      <c r="AG470" t="s">
        <v>97</v>
      </c>
      <c r="AH470" t="s">
        <v>374</v>
      </c>
      <c r="AI470">
        <v>5.6011285725877658E-2</v>
      </c>
    </row>
    <row r="471" spans="9:35" x14ac:dyDescent="0.45">
      <c r="I471" t="s">
        <v>249</v>
      </c>
      <c r="J471" t="s">
        <v>375</v>
      </c>
      <c r="K471">
        <v>6.1191362657387602E-2</v>
      </c>
      <c r="L471" t="s">
        <v>251</v>
      </c>
      <c r="N471" t="s">
        <v>419</v>
      </c>
      <c r="O471" t="s">
        <v>375</v>
      </c>
      <c r="P471">
        <v>9.5770533182397716E-3</v>
      </c>
      <c r="Q471" t="s">
        <v>251</v>
      </c>
      <c r="S471" t="s">
        <v>420</v>
      </c>
      <c r="T471" t="s">
        <v>375</v>
      </c>
      <c r="U471">
        <v>1.3953211337061788E-2</v>
      </c>
      <c r="V471" t="s">
        <v>251</v>
      </c>
      <c r="X471">
        <v>2.4771689497716895E-2</v>
      </c>
      <c r="Y471">
        <v>3.4650821669194247E-2</v>
      </c>
      <c r="Z471" t="s">
        <v>375</v>
      </c>
      <c r="AA471" t="s">
        <v>25</v>
      </c>
      <c r="AC471" t="s">
        <v>22</v>
      </c>
      <c r="AD471" t="s">
        <v>375</v>
      </c>
      <c r="AE471">
        <v>3.0280118994388212E-2</v>
      </c>
      <c r="AG471" t="s">
        <v>97</v>
      </c>
      <c r="AH471" t="s">
        <v>375</v>
      </c>
      <c r="AI471">
        <v>0.17824252174205646</v>
      </c>
    </row>
    <row r="472" spans="9:35" x14ac:dyDescent="0.45">
      <c r="I472" t="s">
        <v>249</v>
      </c>
      <c r="J472" t="s">
        <v>376</v>
      </c>
      <c r="K472">
        <v>4.3842810569849856E-3</v>
      </c>
      <c r="L472" t="s">
        <v>251</v>
      </c>
      <c r="N472" t="s">
        <v>419</v>
      </c>
      <c r="O472" t="s">
        <v>376</v>
      </c>
      <c r="P472">
        <v>1.6358779065967408E-3</v>
      </c>
      <c r="Q472" t="s">
        <v>251</v>
      </c>
      <c r="S472" t="s">
        <v>420</v>
      </c>
      <c r="T472" t="s">
        <v>376</v>
      </c>
      <c r="U472">
        <v>2.2921375853948737E-3</v>
      </c>
      <c r="V472" t="s">
        <v>251</v>
      </c>
      <c r="X472">
        <v>3.5388127853881279E-3</v>
      </c>
      <c r="Y472">
        <v>6.8849497385409693E-3</v>
      </c>
      <c r="Z472" t="s">
        <v>376</v>
      </c>
      <c r="AA472" t="s">
        <v>25</v>
      </c>
      <c r="AC472" t="s">
        <v>22</v>
      </c>
      <c r="AD472" t="s">
        <v>376</v>
      </c>
      <c r="AE472">
        <v>1.7822153789899473E-3</v>
      </c>
      <c r="AG472" t="s">
        <v>97</v>
      </c>
      <c r="AH472" t="s">
        <v>376</v>
      </c>
      <c r="AI472">
        <v>7.3099190615680376E-2</v>
      </c>
    </row>
    <row r="473" spans="9:35" x14ac:dyDescent="0.45">
      <c r="I473" t="s">
        <v>249</v>
      </c>
      <c r="J473" t="s">
        <v>377</v>
      </c>
      <c r="K473">
        <v>1.0263553428467634E-3</v>
      </c>
      <c r="L473" t="s">
        <v>251</v>
      </c>
      <c r="N473" t="s">
        <v>419</v>
      </c>
      <c r="O473" t="s">
        <v>377</v>
      </c>
      <c r="P473">
        <v>1.8979731676521288E-3</v>
      </c>
      <c r="Q473" t="s">
        <v>251</v>
      </c>
      <c r="S473" t="s">
        <v>420</v>
      </c>
      <c r="T473" t="s">
        <v>377</v>
      </c>
      <c r="U473">
        <v>2.3093357354052341E-3</v>
      </c>
      <c r="V473" t="s">
        <v>251</v>
      </c>
      <c r="X473">
        <v>3.5388127853881279E-3</v>
      </c>
      <c r="Y473">
        <v>5.3435430806586613E-3</v>
      </c>
      <c r="Z473" t="s">
        <v>377</v>
      </c>
      <c r="AA473" t="s">
        <v>25</v>
      </c>
      <c r="AC473" t="s">
        <v>22</v>
      </c>
      <c r="AD473" t="s">
        <v>377</v>
      </c>
      <c r="AE473">
        <v>1.1503686209911866E-3</v>
      </c>
      <c r="AG473" t="s">
        <v>97</v>
      </c>
      <c r="AH473" t="s">
        <v>377</v>
      </c>
      <c r="AI473">
        <v>3.5983219578911374E-2</v>
      </c>
    </row>
    <row r="474" spans="9:35" x14ac:dyDescent="0.45">
      <c r="I474" t="s">
        <v>249</v>
      </c>
      <c r="J474" t="s">
        <v>378</v>
      </c>
      <c r="K474">
        <v>0</v>
      </c>
      <c r="L474" t="s">
        <v>251</v>
      </c>
      <c r="N474" t="s">
        <v>419</v>
      </c>
      <c r="O474" t="s">
        <v>378</v>
      </c>
      <c r="P474">
        <v>1.0784711380233942E-2</v>
      </c>
      <c r="Q474" t="s">
        <v>251</v>
      </c>
      <c r="S474" t="s">
        <v>420</v>
      </c>
      <c r="T474" t="s">
        <v>378</v>
      </c>
      <c r="U474">
        <v>1.1047602570597012E-2</v>
      </c>
      <c r="V474" t="s">
        <v>251</v>
      </c>
      <c r="X474">
        <v>1.7694063926940638E-2</v>
      </c>
      <c r="Y474">
        <v>1.3358857701646654E-2</v>
      </c>
      <c r="Z474" t="s">
        <v>378</v>
      </c>
      <c r="AA474" t="s">
        <v>25</v>
      </c>
      <c r="AC474" t="s">
        <v>22</v>
      </c>
      <c r="AD474" t="s">
        <v>378</v>
      </c>
      <c r="AE474">
        <v>6.4498617610390784E-3</v>
      </c>
      <c r="AG474" t="s">
        <v>97</v>
      </c>
      <c r="AH474" t="s">
        <v>378</v>
      </c>
      <c r="AI474">
        <v>0.17538812015677752</v>
      </c>
    </row>
    <row r="475" spans="9:35" x14ac:dyDescent="0.45">
      <c r="I475" t="s">
        <v>249</v>
      </c>
      <c r="J475" t="s">
        <v>379</v>
      </c>
      <c r="K475">
        <v>1.9482941716715063E-5</v>
      </c>
      <c r="L475" t="s">
        <v>251</v>
      </c>
      <c r="N475" t="s">
        <v>419</v>
      </c>
      <c r="O475" t="s">
        <v>379</v>
      </c>
      <c r="P475">
        <v>1.3153699780610236E-2</v>
      </c>
      <c r="Q475" t="s">
        <v>251</v>
      </c>
      <c r="S475" t="s">
        <v>420</v>
      </c>
      <c r="T475" t="s">
        <v>379</v>
      </c>
      <c r="U475">
        <v>1.3586976600322679E-2</v>
      </c>
      <c r="V475" t="s">
        <v>251</v>
      </c>
      <c r="X475">
        <v>2.3972602739726026E-2</v>
      </c>
      <c r="Y475">
        <v>9.4672202471222967E-3</v>
      </c>
      <c r="Z475" t="s">
        <v>379</v>
      </c>
      <c r="AA475" t="s">
        <v>25</v>
      </c>
      <c r="AC475" t="s">
        <v>22</v>
      </c>
      <c r="AD475" t="s">
        <v>379</v>
      </c>
      <c r="AE475">
        <v>1.9893003489543905E-2</v>
      </c>
      <c r="AG475" t="s">
        <v>97</v>
      </c>
      <c r="AH475" t="s">
        <v>379</v>
      </c>
      <c r="AI475">
        <v>0.12071448710066535</v>
      </c>
    </row>
    <row r="476" spans="9:35" x14ac:dyDescent="0.45">
      <c r="I476" t="s">
        <v>249</v>
      </c>
      <c r="J476" t="s">
        <v>380</v>
      </c>
      <c r="K476">
        <v>2.6033399125763301E-3</v>
      </c>
      <c r="L476" t="s">
        <v>251</v>
      </c>
      <c r="N476" t="s">
        <v>419</v>
      </c>
      <c r="O476" t="s">
        <v>380</v>
      </c>
      <c r="P476">
        <v>1.5945234636038359E-3</v>
      </c>
      <c r="Q476" t="s">
        <v>251</v>
      </c>
      <c r="S476" t="s">
        <v>420</v>
      </c>
      <c r="T476" t="s">
        <v>380</v>
      </c>
      <c r="U476">
        <v>2.1899527058046996E-3</v>
      </c>
      <c r="V476" t="s">
        <v>251</v>
      </c>
      <c r="X476">
        <v>3.4246575342465752E-3</v>
      </c>
      <c r="Y476">
        <v>5.7181214727892006E-3</v>
      </c>
      <c r="Z476" t="s">
        <v>380</v>
      </c>
      <c r="AA476" t="s">
        <v>25</v>
      </c>
      <c r="AC476" t="s">
        <v>22</v>
      </c>
      <c r="AD476" t="s">
        <v>380</v>
      </c>
      <c r="AE476">
        <v>3.4633448415919798E-3</v>
      </c>
      <c r="AG476" t="s">
        <v>97</v>
      </c>
      <c r="AH476" t="s">
        <v>380</v>
      </c>
      <c r="AI476">
        <v>2.4424973822853469E-2</v>
      </c>
    </row>
    <row r="477" spans="9:35" x14ac:dyDescent="0.45">
      <c r="I477" t="s">
        <v>249</v>
      </c>
      <c r="J477" t="s">
        <v>381</v>
      </c>
      <c r="K477">
        <v>6.8886166088816996E-3</v>
      </c>
      <c r="L477" t="s">
        <v>251</v>
      </c>
      <c r="N477" t="s">
        <v>419</v>
      </c>
      <c r="O477" t="s">
        <v>381</v>
      </c>
      <c r="P477">
        <v>1.2286945357890488E-3</v>
      </c>
      <c r="Q477" t="s">
        <v>251</v>
      </c>
      <c r="S477" t="s">
        <v>420</v>
      </c>
      <c r="T477" t="s">
        <v>381</v>
      </c>
      <c r="U477">
        <v>2.2081893103214167E-3</v>
      </c>
      <c r="V477" t="s">
        <v>251</v>
      </c>
      <c r="X477">
        <v>3.4246575342465752E-3</v>
      </c>
      <c r="Y477">
        <v>4.3756059965691279E-3</v>
      </c>
      <c r="Z477" t="s">
        <v>381</v>
      </c>
      <c r="AA477" t="s">
        <v>25</v>
      </c>
      <c r="AC477" t="s">
        <v>22</v>
      </c>
      <c r="AD477" t="s">
        <v>381</v>
      </c>
      <c r="AE477">
        <v>3.4988779910473927E-3</v>
      </c>
      <c r="AG477" t="s">
        <v>97</v>
      </c>
      <c r="AH477" t="s">
        <v>381</v>
      </c>
      <c r="AI477">
        <v>3.5086542729831249E-2</v>
      </c>
    </row>
    <row r="478" spans="9:35" x14ac:dyDescent="0.45">
      <c r="I478" t="s">
        <v>249</v>
      </c>
      <c r="J478" t="s">
        <v>382</v>
      </c>
      <c r="K478">
        <v>8.9099181820073009E-3</v>
      </c>
      <c r="L478" t="s">
        <v>251</v>
      </c>
      <c r="N478" t="s">
        <v>419</v>
      </c>
      <c r="O478" t="s">
        <v>382</v>
      </c>
      <c r="P478">
        <v>1.2278248675456694E-3</v>
      </c>
      <c r="Q478" t="s">
        <v>251</v>
      </c>
      <c r="S478" t="s">
        <v>420</v>
      </c>
      <c r="T478" t="s">
        <v>382</v>
      </c>
      <c r="U478">
        <v>2.1791779415469034E-3</v>
      </c>
      <c r="V478" t="s">
        <v>251</v>
      </c>
      <c r="X478">
        <v>3.4246575342465752E-3</v>
      </c>
      <c r="Y478">
        <v>4.3358277602366805E-3</v>
      </c>
      <c r="Z478" t="s">
        <v>382</v>
      </c>
      <c r="AA478" t="s">
        <v>25</v>
      </c>
      <c r="AC478" t="s">
        <v>22</v>
      </c>
      <c r="AD478" t="s">
        <v>382</v>
      </c>
      <c r="AE478">
        <v>3.5052252256270017E-3</v>
      </c>
      <c r="AG478" t="s">
        <v>97</v>
      </c>
      <c r="AH478" t="s">
        <v>382</v>
      </c>
      <c r="AI478">
        <v>4.0467275831858718E-2</v>
      </c>
    </row>
    <row r="479" spans="9:35" x14ac:dyDescent="0.45">
      <c r="I479" t="s">
        <v>249</v>
      </c>
      <c r="J479" t="s">
        <v>383</v>
      </c>
      <c r="K479">
        <v>6.2473075400478098E-2</v>
      </c>
      <c r="L479" t="s">
        <v>251</v>
      </c>
      <c r="N479" t="s">
        <v>419</v>
      </c>
      <c r="O479" t="s">
        <v>383</v>
      </c>
      <c r="P479">
        <v>7.0774065848758453E-3</v>
      </c>
      <c r="Q479" t="s">
        <v>251</v>
      </c>
      <c r="S479" t="s">
        <v>420</v>
      </c>
      <c r="T479" t="s">
        <v>383</v>
      </c>
      <c r="U479">
        <v>1.1090112327354915E-2</v>
      </c>
      <c r="V479" t="s">
        <v>251</v>
      </c>
      <c r="X479">
        <v>2.3972602739726026E-2</v>
      </c>
      <c r="Y479">
        <v>3.3533053228252493E-2</v>
      </c>
      <c r="Z479" t="s">
        <v>383</v>
      </c>
      <c r="AA479" t="s">
        <v>25</v>
      </c>
      <c r="AC479" t="s">
        <v>22</v>
      </c>
      <c r="AD479" t="s">
        <v>383</v>
      </c>
      <c r="AE479">
        <v>2.5131362707046166E-2</v>
      </c>
      <c r="AG479" t="s">
        <v>97</v>
      </c>
      <c r="AH479" t="s">
        <v>383</v>
      </c>
      <c r="AI479">
        <v>0.17804101251486038</v>
      </c>
    </row>
    <row r="480" spans="9:35" x14ac:dyDescent="0.45">
      <c r="I480" t="s">
        <v>249</v>
      </c>
      <c r="J480" t="s">
        <v>384</v>
      </c>
      <c r="K480">
        <v>3.770368738009022E-3</v>
      </c>
      <c r="L480" t="s">
        <v>251</v>
      </c>
      <c r="N480" t="s">
        <v>419</v>
      </c>
      <c r="O480" t="s">
        <v>384</v>
      </c>
      <c r="P480">
        <v>1.1287268352343767E-3</v>
      </c>
      <c r="Q480" t="s">
        <v>251</v>
      </c>
      <c r="S480" t="s">
        <v>420</v>
      </c>
      <c r="T480" t="s">
        <v>384</v>
      </c>
      <c r="U480">
        <v>1.3284374603490527E-3</v>
      </c>
      <c r="V480" t="s">
        <v>251</v>
      </c>
      <c r="X480">
        <v>3.4246575342465752E-3</v>
      </c>
      <c r="Y480">
        <v>6.662854585684809E-3</v>
      </c>
      <c r="Z480" t="s">
        <v>384</v>
      </c>
      <c r="AA480" t="s">
        <v>25</v>
      </c>
      <c r="AC480" t="s">
        <v>22</v>
      </c>
      <c r="AD480" t="s">
        <v>384</v>
      </c>
      <c r="AE480">
        <v>1.7141318886387327E-3</v>
      </c>
      <c r="AG480" t="s">
        <v>97</v>
      </c>
      <c r="AH480" t="s">
        <v>384</v>
      </c>
      <c r="AI480">
        <v>3.1627555184013056E-2</v>
      </c>
    </row>
    <row r="481" spans="9:35" x14ac:dyDescent="0.45">
      <c r="I481" t="s">
        <v>249</v>
      </c>
      <c r="J481" t="s">
        <v>385</v>
      </c>
      <c r="K481">
        <v>5.4434138824243538E-6</v>
      </c>
      <c r="L481" t="s">
        <v>251</v>
      </c>
      <c r="N481" t="s">
        <v>419</v>
      </c>
      <c r="O481" t="s">
        <v>385</v>
      </c>
      <c r="P481">
        <v>1.6062734813735286E-3</v>
      </c>
      <c r="Q481" t="s">
        <v>251</v>
      </c>
      <c r="S481" t="s">
        <v>420</v>
      </c>
      <c r="T481" t="s">
        <v>385</v>
      </c>
      <c r="U481">
        <v>1.3904729415381214E-3</v>
      </c>
      <c r="V481" t="s">
        <v>251</v>
      </c>
      <c r="X481">
        <v>3.4246575342465752E-3</v>
      </c>
      <c r="Y481">
        <v>5.1711707232180593E-3</v>
      </c>
      <c r="Z481" t="s">
        <v>385</v>
      </c>
      <c r="AA481" t="s">
        <v>25</v>
      </c>
      <c r="AC481" t="s">
        <v>22</v>
      </c>
      <c r="AD481" t="s">
        <v>385</v>
      </c>
      <c r="AE481">
        <v>9.7962972482451994E-4</v>
      </c>
      <c r="AG481" t="s">
        <v>97</v>
      </c>
      <c r="AH481" t="s">
        <v>385</v>
      </c>
      <c r="AI481">
        <v>2.5760892893481158E-2</v>
      </c>
    </row>
    <row r="482" spans="9:35" x14ac:dyDescent="0.45">
      <c r="I482" t="s">
        <v>249</v>
      </c>
      <c r="J482" t="s">
        <v>386</v>
      </c>
      <c r="K482">
        <v>0</v>
      </c>
      <c r="L482" t="s">
        <v>251</v>
      </c>
      <c r="N482" t="s">
        <v>419</v>
      </c>
      <c r="O482" t="s">
        <v>386</v>
      </c>
      <c r="P482">
        <v>1.14434305219419E-2</v>
      </c>
      <c r="Q482" t="s">
        <v>251</v>
      </c>
      <c r="S482" t="s">
        <v>420</v>
      </c>
      <c r="T482" t="s">
        <v>386</v>
      </c>
      <c r="U482">
        <v>8.037961113677607E-3</v>
      </c>
      <c r="V482" t="s">
        <v>251</v>
      </c>
      <c r="X482">
        <v>1.7123287671232876E-2</v>
      </c>
      <c r="Y482">
        <v>1.2927926808045149E-2</v>
      </c>
      <c r="Z482" t="s">
        <v>386</v>
      </c>
      <c r="AA482" t="s">
        <v>25</v>
      </c>
      <c r="AC482" t="s">
        <v>22</v>
      </c>
      <c r="AD482" t="s">
        <v>386</v>
      </c>
      <c r="AE482">
        <v>4.8136781512206767E-3</v>
      </c>
      <c r="AG482" t="s">
        <v>97</v>
      </c>
      <c r="AH482" t="s">
        <v>386</v>
      </c>
      <c r="AI482">
        <v>0.15741855227331314</v>
      </c>
    </row>
    <row r="483" spans="9:35" x14ac:dyDescent="0.45">
      <c r="I483" t="s">
        <v>249</v>
      </c>
      <c r="J483" t="s">
        <v>411</v>
      </c>
      <c r="K483">
        <v>0</v>
      </c>
      <c r="L483" t="s">
        <v>251</v>
      </c>
      <c r="N483" t="s">
        <v>419</v>
      </c>
      <c r="O483" t="s">
        <v>411</v>
      </c>
      <c r="P483">
        <v>1.7735101237087186E-2</v>
      </c>
      <c r="Q483" t="s">
        <v>251</v>
      </c>
      <c r="S483" t="s">
        <v>420</v>
      </c>
      <c r="T483" t="s">
        <v>411</v>
      </c>
      <c r="U483">
        <v>1.9042613608245312E-2</v>
      </c>
      <c r="V483" t="s">
        <v>251</v>
      </c>
      <c r="X483">
        <v>2.4771689497716895E-2</v>
      </c>
      <c r="Y483">
        <v>9.7827942553597048E-3</v>
      </c>
      <c r="Z483" t="s">
        <v>411</v>
      </c>
      <c r="AA483" t="s">
        <v>25</v>
      </c>
      <c r="AC483" t="s">
        <v>22</v>
      </c>
      <c r="AD483" t="s">
        <v>411</v>
      </c>
      <c r="AE483">
        <v>1.9478113082872076E-2</v>
      </c>
      <c r="AG483" t="s">
        <v>97</v>
      </c>
      <c r="AH483" t="s">
        <v>411</v>
      </c>
      <c r="AI483">
        <v>0.14355804807208594</v>
      </c>
    </row>
    <row r="484" spans="9:35" x14ac:dyDescent="0.45">
      <c r="I484" t="s">
        <v>249</v>
      </c>
      <c r="J484" t="s">
        <v>412</v>
      </c>
      <c r="K484">
        <v>1.6154898979569435E-3</v>
      </c>
      <c r="L484" t="s">
        <v>251</v>
      </c>
      <c r="N484" t="s">
        <v>419</v>
      </c>
      <c r="O484" t="s">
        <v>412</v>
      </c>
      <c r="P484">
        <v>2.1091163348133345E-3</v>
      </c>
      <c r="Q484" t="s">
        <v>251</v>
      </c>
      <c r="S484" t="s">
        <v>420</v>
      </c>
      <c r="T484" t="s">
        <v>412</v>
      </c>
      <c r="U484">
        <v>2.8319565126200888E-3</v>
      </c>
      <c r="V484" t="s">
        <v>251</v>
      </c>
      <c r="X484">
        <v>3.5388127853881279E-3</v>
      </c>
      <c r="Y484">
        <v>5.9087255218821738E-3</v>
      </c>
      <c r="Z484" t="s">
        <v>412</v>
      </c>
      <c r="AA484" t="s">
        <v>25</v>
      </c>
      <c r="AC484" t="s">
        <v>22</v>
      </c>
      <c r="AD484" t="s">
        <v>412</v>
      </c>
      <c r="AE484">
        <v>3.3359779761860673E-3</v>
      </c>
      <c r="AG484" t="s">
        <v>97</v>
      </c>
      <c r="AH484" t="s">
        <v>412</v>
      </c>
      <c r="AI484">
        <v>5.3950509689007609E-2</v>
      </c>
    </row>
    <row r="485" spans="9:35" x14ac:dyDescent="0.45">
      <c r="I485" t="s">
        <v>249</v>
      </c>
      <c r="J485" t="s">
        <v>413</v>
      </c>
      <c r="K485">
        <v>6.4351954201609003E-3</v>
      </c>
      <c r="L485" t="s">
        <v>251</v>
      </c>
      <c r="N485" t="s">
        <v>419</v>
      </c>
      <c r="O485" t="s">
        <v>413</v>
      </c>
      <c r="P485">
        <v>1.5760119165755596E-3</v>
      </c>
      <c r="Q485" t="s">
        <v>251</v>
      </c>
      <c r="S485" t="s">
        <v>420</v>
      </c>
      <c r="T485" t="s">
        <v>413</v>
      </c>
      <c r="U485">
        <v>2.813179783114835E-3</v>
      </c>
      <c r="V485" t="s">
        <v>251</v>
      </c>
      <c r="X485">
        <v>3.5388127853881279E-3</v>
      </c>
      <c r="Y485">
        <v>4.521459529788099E-3</v>
      </c>
      <c r="Z485" t="s">
        <v>413</v>
      </c>
      <c r="AA485" t="s">
        <v>25</v>
      </c>
      <c r="AC485" t="s">
        <v>22</v>
      </c>
      <c r="AD485" t="s">
        <v>413</v>
      </c>
      <c r="AE485">
        <v>3.4423111459733102E-3</v>
      </c>
      <c r="AG485" t="s">
        <v>97</v>
      </c>
      <c r="AH485" t="s">
        <v>413</v>
      </c>
      <c r="AI485">
        <v>4.4327068300555439E-2</v>
      </c>
    </row>
    <row r="486" spans="9:35" x14ac:dyDescent="0.45">
      <c r="I486" t="s">
        <v>249</v>
      </c>
      <c r="J486" t="s">
        <v>414</v>
      </c>
      <c r="K486">
        <v>8.9729054957335998E-3</v>
      </c>
      <c r="L486" t="s">
        <v>251</v>
      </c>
      <c r="N486" t="s">
        <v>419</v>
      </c>
      <c r="O486" t="s">
        <v>414</v>
      </c>
      <c r="P486">
        <v>1.5050852864421545E-3</v>
      </c>
      <c r="Q486" t="s">
        <v>251</v>
      </c>
      <c r="S486" t="s">
        <v>420</v>
      </c>
      <c r="T486" t="s">
        <v>414</v>
      </c>
      <c r="U486">
        <v>2.7724472396623155E-3</v>
      </c>
      <c r="V486" t="s">
        <v>251</v>
      </c>
      <c r="X486">
        <v>3.5388127853881279E-3</v>
      </c>
      <c r="Y486">
        <v>4.4803553522445696E-3</v>
      </c>
      <c r="Z486" t="s">
        <v>414</v>
      </c>
      <c r="AA486" t="s">
        <v>25</v>
      </c>
      <c r="AC486" t="s">
        <v>22</v>
      </c>
      <c r="AD486" t="s">
        <v>414</v>
      </c>
      <c r="AE486">
        <v>3.4828434250686571E-3</v>
      </c>
      <c r="AG486" t="s">
        <v>97</v>
      </c>
      <c r="AH486" t="s">
        <v>414</v>
      </c>
      <c r="AI486">
        <v>3.9833092462189912E-2</v>
      </c>
    </row>
    <row r="487" spans="9:35" x14ac:dyDescent="0.45">
      <c r="I487" t="s">
        <v>249</v>
      </c>
      <c r="J487" t="s">
        <v>415</v>
      </c>
      <c r="K487">
        <v>6.5275103843921906E-2</v>
      </c>
      <c r="L487" t="s">
        <v>251</v>
      </c>
      <c r="N487" t="s">
        <v>419</v>
      </c>
      <c r="O487" t="s">
        <v>415</v>
      </c>
      <c r="P487">
        <v>9.2336310891315606E-3</v>
      </c>
      <c r="Q487" t="s">
        <v>251</v>
      </c>
      <c r="S487" t="s">
        <v>420</v>
      </c>
      <c r="T487" t="s">
        <v>415</v>
      </c>
      <c r="U487">
        <v>1.5945517424689779E-2</v>
      </c>
      <c r="V487" t="s">
        <v>251</v>
      </c>
      <c r="X487">
        <v>2.4771689497716895E-2</v>
      </c>
      <c r="Y487">
        <v>3.4650821669194247E-2</v>
      </c>
      <c r="Z487" t="s">
        <v>415</v>
      </c>
      <c r="AA487" t="s">
        <v>25</v>
      </c>
      <c r="AC487" t="s">
        <v>22</v>
      </c>
      <c r="AD487" t="s">
        <v>415</v>
      </c>
      <c r="AE487">
        <v>2.521487226725368E-2</v>
      </c>
      <c r="AG487" t="s">
        <v>97</v>
      </c>
      <c r="AH487" t="s">
        <v>415</v>
      </c>
      <c r="AI487">
        <v>0.12757569100527655</v>
      </c>
    </row>
    <row r="488" spans="9:35" x14ac:dyDescent="0.45">
      <c r="I488" t="s">
        <v>249</v>
      </c>
      <c r="J488" t="s">
        <v>416</v>
      </c>
      <c r="K488">
        <v>4.4126755720041997E-3</v>
      </c>
      <c r="L488" t="s">
        <v>251</v>
      </c>
      <c r="N488" t="s">
        <v>419</v>
      </c>
      <c r="O488" t="s">
        <v>416</v>
      </c>
      <c r="P488">
        <v>1.415502718704622E-3</v>
      </c>
      <c r="Q488" t="s">
        <v>251</v>
      </c>
      <c r="S488" t="s">
        <v>420</v>
      </c>
      <c r="T488" t="s">
        <v>416</v>
      </c>
      <c r="U488">
        <v>2.1843778148423437E-3</v>
      </c>
      <c r="V488" t="s">
        <v>251</v>
      </c>
      <c r="X488">
        <v>3.5388127853881279E-3</v>
      </c>
      <c r="Y488">
        <v>6.8849497385409693E-3</v>
      </c>
      <c r="Z488" t="s">
        <v>416</v>
      </c>
      <c r="AA488" t="s">
        <v>25</v>
      </c>
      <c r="AC488" t="s">
        <v>22</v>
      </c>
      <c r="AD488" t="s">
        <v>416</v>
      </c>
      <c r="AE488">
        <v>1.784427289069619E-3</v>
      </c>
      <c r="AG488" t="s">
        <v>97</v>
      </c>
      <c r="AH488" t="s">
        <v>416</v>
      </c>
      <c r="AI488">
        <v>7.7669055708102785E-3</v>
      </c>
    </row>
    <row r="489" spans="9:35" x14ac:dyDescent="0.45">
      <c r="I489" t="s">
        <v>249</v>
      </c>
      <c r="J489" t="s">
        <v>417</v>
      </c>
      <c r="K489">
        <v>4.942434988509928E-5</v>
      </c>
      <c r="L489" t="s">
        <v>251</v>
      </c>
      <c r="N489" t="s">
        <v>419</v>
      </c>
      <c r="O489" t="s">
        <v>417</v>
      </c>
      <c r="P489">
        <v>1.9914673929772148E-3</v>
      </c>
      <c r="Q489" t="s">
        <v>251</v>
      </c>
      <c r="S489" t="s">
        <v>420</v>
      </c>
      <c r="T489" t="s">
        <v>417</v>
      </c>
      <c r="U489">
        <v>2.3204971359952224E-3</v>
      </c>
      <c r="V489" t="s">
        <v>251</v>
      </c>
      <c r="X489">
        <v>3.5388127853881279E-3</v>
      </c>
      <c r="Y489">
        <v>5.3435430806586613E-3</v>
      </c>
      <c r="Z489" t="s">
        <v>417</v>
      </c>
      <c r="AA489" t="s">
        <v>25</v>
      </c>
      <c r="AC489" t="s">
        <v>22</v>
      </c>
      <c r="AD489" t="s">
        <v>417</v>
      </c>
      <c r="AE489">
        <v>9.384691566973987E-4</v>
      </c>
      <c r="AG489" t="s">
        <v>97</v>
      </c>
      <c r="AH489" t="s">
        <v>417</v>
      </c>
      <c r="AI489">
        <v>1.8056274068608102E-2</v>
      </c>
    </row>
    <row r="490" spans="9:35" x14ac:dyDescent="0.45">
      <c r="I490" t="s">
        <v>249</v>
      </c>
      <c r="J490" t="s">
        <v>418</v>
      </c>
      <c r="K490">
        <v>0</v>
      </c>
      <c r="L490" t="s">
        <v>251</v>
      </c>
      <c r="N490" t="s">
        <v>419</v>
      </c>
      <c r="O490" t="s">
        <v>418</v>
      </c>
      <c r="P490">
        <v>1.5166151400172592E-2</v>
      </c>
      <c r="Q490" t="s">
        <v>251</v>
      </c>
      <c r="S490" t="s">
        <v>420</v>
      </c>
      <c r="T490" t="s">
        <v>418</v>
      </c>
      <c r="U490">
        <v>1.3111703027212691E-2</v>
      </c>
      <c r="V490" t="s">
        <v>251</v>
      </c>
      <c r="X490">
        <v>1.7694063926940638E-2</v>
      </c>
      <c r="Y490">
        <v>1.3358857701646654E-2</v>
      </c>
      <c r="Z490" t="s">
        <v>418</v>
      </c>
      <c r="AA490" t="s">
        <v>25</v>
      </c>
      <c r="AC490" t="s">
        <v>22</v>
      </c>
      <c r="AD490" t="s">
        <v>418</v>
      </c>
      <c r="AE490">
        <v>4.5197694108912835E-3</v>
      </c>
      <c r="AG490" t="s">
        <v>97</v>
      </c>
      <c r="AH490" t="s">
        <v>418</v>
      </c>
      <c r="AI490">
        <v>0.13031366973009884</v>
      </c>
    </row>
    <row r="491" spans="9:35" x14ac:dyDescent="0.45">
      <c r="AC491" t="s">
        <v>19</v>
      </c>
      <c r="AD491" t="s">
        <v>250</v>
      </c>
      <c r="AE491">
        <v>2.2402979410861966E-2</v>
      </c>
    </row>
    <row r="492" spans="9:35" x14ac:dyDescent="0.45">
      <c r="AC492" t="s">
        <v>19</v>
      </c>
      <c r="AD492" t="s">
        <v>252</v>
      </c>
      <c r="AE492">
        <v>3.2165759704011168E-3</v>
      </c>
    </row>
    <row r="493" spans="9:35" x14ac:dyDescent="0.45">
      <c r="AC493" t="s">
        <v>19</v>
      </c>
      <c r="AD493" t="s">
        <v>253</v>
      </c>
      <c r="AE493">
        <v>3.2200513423827309E-3</v>
      </c>
    </row>
    <row r="494" spans="9:35" x14ac:dyDescent="0.45">
      <c r="AC494" t="s">
        <v>19</v>
      </c>
      <c r="AD494" t="s">
        <v>254</v>
      </c>
      <c r="AE494">
        <v>3.2221035428719649E-3</v>
      </c>
    </row>
    <row r="495" spans="9:35" x14ac:dyDescent="0.45">
      <c r="AC495" t="s">
        <v>19</v>
      </c>
      <c r="AD495" t="s">
        <v>255</v>
      </c>
      <c r="AE495">
        <v>2.2646178262585352E-2</v>
      </c>
    </row>
    <row r="496" spans="9:35" x14ac:dyDescent="0.45">
      <c r="AC496" t="s">
        <v>19</v>
      </c>
      <c r="AD496" t="s">
        <v>256</v>
      </c>
      <c r="AE496">
        <v>3.1697965810892573E-3</v>
      </c>
    </row>
    <row r="497" spans="29:31" x14ac:dyDescent="0.45">
      <c r="AC497" t="s">
        <v>19</v>
      </c>
      <c r="AD497" t="s">
        <v>257</v>
      </c>
      <c r="AE497">
        <v>3.1204196035733967E-3</v>
      </c>
    </row>
    <row r="498" spans="29:31" x14ac:dyDescent="0.45">
      <c r="AC498" t="s">
        <v>19</v>
      </c>
      <c r="AD498" t="s">
        <v>258</v>
      </c>
      <c r="AE498">
        <v>1.5615700968314109E-2</v>
      </c>
    </row>
    <row r="499" spans="29:31" x14ac:dyDescent="0.45">
      <c r="AC499" t="s">
        <v>19</v>
      </c>
      <c r="AD499" t="s">
        <v>1624</v>
      </c>
      <c r="AE499">
        <v>1.1287126528400865E-4</v>
      </c>
    </row>
    <row r="500" spans="29:31" x14ac:dyDescent="0.45">
      <c r="AC500" t="s">
        <v>19</v>
      </c>
      <c r="AD500" t="s">
        <v>1625</v>
      </c>
      <c r="AE500">
        <v>1.1382777026829264E-4</v>
      </c>
    </row>
    <row r="501" spans="29:31" x14ac:dyDescent="0.45">
      <c r="AC501" t="s">
        <v>19</v>
      </c>
      <c r="AD501" t="s">
        <v>1626</v>
      </c>
      <c r="AE501">
        <v>1.1454805872852641E-4</v>
      </c>
    </row>
    <row r="502" spans="29:31" x14ac:dyDescent="0.45">
      <c r="AC502" t="s">
        <v>19</v>
      </c>
      <c r="AD502" t="s">
        <v>1627</v>
      </c>
      <c r="AE502">
        <v>1.1494621450904197E-4</v>
      </c>
    </row>
    <row r="503" spans="29:31" x14ac:dyDescent="0.45">
      <c r="AC503" t="s">
        <v>19</v>
      </c>
      <c r="AD503" t="s">
        <v>1628</v>
      </c>
      <c r="AE503">
        <v>1.1504874253224675E-4</v>
      </c>
    </row>
    <row r="504" spans="29:31" x14ac:dyDescent="0.45">
      <c r="AC504" t="s">
        <v>19</v>
      </c>
      <c r="AD504" t="s">
        <v>1629</v>
      </c>
      <c r="AE504">
        <v>1.1515592611068475E-4</v>
      </c>
    </row>
    <row r="505" spans="29:31" x14ac:dyDescent="0.45">
      <c r="AC505" t="s">
        <v>19</v>
      </c>
      <c r="AD505" t="s">
        <v>1630</v>
      </c>
      <c r="AE505">
        <v>1.1510693697266225E-4</v>
      </c>
    </row>
    <row r="506" spans="29:31" x14ac:dyDescent="0.45">
      <c r="AC506" t="s">
        <v>19</v>
      </c>
      <c r="AD506" t="s">
        <v>1631</v>
      </c>
      <c r="AE506">
        <v>1.1512704050662397E-4</v>
      </c>
    </row>
    <row r="507" spans="29:31" x14ac:dyDescent="0.45">
      <c r="AC507" t="s">
        <v>19</v>
      </c>
      <c r="AD507" t="s">
        <v>1632</v>
      </c>
      <c r="AE507">
        <v>1.1552239237319224E-4</v>
      </c>
    </row>
    <row r="508" spans="29:31" x14ac:dyDescent="0.45">
      <c r="AC508" t="s">
        <v>19</v>
      </c>
      <c r="AD508" t="s">
        <v>1633</v>
      </c>
      <c r="AE508">
        <v>1.1561232923565257E-4</v>
      </c>
    </row>
    <row r="509" spans="29:31" x14ac:dyDescent="0.45">
      <c r="AC509" t="s">
        <v>19</v>
      </c>
      <c r="AD509" t="s">
        <v>1634</v>
      </c>
      <c r="AE509">
        <v>1.1521554896009228E-4</v>
      </c>
    </row>
    <row r="510" spans="29:31" x14ac:dyDescent="0.45">
      <c r="AC510" t="s">
        <v>19</v>
      </c>
      <c r="AD510" t="s">
        <v>1635</v>
      </c>
      <c r="AE510">
        <v>1.1538558253417905E-4</v>
      </c>
    </row>
    <row r="511" spans="29:31" x14ac:dyDescent="0.45">
      <c r="AC511" t="s">
        <v>19</v>
      </c>
      <c r="AD511" t="s">
        <v>1636</v>
      </c>
      <c r="AE511">
        <v>1.1601598703598922E-4</v>
      </c>
    </row>
    <row r="512" spans="29:31" x14ac:dyDescent="0.45">
      <c r="AC512" t="s">
        <v>19</v>
      </c>
      <c r="AD512" t="s">
        <v>1637</v>
      </c>
      <c r="AE512">
        <v>1.1596906115539962E-4</v>
      </c>
    </row>
    <row r="513" spans="29:31" x14ac:dyDescent="0.45">
      <c r="AC513" t="s">
        <v>19</v>
      </c>
      <c r="AD513" t="s">
        <v>1638</v>
      </c>
      <c r="AE513">
        <v>1.1605915672997018E-4</v>
      </c>
    </row>
    <row r="514" spans="29:31" x14ac:dyDescent="0.45">
      <c r="AC514" t="s">
        <v>19</v>
      </c>
      <c r="AD514" t="s">
        <v>1639</v>
      </c>
      <c r="AE514">
        <v>1.1542981030889483E-4</v>
      </c>
    </row>
    <row r="515" spans="29:31" x14ac:dyDescent="0.45">
      <c r="AC515" t="s">
        <v>19</v>
      </c>
      <c r="AD515" t="s">
        <v>1640</v>
      </c>
      <c r="AE515">
        <v>1.1439955709739338E-4</v>
      </c>
    </row>
    <row r="516" spans="29:31" x14ac:dyDescent="0.45">
      <c r="AC516" t="s">
        <v>19</v>
      </c>
      <c r="AD516" t="s">
        <v>1641</v>
      </c>
      <c r="AE516">
        <v>1.1289311465118283E-4</v>
      </c>
    </row>
    <row r="517" spans="29:31" x14ac:dyDescent="0.45">
      <c r="AC517" t="s">
        <v>19</v>
      </c>
      <c r="AD517" t="s">
        <v>1642</v>
      </c>
      <c r="AE517">
        <v>1.1151633999902539E-4</v>
      </c>
    </row>
    <row r="518" spans="29:31" x14ac:dyDescent="0.45">
      <c r="AC518" t="s">
        <v>19</v>
      </c>
      <c r="AD518" t="s">
        <v>1643</v>
      </c>
      <c r="AE518">
        <v>1.1136207182788756E-4</v>
      </c>
    </row>
    <row r="519" spans="29:31" x14ac:dyDescent="0.45">
      <c r="AC519" t="s">
        <v>19</v>
      </c>
      <c r="AD519" t="s">
        <v>1644</v>
      </c>
      <c r="AE519">
        <v>1.1142105982885418E-4</v>
      </c>
    </row>
    <row r="520" spans="29:31" x14ac:dyDescent="0.45">
      <c r="AC520" t="s">
        <v>19</v>
      </c>
      <c r="AD520" t="s">
        <v>1645</v>
      </c>
      <c r="AE520">
        <v>1.1138915869469915E-4</v>
      </c>
    </row>
    <row r="521" spans="29:31" x14ac:dyDescent="0.45">
      <c r="AC521" t="s">
        <v>19</v>
      </c>
      <c r="AD521" t="s">
        <v>1646</v>
      </c>
      <c r="AE521">
        <v>1.1152565110949188E-4</v>
      </c>
    </row>
    <row r="522" spans="29:31" x14ac:dyDescent="0.45">
      <c r="AC522" t="s">
        <v>19</v>
      </c>
      <c r="AD522" t="s">
        <v>1647</v>
      </c>
      <c r="AE522">
        <v>1.124654384181656E-4</v>
      </c>
    </row>
    <row r="523" spans="29:31" x14ac:dyDescent="0.45">
      <c r="AC523" t="s">
        <v>19</v>
      </c>
      <c r="AD523" t="s">
        <v>1648</v>
      </c>
      <c r="AE523">
        <v>1.1285475922454535E-4</v>
      </c>
    </row>
    <row r="524" spans="29:31" x14ac:dyDescent="0.45">
      <c r="AC524" t="s">
        <v>19</v>
      </c>
      <c r="AD524" t="s">
        <v>1649</v>
      </c>
      <c r="AE524">
        <v>1.1382777026829264E-4</v>
      </c>
    </row>
    <row r="525" spans="29:31" x14ac:dyDescent="0.45">
      <c r="AC525" t="s">
        <v>19</v>
      </c>
      <c r="AD525" t="s">
        <v>1650</v>
      </c>
      <c r="AE525">
        <v>1.1461662236014323E-4</v>
      </c>
    </row>
    <row r="526" spans="29:31" x14ac:dyDescent="0.45">
      <c r="AC526" t="s">
        <v>19</v>
      </c>
      <c r="AD526" t="s">
        <v>1651</v>
      </c>
      <c r="AE526">
        <v>1.1488907814936128E-4</v>
      </c>
    </row>
    <row r="527" spans="29:31" x14ac:dyDescent="0.45">
      <c r="AC527" t="s">
        <v>19</v>
      </c>
      <c r="AD527" t="s">
        <v>1652</v>
      </c>
      <c r="AE527">
        <v>1.1506281500601995E-4</v>
      </c>
    </row>
    <row r="528" spans="29:31" x14ac:dyDescent="0.45">
      <c r="AC528" t="s">
        <v>19</v>
      </c>
      <c r="AD528" t="s">
        <v>1653</v>
      </c>
      <c r="AE528">
        <v>1.1512063911817827E-4</v>
      </c>
    </row>
    <row r="529" spans="29:31" x14ac:dyDescent="0.45">
      <c r="AC529" t="s">
        <v>19</v>
      </c>
      <c r="AD529" t="s">
        <v>1654</v>
      </c>
      <c r="AE529">
        <v>1.1508355338842257E-4</v>
      </c>
    </row>
    <row r="530" spans="29:31" x14ac:dyDescent="0.45">
      <c r="AC530" t="s">
        <v>19</v>
      </c>
      <c r="AD530" t="s">
        <v>1655</v>
      </c>
      <c r="AE530">
        <v>1.1512704050662397E-4</v>
      </c>
    </row>
    <row r="531" spans="29:31" x14ac:dyDescent="0.45">
      <c r="AC531" t="s">
        <v>19</v>
      </c>
      <c r="AD531" t="s">
        <v>1656</v>
      </c>
      <c r="AE531">
        <v>1.156066155996845E-4</v>
      </c>
    </row>
    <row r="532" spans="29:31" x14ac:dyDescent="0.45">
      <c r="AC532" t="s">
        <v>19</v>
      </c>
      <c r="AD532" t="s">
        <v>1657</v>
      </c>
      <c r="AE532">
        <v>1.1561232923565257E-4</v>
      </c>
    </row>
    <row r="533" spans="29:31" x14ac:dyDescent="0.45">
      <c r="AC533" t="s">
        <v>19</v>
      </c>
      <c r="AD533" t="s">
        <v>1658</v>
      </c>
      <c r="AE533">
        <v>1.1521840577807632E-4</v>
      </c>
    </row>
    <row r="534" spans="29:31" x14ac:dyDescent="0.45">
      <c r="AC534" t="s">
        <v>19</v>
      </c>
      <c r="AD534" t="s">
        <v>1659</v>
      </c>
      <c r="AE534">
        <v>1.1538558253417905E-4</v>
      </c>
    </row>
    <row r="535" spans="29:31" x14ac:dyDescent="0.45">
      <c r="AC535" t="s">
        <v>19</v>
      </c>
      <c r="AD535" t="s">
        <v>1660</v>
      </c>
      <c r="AE535">
        <v>1.1593017668839473E-4</v>
      </c>
    </row>
    <row r="536" spans="29:31" x14ac:dyDescent="0.45">
      <c r="AC536" t="s">
        <v>19</v>
      </c>
      <c r="AD536" t="s">
        <v>1661</v>
      </c>
      <c r="AE536">
        <v>1.1608682554118593E-4</v>
      </c>
    </row>
    <row r="537" spans="29:31" x14ac:dyDescent="0.45">
      <c r="AC537" t="s">
        <v>19</v>
      </c>
      <c r="AD537" t="s">
        <v>1662</v>
      </c>
      <c r="AE537">
        <v>1.160989405655997E-4</v>
      </c>
    </row>
    <row r="538" spans="29:31" x14ac:dyDescent="0.45">
      <c r="AC538" t="s">
        <v>19</v>
      </c>
      <c r="AD538" t="s">
        <v>1663</v>
      </c>
      <c r="AE538">
        <v>1.1541166422429255E-4</v>
      </c>
    </row>
    <row r="539" spans="29:31" x14ac:dyDescent="0.45">
      <c r="AC539" t="s">
        <v>19</v>
      </c>
      <c r="AD539" t="s">
        <v>1664</v>
      </c>
      <c r="AE539">
        <v>1.1428041720665182E-4</v>
      </c>
    </row>
    <row r="540" spans="29:31" x14ac:dyDescent="0.45">
      <c r="AC540" t="s">
        <v>19</v>
      </c>
      <c r="AD540" t="s">
        <v>1665</v>
      </c>
      <c r="AE540">
        <v>1.1287316982933135E-4</v>
      </c>
    </row>
    <row r="541" spans="29:31" x14ac:dyDescent="0.45">
      <c r="AC541" t="s">
        <v>19</v>
      </c>
      <c r="AD541" t="s">
        <v>1666</v>
      </c>
      <c r="AE541">
        <v>1.115163399990254E-4</v>
      </c>
    </row>
    <row r="542" spans="29:31" x14ac:dyDescent="0.45">
      <c r="AC542" t="s">
        <v>19</v>
      </c>
      <c r="AD542" t="s">
        <v>1667</v>
      </c>
      <c r="AE542">
        <v>1.1136207182788756E-4</v>
      </c>
    </row>
    <row r="543" spans="29:31" x14ac:dyDescent="0.45">
      <c r="AC543" t="s">
        <v>19</v>
      </c>
      <c r="AD543" t="s">
        <v>1668</v>
      </c>
      <c r="AE543">
        <v>1.1142105982885419E-4</v>
      </c>
    </row>
    <row r="544" spans="29:31" x14ac:dyDescent="0.45">
      <c r="AC544" t="s">
        <v>19</v>
      </c>
      <c r="AD544" t="s">
        <v>1669</v>
      </c>
      <c r="AE544">
        <v>1.1138915869469915E-4</v>
      </c>
    </row>
    <row r="545" spans="29:31" x14ac:dyDescent="0.45">
      <c r="AC545" t="s">
        <v>19</v>
      </c>
      <c r="AD545" t="s">
        <v>1670</v>
      </c>
      <c r="AE545">
        <v>1.1148666083441349E-4</v>
      </c>
    </row>
    <row r="546" spans="29:31" x14ac:dyDescent="0.45">
      <c r="AC546" t="s">
        <v>19</v>
      </c>
      <c r="AD546" t="s">
        <v>1671</v>
      </c>
      <c r="AE546">
        <v>1.1241459763885713E-4</v>
      </c>
    </row>
    <row r="547" spans="29:31" x14ac:dyDescent="0.45">
      <c r="AC547" t="s">
        <v>19</v>
      </c>
      <c r="AD547" t="s">
        <v>1672</v>
      </c>
      <c r="AE547">
        <v>1.1279608864779917E-4</v>
      </c>
    </row>
    <row r="548" spans="29:31" x14ac:dyDescent="0.45">
      <c r="AC548" t="s">
        <v>19</v>
      </c>
      <c r="AD548" t="s">
        <v>1673</v>
      </c>
      <c r="AE548">
        <v>1.1375259363208315E-4</v>
      </c>
    </row>
    <row r="549" spans="29:31" x14ac:dyDescent="0.45">
      <c r="AC549" t="s">
        <v>19</v>
      </c>
      <c r="AD549" t="s">
        <v>1674</v>
      </c>
      <c r="AE549">
        <v>1.1447838411213801E-4</v>
      </c>
    </row>
    <row r="550" spans="29:31" x14ac:dyDescent="0.45">
      <c r="AC550" t="s">
        <v>19</v>
      </c>
      <c r="AD550" t="s">
        <v>1675</v>
      </c>
      <c r="AE550">
        <v>1.1486569456512158E-4</v>
      </c>
    </row>
    <row r="551" spans="29:31" x14ac:dyDescent="0.45">
      <c r="AC551" t="s">
        <v>19</v>
      </c>
      <c r="AD551" t="s">
        <v>1676</v>
      </c>
      <c r="AE551">
        <v>1.1504874253224674E-4</v>
      </c>
    </row>
    <row r="552" spans="29:31" x14ac:dyDescent="0.45">
      <c r="AC552" t="s">
        <v>19</v>
      </c>
      <c r="AD552" t="s">
        <v>1677</v>
      </c>
      <c r="AE552">
        <v>1.1514084846021346E-4</v>
      </c>
    </row>
    <row r="553" spans="29:31" x14ac:dyDescent="0.45">
      <c r="AC553" t="s">
        <v>19</v>
      </c>
      <c r="AD553" t="s">
        <v>1678</v>
      </c>
      <c r="AE553">
        <v>1.1508355338842257E-4</v>
      </c>
    </row>
    <row r="554" spans="29:31" x14ac:dyDescent="0.45">
      <c r="AC554" t="s">
        <v>19</v>
      </c>
      <c r="AD554" t="s">
        <v>1679</v>
      </c>
      <c r="AE554">
        <v>1.1512704050662396E-4</v>
      </c>
    </row>
    <row r="555" spans="29:31" x14ac:dyDescent="0.45">
      <c r="AC555" t="s">
        <v>19</v>
      </c>
      <c r="AD555" t="s">
        <v>1680</v>
      </c>
      <c r="AE555">
        <v>1.1560661559968449E-4</v>
      </c>
    </row>
    <row r="556" spans="29:31" x14ac:dyDescent="0.45">
      <c r="AC556" t="s">
        <v>19</v>
      </c>
      <c r="AD556" t="s">
        <v>1681</v>
      </c>
      <c r="AE556">
        <v>1.1561232923565255E-4</v>
      </c>
    </row>
    <row r="557" spans="29:31" x14ac:dyDescent="0.45">
      <c r="AC557" t="s">
        <v>19</v>
      </c>
      <c r="AD557" t="s">
        <v>1682</v>
      </c>
      <c r="AE557">
        <v>1.1521840577807632E-4</v>
      </c>
    </row>
    <row r="558" spans="29:31" x14ac:dyDescent="0.45">
      <c r="AC558" t="s">
        <v>19</v>
      </c>
      <c r="AD558" t="s">
        <v>1683</v>
      </c>
      <c r="AE558">
        <v>1.1538558253417904E-4</v>
      </c>
    </row>
    <row r="559" spans="29:31" x14ac:dyDescent="0.45">
      <c r="AC559" t="s">
        <v>19</v>
      </c>
      <c r="AD559" t="s">
        <v>1684</v>
      </c>
      <c r="AE559">
        <v>1.1593017668839472E-4</v>
      </c>
    </row>
    <row r="560" spans="29:31" x14ac:dyDescent="0.45">
      <c r="AC560" t="s">
        <v>19</v>
      </c>
      <c r="AD560" t="s">
        <v>1685</v>
      </c>
      <c r="AE560">
        <v>1.1608709006136963E-4</v>
      </c>
    </row>
    <row r="561" spans="29:31" x14ac:dyDescent="0.45">
      <c r="AC561" t="s">
        <v>19</v>
      </c>
      <c r="AD561" t="s">
        <v>1686</v>
      </c>
      <c r="AE561">
        <v>1.1608550294026738E-4</v>
      </c>
    </row>
    <row r="562" spans="29:31" x14ac:dyDescent="0.45">
      <c r="AC562" t="s">
        <v>19</v>
      </c>
      <c r="AD562" t="s">
        <v>1687</v>
      </c>
      <c r="AE562">
        <v>1.1541166422429255E-4</v>
      </c>
    </row>
    <row r="563" spans="29:31" x14ac:dyDescent="0.45">
      <c r="AC563" t="s">
        <v>19</v>
      </c>
      <c r="AD563" t="s">
        <v>1688</v>
      </c>
      <c r="AE563">
        <v>1.142804172066518E-4</v>
      </c>
    </row>
    <row r="564" spans="29:31" x14ac:dyDescent="0.45">
      <c r="AC564" t="s">
        <v>19</v>
      </c>
      <c r="AD564" t="s">
        <v>1689</v>
      </c>
      <c r="AE564">
        <v>1.1276730885181186E-4</v>
      </c>
    </row>
    <row r="565" spans="29:31" x14ac:dyDescent="0.45">
      <c r="AC565" t="s">
        <v>19</v>
      </c>
      <c r="AD565" t="s">
        <v>1690</v>
      </c>
      <c r="AE565">
        <v>1.1147645035532239E-4</v>
      </c>
    </row>
    <row r="566" spans="29:31" x14ac:dyDescent="0.45">
      <c r="AC566" t="s">
        <v>19</v>
      </c>
      <c r="AD566" t="s">
        <v>1691</v>
      </c>
      <c r="AE566">
        <v>1.1117886514865219E-4</v>
      </c>
    </row>
    <row r="567" spans="29:31" x14ac:dyDescent="0.45">
      <c r="AC567" t="s">
        <v>19</v>
      </c>
      <c r="AD567" t="s">
        <v>1692</v>
      </c>
      <c r="AE567">
        <v>1.1118251552718734E-4</v>
      </c>
    </row>
    <row r="568" spans="29:31" x14ac:dyDescent="0.45">
      <c r="AC568" t="s">
        <v>19</v>
      </c>
      <c r="AD568" t="s">
        <v>1693</v>
      </c>
      <c r="AE568">
        <v>1.1117071792699401E-4</v>
      </c>
    </row>
    <row r="569" spans="29:31" x14ac:dyDescent="0.45">
      <c r="AC569" t="s">
        <v>19</v>
      </c>
      <c r="AD569" t="s">
        <v>1694</v>
      </c>
      <c r="AE569">
        <v>1.1128038799515887E-4</v>
      </c>
    </row>
    <row r="570" spans="29:31" x14ac:dyDescent="0.45">
      <c r="AC570" t="s">
        <v>19</v>
      </c>
      <c r="AD570" t="s">
        <v>1695</v>
      </c>
      <c r="AE570">
        <v>1.1229879070243026E-4</v>
      </c>
    </row>
    <row r="571" spans="29:31" x14ac:dyDescent="0.45">
      <c r="AC571" t="s">
        <v>19</v>
      </c>
      <c r="AD571" t="s">
        <v>259</v>
      </c>
      <c r="AE571">
        <v>1.9200266211378644E-2</v>
      </c>
    </row>
    <row r="572" spans="29:31" x14ac:dyDescent="0.45">
      <c r="AC572" t="s">
        <v>19</v>
      </c>
      <c r="AD572" t="s">
        <v>260</v>
      </c>
      <c r="AE572">
        <v>2.7659904983130135E-3</v>
      </c>
    </row>
    <row r="573" spans="29:31" x14ac:dyDescent="0.45">
      <c r="AC573" t="s">
        <v>19</v>
      </c>
      <c r="AD573" t="s">
        <v>261</v>
      </c>
      <c r="AE573">
        <v>2.7699924770763508E-3</v>
      </c>
    </row>
    <row r="574" spans="29:31" x14ac:dyDescent="0.45">
      <c r="AC574" t="s">
        <v>19</v>
      </c>
      <c r="AD574" t="s">
        <v>262</v>
      </c>
      <c r="AE574">
        <v>2.7720574274384402E-3</v>
      </c>
    </row>
    <row r="575" spans="29:31" x14ac:dyDescent="0.45">
      <c r="AC575" t="s">
        <v>19</v>
      </c>
      <c r="AD575" t="s">
        <v>263</v>
      </c>
      <c r="AE575">
        <v>1.9439933454129359E-2</v>
      </c>
    </row>
    <row r="576" spans="29:31" x14ac:dyDescent="0.45">
      <c r="AC576" t="s">
        <v>19</v>
      </c>
      <c r="AD576" t="s">
        <v>264</v>
      </c>
      <c r="AE576">
        <v>2.7019770899922853E-3</v>
      </c>
    </row>
    <row r="577" spans="29:31" x14ac:dyDescent="0.45">
      <c r="AC577" t="s">
        <v>19</v>
      </c>
      <c r="AD577" t="s">
        <v>265</v>
      </c>
      <c r="AE577">
        <v>2.6746373947891164E-3</v>
      </c>
    </row>
    <row r="578" spans="29:31" x14ac:dyDescent="0.45">
      <c r="AC578" t="s">
        <v>19</v>
      </c>
      <c r="AD578" t="s">
        <v>266</v>
      </c>
      <c r="AE578">
        <v>1.3363990083294424E-2</v>
      </c>
    </row>
    <row r="579" spans="29:31" x14ac:dyDescent="0.45">
      <c r="AC579" t="s">
        <v>19</v>
      </c>
      <c r="AD579" t="s">
        <v>1696</v>
      </c>
      <c r="AE579">
        <v>1.124756713075712E-4</v>
      </c>
    </row>
    <row r="580" spans="29:31" x14ac:dyDescent="0.45">
      <c r="AC580" t="s">
        <v>19</v>
      </c>
      <c r="AD580" t="s">
        <v>1697</v>
      </c>
      <c r="AE580">
        <v>1.1341746896964109E-4</v>
      </c>
    </row>
    <row r="581" spans="29:31" x14ac:dyDescent="0.45">
      <c r="AC581" t="s">
        <v>19</v>
      </c>
      <c r="AD581" t="s">
        <v>1698</v>
      </c>
      <c r="AE581">
        <v>1.1426562648667876E-4</v>
      </c>
    </row>
    <row r="582" spans="29:31" x14ac:dyDescent="0.45">
      <c r="AC582" t="s">
        <v>19</v>
      </c>
      <c r="AD582" t="s">
        <v>1699</v>
      </c>
      <c r="AE582">
        <v>1.1471816761696442E-4</v>
      </c>
    </row>
    <row r="583" spans="29:31" x14ac:dyDescent="0.45">
      <c r="AC583" t="s">
        <v>19</v>
      </c>
      <c r="AD583" t="s">
        <v>1700</v>
      </c>
      <c r="AE583">
        <v>1.1488645535783873E-4</v>
      </c>
    </row>
    <row r="584" spans="29:31" x14ac:dyDescent="0.45">
      <c r="AC584" t="s">
        <v>19</v>
      </c>
      <c r="AD584" t="s">
        <v>1701</v>
      </c>
      <c r="AE584">
        <v>1.150007280772001E-4</v>
      </c>
    </row>
    <row r="585" spans="29:31" x14ac:dyDescent="0.45">
      <c r="AC585" t="s">
        <v>19</v>
      </c>
      <c r="AD585" t="s">
        <v>1702</v>
      </c>
      <c r="AE585">
        <v>1.1507140787028657E-4</v>
      </c>
    </row>
    <row r="586" spans="29:31" x14ac:dyDescent="0.45">
      <c r="AC586" t="s">
        <v>19</v>
      </c>
      <c r="AD586" t="s">
        <v>1703</v>
      </c>
      <c r="AE586">
        <v>1.150755343851524E-4</v>
      </c>
    </row>
    <row r="587" spans="29:31" x14ac:dyDescent="0.45">
      <c r="AC587" t="s">
        <v>19</v>
      </c>
      <c r="AD587" t="s">
        <v>1704</v>
      </c>
      <c r="AE587">
        <v>1.1555463334188226E-4</v>
      </c>
    </row>
    <row r="588" spans="29:31" x14ac:dyDescent="0.45">
      <c r="AC588" t="s">
        <v>19</v>
      </c>
      <c r="AD588" t="s">
        <v>1705</v>
      </c>
      <c r="AE588">
        <v>1.1573450706680292E-4</v>
      </c>
    </row>
    <row r="589" spans="29:31" x14ac:dyDescent="0.45">
      <c r="AC589" t="s">
        <v>19</v>
      </c>
      <c r="AD589" t="s">
        <v>1706</v>
      </c>
      <c r="AE589">
        <v>1.1532894472114356E-4</v>
      </c>
    </row>
    <row r="590" spans="29:31" x14ac:dyDescent="0.45">
      <c r="AC590" t="s">
        <v>19</v>
      </c>
      <c r="AD590" t="s">
        <v>1707</v>
      </c>
      <c r="AE590">
        <v>1.1535063537620752E-4</v>
      </c>
    </row>
    <row r="591" spans="29:31" x14ac:dyDescent="0.45">
      <c r="AC591" t="s">
        <v>19</v>
      </c>
      <c r="AD591" t="s">
        <v>1708</v>
      </c>
      <c r="AE591">
        <v>1.1609986234453882E-4</v>
      </c>
    </row>
    <row r="592" spans="29:31" x14ac:dyDescent="0.45">
      <c r="AC592" t="s">
        <v>19</v>
      </c>
      <c r="AD592" t="s">
        <v>1709</v>
      </c>
      <c r="AE592">
        <v>1.1602378633970473E-4</v>
      </c>
    </row>
    <row r="593" spans="29:31" x14ac:dyDescent="0.45">
      <c r="AC593" t="s">
        <v>19</v>
      </c>
      <c r="AD593" t="s">
        <v>1710</v>
      </c>
      <c r="AE593">
        <v>1.1592691904843129E-4</v>
      </c>
    </row>
    <row r="594" spans="29:31" x14ac:dyDescent="0.45">
      <c r="AC594" t="s">
        <v>19</v>
      </c>
      <c r="AD594" t="s">
        <v>1711</v>
      </c>
      <c r="AE594">
        <v>1.1520292730562562E-4</v>
      </c>
    </row>
    <row r="595" spans="29:31" x14ac:dyDescent="0.45">
      <c r="AC595" t="s">
        <v>19</v>
      </c>
      <c r="AD595" t="s">
        <v>1712</v>
      </c>
      <c r="AE595">
        <v>1.1398190213763477E-4</v>
      </c>
    </row>
    <row r="596" spans="29:31" x14ac:dyDescent="0.45">
      <c r="AC596" t="s">
        <v>19</v>
      </c>
      <c r="AD596" t="s">
        <v>1713</v>
      </c>
      <c r="AE596">
        <v>1.1243139062881867E-4</v>
      </c>
    </row>
    <row r="597" spans="29:31" x14ac:dyDescent="0.45">
      <c r="AC597" t="s">
        <v>19</v>
      </c>
      <c r="AD597" t="s">
        <v>1714</v>
      </c>
      <c r="AE597">
        <v>1.1135146052681706E-4</v>
      </c>
    </row>
    <row r="598" spans="29:31" x14ac:dyDescent="0.45">
      <c r="AC598" t="s">
        <v>19</v>
      </c>
      <c r="AD598" t="s">
        <v>1715</v>
      </c>
      <c r="AE598">
        <v>1.1111683112386908E-4</v>
      </c>
    </row>
    <row r="599" spans="29:31" x14ac:dyDescent="0.45">
      <c r="AC599" t="s">
        <v>19</v>
      </c>
      <c r="AD599" t="s">
        <v>1716</v>
      </c>
      <c r="AE599">
        <v>1.1100837784854927E-4</v>
      </c>
    </row>
    <row r="600" spans="29:31" x14ac:dyDescent="0.45">
      <c r="AC600" t="s">
        <v>19</v>
      </c>
      <c r="AD600" t="s">
        <v>1717</v>
      </c>
      <c r="AE600">
        <v>1.1103567633150782E-4</v>
      </c>
    </row>
    <row r="601" spans="29:31" x14ac:dyDescent="0.45">
      <c r="AC601" t="s">
        <v>19</v>
      </c>
      <c r="AD601" t="s">
        <v>1718</v>
      </c>
      <c r="AE601">
        <v>1.1119602846687092E-4</v>
      </c>
    </row>
    <row r="602" spans="29:31" x14ac:dyDescent="0.45">
      <c r="AC602" t="s">
        <v>19</v>
      </c>
      <c r="AD602" t="s">
        <v>1719</v>
      </c>
      <c r="AE602">
        <v>1.121246530237922E-4</v>
      </c>
    </row>
    <row r="603" spans="29:31" x14ac:dyDescent="0.45">
      <c r="AC603" t="s">
        <v>19</v>
      </c>
      <c r="AD603" t="s">
        <v>1720</v>
      </c>
      <c r="AE603">
        <v>1.1223516955654492E-4</v>
      </c>
    </row>
    <row r="604" spans="29:31" x14ac:dyDescent="0.45">
      <c r="AC604" t="s">
        <v>19</v>
      </c>
      <c r="AD604" t="s">
        <v>1721</v>
      </c>
      <c r="AE604">
        <v>1.1327219448474928E-4</v>
      </c>
    </row>
    <row r="605" spans="29:31" x14ac:dyDescent="0.45">
      <c r="AC605" t="s">
        <v>19</v>
      </c>
      <c r="AD605" t="s">
        <v>1722</v>
      </c>
      <c r="AE605">
        <v>1.1376092197616606E-4</v>
      </c>
    </row>
    <row r="606" spans="29:31" x14ac:dyDescent="0.45">
      <c r="AC606" t="s">
        <v>19</v>
      </c>
      <c r="AD606" t="s">
        <v>1723</v>
      </c>
      <c r="AE606">
        <v>1.1466325322682689E-4</v>
      </c>
    </row>
    <row r="607" spans="29:31" x14ac:dyDescent="0.45">
      <c r="AC607" t="s">
        <v>19</v>
      </c>
      <c r="AD607" t="s">
        <v>1724</v>
      </c>
      <c r="AE607">
        <v>1.1466140158554095E-4</v>
      </c>
    </row>
    <row r="608" spans="29:31" x14ac:dyDescent="0.45">
      <c r="AC608" t="s">
        <v>19</v>
      </c>
      <c r="AD608" t="s">
        <v>1725</v>
      </c>
      <c r="AE608">
        <v>1.1457130601097039E-4</v>
      </c>
    </row>
    <row r="609" spans="29:31" x14ac:dyDescent="0.45">
      <c r="AC609" t="s">
        <v>19</v>
      </c>
      <c r="AD609" t="s">
        <v>1726</v>
      </c>
      <c r="AE609">
        <v>1.1455400639095595E-4</v>
      </c>
    </row>
    <row r="610" spans="29:31" x14ac:dyDescent="0.45">
      <c r="AC610" t="s">
        <v>19</v>
      </c>
      <c r="AD610" t="s">
        <v>1727</v>
      </c>
      <c r="AE610">
        <v>1.1463341535010476E-4</v>
      </c>
    </row>
    <row r="611" spans="29:31" x14ac:dyDescent="0.45">
      <c r="AC611" t="s">
        <v>19</v>
      </c>
      <c r="AD611" t="s">
        <v>1728</v>
      </c>
      <c r="AE611">
        <v>1.1480403086859568E-4</v>
      </c>
    </row>
    <row r="612" spans="29:31" x14ac:dyDescent="0.45">
      <c r="AC612" t="s">
        <v>19</v>
      </c>
      <c r="AD612" t="s">
        <v>1729</v>
      </c>
      <c r="AE612">
        <v>1.1492809083475418E-4</v>
      </c>
    </row>
    <row r="613" spans="29:31" x14ac:dyDescent="0.45">
      <c r="AC613" t="s">
        <v>19</v>
      </c>
      <c r="AD613" t="s">
        <v>1730</v>
      </c>
      <c r="AE613">
        <v>1.1487021381855912E-4</v>
      </c>
    </row>
    <row r="614" spans="29:31" x14ac:dyDescent="0.45">
      <c r="AC614" t="s">
        <v>19</v>
      </c>
      <c r="AD614" t="s">
        <v>1731</v>
      </c>
      <c r="AE614">
        <v>1.1516928033825811E-4</v>
      </c>
    </row>
    <row r="615" spans="29:31" x14ac:dyDescent="0.45">
      <c r="AC615" t="s">
        <v>19</v>
      </c>
      <c r="AD615" t="s">
        <v>1732</v>
      </c>
      <c r="AE615">
        <v>1.1649262191330676E-4</v>
      </c>
    </row>
    <row r="616" spans="29:31" x14ac:dyDescent="0.45">
      <c r="AC616" t="s">
        <v>19</v>
      </c>
      <c r="AD616" t="s">
        <v>1733</v>
      </c>
      <c r="AE616">
        <v>1.1663133629764264E-4</v>
      </c>
    </row>
    <row r="617" spans="29:31" x14ac:dyDescent="0.45">
      <c r="AC617" t="s">
        <v>19</v>
      </c>
      <c r="AD617" t="s">
        <v>1734</v>
      </c>
      <c r="AE617">
        <v>1.1645384325437533E-4</v>
      </c>
    </row>
    <row r="618" spans="29:31" x14ac:dyDescent="0.45">
      <c r="AC618" t="s">
        <v>19</v>
      </c>
      <c r="AD618" t="s">
        <v>1735</v>
      </c>
      <c r="AE618">
        <v>1.1571699583064153E-4</v>
      </c>
    </row>
    <row r="619" spans="29:31" x14ac:dyDescent="0.45">
      <c r="AC619" t="s">
        <v>19</v>
      </c>
      <c r="AD619" t="s">
        <v>1736</v>
      </c>
      <c r="AE619">
        <v>1.1436524478786274E-4</v>
      </c>
    </row>
    <row r="620" spans="29:31" x14ac:dyDescent="0.45">
      <c r="AC620" t="s">
        <v>19</v>
      </c>
      <c r="AD620" t="s">
        <v>1737</v>
      </c>
      <c r="AE620">
        <v>1.1292927051859171E-4</v>
      </c>
    </row>
    <row r="621" spans="29:31" x14ac:dyDescent="0.45">
      <c r="AC621" t="s">
        <v>19</v>
      </c>
      <c r="AD621" t="s">
        <v>1738</v>
      </c>
      <c r="AE621">
        <v>1.1148779422949958E-4</v>
      </c>
    </row>
    <row r="622" spans="29:31" x14ac:dyDescent="0.45">
      <c r="AC622" t="s">
        <v>19</v>
      </c>
      <c r="AD622" t="s">
        <v>1739</v>
      </c>
      <c r="AE622">
        <v>1.1124813894306116E-4</v>
      </c>
    </row>
    <row r="623" spans="29:31" x14ac:dyDescent="0.45">
      <c r="AC623" t="s">
        <v>19</v>
      </c>
      <c r="AD623" t="s">
        <v>1740</v>
      </c>
      <c r="AE623">
        <v>1.1102514842819629E-4</v>
      </c>
    </row>
    <row r="624" spans="29:31" x14ac:dyDescent="0.45">
      <c r="AC624" t="s">
        <v>19</v>
      </c>
      <c r="AD624" t="s">
        <v>1741</v>
      </c>
      <c r="AE624">
        <v>1.1103567633150782E-4</v>
      </c>
    </row>
    <row r="625" spans="29:31" x14ac:dyDescent="0.45">
      <c r="AC625" t="s">
        <v>19</v>
      </c>
      <c r="AD625" t="s">
        <v>1742</v>
      </c>
      <c r="AE625">
        <v>1.1119602846687092E-4</v>
      </c>
    </row>
    <row r="626" spans="29:31" x14ac:dyDescent="0.45">
      <c r="AC626" t="s">
        <v>19</v>
      </c>
      <c r="AD626" t="s">
        <v>1743</v>
      </c>
      <c r="AE626">
        <v>1.121246530237922E-4</v>
      </c>
    </row>
    <row r="627" spans="29:31" x14ac:dyDescent="0.45">
      <c r="AC627" t="s">
        <v>19</v>
      </c>
      <c r="AD627" t="s">
        <v>1744</v>
      </c>
      <c r="AE627">
        <v>1.1223516955654494E-4</v>
      </c>
    </row>
    <row r="628" spans="29:31" x14ac:dyDescent="0.45">
      <c r="AC628" t="s">
        <v>19</v>
      </c>
      <c r="AD628" t="s">
        <v>1745</v>
      </c>
      <c r="AE628">
        <v>1.1327219448474929E-4</v>
      </c>
    </row>
    <row r="629" spans="29:31" x14ac:dyDescent="0.45">
      <c r="AC629" t="s">
        <v>19</v>
      </c>
      <c r="AD629" t="s">
        <v>1746</v>
      </c>
      <c r="AE629">
        <v>1.1376092197616608E-4</v>
      </c>
    </row>
    <row r="630" spans="29:31" x14ac:dyDescent="0.45">
      <c r="AC630" t="s">
        <v>19</v>
      </c>
      <c r="AD630" t="s">
        <v>1747</v>
      </c>
      <c r="AE630">
        <v>1.1463135209267185E-4</v>
      </c>
    </row>
    <row r="631" spans="29:31" x14ac:dyDescent="0.45">
      <c r="AC631" t="s">
        <v>19</v>
      </c>
      <c r="AD631" t="s">
        <v>1748</v>
      </c>
      <c r="AE631">
        <v>1.1466140158554095E-4</v>
      </c>
    </row>
    <row r="632" spans="29:31" x14ac:dyDescent="0.45">
      <c r="AC632" t="s">
        <v>19</v>
      </c>
      <c r="AD632" t="s">
        <v>1749</v>
      </c>
      <c r="AE632">
        <v>1.1476207796745978E-4</v>
      </c>
    </row>
    <row r="633" spans="29:31" x14ac:dyDescent="0.45">
      <c r="AC633" t="s">
        <v>19</v>
      </c>
      <c r="AD633" t="s">
        <v>1750</v>
      </c>
      <c r="AE633">
        <v>1.1474477834744535E-4</v>
      </c>
    </row>
    <row r="634" spans="29:31" x14ac:dyDescent="0.45">
      <c r="AC634" t="s">
        <v>19</v>
      </c>
      <c r="AD634" t="s">
        <v>1751</v>
      </c>
      <c r="AE634">
        <v>1.1472985940908428E-4</v>
      </c>
    </row>
    <row r="635" spans="29:31" x14ac:dyDescent="0.45">
      <c r="AC635" t="s">
        <v>19</v>
      </c>
      <c r="AD635" t="s">
        <v>1752</v>
      </c>
      <c r="AE635">
        <v>1.1489719487729724E-4</v>
      </c>
    </row>
    <row r="636" spans="29:31" x14ac:dyDescent="0.45">
      <c r="AC636" t="s">
        <v>19</v>
      </c>
      <c r="AD636" t="s">
        <v>1753</v>
      </c>
      <c r="AE636">
        <v>1.1495872227202746E-4</v>
      </c>
    </row>
    <row r="637" spans="29:31" x14ac:dyDescent="0.45">
      <c r="AC637" t="s">
        <v>19</v>
      </c>
      <c r="AD637" t="s">
        <v>1754</v>
      </c>
      <c r="AE637">
        <v>1.1487021381855915E-4</v>
      </c>
    </row>
    <row r="638" spans="29:31" x14ac:dyDescent="0.45">
      <c r="AC638" t="s">
        <v>19</v>
      </c>
      <c r="AD638" t="s">
        <v>1755</v>
      </c>
      <c r="AE638">
        <v>1.1524249952510817E-4</v>
      </c>
    </row>
    <row r="639" spans="29:31" x14ac:dyDescent="0.45">
      <c r="AC639" t="s">
        <v>19</v>
      </c>
      <c r="AD639" t="s">
        <v>1756</v>
      </c>
      <c r="AE639">
        <v>1.1682607605688763E-4</v>
      </c>
    </row>
    <row r="640" spans="29:31" x14ac:dyDescent="0.45">
      <c r="AC640" t="s">
        <v>19</v>
      </c>
      <c r="AD640" t="s">
        <v>1757</v>
      </c>
      <c r="AE640">
        <v>1.168446982778206E-4</v>
      </c>
    </row>
    <row r="641" spans="29:31" x14ac:dyDescent="0.45">
      <c r="AC641" t="s">
        <v>19</v>
      </c>
      <c r="AD641" t="s">
        <v>1758</v>
      </c>
      <c r="AE641">
        <v>1.1633010071243728E-4</v>
      </c>
    </row>
    <row r="642" spans="29:31" x14ac:dyDescent="0.45">
      <c r="AC642" t="s">
        <v>19</v>
      </c>
      <c r="AD642" t="s">
        <v>1759</v>
      </c>
      <c r="AE642">
        <v>1.1571207575522458E-4</v>
      </c>
    </row>
    <row r="643" spans="29:31" x14ac:dyDescent="0.45">
      <c r="AC643" t="s">
        <v>19</v>
      </c>
      <c r="AD643" t="s">
        <v>1760</v>
      </c>
      <c r="AE643">
        <v>1.1436032471244581E-4</v>
      </c>
    </row>
    <row r="644" spans="29:31" x14ac:dyDescent="0.45">
      <c r="AC644" t="s">
        <v>19</v>
      </c>
      <c r="AD644" t="s">
        <v>1761</v>
      </c>
      <c r="AE644">
        <v>1.129242446351013E-4</v>
      </c>
    </row>
    <row r="645" spans="29:31" x14ac:dyDescent="0.45">
      <c r="AC645" t="s">
        <v>19</v>
      </c>
      <c r="AD645" t="s">
        <v>1762</v>
      </c>
      <c r="AE645">
        <v>1.1142965269312082E-4</v>
      </c>
    </row>
    <row r="646" spans="29:31" x14ac:dyDescent="0.45">
      <c r="AC646" t="s">
        <v>19</v>
      </c>
      <c r="AD646" t="s">
        <v>1763</v>
      </c>
      <c r="AE646">
        <v>1.1116105889858488E-4</v>
      </c>
    </row>
    <row r="647" spans="29:31" x14ac:dyDescent="0.45">
      <c r="AC647" t="s">
        <v>19</v>
      </c>
      <c r="AD647" t="s">
        <v>1764</v>
      </c>
      <c r="AE647">
        <v>1.1118200889713447E-4</v>
      </c>
    </row>
    <row r="648" spans="29:31" x14ac:dyDescent="0.45">
      <c r="AC648" t="s">
        <v>19</v>
      </c>
      <c r="AD648" t="s">
        <v>1765</v>
      </c>
      <c r="AE648">
        <v>1.1115984210573983E-4</v>
      </c>
    </row>
    <row r="649" spans="29:31" x14ac:dyDescent="0.45">
      <c r="AC649" t="s">
        <v>19</v>
      </c>
      <c r="AD649" t="s">
        <v>1766</v>
      </c>
      <c r="AE649">
        <v>1.1121025965275435E-4</v>
      </c>
    </row>
    <row r="650" spans="29:31" x14ac:dyDescent="0.45">
      <c r="AC650" t="s">
        <v>19</v>
      </c>
      <c r="AD650" t="s">
        <v>1767</v>
      </c>
      <c r="AE650">
        <v>1.1222871526406249E-4</v>
      </c>
    </row>
    <row r="651" spans="29:31" x14ac:dyDescent="0.45">
      <c r="AC651" t="s">
        <v>19</v>
      </c>
      <c r="AD651" t="s">
        <v>1768</v>
      </c>
      <c r="AE651">
        <v>1.1248551145840509E-4</v>
      </c>
    </row>
    <row r="652" spans="29:31" x14ac:dyDescent="0.45">
      <c r="AC652" t="s">
        <v>19</v>
      </c>
      <c r="AD652" t="s">
        <v>1769</v>
      </c>
      <c r="AE652">
        <v>1.1340741720266023E-4</v>
      </c>
    </row>
    <row r="653" spans="29:31" x14ac:dyDescent="0.45">
      <c r="AC653" t="s">
        <v>19</v>
      </c>
      <c r="AD653" t="s">
        <v>1770</v>
      </c>
      <c r="AE653">
        <v>1.1425954252245349E-4</v>
      </c>
    </row>
    <row r="654" spans="29:31" x14ac:dyDescent="0.45">
      <c r="AC654" t="s">
        <v>19</v>
      </c>
      <c r="AD654" t="s">
        <v>1771</v>
      </c>
      <c r="AE654">
        <v>1.148265679882475E-4</v>
      </c>
    </row>
    <row r="655" spans="29:31" x14ac:dyDescent="0.45">
      <c r="AC655" t="s">
        <v>19</v>
      </c>
      <c r="AD655" t="s">
        <v>1772</v>
      </c>
      <c r="AE655">
        <v>1.1495316734816961E-4</v>
      </c>
    </row>
    <row r="656" spans="29:31" x14ac:dyDescent="0.45">
      <c r="AC656" t="s">
        <v>19</v>
      </c>
      <c r="AD656" t="s">
        <v>1773</v>
      </c>
      <c r="AE656">
        <v>1.1510770003949115E-4</v>
      </c>
    </row>
    <row r="657" spans="29:31" x14ac:dyDescent="0.45">
      <c r="AC657" t="s">
        <v>19</v>
      </c>
      <c r="AD657" t="s">
        <v>1774</v>
      </c>
      <c r="AE657">
        <v>1.1517509978229966E-4</v>
      </c>
    </row>
    <row r="658" spans="29:31" x14ac:dyDescent="0.45">
      <c r="AC658" t="s">
        <v>19</v>
      </c>
      <c r="AD658" t="s">
        <v>1775</v>
      </c>
      <c r="AE658">
        <v>1.1525540811007307E-4</v>
      </c>
    </row>
    <row r="659" spans="29:31" x14ac:dyDescent="0.45">
      <c r="AC659" t="s">
        <v>19</v>
      </c>
      <c r="AD659" t="s">
        <v>1776</v>
      </c>
      <c r="AE659">
        <v>1.1555463334188226E-4</v>
      </c>
    </row>
    <row r="660" spans="29:31" x14ac:dyDescent="0.45">
      <c r="AC660" t="s">
        <v>19</v>
      </c>
      <c r="AD660" t="s">
        <v>1777</v>
      </c>
      <c r="AE660">
        <v>1.1561891174652302E-4</v>
      </c>
    </row>
    <row r="661" spans="29:31" x14ac:dyDescent="0.45">
      <c r="AC661" t="s">
        <v>19</v>
      </c>
      <c r="AD661" t="s">
        <v>1778</v>
      </c>
      <c r="AE661">
        <v>1.1517414750963833E-4</v>
      </c>
    </row>
    <row r="662" spans="29:31" x14ac:dyDescent="0.45">
      <c r="AC662" t="s">
        <v>19</v>
      </c>
      <c r="AD662" t="s">
        <v>1779</v>
      </c>
      <c r="AE662">
        <v>1.1531291479801093E-4</v>
      </c>
    </row>
    <row r="663" spans="29:31" x14ac:dyDescent="0.45">
      <c r="AC663" t="s">
        <v>19</v>
      </c>
      <c r="AD663" t="s">
        <v>1780</v>
      </c>
      <c r="AE663">
        <v>1.159851134888468E-4</v>
      </c>
    </row>
    <row r="664" spans="29:31" x14ac:dyDescent="0.45">
      <c r="AC664" t="s">
        <v>19</v>
      </c>
      <c r="AD664" t="s">
        <v>1781</v>
      </c>
      <c r="AE664">
        <v>1.1602378633970473E-4</v>
      </c>
    </row>
    <row r="665" spans="29:31" x14ac:dyDescent="0.45">
      <c r="AC665" t="s">
        <v>19</v>
      </c>
      <c r="AD665" t="s">
        <v>1782</v>
      </c>
      <c r="AE665">
        <v>1.1590163091886891E-4</v>
      </c>
    </row>
    <row r="666" spans="29:31" x14ac:dyDescent="0.45">
      <c r="AC666" t="s">
        <v>19</v>
      </c>
      <c r="AD666" t="s">
        <v>1783</v>
      </c>
      <c r="AE666">
        <v>1.1523302970253146E-4</v>
      </c>
    </row>
    <row r="667" spans="29:31" x14ac:dyDescent="0.45">
      <c r="AC667" t="s">
        <v>19</v>
      </c>
      <c r="AD667" t="s">
        <v>1784</v>
      </c>
      <c r="AE667">
        <v>1.140167129938106E-4</v>
      </c>
    </row>
    <row r="668" spans="29:31" x14ac:dyDescent="0.45">
      <c r="AC668" t="s">
        <v>19</v>
      </c>
      <c r="AD668" t="s">
        <v>1785</v>
      </c>
      <c r="AE668">
        <v>1.1246868797472134E-4</v>
      </c>
    </row>
    <row r="669" spans="29:31" x14ac:dyDescent="0.45">
      <c r="AC669" t="s">
        <v>19</v>
      </c>
      <c r="AD669" t="s">
        <v>1786</v>
      </c>
      <c r="AE669">
        <v>1.1146044284250429E-4</v>
      </c>
    </row>
    <row r="670" spans="29:31" x14ac:dyDescent="0.45">
      <c r="AC670" t="s">
        <v>19</v>
      </c>
      <c r="AD670" t="s">
        <v>1787</v>
      </c>
      <c r="AE670">
        <v>1.1117523718043155E-4</v>
      </c>
    </row>
    <row r="671" spans="29:31" x14ac:dyDescent="0.45">
      <c r="AC671" t="s">
        <v>19</v>
      </c>
      <c r="AD671" t="s">
        <v>1788</v>
      </c>
      <c r="AE671">
        <v>1.1114217215746821E-4</v>
      </c>
    </row>
    <row r="672" spans="29:31" x14ac:dyDescent="0.45">
      <c r="AC672" t="s">
        <v>19</v>
      </c>
      <c r="AD672" t="s">
        <v>1789</v>
      </c>
      <c r="AE672">
        <v>1.111461399602238E-4</v>
      </c>
    </row>
    <row r="673" spans="29:31" x14ac:dyDescent="0.45">
      <c r="AC673" t="s">
        <v>19</v>
      </c>
      <c r="AD673" t="s">
        <v>1790</v>
      </c>
      <c r="AE673">
        <v>1.1121486230395084E-4</v>
      </c>
    </row>
    <row r="674" spans="29:31" x14ac:dyDescent="0.45">
      <c r="AC674" t="s">
        <v>19</v>
      </c>
      <c r="AD674" t="s">
        <v>1791</v>
      </c>
      <c r="AE674">
        <v>1.1222871526406248E-4</v>
      </c>
    </row>
    <row r="675" spans="29:31" x14ac:dyDescent="0.45">
      <c r="AC675" t="s">
        <v>19</v>
      </c>
      <c r="AD675" t="s">
        <v>267</v>
      </c>
      <c r="AE675">
        <v>2.4817941741787808E-2</v>
      </c>
    </row>
    <row r="676" spans="29:31" x14ac:dyDescent="0.45">
      <c r="AC676" t="s">
        <v>19</v>
      </c>
      <c r="AD676" t="s">
        <v>268</v>
      </c>
      <c r="AE676">
        <v>3.5813431856435533E-3</v>
      </c>
    </row>
    <row r="677" spans="29:31" x14ac:dyDescent="0.45">
      <c r="AC677" t="s">
        <v>19</v>
      </c>
      <c r="AD677" t="s">
        <v>269</v>
      </c>
      <c r="AE677">
        <v>3.5935791486853184E-3</v>
      </c>
    </row>
    <row r="678" spans="29:31" x14ac:dyDescent="0.45">
      <c r="AC678" t="s">
        <v>19</v>
      </c>
      <c r="AD678" t="s">
        <v>270</v>
      </c>
      <c r="AE678">
        <v>3.5992108892045106E-3</v>
      </c>
    </row>
    <row r="679" spans="29:31" x14ac:dyDescent="0.45">
      <c r="AC679" t="s">
        <v>19</v>
      </c>
      <c r="AD679" t="s">
        <v>271</v>
      </c>
      <c r="AE679">
        <v>2.5159670658659424E-2</v>
      </c>
    </row>
    <row r="680" spans="29:31" x14ac:dyDescent="0.45">
      <c r="AC680" t="s">
        <v>19</v>
      </c>
      <c r="AD680" t="s">
        <v>272</v>
      </c>
      <c r="AE680">
        <v>3.4703547488830963E-3</v>
      </c>
    </row>
    <row r="681" spans="29:31" x14ac:dyDescent="0.45">
      <c r="AC681" t="s">
        <v>19</v>
      </c>
      <c r="AD681" t="s">
        <v>273</v>
      </c>
      <c r="AE681">
        <v>3.4449947227347894E-3</v>
      </c>
    </row>
    <row r="682" spans="29:31" x14ac:dyDescent="0.45">
      <c r="AC682" t="s">
        <v>19</v>
      </c>
      <c r="AD682" t="s">
        <v>274</v>
      </c>
      <c r="AE682">
        <v>1.7239740876161678E-2</v>
      </c>
    </row>
    <row r="683" spans="29:31" x14ac:dyDescent="0.45">
      <c r="AC683" t="s">
        <v>19</v>
      </c>
      <c r="AD683" t="s">
        <v>275</v>
      </c>
      <c r="AE683">
        <v>2.3992482297509075E-2</v>
      </c>
    </row>
    <row r="684" spans="29:31" x14ac:dyDescent="0.45">
      <c r="AC684" t="s">
        <v>19</v>
      </c>
      <c r="AD684" t="s">
        <v>276</v>
      </c>
      <c r="AE684">
        <v>3.4738704666897762E-3</v>
      </c>
    </row>
    <row r="685" spans="29:31" x14ac:dyDescent="0.45">
      <c r="AC685" t="s">
        <v>19</v>
      </c>
      <c r="AD685" t="s">
        <v>277</v>
      </c>
      <c r="AE685">
        <v>3.4801538791335491E-3</v>
      </c>
    </row>
    <row r="686" spans="29:31" x14ac:dyDescent="0.45">
      <c r="AC686" t="s">
        <v>19</v>
      </c>
      <c r="AD686" t="s">
        <v>278</v>
      </c>
      <c r="AE686">
        <v>3.4821192640984906E-3</v>
      </c>
    </row>
    <row r="687" spans="29:31" x14ac:dyDescent="0.45">
      <c r="AC687" t="s">
        <v>19</v>
      </c>
      <c r="AD687" t="s">
        <v>279</v>
      </c>
      <c r="AE687">
        <v>2.431802215590554E-2</v>
      </c>
    </row>
    <row r="688" spans="29:31" x14ac:dyDescent="0.45">
      <c r="AC688" t="s">
        <v>19</v>
      </c>
      <c r="AD688" t="s">
        <v>280</v>
      </c>
      <c r="AE688">
        <v>3.3586893850175658E-3</v>
      </c>
    </row>
    <row r="689" spans="29:31" x14ac:dyDescent="0.45">
      <c r="AC689" t="s">
        <v>19</v>
      </c>
      <c r="AD689" t="s">
        <v>281</v>
      </c>
      <c r="AE689">
        <v>3.384166540703218E-3</v>
      </c>
    </row>
    <row r="690" spans="29:31" x14ac:dyDescent="0.45">
      <c r="AC690" t="s">
        <v>19</v>
      </c>
      <c r="AD690" t="s">
        <v>282</v>
      </c>
      <c r="AE690">
        <v>1.6789908068262124E-2</v>
      </c>
    </row>
    <row r="691" spans="29:31" x14ac:dyDescent="0.45">
      <c r="AC691" t="s">
        <v>19</v>
      </c>
      <c r="AD691" t="s">
        <v>283</v>
      </c>
      <c r="AE691">
        <v>2.4805099440951852E-2</v>
      </c>
    </row>
    <row r="692" spans="29:31" x14ac:dyDescent="0.45">
      <c r="AC692" t="s">
        <v>19</v>
      </c>
      <c r="AD692" t="s">
        <v>284</v>
      </c>
      <c r="AE692">
        <v>3.5794377402909392E-3</v>
      </c>
    </row>
    <row r="693" spans="29:31" x14ac:dyDescent="0.45">
      <c r="AC693" t="s">
        <v>19</v>
      </c>
      <c r="AD693" t="s">
        <v>285</v>
      </c>
      <c r="AE693">
        <v>3.5822695875696313E-3</v>
      </c>
    </row>
    <row r="694" spans="29:31" x14ac:dyDescent="0.45">
      <c r="AC694" t="s">
        <v>19</v>
      </c>
      <c r="AD694" t="s">
        <v>286</v>
      </c>
      <c r="AE694">
        <v>3.582425971902239E-3</v>
      </c>
    </row>
    <row r="695" spans="29:31" x14ac:dyDescent="0.45">
      <c r="AC695" t="s">
        <v>19</v>
      </c>
      <c r="AD695" t="s">
        <v>287</v>
      </c>
      <c r="AE695">
        <v>2.506980727527703E-2</v>
      </c>
    </row>
    <row r="696" spans="29:31" x14ac:dyDescent="0.45">
      <c r="AC696" t="s">
        <v>19</v>
      </c>
      <c r="AD696" t="s">
        <v>288</v>
      </c>
      <c r="AE696">
        <v>3.4736433689537133E-3</v>
      </c>
    </row>
    <row r="697" spans="29:31" x14ac:dyDescent="0.45">
      <c r="AC697" t="s">
        <v>19</v>
      </c>
      <c r="AD697" t="s">
        <v>289</v>
      </c>
      <c r="AE697">
        <v>3.5163132255955397E-3</v>
      </c>
    </row>
    <row r="698" spans="29:31" x14ac:dyDescent="0.45">
      <c r="AC698" t="s">
        <v>19</v>
      </c>
      <c r="AD698" t="s">
        <v>290</v>
      </c>
      <c r="AE698">
        <v>1.7465225760148372E-2</v>
      </c>
    </row>
    <row r="699" spans="29:31" x14ac:dyDescent="0.45">
      <c r="AC699" t="s">
        <v>19</v>
      </c>
      <c r="AD699" t="s">
        <v>291</v>
      </c>
      <c r="AE699">
        <v>2.4008373861375724E-2</v>
      </c>
    </row>
    <row r="700" spans="29:31" x14ac:dyDescent="0.45">
      <c r="AC700" t="s">
        <v>19</v>
      </c>
      <c r="AD700" t="s">
        <v>292</v>
      </c>
      <c r="AE700">
        <v>3.4559498795923922E-3</v>
      </c>
    </row>
    <row r="701" spans="29:31" x14ac:dyDescent="0.45">
      <c r="AC701" t="s">
        <v>19</v>
      </c>
      <c r="AD701" t="s">
        <v>293</v>
      </c>
      <c r="AE701">
        <v>3.4583274928116229E-3</v>
      </c>
    </row>
    <row r="702" spans="29:31" x14ac:dyDescent="0.45">
      <c r="AC702" t="s">
        <v>19</v>
      </c>
      <c r="AD702" t="s">
        <v>294</v>
      </c>
      <c r="AE702">
        <v>3.4586289400129751E-3</v>
      </c>
    </row>
    <row r="703" spans="29:31" x14ac:dyDescent="0.45">
      <c r="AC703" t="s">
        <v>19</v>
      </c>
      <c r="AD703" t="s">
        <v>295</v>
      </c>
      <c r="AE703">
        <v>2.4232325166451862E-2</v>
      </c>
    </row>
    <row r="704" spans="29:31" x14ac:dyDescent="0.45">
      <c r="AC704" t="s">
        <v>19</v>
      </c>
      <c r="AD704" t="s">
        <v>296</v>
      </c>
      <c r="AE704">
        <v>3.3662016200230443E-3</v>
      </c>
    </row>
    <row r="705" spans="29:31" x14ac:dyDescent="0.45">
      <c r="AC705" t="s">
        <v>19</v>
      </c>
      <c r="AD705" t="s">
        <v>297</v>
      </c>
      <c r="AE705">
        <v>3.4017293258967124E-3</v>
      </c>
    </row>
    <row r="706" spans="29:31" x14ac:dyDescent="0.45">
      <c r="AC706" t="s">
        <v>19</v>
      </c>
      <c r="AD706" t="s">
        <v>298</v>
      </c>
      <c r="AE706">
        <v>1.6923760039274597E-2</v>
      </c>
    </row>
    <row r="707" spans="29:31" x14ac:dyDescent="0.45">
      <c r="AC707" t="s">
        <v>19</v>
      </c>
      <c r="AD707" t="s">
        <v>299</v>
      </c>
      <c r="AE707">
        <v>2.4820133261090005E-2</v>
      </c>
    </row>
    <row r="708" spans="29:31" x14ac:dyDescent="0.45">
      <c r="AC708" t="s">
        <v>19</v>
      </c>
      <c r="AD708" t="s">
        <v>300</v>
      </c>
      <c r="AE708">
        <v>3.5651303084484587E-3</v>
      </c>
    </row>
    <row r="709" spans="29:31" x14ac:dyDescent="0.45">
      <c r="AC709" t="s">
        <v>19</v>
      </c>
      <c r="AD709" t="s">
        <v>301</v>
      </c>
      <c r="AE709">
        <v>3.5674991925016271E-3</v>
      </c>
    </row>
    <row r="710" spans="29:31" x14ac:dyDescent="0.45">
      <c r="AC710" t="s">
        <v>19</v>
      </c>
      <c r="AD710" t="s">
        <v>302</v>
      </c>
      <c r="AE710">
        <v>3.5679085110338947E-3</v>
      </c>
    </row>
    <row r="711" spans="29:31" x14ac:dyDescent="0.45">
      <c r="AC711" t="s">
        <v>19</v>
      </c>
      <c r="AD711" t="s">
        <v>303</v>
      </c>
      <c r="AE711">
        <v>2.5025049535034486E-2</v>
      </c>
    </row>
    <row r="712" spans="29:31" x14ac:dyDescent="0.45">
      <c r="AC712" t="s">
        <v>19</v>
      </c>
      <c r="AD712" t="s">
        <v>304</v>
      </c>
      <c r="AE712">
        <v>3.479127390160216E-3</v>
      </c>
    </row>
    <row r="713" spans="29:31" x14ac:dyDescent="0.45">
      <c r="AC713" t="s">
        <v>19</v>
      </c>
      <c r="AD713" t="s">
        <v>305</v>
      </c>
      <c r="AE713">
        <v>3.5113373780817588E-3</v>
      </c>
    </row>
    <row r="714" spans="29:31" x14ac:dyDescent="0.45">
      <c r="AC714" t="s">
        <v>19</v>
      </c>
      <c r="AD714" t="s">
        <v>306</v>
      </c>
      <c r="AE714">
        <v>1.7489296829039009E-2</v>
      </c>
    </row>
    <row r="715" spans="29:31" x14ac:dyDescent="0.45">
      <c r="AC715" t="s">
        <v>19</v>
      </c>
      <c r="AD715" t="s">
        <v>307</v>
      </c>
      <c r="AE715">
        <v>1.9250010709952581E-2</v>
      </c>
    </row>
    <row r="716" spans="29:31" x14ac:dyDescent="0.45">
      <c r="AC716" t="s">
        <v>19</v>
      </c>
      <c r="AD716" t="s">
        <v>308</v>
      </c>
      <c r="AE716">
        <v>2.7737860966005326E-3</v>
      </c>
    </row>
    <row r="717" spans="29:31" x14ac:dyDescent="0.45">
      <c r="AC717" t="s">
        <v>19</v>
      </c>
      <c r="AD717" t="s">
        <v>309</v>
      </c>
      <c r="AE717">
        <v>2.7756212318270175E-3</v>
      </c>
    </row>
    <row r="718" spans="29:31" x14ac:dyDescent="0.45">
      <c r="AC718" t="s">
        <v>19</v>
      </c>
      <c r="AD718" t="s">
        <v>310</v>
      </c>
      <c r="AE718">
        <v>2.775460615171471E-3</v>
      </c>
    </row>
    <row r="719" spans="29:31" x14ac:dyDescent="0.45">
      <c r="AC719" t="s">
        <v>19</v>
      </c>
      <c r="AD719" t="s">
        <v>311</v>
      </c>
      <c r="AE719">
        <v>1.9478345855129257E-2</v>
      </c>
    </row>
    <row r="720" spans="29:31" x14ac:dyDescent="0.45">
      <c r="AC720" t="s">
        <v>19</v>
      </c>
      <c r="AD720" t="s">
        <v>312</v>
      </c>
      <c r="AE720">
        <v>2.7020963125486317E-3</v>
      </c>
    </row>
    <row r="721" spans="29:31" x14ac:dyDescent="0.45">
      <c r="AC721" t="s">
        <v>19</v>
      </c>
      <c r="AD721" t="s">
        <v>313</v>
      </c>
      <c r="AE721">
        <v>2.6685070105811675E-3</v>
      </c>
    </row>
    <row r="722" spans="29:31" x14ac:dyDescent="0.45">
      <c r="AC722" t="s">
        <v>19</v>
      </c>
      <c r="AD722" t="s">
        <v>314</v>
      </c>
      <c r="AE722">
        <v>1.335351465088307E-2</v>
      </c>
    </row>
    <row r="723" spans="29:31" x14ac:dyDescent="0.45">
      <c r="AC723" t="s">
        <v>19</v>
      </c>
      <c r="AD723" t="s">
        <v>1792</v>
      </c>
      <c r="AE723">
        <v>1.1237008490764023E-4</v>
      </c>
    </row>
    <row r="724" spans="29:31" x14ac:dyDescent="0.45">
      <c r="AC724" t="s">
        <v>19</v>
      </c>
      <c r="AD724" t="s">
        <v>1793</v>
      </c>
      <c r="AE724">
        <v>1.1313370177396518E-4</v>
      </c>
    </row>
    <row r="725" spans="29:31" x14ac:dyDescent="0.45">
      <c r="AC725" t="s">
        <v>19</v>
      </c>
      <c r="AD725" t="s">
        <v>1794</v>
      </c>
      <c r="AE725">
        <v>1.1425368023178001E-4</v>
      </c>
    </row>
    <row r="726" spans="29:31" x14ac:dyDescent="0.45">
      <c r="AC726" t="s">
        <v>19</v>
      </c>
      <c r="AD726" t="s">
        <v>1795</v>
      </c>
      <c r="AE726">
        <v>1.1494735796153285E-4</v>
      </c>
    </row>
    <row r="727" spans="29:31" x14ac:dyDescent="0.45">
      <c r="AC727" t="s">
        <v>19</v>
      </c>
      <c r="AD727" t="s">
        <v>1796</v>
      </c>
      <c r="AE727">
        <v>1.1526912031299387E-4</v>
      </c>
    </row>
    <row r="728" spans="29:31" x14ac:dyDescent="0.45">
      <c r="AC728" t="s">
        <v>19</v>
      </c>
      <c r="AD728" t="s">
        <v>1797</v>
      </c>
      <c r="AE728">
        <v>1.1527948950419517E-4</v>
      </c>
    </row>
    <row r="729" spans="29:31" x14ac:dyDescent="0.45">
      <c r="AC729" t="s">
        <v>19</v>
      </c>
      <c r="AD729" t="s">
        <v>1798</v>
      </c>
      <c r="AE729">
        <v>1.1527948950419517E-4</v>
      </c>
    </row>
    <row r="730" spans="29:31" x14ac:dyDescent="0.45">
      <c r="AC730" t="s">
        <v>19</v>
      </c>
      <c r="AD730" t="s">
        <v>1799</v>
      </c>
      <c r="AE730">
        <v>1.1529959303815691E-4</v>
      </c>
    </row>
    <row r="731" spans="29:31" x14ac:dyDescent="0.45">
      <c r="AC731" t="s">
        <v>19</v>
      </c>
      <c r="AD731" t="s">
        <v>1800</v>
      </c>
      <c r="AE731">
        <v>1.1530128596733263E-4</v>
      </c>
    </row>
    <row r="732" spans="29:31" x14ac:dyDescent="0.45">
      <c r="AC732" t="s">
        <v>19</v>
      </c>
      <c r="AD732" t="s">
        <v>1801</v>
      </c>
      <c r="AE732">
        <v>1.1530128596733263E-4</v>
      </c>
    </row>
    <row r="733" spans="29:31" x14ac:dyDescent="0.45">
      <c r="AC733" t="s">
        <v>19</v>
      </c>
      <c r="AD733" t="s">
        <v>1802</v>
      </c>
      <c r="AE733">
        <v>1.1529223937704986E-4</v>
      </c>
    </row>
    <row r="734" spans="29:31" x14ac:dyDescent="0.45">
      <c r="AC734" t="s">
        <v>19</v>
      </c>
      <c r="AD734" t="s">
        <v>1803</v>
      </c>
      <c r="AE734">
        <v>1.153063647548598E-4</v>
      </c>
    </row>
    <row r="735" spans="29:31" x14ac:dyDescent="0.45">
      <c r="AC735" t="s">
        <v>19</v>
      </c>
      <c r="AD735" t="s">
        <v>1804</v>
      </c>
      <c r="AE735">
        <v>1.1654204434102801E-4</v>
      </c>
    </row>
    <row r="736" spans="29:31" x14ac:dyDescent="0.45">
      <c r="AC736" t="s">
        <v>19</v>
      </c>
      <c r="AD736" t="s">
        <v>1805</v>
      </c>
      <c r="AE736">
        <v>1.1662552691100589E-4</v>
      </c>
    </row>
    <row r="737" spans="29:31" x14ac:dyDescent="0.45">
      <c r="AC737" t="s">
        <v>19</v>
      </c>
      <c r="AD737" t="s">
        <v>1806</v>
      </c>
      <c r="AE737">
        <v>1.1630561620083082E-4</v>
      </c>
    </row>
    <row r="738" spans="29:31" x14ac:dyDescent="0.45">
      <c r="AC738" t="s">
        <v>19</v>
      </c>
      <c r="AD738" t="s">
        <v>1807</v>
      </c>
      <c r="AE738">
        <v>1.1540825792962367E-4</v>
      </c>
    </row>
    <row r="739" spans="29:31" x14ac:dyDescent="0.45">
      <c r="AC739" t="s">
        <v>19</v>
      </c>
      <c r="AD739" t="s">
        <v>1808</v>
      </c>
      <c r="AE739">
        <v>1.1406883352740565E-4</v>
      </c>
    </row>
    <row r="740" spans="29:31" x14ac:dyDescent="0.45">
      <c r="AC740" t="s">
        <v>19</v>
      </c>
      <c r="AD740" t="s">
        <v>1809</v>
      </c>
      <c r="AE740">
        <v>1.1232548680466725E-4</v>
      </c>
    </row>
    <row r="741" spans="29:31" x14ac:dyDescent="0.45">
      <c r="AC741" t="s">
        <v>19</v>
      </c>
      <c r="AD741" t="s">
        <v>1810</v>
      </c>
      <c r="AE741">
        <v>1.1079872920834802E-4</v>
      </c>
    </row>
    <row r="742" spans="29:31" x14ac:dyDescent="0.45">
      <c r="AC742" t="s">
        <v>19</v>
      </c>
      <c r="AD742" t="s">
        <v>1811</v>
      </c>
      <c r="AE742">
        <v>1.1052823086848939E-4</v>
      </c>
    </row>
    <row r="743" spans="29:31" x14ac:dyDescent="0.45">
      <c r="AC743" t="s">
        <v>19</v>
      </c>
      <c r="AD743" t="s">
        <v>1812</v>
      </c>
      <c r="AE743">
        <v>1.1060219071185383E-4</v>
      </c>
    </row>
    <row r="744" spans="29:31" x14ac:dyDescent="0.45">
      <c r="AC744" t="s">
        <v>19</v>
      </c>
      <c r="AD744" t="s">
        <v>1813</v>
      </c>
      <c r="AE744">
        <v>1.1057563288540965E-4</v>
      </c>
    </row>
    <row r="745" spans="29:31" x14ac:dyDescent="0.45">
      <c r="AC745" t="s">
        <v>19</v>
      </c>
      <c r="AD745" t="s">
        <v>1814</v>
      </c>
      <c r="AE745">
        <v>1.110664765382961E-4</v>
      </c>
    </row>
    <row r="746" spans="29:31" x14ac:dyDescent="0.45">
      <c r="AC746" t="s">
        <v>19</v>
      </c>
      <c r="AD746" t="s">
        <v>1815</v>
      </c>
      <c r="AE746">
        <v>1.1219433769758539E-4</v>
      </c>
    </row>
    <row r="747" spans="29:31" x14ac:dyDescent="0.45">
      <c r="AC747" t="s">
        <v>19</v>
      </c>
      <c r="AD747" t="s">
        <v>1816</v>
      </c>
      <c r="AE747">
        <v>1.1235257367147884E-4</v>
      </c>
    </row>
    <row r="748" spans="29:31" x14ac:dyDescent="0.45">
      <c r="AC748" t="s">
        <v>19</v>
      </c>
      <c r="AD748" t="s">
        <v>1817</v>
      </c>
      <c r="AE748">
        <v>1.1313370177396518E-4</v>
      </c>
    </row>
    <row r="749" spans="29:31" x14ac:dyDescent="0.45">
      <c r="AC749" t="s">
        <v>19</v>
      </c>
      <c r="AD749" t="s">
        <v>1818</v>
      </c>
      <c r="AE749">
        <v>1.1424712013122407E-4</v>
      </c>
    </row>
    <row r="750" spans="29:31" x14ac:dyDescent="0.45">
      <c r="AC750" t="s">
        <v>19</v>
      </c>
      <c r="AD750" t="s">
        <v>1819</v>
      </c>
      <c r="AE750">
        <v>1.1504390782858585E-4</v>
      </c>
    </row>
    <row r="751" spans="29:31" x14ac:dyDescent="0.45">
      <c r="AC751" t="s">
        <v>19</v>
      </c>
      <c r="AD751" t="s">
        <v>1820</v>
      </c>
      <c r="AE751">
        <v>1.1527642107006419E-4</v>
      </c>
    </row>
    <row r="752" spans="29:31" x14ac:dyDescent="0.45">
      <c r="AC752" t="s">
        <v>19</v>
      </c>
      <c r="AD752" t="s">
        <v>1821</v>
      </c>
      <c r="AE752">
        <v>1.152889593267719E-4</v>
      </c>
    </row>
    <row r="753" spans="29:31" x14ac:dyDescent="0.45">
      <c r="AC753" t="s">
        <v>19</v>
      </c>
      <c r="AD753" t="s">
        <v>1822</v>
      </c>
      <c r="AE753">
        <v>1.152889593267719E-4</v>
      </c>
    </row>
    <row r="754" spans="29:31" x14ac:dyDescent="0.45">
      <c r="AC754" t="s">
        <v>19</v>
      </c>
      <c r="AD754" t="s">
        <v>1823</v>
      </c>
      <c r="AE754">
        <v>1.1527028420180219E-4</v>
      </c>
    </row>
    <row r="755" spans="29:31" x14ac:dyDescent="0.45">
      <c r="AC755" t="s">
        <v>19</v>
      </c>
      <c r="AD755" t="s">
        <v>1824</v>
      </c>
      <c r="AE755">
        <v>1.1530964480513775E-4</v>
      </c>
    </row>
    <row r="756" spans="29:31" x14ac:dyDescent="0.45">
      <c r="AC756" t="s">
        <v>19</v>
      </c>
      <c r="AD756" t="s">
        <v>1825</v>
      </c>
      <c r="AE756">
        <v>1.153090628607336E-4</v>
      </c>
    </row>
    <row r="757" spans="29:31" x14ac:dyDescent="0.45">
      <c r="AC757" t="s">
        <v>19</v>
      </c>
      <c r="AD757" t="s">
        <v>1826</v>
      </c>
      <c r="AE757">
        <v>1.1529959303815691E-4</v>
      </c>
    </row>
    <row r="758" spans="29:31" x14ac:dyDescent="0.45">
      <c r="AC758" t="s">
        <v>19</v>
      </c>
      <c r="AD758" t="s">
        <v>1827</v>
      </c>
      <c r="AE758">
        <v>1.1531366551193011E-4</v>
      </c>
    </row>
    <row r="759" spans="29:31" x14ac:dyDescent="0.45">
      <c r="AC759" t="s">
        <v>19</v>
      </c>
      <c r="AD759" t="s">
        <v>1828</v>
      </c>
      <c r="AE759">
        <v>1.1664393751579189E-4</v>
      </c>
    </row>
    <row r="760" spans="29:31" x14ac:dyDescent="0.45">
      <c r="AC760" t="s">
        <v>19</v>
      </c>
      <c r="AD760" t="s">
        <v>1829</v>
      </c>
      <c r="AE760">
        <v>1.1679217462674121E-4</v>
      </c>
    </row>
    <row r="761" spans="29:31" x14ac:dyDescent="0.45">
      <c r="AC761" t="s">
        <v>19</v>
      </c>
      <c r="AD761" t="s">
        <v>1830</v>
      </c>
      <c r="AE761">
        <v>1.1640216606788382E-4</v>
      </c>
    </row>
    <row r="762" spans="29:31" x14ac:dyDescent="0.45">
      <c r="AC762" t="s">
        <v>19</v>
      </c>
      <c r="AD762" t="s">
        <v>1831</v>
      </c>
      <c r="AE762">
        <v>1.154581464362708E-4</v>
      </c>
    </row>
    <row r="763" spans="29:31" x14ac:dyDescent="0.45">
      <c r="AC763" t="s">
        <v>19</v>
      </c>
      <c r="AD763" t="s">
        <v>1832</v>
      </c>
      <c r="AE763">
        <v>1.1422680498111539E-4</v>
      </c>
    </row>
    <row r="764" spans="29:31" x14ac:dyDescent="0.45">
      <c r="AC764" t="s">
        <v>19</v>
      </c>
      <c r="AD764" t="s">
        <v>1833</v>
      </c>
      <c r="AE764">
        <v>1.1274961846722283E-4</v>
      </c>
    </row>
    <row r="765" spans="29:31" x14ac:dyDescent="0.45">
      <c r="AC765" t="s">
        <v>19</v>
      </c>
      <c r="AD765" t="s">
        <v>1834</v>
      </c>
      <c r="AE765">
        <v>1.1112684004421802E-4</v>
      </c>
    </row>
    <row r="766" spans="29:31" x14ac:dyDescent="0.45">
      <c r="AC766" t="s">
        <v>19</v>
      </c>
      <c r="AD766" t="s">
        <v>1835</v>
      </c>
      <c r="AE766">
        <v>1.1085972756271082E-4</v>
      </c>
    </row>
    <row r="767" spans="29:31" x14ac:dyDescent="0.45">
      <c r="AC767" t="s">
        <v>19</v>
      </c>
      <c r="AD767" t="s">
        <v>1836</v>
      </c>
      <c r="AE767">
        <v>1.107483116613335E-4</v>
      </c>
    </row>
    <row r="768" spans="29:31" x14ac:dyDescent="0.45">
      <c r="AC768" t="s">
        <v>19</v>
      </c>
      <c r="AD768" t="s">
        <v>1837</v>
      </c>
      <c r="AE768">
        <v>1.1079216910779209E-4</v>
      </c>
    </row>
    <row r="769" spans="29:31" x14ac:dyDescent="0.45">
      <c r="AC769" t="s">
        <v>19</v>
      </c>
      <c r="AD769" t="s">
        <v>1838</v>
      </c>
      <c r="AE769">
        <v>1.1133157866640712E-4</v>
      </c>
    </row>
    <row r="770" spans="29:31" x14ac:dyDescent="0.45">
      <c r="AC770" t="s">
        <v>19</v>
      </c>
      <c r="AD770" t="s">
        <v>1839</v>
      </c>
      <c r="AE770">
        <v>1.12354584024875E-4</v>
      </c>
    </row>
    <row r="771" spans="29:31" x14ac:dyDescent="0.45">
      <c r="AC771" t="s">
        <v>19</v>
      </c>
      <c r="AD771" t="s">
        <v>1840</v>
      </c>
      <c r="AE771">
        <v>1.1244573768018039E-4</v>
      </c>
    </row>
    <row r="772" spans="29:31" x14ac:dyDescent="0.45">
      <c r="AC772" t="s">
        <v>19</v>
      </c>
      <c r="AD772" t="s">
        <v>1841</v>
      </c>
      <c r="AE772">
        <v>1.1313370177396518E-4</v>
      </c>
    </row>
    <row r="773" spans="29:31" x14ac:dyDescent="0.45">
      <c r="AC773" t="s">
        <v>19</v>
      </c>
      <c r="AD773" t="s">
        <v>1842</v>
      </c>
      <c r="AE773">
        <v>1.1424712013122407E-4</v>
      </c>
    </row>
    <row r="774" spans="29:31" x14ac:dyDescent="0.45">
      <c r="AC774" t="s">
        <v>19</v>
      </c>
      <c r="AD774" t="s">
        <v>1843</v>
      </c>
      <c r="AE774">
        <v>1.1504390782858587E-4</v>
      </c>
    </row>
    <row r="775" spans="29:31" x14ac:dyDescent="0.45">
      <c r="AC775" t="s">
        <v>19</v>
      </c>
      <c r="AD775" t="s">
        <v>1844</v>
      </c>
      <c r="AE775">
        <v>1.1526573445464244E-4</v>
      </c>
    </row>
    <row r="776" spans="29:31" x14ac:dyDescent="0.45">
      <c r="AC776" t="s">
        <v>19</v>
      </c>
      <c r="AD776" t="s">
        <v>1845</v>
      </c>
      <c r="AE776">
        <v>1.1528261084236292E-4</v>
      </c>
    </row>
    <row r="777" spans="29:31" x14ac:dyDescent="0.45">
      <c r="AC777" t="s">
        <v>19</v>
      </c>
      <c r="AD777" t="s">
        <v>1846</v>
      </c>
      <c r="AE777">
        <v>1.1528954127117605E-4</v>
      </c>
    </row>
    <row r="778" spans="29:31" x14ac:dyDescent="0.45">
      <c r="AC778" t="s">
        <v>19</v>
      </c>
      <c r="AD778" t="s">
        <v>1847</v>
      </c>
      <c r="AE778">
        <v>1.1530128596733263E-4</v>
      </c>
    </row>
    <row r="779" spans="29:31" x14ac:dyDescent="0.45">
      <c r="AC779" t="s">
        <v>19</v>
      </c>
      <c r="AD779" t="s">
        <v>1848</v>
      </c>
      <c r="AE779">
        <v>1.1530128596733263E-4</v>
      </c>
    </row>
    <row r="780" spans="29:31" x14ac:dyDescent="0.45">
      <c r="AC780" t="s">
        <v>19</v>
      </c>
      <c r="AD780" t="s">
        <v>1849</v>
      </c>
      <c r="AE780">
        <v>1.1529959303815691E-4</v>
      </c>
    </row>
    <row r="781" spans="29:31" x14ac:dyDescent="0.45">
      <c r="AC781" t="s">
        <v>19</v>
      </c>
      <c r="AD781" t="s">
        <v>1850</v>
      </c>
      <c r="AE781">
        <v>1.1530128596733263E-4</v>
      </c>
    </row>
    <row r="782" spans="29:31" x14ac:dyDescent="0.45">
      <c r="AC782" t="s">
        <v>19</v>
      </c>
      <c r="AD782" t="s">
        <v>1851</v>
      </c>
      <c r="AE782">
        <v>1.1531366551193011E-4</v>
      </c>
    </row>
    <row r="783" spans="29:31" x14ac:dyDescent="0.45">
      <c r="AC783" t="s">
        <v>19</v>
      </c>
      <c r="AD783" t="s">
        <v>1852</v>
      </c>
      <c r="AE783">
        <v>1.1665018019212736E-4</v>
      </c>
    </row>
    <row r="784" spans="29:31" x14ac:dyDescent="0.45">
      <c r="AC784" t="s">
        <v>19</v>
      </c>
      <c r="AD784" t="s">
        <v>1853</v>
      </c>
      <c r="AE784">
        <v>1.167336098580685E-4</v>
      </c>
    </row>
    <row r="785" spans="29:31" x14ac:dyDescent="0.45">
      <c r="AC785" t="s">
        <v>19</v>
      </c>
      <c r="AD785" t="s">
        <v>1854</v>
      </c>
      <c r="AE785">
        <v>1.1640216606788382E-4</v>
      </c>
    </row>
    <row r="786" spans="29:31" x14ac:dyDescent="0.45">
      <c r="AC786" t="s">
        <v>19</v>
      </c>
      <c r="AD786" t="s">
        <v>1855</v>
      </c>
      <c r="AE786">
        <v>1.1540693532870515E-4</v>
      </c>
    </row>
    <row r="787" spans="29:31" x14ac:dyDescent="0.45">
      <c r="AC787" t="s">
        <v>19</v>
      </c>
      <c r="AD787" t="s">
        <v>1856</v>
      </c>
      <c r="AE787">
        <v>1.1422680498111539E-4</v>
      </c>
    </row>
    <row r="788" spans="29:31" x14ac:dyDescent="0.45">
      <c r="AC788" t="s">
        <v>19</v>
      </c>
      <c r="AD788" t="s">
        <v>1857</v>
      </c>
      <c r="AE788">
        <v>1.1251329613509912E-4</v>
      </c>
    </row>
    <row r="789" spans="29:31" x14ac:dyDescent="0.45">
      <c r="AC789" t="s">
        <v>19</v>
      </c>
      <c r="AD789" t="s">
        <v>1858</v>
      </c>
      <c r="AE789">
        <v>1.1079872920834803E-4</v>
      </c>
    </row>
    <row r="790" spans="29:31" x14ac:dyDescent="0.45">
      <c r="AC790" t="s">
        <v>19</v>
      </c>
      <c r="AD790" t="s">
        <v>1859</v>
      </c>
      <c r="AE790">
        <v>1.1061049664562222E-4</v>
      </c>
    </row>
    <row r="791" spans="29:31" x14ac:dyDescent="0.45">
      <c r="AC791" t="s">
        <v>19</v>
      </c>
      <c r="AD791" t="s">
        <v>1860</v>
      </c>
      <c r="AE791">
        <v>1.1060219071185383E-4</v>
      </c>
    </row>
    <row r="792" spans="29:31" x14ac:dyDescent="0.45">
      <c r="AC792" t="s">
        <v>19</v>
      </c>
      <c r="AD792" t="s">
        <v>1861</v>
      </c>
      <c r="AE792">
        <v>1.1053479096904532E-4</v>
      </c>
    </row>
    <row r="793" spans="29:31" x14ac:dyDescent="0.45">
      <c r="AC793" t="s">
        <v>19</v>
      </c>
      <c r="AD793" t="s">
        <v>1862</v>
      </c>
      <c r="AE793">
        <v>1.1133157866640712E-4</v>
      </c>
    </row>
    <row r="794" spans="29:31" x14ac:dyDescent="0.45">
      <c r="AC794" t="s">
        <v>19</v>
      </c>
      <c r="AD794" t="s">
        <v>1863</v>
      </c>
      <c r="AE794">
        <v>1.1233707278871361E-4</v>
      </c>
    </row>
    <row r="795" spans="29:31" x14ac:dyDescent="0.45">
      <c r="AC795" t="s">
        <v>19</v>
      </c>
      <c r="AD795" t="s">
        <v>1864</v>
      </c>
      <c r="AE795">
        <v>1.1244573768018039E-4</v>
      </c>
    </row>
    <row r="796" spans="29:31" x14ac:dyDescent="0.45">
      <c r="AC796" t="s">
        <v>19</v>
      </c>
      <c r="AD796" t="s">
        <v>1865</v>
      </c>
      <c r="AE796">
        <v>1.131337017739652E-4</v>
      </c>
    </row>
    <row r="797" spans="29:31" x14ac:dyDescent="0.45">
      <c r="AC797" t="s">
        <v>19</v>
      </c>
      <c r="AD797" t="s">
        <v>1866</v>
      </c>
      <c r="AE797">
        <v>1.1424712013122408E-4</v>
      </c>
    </row>
    <row r="798" spans="29:31" x14ac:dyDescent="0.45">
      <c r="AC798" t="s">
        <v>19</v>
      </c>
      <c r="AD798" t="s">
        <v>1867</v>
      </c>
      <c r="AE798">
        <v>1.1504390782858587E-4</v>
      </c>
    </row>
    <row r="799" spans="29:31" x14ac:dyDescent="0.45">
      <c r="AC799" t="s">
        <v>19</v>
      </c>
      <c r="AD799" t="s">
        <v>1868</v>
      </c>
      <c r="AE799">
        <v>1.1526912031299389E-4</v>
      </c>
    </row>
    <row r="800" spans="29:31" x14ac:dyDescent="0.45">
      <c r="AC800" t="s">
        <v>19</v>
      </c>
      <c r="AD800" t="s">
        <v>1869</v>
      </c>
      <c r="AE800">
        <v>1.1528112952933418E-4</v>
      </c>
    </row>
    <row r="801" spans="29:31" x14ac:dyDescent="0.45">
      <c r="AC801" t="s">
        <v>19</v>
      </c>
      <c r="AD801" t="s">
        <v>1870</v>
      </c>
      <c r="AE801">
        <v>1.1527213584308814E-4</v>
      </c>
    </row>
    <row r="802" spans="29:31" x14ac:dyDescent="0.45">
      <c r="AC802" t="s">
        <v>19</v>
      </c>
      <c r="AD802" t="s">
        <v>1871</v>
      </c>
      <c r="AE802">
        <v>1.1529959303815692E-4</v>
      </c>
    </row>
    <row r="803" spans="29:31" x14ac:dyDescent="0.45">
      <c r="AC803" t="s">
        <v>19</v>
      </c>
      <c r="AD803" t="s">
        <v>1872</v>
      </c>
      <c r="AE803">
        <v>1.1530964480513778E-4</v>
      </c>
    </row>
    <row r="804" spans="29:31" x14ac:dyDescent="0.45">
      <c r="AC804" t="s">
        <v>19</v>
      </c>
      <c r="AD804" t="s">
        <v>1873</v>
      </c>
      <c r="AE804">
        <v>1.1530906286073362E-4</v>
      </c>
    </row>
    <row r="805" spans="29:31" x14ac:dyDescent="0.45">
      <c r="AC805" t="s">
        <v>19</v>
      </c>
      <c r="AD805" t="s">
        <v>1874</v>
      </c>
      <c r="AE805">
        <v>1.1529959303815692E-4</v>
      </c>
    </row>
    <row r="806" spans="29:31" x14ac:dyDescent="0.45">
      <c r="AC806" t="s">
        <v>19</v>
      </c>
      <c r="AD806" t="s">
        <v>1875</v>
      </c>
      <c r="AE806">
        <v>1.1531366551193012E-4</v>
      </c>
    </row>
    <row r="807" spans="29:31" x14ac:dyDescent="0.45">
      <c r="AC807" t="s">
        <v>19</v>
      </c>
      <c r="AD807" t="s">
        <v>1876</v>
      </c>
      <c r="AE807">
        <v>1.1665018019212738E-4</v>
      </c>
    </row>
    <row r="808" spans="29:31" x14ac:dyDescent="0.45">
      <c r="AC808" t="s">
        <v>19</v>
      </c>
      <c r="AD808" t="s">
        <v>1877</v>
      </c>
      <c r="AE808">
        <v>1.1673360985806853E-4</v>
      </c>
    </row>
    <row r="809" spans="29:31" x14ac:dyDescent="0.45">
      <c r="AC809" t="s">
        <v>19</v>
      </c>
      <c r="AD809" t="s">
        <v>1878</v>
      </c>
      <c r="AE809">
        <v>1.1640216606788384E-4</v>
      </c>
    </row>
    <row r="810" spans="29:31" x14ac:dyDescent="0.45">
      <c r="AC810" t="s">
        <v>19</v>
      </c>
      <c r="AD810" t="s">
        <v>1879</v>
      </c>
      <c r="AE810">
        <v>1.1540693532870515E-4</v>
      </c>
    </row>
    <row r="811" spans="29:31" x14ac:dyDescent="0.45">
      <c r="AC811" t="s">
        <v>19</v>
      </c>
      <c r="AD811" t="s">
        <v>1880</v>
      </c>
      <c r="AE811">
        <v>1.1422680498111539E-4</v>
      </c>
    </row>
    <row r="812" spans="29:31" x14ac:dyDescent="0.45">
      <c r="AC812" t="s">
        <v>19</v>
      </c>
      <c r="AD812" t="s">
        <v>1881</v>
      </c>
      <c r="AE812">
        <v>1.1274961846722283E-4</v>
      </c>
    </row>
    <row r="813" spans="29:31" x14ac:dyDescent="0.45">
      <c r="AC813" t="s">
        <v>19</v>
      </c>
      <c r="AD813" t="s">
        <v>1882</v>
      </c>
      <c r="AE813">
        <v>1.1114387514404874E-4</v>
      </c>
    </row>
    <row r="814" spans="29:31" x14ac:dyDescent="0.45">
      <c r="AC814" t="s">
        <v>19</v>
      </c>
      <c r="AD814" t="s">
        <v>1883</v>
      </c>
      <c r="AE814">
        <v>1.1085073387646479E-4</v>
      </c>
    </row>
    <row r="815" spans="29:31" x14ac:dyDescent="0.45">
      <c r="AC815" t="s">
        <v>19</v>
      </c>
      <c r="AD815" t="s">
        <v>1884</v>
      </c>
      <c r="AE815">
        <v>1.1082576317112287E-4</v>
      </c>
    </row>
    <row r="816" spans="29:31" x14ac:dyDescent="0.45">
      <c r="AC816" t="s">
        <v>19</v>
      </c>
      <c r="AD816" t="s">
        <v>1885</v>
      </c>
      <c r="AE816">
        <v>1.1097198992867602E-4</v>
      </c>
    </row>
    <row r="817" spans="29:31" x14ac:dyDescent="0.45">
      <c r="AC817" t="s">
        <v>19</v>
      </c>
      <c r="AD817" t="s">
        <v>1886</v>
      </c>
      <c r="AE817">
        <v>1.1192262256488172E-4</v>
      </c>
    </row>
    <row r="818" spans="29:31" x14ac:dyDescent="0.45">
      <c r="AC818" t="s">
        <v>19</v>
      </c>
      <c r="AD818" t="s">
        <v>1887</v>
      </c>
      <c r="AE818">
        <v>1.1275739536062382E-4</v>
      </c>
    </row>
    <row r="819" spans="29:31" x14ac:dyDescent="0.45">
      <c r="AC819" t="s">
        <v>19</v>
      </c>
      <c r="AD819" t="s">
        <v>1888</v>
      </c>
      <c r="AE819">
        <v>1.1283865596105855E-4</v>
      </c>
    </row>
    <row r="820" spans="29:31" x14ac:dyDescent="0.45">
      <c r="AC820" t="s">
        <v>19</v>
      </c>
      <c r="AD820" t="s">
        <v>1889</v>
      </c>
      <c r="AE820">
        <v>1.1347313407369783E-4</v>
      </c>
    </row>
    <row r="821" spans="29:31" x14ac:dyDescent="0.45">
      <c r="AC821" t="s">
        <v>19</v>
      </c>
      <c r="AD821" t="s">
        <v>1890</v>
      </c>
      <c r="AE821">
        <v>1.1516770327456067E-4</v>
      </c>
    </row>
    <row r="822" spans="29:31" x14ac:dyDescent="0.45">
      <c r="AC822" t="s">
        <v>19</v>
      </c>
      <c r="AD822" t="s">
        <v>1891</v>
      </c>
      <c r="AE822">
        <v>1.1579223542829256E-4</v>
      </c>
    </row>
    <row r="823" spans="29:31" x14ac:dyDescent="0.45">
      <c r="AC823" t="s">
        <v>19</v>
      </c>
      <c r="AD823" t="s">
        <v>1892</v>
      </c>
      <c r="AE823">
        <v>1.158327070163997E-4</v>
      </c>
    </row>
    <row r="824" spans="29:31" x14ac:dyDescent="0.45">
      <c r="AC824" t="s">
        <v>19</v>
      </c>
      <c r="AD824" t="s">
        <v>1893</v>
      </c>
      <c r="AE824">
        <v>1.1585921193880714E-4</v>
      </c>
    </row>
    <row r="825" spans="29:31" x14ac:dyDescent="0.45">
      <c r="AC825" t="s">
        <v>19</v>
      </c>
      <c r="AD825" t="s">
        <v>1894</v>
      </c>
      <c r="AE825">
        <v>1.1585921193880714E-4</v>
      </c>
    </row>
    <row r="826" spans="29:31" x14ac:dyDescent="0.45">
      <c r="AC826" t="s">
        <v>19</v>
      </c>
      <c r="AD826" t="s">
        <v>1895</v>
      </c>
      <c r="AE826">
        <v>1.1593200789336326E-4</v>
      </c>
    </row>
    <row r="827" spans="29:31" x14ac:dyDescent="0.45">
      <c r="AC827" t="s">
        <v>19</v>
      </c>
      <c r="AD827" t="s">
        <v>1896</v>
      </c>
      <c r="AE827">
        <v>1.1589851963810596E-4</v>
      </c>
    </row>
    <row r="828" spans="29:31" x14ac:dyDescent="0.45">
      <c r="AC828" t="s">
        <v>19</v>
      </c>
      <c r="AD828" t="s">
        <v>1897</v>
      </c>
      <c r="AE828">
        <v>1.1589851963810596E-4</v>
      </c>
    </row>
    <row r="829" spans="29:31" x14ac:dyDescent="0.45">
      <c r="AC829" t="s">
        <v>19</v>
      </c>
      <c r="AD829" t="s">
        <v>1898</v>
      </c>
      <c r="AE829">
        <v>1.1582276105749233E-4</v>
      </c>
    </row>
    <row r="830" spans="29:31" x14ac:dyDescent="0.45">
      <c r="AC830" t="s">
        <v>19</v>
      </c>
      <c r="AD830" t="s">
        <v>1899</v>
      </c>
      <c r="AE830">
        <v>1.1583942582906586E-4</v>
      </c>
    </row>
    <row r="831" spans="29:31" x14ac:dyDescent="0.45">
      <c r="AC831" t="s">
        <v>19</v>
      </c>
      <c r="AD831" t="s">
        <v>1900</v>
      </c>
      <c r="AE831">
        <v>1.1776756635214187E-4</v>
      </c>
    </row>
    <row r="832" spans="29:31" x14ac:dyDescent="0.45">
      <c r="AC832" t="s">
        <v>19</v>
      </c>
      <c r="AD832" t="s">
        <v>1901</v>
      </c>
      <c r="AE832">
        <v>1.1784692240725393E-4</v>
      </c>
    </row>
    <row r="833" spans="29:31" x14ac:dyDescent="0.45">
      <c r="AC833" t="s">
        <v>19</v>
      </c>
      <c r="AD833" t="s">
        <v>1902</v>
      </c>
      <c r="AE833">
        <v>1.1742596498690284E-4</v>
      </c>
    </row>
    <row r="834" spans="29:31" x14ac:dyDescent="0.45">
      <c r="AC834" t="s">
        <v>19</v>
      </c>
      <c r="AD834" t="s">
        <v>1903</v>
      </c>
      <c r="AE834">
        <v>1.159050797386619E-4</v>
      </c>
    </row>
    <row r="835" spans="29:31" x14ac:dyDescent="0.45">
      <c r="AC835" t="s">
        <v>19</v>
      </c>
      <c r="AD835" t="s">
        <v>1904</v>
      </c>
      <c r="AE835">
        <v>1.138917637164323E-4</v>
      </c>
    </row>
    <row r="836" spans="29:31" x14ac:dyDescent="0.45">
      <c r="AC836" t="s">
        <v>19</v>
      </c>
      <c r="AD836" t="s">
        <v>1905</v>
      </c>
      <c r="AE836">
        <v>1.1244462669540883E-4</v>
      </c>
    </row>
    <row r="837" spans="29:31" x14ac:dyDescent="0.45">
      <c r="AC837" t="s">
        <v>19</v>
      </c>
      <c r="AD837" t="s">
        <v>1906</v>
      </c>
      <c r="AE837">
        <v>1.1104817174158359E-4</v>
      </c>
    </row>
    <row r="838" spans="29:31" x14ac:dyDescent="0.45">
      <c r="AC838" t="s">
        <v>19</v>
      </c>
      <c r="AD838" t="s">
        <v>1907</v>
      </c>
      <c r="AE838">
        <v>1.108752813495128E-4</v>
      </c>
    </row>
    <row r="839" spans="29:31" x14ac:dyDescent="0.45">
      <c r="AC839" t="s">
        <v>19</v>
      </c>
      <c r="AD839" t="s">
        <v>1908</v>
      </c>
      <c r="AE839">
        <v>1.1094733664755454E-4</v>
      </c>
    </row>
    <row r="840" spans="29:31" x14ac:dyDescent="0.45">
      <c r="AC840" t="s">
        <v>19</v>
      </c>
      <c r="AD840" t="s">
        <v>1909</v>
      </c>
      <c r="AE840">
        <v>1.1086840382473641E-4</v>
      </c>
    </row>
    <row r="841" spans="29:31" x14ac:dyDescent="0.45">
      <c r="AC841" t="s">
        <v>19</v>
      </c>
      <c r="AD841" t="s">
        <v>1910</v>
      </c>
      <c r="AE841">
        <v>1.1170793798378523E-4</v>
      </c>
    </row>
    <row r="842" spans="29:31" x14ac:dyDescent="0.45">
      <c r="AC842" t="s">
        <v>19</v>
      </c>
      <c r="AD842" t="s">
        <v>1911</v>
      </c>
      <c r="AE842">
        <v>1.1266423135192226E-4</v>
      </c>
    </row>
    <row r="843" spans="29:31" x14ac:dyDescent="0.45">
      <c r="AC843" t="s">
        <v>19</v>
      </c>
      <c r="AD843" t="s">
        <v>1912</v>
      </c>
      <c r="AE843">
        <v>1.1276808197604556E-4</v>
      </c>
    </row>
    <row r="844" spans="29:31" x14ac:dyDescent="0.45">
      <c r="AC844" t="s">
        <v>19</v>
      </c>
      <c r="AD844" t="s">
        <v>1913</v>
      </c>
      <c r="AE844">
        <v>1.1349006336545505E-4</v>
      </c>
    </row>
    <row r="845" spans="29:31" x14ac:dyDescent="0.45">
      <c r="AC845" t="s">
        <v>19</v>
      </c>
      <c r="AD845" t="s">
        <v>1914</v>
      </c>
      <c r="AE845">
        <v>1.1516770327456066E-4</v>
      </c>
    </row>
    <row r="846" spans="29:31" x14ac:dyDescent="0.45">
      <c r="AC846" t="s">
        <v>19</v>
      </c>
      <c r="AD846" t="s">
        <v>1915</v>
      </c>
      <c r="AE846">
        <v>1.1579223542829255E-4</v>
      </c>
    </row>
    <row r="847" spans="29:31" x14ac:dyDescent="0.45">
      <c r="AC847" t="s">
        <v>19</v>
      </c>
      <c r="AD847" t="s">
        <v>1916</v>
      </c>
      <c r="AE847">
        <v>1.158327070163997E-4</v>
      </c>
    </row>
    <row r="848" spans="29:31" x14ac:dyDescent="0.45">
      <c r="AC848" t="s">
        <v>19</v>
      </c>
      <c r="AD848" t="s">
        <v>1917</v>
      </c>
      <c r="AE848">
        <v>1.1588852077516184E-4</v>
      </c>
    </row>
    <row r="849" spans="29:31" x14ac:dyDescent="0.45">
      <c r="AC849" t="s">
        <v>19</v>
      </c>
      <c r="AD849" t="s">
        <v>1918</v>
      </c>
      <c r="AE849">
        <v>1.1589021370433757E-4</v>
      </c>
    </row>
    <row r="850" spans="29:31" x14ac:dyDescent="0.45">
      <c r="AC850" t="s">
        <v>19</v>
      </c>
      <c r="AD850" t="s">
        <v>1919</v>
      </c>
      <c r="AE850">
        <v>1.1584429300044606E-4</v>
      </c>
    </row>
    <row r="851" spans="29:31" x14ac:dyDescent="0.45">
      <c r="AC851" t="s">
        <v>19</v>
      </c>
      <c r="AD851" t="s">
        <v>1920</v>
      </c>
      <c r="AE851">
        <v>1.1583836774833103E-4</v>
      </c>
    </row>
    <row r="852" spans="29:31" x14ac:dyDescent="0.45">
      <c r="AC852" t="s">
        <v>19</v>
      </c>
      <c r="AD852" t="s">
        <v>1921</v>
      </c>
      <c r="AE852">
        <v>1.1583836774833103E-4</v>
      </c>
    </row>
    <row r="853" spans="29:31" x14ac:dyDescent="0.45">
      <c r="AC853" t="s">
        <v>19</v>
      </c>
      <c r="AD853" t="s">
        <v>1922</v>
      </c>
      <c r="AE853">
        <v>1.1582445398666805E-4</v>
      </c>
    </row>
    <row r="854" spans="29:31" x14ac:dyDescent="0.45">
      <c r="AC854" t="s">
        <v>19</v>
      </c>
      <c r="AD854" t="s">
        <v>1923</v>
      </c>
      <c r="AE854">
        <v>1.158687875694573E-4</v>
      </c>
    </row>
    <row r="855" spans="29:31" x14ac:dyDescent="0.45">
      <c r="AC855" t="s">
        <v>19</v>
      </c>
      <c r="AD855" t="s">
        <v>1924</v>
      </c>
      <c r="AE855">
        <v>1.1776756635214186E-4</v>
      </c>
    </row>
    <row r="856" spans="29:31" x14ac:dyDescent="0.45">
      <c r="AC856" t="s">
        <v>19</v>
      </c>
      <c r="AD856" t="s">
        <v>1925</v>
      </c>
      <c r="AE856">
        <v>1.1784692240725391E-4</v>
      </c>
    </row>
    <row r="857" spans="29:31" x14ac:dyDescent="0.45">
      <c r="AC857" t="s">
        <v>19</v>
      </c>
      <c r="AD857" t="s">
        <v>1926</v>
      </c>
      <c r="AE857">
        <v>1.1742596498690283E-4</v>
      </c>
    </row>
    <row r="858" spans="29:31" x14ac:dyDescent="0.45">
      <c r="AC858" t="s">
        <v>19</v>
      </c>
      <c r="AD858" t="s">
        <v>1927</v>
      </c>
      <c r="AE858">
        <v>1.1601485561490024E-4</v>
      </c>
    </row>
    <row r="859" spans="29:31" x14ac:dyDescent="0.45">
      <c r="AC859" t="s">
        <v>19</v>
      </c>
      <c r="AD859" t="s">
        <v>1928</v>
      </c>
      <c r="AE859">
        <v>1.1394530260161455E-4</v>
      </c>
    </row>
    <row r="860" spans="29:31" x14ac:dyDescent="0.45">
      <c r="AC860" t="s">
        <v>19</v>
      </c>
      <c r="AD860" t="s">
        <v>1929</v>
      </c>
      <c r="AE860">
        <v>1.1244462669540882E-4</v>
      </c>
    </row>
    <row r="861" spans="29:31" x14ac:dyDescent="0.45">
      <c r="AC861" t="s">
        <v>19</v>
      </c>
      <c r="AD861" t="s">
        <v>1930</v>
      </c>
      <c r="AE861">
        <v>1.1098918374061695E-4</v>
      </c>
    </row>
    <row r="862" spans="29:31" x14ac:dyDescent="0.45">
      <c r="AC862" t="s">
        <v>19</v>
      </c>
      <c r="AD862" t="s">
        <v>1931</v>
      </c>
      <c r="AE862">
        <v>1.1072207125910977E-4</v>
      </c>
    </row>
    <row r="863" spans="29:31" x14ac:dyDescent="0.45">
      <c r="AC863" t="s">
        <v>19</v>
      </c>
      <c r="AD863" t="s">
        <v>1932</v>
      </c>
      <c r="AE863">
        <v>1.107237641882855E-4</v>
      </c>
    </row>
    <row r="864" spans="29:31" x14ac:dyDescent="0.45">
      <c r="AC864" t="s">
        <v>19</v>
      </c>
      <c r="AD864" t="s">
        <v>1933</v>
      </c>
      <c r="AE864">
        <v>1.1067059563136042E-4</v>
      </c>
    </row>
    <row r="865" spans="29:31" x14ac:dyDescent="0.45">
      <c r="AC865" t="s">
        <v>19</v>
      </c>
      <c r="AD865" t="s">
        <v>1934</v>
      </c>
      <c r="AE865">
        <v>1.1125587298983021E-4</v>
      </c>
    </row>
    <row r="866" spans="29:31" x14ac:dyDescent="0.45">
      <c r="AC866" t="s">
        <v>19</v>
      </c>
      <c r="AD866" t="s">
        <v>1935</v>
      </c>
      <c r="AE866">
        <v>1.1233707278871361E-4</v>
      </c>
    </row>
    <row r="867" spans="29:31" x14ac:dyDescent="0.45">
      <c r="AC867" t="s">
        <v>19</v>
      </c>
      <c r="AD867" t="s">
        <v>1936</v>
      </c>
      <c r="AE867">
        <v>1.1244573768018039E-4</v>
      </c>
    </row>
    <row r="868" spans="29:31" x14ac:dyDescent="0.45">
      <c r="AC868" t="s">
        <v>19</v>
      </c>
      <c r="AD868" t="s">
        <v>1937</v>
      </c>
      <c r="AE868">
        <v>1.1313370177396518E-4</v>
      </c>
    </row>
    <row r="869" spans="29:31" x14ac:dyDescent="0.45">
      <c r="AC869" t="s">
        <v>19</v>
      </c>
      <c r="AD869" t="s">
        <v>1938</v>
      </c>
      <c r="AE869">
        <v>1.1424712013122407E-4</v>
      </c>
    </row>
    <row r="870" spans="29:31" x14ac:dyDescent="0.45">
      <c r="AC870" t="s">
        <v>19</v>
      </c>
      <c r="AD870" t="s">
        <v>1939</v>
      </c>
      <c r="AE870">
        <v>1.1505120858565617E-4</v>
      </c>
    </row>
    <row r="871" spans="29:31" x14ac:dyDescent="0.45">
      <c r="AC871" t="s">
        <v>19</v>
      </c>
      <c r="AD871" t="s">
        <v>1940</v>
      </c>
      <c r="AE871">
        <v>1.1527642107006419E-4</v>
      </c>
    </row>
    <row r="872" spans="29:31" x14ac:dyDescent="0.45">
      <c r="AC872" t="s">
        <v>19</v>
      </c>
      <c r="AD872" t="s">
        <v>1941</v>
      </c>
      <c r="AE872">
        <v>1.152889593267719E-4</v>
      </c>
    </row>
    <row r="873" spans="29:31" x14ac:dyDescent="0.45">
      <c r="AC873" t="s">
        <v>19</v>
      </c>
      <c r="AD873" t="s">
        <v>1942</v>
      </c>
      <c r="AE873">
        <v>1.152889593267719E-4</v>
      </c>
    </row>
    <row r="874" spans="29:31" x14ac:dyDescent="0.45">
      <c r="AC874" t="s">
        <v>19</v>
      </c>
      <c r="AD874" t="s">
        <v>1943</v>
      </c>
      <c r="AE874">
        <v>1.1530128596733263E-4</v>
      </c>
    </row>
    <row r="875" spans="29:31" x14ac:dyDescent="0.45">
      <c r="AC875" t="s">
        <v>19</v>
      </c>
      <c r="AD875" t="s">
        <v>1944</v>
      </c>
      <c r="AE875">
        <v>1.153090628607336E-4</v>
      </c>
    </row>
    <row r="876" spans="29:31" x14ac:dyDescent="0.45">
      <c r="AC876" t="s">
        <v>19</v>
      </c>
      <c r="AD876" t="s">
        <v>1945</v>
      </c>
      <c r="AE876">
        <v>1.153090628607336E-4</v>
      </c>
    </row>
    <row r="877" spans="29:31" x14ac:dyDescent="0.45">
      <c r="AC877" t="s">
        <v>19</v>
      </c>
      <c r="AD877" t="s">
        <v>1946</v>
      </c>
      <c r="AE877">
        <v>1.1530964480513778E-4</v>
      </c>
    </row>
    <row r="878" spans="29:31" x14ac:dyDescent="0.45">
      <c r="AC878" t="s">
        <v>19</v>
      </c>
      <c r="AD878" t="s">
        <v>1947</v>
      </c>
      <c r="AE878">
        <v>1.1532318823854356E-4</v>
      </c>
    </row>
    <row r="879" spans="29:31" x14ac:dyDescent="0.45">
      <c r="AC879" t="s">
        <v>19</v>
      </c>
      <c r="AD879" t="s">
        <v>1948</v>
      </c>
      <c r="AE879">
        <v>1.1664393751579189E-4</v>
      </c>
    </row>
    <row r="880" spans="29:31" x14ac:dyDescent="0.45">
      <c r="AC880" t="s">
        <v>19</v>
      </c>
      <c r="AD880" t="s">
        <v>1949</v>
      </c>
      <c r="AE880">
        <v>1.1672742008576977E-4</v>
      </c>
    </row>
    <row r="881" spans="29:31" x14ac:dyDescent="0.45">
      <c r="AC881" t="s">
        <v>19</v>
      </c>
      <c r="AD881" t="s">
        <v>1950</v>
      </c>
      <c r="AE881">
        <v>1.1640216606788382E-4</v>
      </c>
    </row>
    <row r="882" spans="29:31" x14ac:dyDescent="0.45">
      <c r="AC882" t="s">
        <v>19</v>
      </c>
      <c r="AD882" t="s">
        <v>1951</v>
      </c>
      <c r="AE882">
        <v>1.1540693532870515E-4</v>
      </c>
    </row>
    <row r="883" spans="29:31" x14ac:dyDescent="0.45">
      <c r="AC883" t="s">
        <v>19</v>
      </c>
      <c r="AD883" t="s">
        <v>1952</v>
      </c>
      <c r="AE883">
        <v>1.1422680498111539E-4</v>
      </c>
    </row>
    <row r="884" spans="29:31" x14ac:dyDescent="0.45">
      <c r="AC884" t="s">
        <v>19</v>
      </c>
      <c r="AD884" t="s">
        <v>1953</v>
      </c>
      <c r="AE884">
        <v>1.1274961846722283E-4</v>
      </c>
    </row>
    <row r="885" spans="29:31" x14ac:dyDescent="0.45">
      <c r="AC885" t="s">
        <v>19</v>
      </c>
      <c r="AD885" t="s">
        <v>1954</v>
      </c>
      <c r="AE885">
        <v>1.1108483423904537E-4</v>
      </c>
    </row>
    <row r="886" spans="29:31" x14ac:dyDescent="0.45">
      <c r="AC886" t="s">
        <v>19</v>
      </c>
      <c r="AD886" t="s">
        <v>1955</v>
      </c>
      <c r="AE886">
        <v>1.1072207125910978E-4</v>
      </c>
    </row>
    <row r="887" spans="29:31" x14ac:dyDescent="0.45">
      <c r="AC887" t="s">
        <v>19</v>
      </c>
      <c r="AD887" t="s">
        <v>1956</v>
      </c>
      <c r="AE887">
        <v>1.107237641882855E-4</v>
      </c>
    </row>
    <row r="888" spans="29:31" x14ac:dyDescent="0.45">
      <c r="AC888" t="s">
        <v>19</v>
      </c>
      <c r="AD888" t="s">
        <v>1957</v>
      </c>
      <c r="AE888">
        <v>1.107642886804294E-4</v>
      </c>
    </row>
    <row r="889" spans="29:31" x14ac:dyDescent="0.45">
      <c r="AC889" t="s">
        <v>19</v>
      </c>
      <c r="AD889" t="s">
        <v>1958</v>
      </c>
      <c r="AE889">
        <v>1.1133157866640712E-4</v>
      </c>
    </row>
    <row r="890" spans="29:31" x14ac:dyDescent="0.45">
      <c r="AC890" t="s">
        <v>19</v>
      </c>
      <c r="AD890" t="s">
        <v>1959</v>
      </c>
      <c r="AE890">
        <v>1.1243023679741516E-4</v>
      </c>
    </row>
    <row r="891" spans="29:31" x14ac:dyDescent="0.45">
      <c r="AC891" t="s">
        <v>19</v>
      </c>
      <c r="AD891" t="s">
        <v>339</v>
      </c>
      <c r="AE891">
        <v>2.2443319428942159E-2</v>
      </c>
    </row>
    <row r="892" spans="29:31" x14ac:dyDescent="0.45">
      <c r="AC892" t="s">
        <v>19</v>
      </c>
      <c r="AD892" t="s">
        <v>340</v>
      </c>
      <c r="AE892">
        <v>3.2308978794801831E-3</v>
      </c>
    </row>
    <row r="893" spans="29:31" x14ac:dyDescent="0.45">
      <c r="AC893" t="s">
        <v>19</v>
      </c>
      <c r="AD893" t="s">
        <v>341</v>
      </c>
      <c r="AE893">
        <v>3.23405905438759E-3</v>
      </c>
    </row>
    <row r="894" spans="29:31" x14ac:dyDescent="0.45">
      <c r="AC894" t="s">
        <v>19</v>
      </c>
      <c r="AD894" t="s">
        <v>342</v>
      </c>
      <c r="AE894">
        <v>3.2343919265867666E-3</v>
      </c>
    </row>
    <row r="895" spans="29:31" x14ac:dyDescent="0.45">
      <c r="AC895" t="s">
        <v>19</v>
      </c>
      <c r="AD895" t="s">
        <v>343</v>
      </c>
      <c r="AE895">
        <v>2.2677294567667761E-2</v>
      </c>
    </row>
    <row r="896" spans="29:31" x14ac:dyDescent="0.45">
      <c r="AC896" t="s">
        <v>19</v>
      </c>
      <c r="AD896" t="s">
        <v>344</v>
      </c>
      <c r="AE896">
        <v>3.140434568950239E-3</v>
      </c>
    </row>
    <row r="897" spans="29:31" x14ac:dyDescent="0.45">
      <c r="AC897" t="s">
        <v>19</v>
      </c>
      <c r="AD897" t="s">
        <v>345</v>
      </c>
      <c r="AE897">
        <v>3.1266230707902793E-3</v>
      </c>
    </row>
    <row r="898" spans="29:31" x14ac:dyDescent="0.45">
      <c r="AC898" t="s">
        <v>19</v>
      </c>
      <c r="AD898" t="s">
        <v>346</v>
      </c>
      <c r="AE898">
        <v>1.5613170426291826E-2</v>
      </c>
    </row>
    <row r="899" spans="29:31" x14ac:dyDescent="0.45">
      <c r="AC899" t="s">
        <v>19</v>
      </c>
      <c r="AD899" t="s">
        <v>1962</v>
      </c>
      <c r="AE899">
        <v>1.1252675393862834E-4</v>
      </c>
    </row>
    <row r="900" spans="29:31" x14ac:dyDescent="0.45">
      <c r="AC900" t="s">
        <v>19</v>
      </c>
      <c r="AD900" t="s">
        <v>1963</v>
      </c>
      <c r="AE900">
        <v>1.1335221562390397E-4</v>
      </c>
    </row>
    <row r="901" spans="29:31" x14ac:dyDescent="0.45">
      <c r="AC901" t="s">
        <v>19</v>
      </c>
      <c r="AD901" t="s">
        <v>1964</v>
      </c>
      <c r="AE901">
        <v>1.1441960746919786E-4</v>
      </c>
    </row>
    <row r="902" spans="29:31" x14ac:dyDescent="0.45">
      <c r="AC902" t="s">
        <v>19</v>
      </c>
      <c r="AD902" t="s">
        <v>1965</v>
      </c>
      <c r="AE902">
        <v>1.1500763583757819E-4</v>
      </c>
    </row>
    <row r="903" spans="29:31" x14ac:dyDescent="0.45">
      <c r="AC903" t="s">
        <v>19</v>
      </c>
      <c r="AD903" t="s">
        <v>1966</v>
      </c>
      <c r="AE903">
        <v>1.1503826727485145E-4</v>
      </c>
    </row>
    <row r="904" spans="29:31" x14ac:dyDescent="0.45">
      <c r="AC904" t="s">
        <v>19</v>
      </c>
      <c r="AD904" t="s">
        <v>1967</v>
      </c>
      <c r="AE904">
        <v>1.1502488255355589E-4</v>
      </c>
    </row>
    <row r="905" spans="29:31" x14ac:dyDescent="0.45">
      <c r="AC905" t="s">
        <v>19</v>
      </c>
      <c r="AD905" t="s">
        <v>1968</v>
      </c>
      <c r="AE905">
        <v>1.152001007232433E-4</v>
      </c>
    </row>
    <row r="906" spans="29:31" x14ac:dyDescent="0.45">
      <c r="AC906" t="s">
        <v>19</v>
      </c>
      <c r="AD906" t="s">
        <v>1969</v>
      </c>
      <c r="AE906">
        <v>1.15047155153024E-4</v>
      </c>
    </row>
    <row r="907" spans="29:31" x14ac:dyDescent="0.45">
      <c r="AC907" t="s">
        <v>19</v>
      </c>
      <c r="AD907" t="s">
        <v>1970</v>
      </c>
      <c r="AE907">
        <v>1.15021179270984E-4</v>
      </c>
    </row>
    <row r="908" spans="29:31" x14ac:dyDescent="0.45">
      <c r="AC908" t="s">
        <v>19</v>
      </c>
      <c r="AD908" t="s">
        <v>1971</v>
      </c>
      <c r="AE908">
        <v>1.1506916323230841E-4</v>
      </c>
    </row>
    <row r="909" spans="29:31" x14ac:dyDescent="0.45">
      <c r="AC909" t="s">
        <v>19</v>
      </c>
      <c r="AD909" t="s">
        <v>1972</v>
      </c>
      <c r="AE909">
        <v>1.150704329291902E-4</v>
      </c>
    </row>
    <row r="910" spans="29:31" x14ac:dyDescent="0.45">
      <c r="AC910" t="s">
        <v>19</v>
      </c>
      <c r="AD910" t="s">
        <v>1973</v>
      </c>
      <c r="AE910">
        <v>1.1510249277545549E-4</v>
      </c>
    </row>
    <row r="911" spans="29:31" x14ac:dyDescent="0.45">
      <c r="AC911" t="s">
        <v>19</v>
      </c>
      <c r="AD911" t="s">
        <v>1974</v>
      </c>
      <c r="AE911">
        <v>1.1679785553686946E-4</v>
      </c>
    </row>
    <row r="912" spans="29:31" x14ac:dyDescent="0.45">
      <c r="AC912" t="s">
        <v>19</v>
      </c>
      <c r="AD912" t="s">
        <v>1975</v>
      </c>
      <c r="AE912">
        <v>1.168365283877274E-4</v>
      </c>
    </row>
    <row r="913" spans="29:31" x14ac:dyDescent="0.45">
      <c r="AC913" t="s">
        <v>19</v>
      </c>
      <c r="AD913" t="s">
        <v>1976</v>
      </c>
      <c r="AE913">
        <v>1.1632685089776102E-4</v>
      </c>
    </row>
    <row r="914" spans="29:31" x14ac:dyDescent="0.45">
      <c r="AC914" t="s">
        <v>19</v>
      </c>
      <c r="AD914" t="s">
        <v>1977</v>
      </c>
      <c r="AE914">
        <v>1.1490246261253635E-4</v>
      </c>
    </row>
    <row r="915" spans="29:31" x14ac:dyDescent="0.45">
      <c r="AC915" t="s">
        <v>19</v>
      </c>
      <c r="AD915" t="s">
        <v>1978</v>
      </c>
      <c r="AE915">
        <v>1.1374016092532843E-4</v>
      </c>
    </row>
    <row r="916" spans="29:31" x14ac:dyDescent="0.45">
      <c r="AC916" t="s">
        <v>19</v>
      </c>
      <c r="AD916" t="s">
        <v>1979</v>
      </c>
      <c r="AE916">
        <v>1.1237396708051927E-4</v>
      </c>
    </row>
    <row r="917" spans="29:31" x14ac:dyDescent="0.45">
      <c r="AC917" t="s">
        <v>19</v>
      </c>
      <c r="AD917" t="s">
        <v>1980</v>
      </c>
      <c r="AE917">
        <v>1.1153215804789057E-4</v>
      </c>
    </row>
    <row r="918" spans="29:31" x14ac:dyDescent="0.45">
      <c r="AC918" t="s">
        <v>19</v>
      </c>
      <c r="AD918" t="s">
        <v>1981</v>
      </c>
      <c r="AE918">
        <v>1.1131768508294105E-4</v>
      </c>
    </row>
    <row r="919" spans="29:31" x14ac:dyDescent="0.45">
      <c r="AC919" t="s">
        <v>19</v>
      </c>
      <c r="AD919" t="s">
        <v>1982</v>
      </c>
      <c r="AE919">
        <v>1.1123843483590248E-4</v>
      </c>
    </row>
    <row r="920" spans="29:31" x14ac:dyDescent="0.45">
      <c r="AC920" t="s">
        <v>19</v>
      </c>
      <c r="AD920" t="s">
        <v>1983</v>
      </c>
      <c r="AE920">
        <v>1.112910214484234E-4</v>
      </c>
    </row>
    <row r="921" spans="29:31" x14ac:dyDescent="0.45">
      <c r="AC921" t="s">
        <v>19</v>
      </c>
      <c r="AD921" t="s">
        <v>1984</v>
      </c>
      <c r="AE921">
        <v>1.1197284867394619E-4</v>
      </c>
    </row>
    <row r="922" spans="29:31" x14ac:dyDescent="0.45">
      <c r="AC922" t="s">
        <v>19</v>
      </c>
      <c r="AD922" t="s">
        <v>1985</v>
      </c>
      <c r="AE922">
        <v>1.1272487955622478E-4</v>
      </c>
    </row>
    <row r="923" spans="29:31" x14ac:dyDescent="0.45">
      <c r="AC923" t="s">
        <v>19</v>
      </c>
      <c r="AD923" t="s">
        <v>1986</v>
      </c>
      <c r="AE923">
        <v>1.1294554229347304E-4</v>
      </c>
    </row>
    <row r="924" spans="29:31" x14ac:dyDescent="0.45">
      <c r="AC924" t="s">
        <v>19</v>
      </c>
      <c r="AD924" t="s">
        <v>1987</v>
      </c>
      <c r="AE924">
        <v>1.1360022974814751E-4</v>
      </c>
    </row>
    <row r="925" spans="29:31" x14ac:dyDescent="0.45">
      <c r="AC925" t="s">
        <v>19</v>
      </c>
      <c r="AD925" t="s">
        <v>1988</v>
      </c>
      <c r="AE925">
        <v>1.1494669038725213E-4</v>
      </c>
    </row>
    <row r="926" spans="29:31" x14ac:dyDescent="0.45">
      <c r="AC926" t="s">
        <v>19</v>
      </c>
      <c r="AD926" t="s">
        <v>1989</v>
      </c>
      <c r="AE926">
        <v>1.1552604249360689E-4</v>
      </c>
    </row>
    <row r="927" spans="29:31" x14ac:dyDescent="0.45">
      <c r="AC927" t="s">
        <v>19</v>
      </c>
      <c r="AD927" t="s">
        <v>1990</v>
      </c>
      <c r="AE927">
        <v>1.1539976055790524E-4</v>
      </c>
    </row>
    <row r="928" spans="29:31" x14ac:dyDescent="0.45">
      <c r="AC928" t="s">
        <v>19</v>
      </c>
      <c r="AD928" t="s">
        <v>1991</v>
      </c>
      <c r="AE928">
        <v>1.1546742482089745E-4</v>
      </c>
    </row>
    <row r="929" spans="29:31" x14ac:dyDescent="0.45">
      <c r="AC929" t="s">
        <v>19</v>
      </c>
      <c r="AD929" t="s">
        <v>1992</v>
      </c>
      <c r="AE929">
        <v>1.1547133971961632E-4</v>
      </c>
    </row>
    <row r="930" spans="29:31" x14ac:dyDescent="0.45">
      <c r="AC930" t="s">
        <v>19</v>
      </c>
      <c r="AD930" t="s">
        <v>1993</v>
      </c>
      <c r="AE930">
        <v>1.1538859780615282E-4</v>
      </c>
    </row>
    <row r="931" spans="29:31" x14ac:dyDescent="0.45">
      <c r="AC931" t="s">
        <v>19</v>
      </c>
      <c r="AD931" t="s">
        <v>1994</v>
      </c>
      <c r="AE931">
        <v>1.1545054843317695E-4</v>
      </c>
    </row>
    <row r="932" spans="29:31" x14ac:dyDescent="0.45">
      <c r="AC932" t="s">
        <v>19</v>
      </c>
      <c r="AD932" t="s">
        <v>1995</v>
      </c>
      <c r="AE932">
        <v>1.1539357078560651E-4</v>
      </c>
    </row>
    <row r="933" spans="29:31" x14ac:dyDescent="0.45">
      <c r="AC933" t="s">
        <v>19</v>
      </c>
      <c r="AD933" t="s">
        <v>1996</v>
      </c>
      <c r="AE933">
        <v>1.1527776384917964E-4</v>
      </c>
    </row>
    <row r="934" spans="29:31" x14ac:dyDescent="0.45">
      <c r="AC934" t="s">
        <v>19</v>
      </c>
      <c r="AD934" t="s">
        <v>1997</v>
      </c>
      <c r="AE934">
        <v>1.1534172482959997E-4</v>
      </c>
    </row>
    <row r="935" spans="29:31" x14ac:dyDescent="0.45">
      <c r="AC935" t="s">
        <v>19</v>
      </c>
      <c r="AD935" t="s">
        <v>1998</v>
      </c>
      <c r="AE935">
        <v>1.1728933403819678E-4</v>
      </c>
    </row>
    <row r="936" spans="29:31" x14ac:dyDescent="0.45">
      <c r="AC936" t="s">
        <v>19</v>
      </c>
      <c r="AD936" t="s">
        <v>1999</v>
      </c>
      <c r="AE936">
        <v>1.1739593567223065E-4</v>
      </c>
    </row>
    <row r="937" spans="29:31" x14ac:dyDescent="0.45">
      <c r="AC937" t="s">
        <v>19</v>
      </c>
      <c r="AD937" t="s">
        <v>2000</v>
      </c>
      <c r="AE937">
        <v>1.1697497825187958E-4</v>
      </c>
    </row>
    <row r="938" spans="29:31" x14ac:dyDescent="0.45">
      <c r="AC938" t="s">
        <v>19</v>
      </c>
      <c r="AD938" t="s">
        <v>2001</v>
      </c>
      <c r="AE938">
        <v>1.1528067357120041E-4</v>
      </c>
    </row>
    <row r="939" spans="29:31" x14ac:dyDescent="0.45">
      <c r="AC939" t="s">
        <v>19</v>
      </c>
      <c r="AD939" t="s">
        <v>2002</v>
      </c>
      <c r="AE939">
        <v>1.1311605200389047E-4</v>
      </c>
    </row>
    <row r="940" spans="29:31" x14ac:dyDescent="0.45">
      <c r="AC940" t="s">
        <v>19</v>
      </c>
      <c r="AD940" t="s">
        <v>2003</v>
      </c>
      <c r="AE940">
        <v>1.1151120804934098E-4</v>
      </c>
    </row>
    <row r="941" spans="29:31" x14ac:dyDescent="0.45">
      <c r="AC941" t="s">
        <v>19</v>
      </c>
      <c r="AD941" t="s">
        <v>2004</v>
      </c>
      <c r="AE941">
        <v>1.1150755767080583E-4</v>
      </c>
    </row>
    <row r="942" spans="29:31" x14ac:dyDescent="0.45">
      <c r="AC942" t="s">
        <v>19</v>
      </c>
      <c r="AD942" t="s">
        <v>2005</v>
      </c>
      <c r="AE942">
        <v>1.1129308470585632E-4</v>
      </c>
    </row>
    <row r="943" spans="29:31" x14ac:dyDescent="0.45">
      <c r="AC943" t="s">
        <v>19</v>
      </c>
      <c r="AD943" t="s">
        <v>2006</v>
      </c>
      <c r="AE943">
        <v>1.1123843483590248E-4</v>
      </c>
    </row>
    <row r="944" spans="29:31" x14ac:dyDescent="0.45">
      <c r="AC944" t="s">
        <v>19</v>
      </c>
      <c r="AD944" t="s">
        <v>2007</v>
      </c>
      <c r="AE944">
        <v>1.1138106411895721E-4</v>
      </c>
    </row>
    <row r="945" spans="29:31" x14ac:dyDescent="0.45">
      <c r="AC945" t="s">
        <v>19</v>
      </c>
      <c r="AD945" t="s">
        <v>2008</v>
      </c>
      <c r="AE945">
        <v>1.1197284867394619E-4</v>
      </c>
    </row>
    <row r="946" spans="29:31" x14ac:dyDescent="0.45">
      <c r="AC946" t="s">
        <v>19</v>
      </c>
      <c r="AD946" t="s">
        <v>2009</v>
      </c>
      <c r="AE946">
        <v>1.1272487955622478E-4</v>
      </c>
    </row>
    <row r="947" spans="29:31" x14ac:dyDescent="0.45">
      <c r="AC947" t="s">
        <v>19</v>
      </c>
      <c r="AD947" t="s">
        <v>371</v>
      </c>
      <c r="AE947">
        <v>2.4846814757333059E-2</v>
      </c>
    </row>
    <row r="948" spans="29:31" x14ac:dyDescent="0.45">
      <c r="AC948" t="s">
        <v>19</v>
      </c>
      <c r="AD948" t="s">
        <v>372</v>
      </c>
      <c r="AE948">
        <v>3.5755023763067648E-3</v>
      </c>
    </row>
    <row r="949" spans="29:31" x14ac:dyDescent="0.45">
      <c r="AC949" t="s">
        <v>19</v>
      </c>
      <c r="AD949" t="s">
        <v>373</v>
      </c>
      <c r="AE949">
        <v>3.5813273223681366E-3</v>
      </c>
    </row>
    <row r="950" spans="29:31" x14ac:dyDescent="0.45">
      <c r="AC950" t="s">
        <v>19</v>
      </c>
      <c r="AD950" t="s">
        <v>374</v>
      </c>
      <c r="AE950">
        <v>3.5825068178672857E-3</v>
      </c>
    </row>
    <row r="951" spans="29:31" x14ac:dyDescent="0.45">
      <c r="AC951" t="s">
        <v>19</v>
      </c>
      <c r="AD951" t="s">
        <v>375</v>
      </c>
      <c r="AE951">
        <v>2.5148154722202914E-2</v>
      </c>
    </row>
    <row r="952" spans="29:31" x14ac:dyDescent="0.45">
      <c r="AC952" t="s">
        <v>19</v>
      </c>
      <c r="AD952" t="s">
        <v>376</v>
      </c>
      <c r="AE952">
        <v>3.4718163366417561E-3</v>
      </c>
    </row>
    <row r="953" spans="29:31" x14ac:dyDescent="0.45">
      <c r="AC953" t="s">
        <v>19</v>
      </c>
      <c r="AD953" t="s">
        <v>377</v>
      </c>
      <c r="AE953">
        <v>3.4418135051330631E-3</v>
      </c>
    </row>
    <row r="954" spans="29:31" x14ac:dyDescent="0.45">
      <c r="AC954" t="s">
        <v>19</v>
      </c>
      <c r="AD954" t="s">
        <v>378</v>
      </c>
      <c r="AE954">
        <v>1.7242212486628189E-2</v>
      </c>
    </row>
    <row r="955" spans="29:31" x14ac:dyDescent="0.45">
      <c r="AC955" t="s">
        <v>19</v>
      </c>
      <c r="AD955" t="s">
        <v>379</v>
      </c>
      <c r="AE955">
        <v>2.4019439855612758E-2</v>
      </c>
    </row>
    <row r="956" spans="29:31" x14ac:dyDescent="0.45">
      <c r="AC956" t="s">
        <v>19</v>
      </c>
      <c r="AD956" t="s">
        <v>380</v>
      </c>
      <c r="AE956">
        <v>3.4608594654614547E-3</v>
      </c>
    </row>
    <row r="957" spans="29:31" x14ac:dyDescent="0.45">
      <c r="AC957" t="s">
        <v>19</v>
      </c>
      <c r="AD957" t="s">
        <v>381</v>
      </c>
      <c r="AE957">
        <v>3.4625467339052473E-3</v>
      </c>
    </row>
    <row r="958" spans="29:31" x14ac:dyDescent="0.45">
      <c r="AC958" t="s">
        <v>19</v>
      </c>
      <c r="AD958" t="s">
        <v>382</v>
      </c>
      <c r="AE958">
        <v>3.4628481282025633E-3</v>
      </c>
    </row>
    <row r="959" spans="29:31" x14ac:dyDescent="0.45">
      <c r="AC959" t="s">
        <v>19</v>
      </c>
      <c r="AD959" t="s">
        <v>383</v>
      </c>
      <c r="AE959">
        <v>2.4268179929048471E-2</v>
      </c>
    </row>
    <row r="960" spans="29:31" x14ac:dyDescent="0.45">
      <c r="AC960" t="s">
        <v>19</v>
      </c>
      <c r="AD960" t="s">
        <v>384</v>
      </c>
      <c r="AE960">
        <v>3.3777992284088777E-3</v>
      </c>
    </row>
    <row r="961" spans="29:31" x14ac:dyDescent="0.45">
      <c r="AC961" t="s">
        <v>19</v>
      </c>
      <c r="AD961" t="s">
        <v>385</v>
      </c>
      <c r="AE961">
        <v>3.342921871858872E-3</v>
      </c>
    </row>
    <row r="962" spans="29:31" x14ac:dyDescent="0.45">
      <c r="AC962" t="s">
        <v>19</v>
      </c>
      <c r="AD962" t="s">
        <v>386</v>
      </c>
      <c r="AE962">
        <v>1.671059833394074E-2</v>
      </c>
    </row>
    <row r="963" spans="29:31" x14ac:dyDescent="0.45">
      <c r="AC963" t="s">
        <v>19</v>
      </c>
      <c r="AD963" t="s">
        <v>411</v>
      </c>
      <c r="AE963">
        <v>2.4805278682473533E-2</v>
      </c>
    </row>
    <row r="964" spans="29:31" x14ac:dyDescent="0.45">
      <c r="AC964" t="s">
        <v>19</v>
      </c>
      <c r="AD964" t="s">
        <v>412</v>
      </c>
      <c r="AE964">
        <v>3.5698886224987637E-3</v>
      </c>
    </row>
    <row r="965" spans="29:31" x14ac:dyDescent="0.45">
      <c r="AC965" t="s">
        <v>19</v>
      </c>
      <c r="AD965" t="s">
        <v>413</v>
      </c>
      <c r="AE965">
        <v>3.5749377837653602E-3</v>
      </c>
    </row>
    <row r="966" spans="29:31" x14ac:dyDescent="0.45">
      <c r="AC966" t="s">
        <v>19</v>
      </c>
      <c r="AD966" t="s">
        <v>414</v>
      </c>
      <c r="AE966">
        <v>3.5768624326220112E-3</v>
      </c>
    </row>
    <row r="967" spans="29:31" x14ac:dyDescent="0.45">
      <c r="AC967" t="s">
        <v>19</v>
      </c>
      <c r="AD967" t="s">
        <v>415</v>
      </c>
      <c r="AE967">
        <v>2.5077684953513202E-2</v>
      </c>
    </row>
    <row r="968" spans="29:31" x14ac:dyDescent="0.45">
      <c r="AC968" t="s">
        <v>19</v>
      </c>
      <c r="AD968" t="s">
        <v>416</v>
      </c>
      <c r="AE968">
        <v>3.4962142493165835E-3</v>
      </c>
    </row>
    <row r="969" spans="29:31" x14ac:dyDescent="0.45">
      <c r="AC969" t="s">
        <v>19</v>
      </c>
      <c r="AD969" t="s">
        <v>417</v>
      </c>
      <c r="AE969">
        <v>3.4560444787390446E-3</v>
      </c>
    </row>
    <row r="970" spans="29:31" x14ac:dyDescent="0.45">
      <c r="AC970" t="s">
        <v>19</v>
      </c>
      <c r="AD970" t="s">
        <v>418</v>
      </c>
      <c r="AE970">
        <v>1.7272027717116094E-2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2490D-F8DC-4B88-8B9E-E6A4BAA133CA}">
  <dimension ref="A9:AN12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125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122</v>
      </c>
      <c r="K10" t="s">
        <v>248</v>
      </c>
      <c r="L10" t="s">
        <v>30</v>
      </c>
      <c r="N10" t="s">
        <v>13</v>
      </c>
      <c r="O10" t="s">
        <v>122</v>
      </c>
      <c r="P10" t="s">
        <v>248</v>
      </c>
      <c r="Q10" t="s">
        <v>30</v>
      </c>
      <c r="S10" t="s">
        <v>13</v>
      </c>
      <c r="T10" t="s">
        <v>122</v>
      </c>
      <c r="U10" t="s">
        <v>248</v>
      </c>
      <c r="V10" t="s">
        <v>30</v>
      </c>
      <c r="X10" t="s">
        <v>421</v>
      </c>
      <c r="Y10" t="s">
        <v>248</v>
      </c>
      <c r="Z10" t="s">
        <v>122</v>
      </c>
      <c r="AA10" t="s">
        <v>13</v>
      </c>
      <c r="AC10" t="s">
        <v>13</v>
      </c>
      <c r="AD10" t="s">
        <v>122</v>
      </c>
      <c r="AE10" t="s">
        <v>248</v>
      </c>
      <c r="AG10" t="s">
        <v>13</v>
      </c>
      <c r="AH10" t="s">
        <v>122</v>
      </c>
      <c r="AI10" t="s">
        <v>427</v>
      </c>
      <c r="AK10" t="s">
        <v>47</v>
      </c>
      <c r="AL10" t="s">
        <v>122</v>
      </c>
      <c r="AM10" t="s">
        <v>428</v>
      </c>
      <c r="AN10" t="s">
        <v>429</v>
      </c>
    </row>
    <row r="11" spans="1:40" x14ac:dyDescent="0.45">
      <c r="A11" t="str">
        <f>IFERROR(IF(Veda!D5=A10,"ok","x"),"")</f>
        <v>x</v>
      </c>
      <c r="C11" t="s">
        <v>151</v>
      </c>
      <c r="D11" t="s">
        <v>152</v>
      </c>
      <c r="E11" t="s">
        <v>240</v>
      </c>
      <c r="F11" t="s">
        <v>2012</v>
      </c>
      <c r="G11" t="s">
        <v>152</v>
      </c>
      <c r="I11" t="s">
        <v>249</v>
      </c>
      <c r="J11" t="s">
        <v>250</v>
      </c>
      <c r="K11">
        <v>1.243919461131174E-2</v>
      </c>
      <c r="L11" t="s">
        <v>251</v>
      </c>
      <c r="N11" t="s">
        <v>419</v>
      </c>
      <c r="O11" t="s">
        <v>250</v>
      </c>
      <c r="P11">
        <v>8.0098737964990369E-2</v>
      </c>
      <c r="Q11" t="s">
        <v>251</v>
      </c>
      <c r="S11" t="s">
        <v>420</v>
      </c>
      <c r="T11" t="s">
        <v>250</v>
      </c>
      <c r="U11">
        <v>7.5635167226958872E-2</v>
      </c>
      <c r="V11" t="s">
        <v>251</v>
      </c>
      <c r="X11">
        <v>0.1095890410958904</v>
      </c>
      <c r="Y11">
        <v>6.0741366879645972E-2</v>
      </c>
      <c r="Z11" t="s">
        <v>250</v>
      </c>
      <c r="AA11" t="s">
        <v>25</v>
      </c>
      <c r="AC11" t="s">
        <v>22</v>
      </c>
      <c r="AD11" t="s">
        <v>250</v>
      </c>
      <c r="AE11">
        <v>0.10672973523117131</v>
      </c>
      <c r="AG11" t="s">
        <v>97</v>
      </c>
      <c r="AH11" t="s">
        <v>250</v>
      </c>
      <c r="AI11">
        <v>0.29807031943984019</v>
      </c>
      <c r="AK11">
        <v>2020</v>
      </c>
      <c r="AL11" t="s">
        <v>151</v>
      </c>
      <c r="AM11">
        <v>0.28976434744107227</v>
      </c>
      <c r="AN11" t="s">
        <v>430</v>
      </c>
    </row>
    <row r="12" spans="1:40" x14ac:dyDescent="0.45">
      <c r="C12" t="s">
        <v>156</v>
      </c>
      <c r="E12" t="s">
        <v>241</v>
      </c>
      <c r="G12" t="s">
        <v>152</v>
      </c>
      <c r="I12" t="s">
        <v>249</v>
      </c>
      <c r="J12" t="s">
        <v>252</v>
      </c>
      <c r="K12">
        <v>0.35725598172622181</v>
      </c>
      <c r="L12" t="s">
        <v>251</v>
      </c>
      <c r="N12" t="s">
        <v>419</v>
      </c>
      <c r="O12" t="s">
        <v>252</v>
      </c>
      <c r="P12">
        <v>4.7728524984405898E-2</v>
      </c>
      <c r="Q12" t="s">
        <v>251</v>
      </c>
      <c r="S12" t="s">
        <v>420</v>
      </c>
      <c r="T12" t="s">
        <v>252</v>
      </c>
      <c r="U12">
        <v>7.7222382092894198E-2</v>
      </c>
      <c r="V12" t="s">
        <v>251</v>
      </c>
      <c r="X12">
        <v>0.13698630136986301</v>
      </c>
      <c r="Y12">
        <v>0.19562936628297245</v>
      </c>
      <c r="Z12" t="s">
        <v>252</v>
      </c>
      <c r="AA12" t="s">
        <v>25</v>
      </c>
      <c r="AC12" t="s">
        <v>22</v>
      </c>
      <c r="AD12" t="s">
        <v>252</v>
      </c>
      <c r="AE12">
        <v>0.15760802390149464</v>
      </c>
      <c r="AG12" t="s">
        <v>97</v>
      </c>
      <c r="AH12" t="s">
        <v>252</v>
      </c>
      <c r="AI12">
        <v>0.29498803806437079</v>
      </c>
      <c r="AK12">
        <v>2020</v>
      </c>
      <c r="AL12" t="s">
        <v>156</v>
      </c>
      <c r="AM12">
        <v>0.4856063724137501</v>
      </c>
      <c r="AN12" t="s">
        <v>430</v>
      </c>
    </row>
    <row r="13" spans="1:40" x14ac:dyDescent="0.45">
      <c r="C13" t="s">
        <v>159</v>
      </c>
      <c r="E13" t="s">
        <v>242</v>
      </c>
      <c r="G13" t="s">
        <v>152</v>
      </c>
      <c r="I13" t="s">
        <v>249</v>
      </c>
      <c r="J13" t="s">
        <v>253</v>
      </c>
      <c r="K13">
        <v>1.1585764070794509E-2</v>
      </c>
      <c r="L13" t="s">
        <v>251</v>
      </c>
      <c r="N13" t="s">
        <v>419</v>
      </c>
      <c r="O13" t="s">
        <v>253</v>
      </c>
      <c r="P13">
        <v>8.0259272310062274E-2</v>
      </c>
      <c r="Q13" t="s">
        <v>251</v>
      </c>
      <c r="S13" t="s">
        <v>420</v>
      </c>
      <c r="T13" t="s">
        <v>253</v>
      </c>
      <c r="U13">
        <v>6.0194009902175001E-2</v>
      </c>
      <c r="V13" t="s">
        <v>251</v>
      </c>
      <c r="X13">
        <v>8.2191780821917804E-2</v>
      </c>
      <c r="Y13">
        <v>7.2396390125052834E-2</v>
      </c>
      <c r="Z13" t="s">
        <v>253</v>
      </c>
      <c r="AA13" t="s">
        <v>25</v>
      </c>
      <c r="AC13" t="s">
        <v>22</v>
      </c>
      <c r="AD13" t="s">
        <v>253</v>
      </c>
      <c r="AE13">
        <v>3.6280022255087342E-2</v>
      </c>
      <c r="AG13" t="s">
        <v>97</v>
      </c>
      <c r="AH13" t="s">
        <v>253</v>
      </c>
      <c r="AI13">
        <v>0.48239598161582165</v>
      </c>
      <c r="AK13">
        <v>2020</v>
      </c>
      <c r="AL13" t="s">
        <v>159</v>
      </c>
      <c r="AM13">
        <v>0.57323894914572482</v>
      </c>
      <c r="AN13" t="s">
        <v>430</v>
      </c>
    </row>
    <row r="14" spans="1:40" x14ac:dyDescent="0.45">
      <c r="C14" t="s">
        <v>163</v>
      </c>
      <c r="I14" t="s">
        <v>249</v>
      </c>
      <c r="J14" t="s">
        <v>259</v>
      </c>
      <c r="K14">
        <v>1.1183213553538948E-2</v>
      </c>
      <c r="L14" t="s">
        <v>251</v>
      </c>
      <c r="N14" t="s">
        <v>419</v>
      </c>
      <c r="O14" t="s">
        <v>259</v>
      </c>
      <c r="P14">
        <v>8.6201203953460148E-2</v>
      </c>
      <c r="Q14" t="s">
        <v>251</v>
      </c>
      <c r="S14" t="s">
        <v>420</v>
      </c>
      <c r="T14" t="s">
        <v>259</v>
      </c>
      <c r="U14">
        <v>7.7990025034354121E-2</v>
      </c>
      <c r="V14" t="s">
        <v>251</v>
      </c>
      <c r="X14">
        <v>5.5707762557077628E-2</v>
      </c>
      <c r="Y14">
        <v>3.0876861497153366E-2</v>
      </c>
      <c r="Z14" t="s">
        <v>259</v>
      </c>
      <c r="AA14" t="s">
        <v>25</v>
      </c>
      <c r="AC14" t="s">
        <v>22</v>
      </c>
      <c r="AD14" t="s">
        <v>259</v>
      </c>
      <c r="AE14">
        <v>7.5812181638289192E-2</v>
      </c>
      <c r="AG14" t="s">
        <v>97</v>
      </c>
      <c r="AH14" t="s">
        <v>259</v>
      </c>
      <c r="AI14">
        <v>0.10534816386582557</v>
      </c>
      <c r="AK14">
        <v>2020</v>
      </c>
      <c r="AL14" t="s">
        <v>163</v>
      </c>
      <c r="AM14">
        <v>0.39261947301382399</v>
      </c>
      <c r="AN14" t="s">
        <v>430</v>
      </c>
    </row>
    <row r="15" spans="1:40" x14ac:dyDescent="0.45">
      <c r="I15" t="s">
        <v>249</v>
      </c>
      <c r="J15" t="s">
        <v>260</v>
      </c>
      <c r="K15">
        <v>0.16059038399658648</v>
      </c>
      <c r="L15" t="s">
        <v>251</v>
      </c>
      <c r="N15" t="s">
        <v>419</v>
      </c>
      <c r="O15" t="s">
        <v>260</v>
      </c>
      <c r="P15">
        <v>0.10174245595808706</v>
      </c>
      <c r="Q15" t="s">
        <v>251</v>
      </c>
      <c r="S15" t="s">
        <v>420</v>
      </c>
      <c r="T15" t="s">
        <v>260</v>
      </c>
      <c r="U15">
        <v>9.0653255497605972E-2</v>
      </c>
      <c r="V15" t="s">
        <v>251</v>
      </c>
      <c r="X15">
        <v>6.9634703196347028E-2</v>
      </c>
      <c r="Y15">
        <v>9.9444927860511012E-2</v>
      </c>
      <c r="Z15" t="s">
        <v>260</v>
      </c>
      <c r="AA15" t="s">
        <v>25</v>
      </c>
      <c r="AC15" t="s">
        <v>22</v>
      </c>
      <c r="AD15" t="s">
        <v>260</v>
      </c>
      <c r="AE15">
        <v>0.10345342190128547</v>
      </c>
      <c r="AG15" t="s">
        <v>97</v>
      </c>
      <c r="AH15" t="s">
        <v>260</v>
      </c>
      <c r="AI15">
        <v>0.14412125914356166</v>
      </c>
      <c r="AK15">
        <v>2021</v>
      </c>
      <c r="AL15" t="s">
        <v>151</v>
      </c>
      <c r="AM15">
        <v>0.25128996028298184</v>
      </c>
      <c r="AN15" t="s">
        <v>430</v>
      </c>
    </row>
    <row r="16" spans="1:40" x14ac:dyDescent="0.45">
      <c r="I16" t="s">
        <v>249</v>
      </c>
      <c r="J16" t="s">
        <v>261</v>
      </c>
      <c r="K16">
        <v>8.5671833245019209E-3</v>
      </c>
      <c r="L16" t="s">
        <v>251</v>
      </c>
      <c r="N16" t="s">
        <v>419</v>
      </c>
      <c r="O16" t="s">
        <v>261</v>
      </c>
      <c r="P16">
        <v>7.8403094347226795E-2</v>
      </c>
      <c r="Q16" t="s">
        <v>251</v>
      </c>
      <c r="S16" t="s">
        <v>420</v>
      </c>
      <c r="T16" t="s">
        <v>261</v>
      </c>
      <c r="U16">
        <v>6.4101535791023637E-2</v>
      </c>
      <c r="V16" t="s">
        <v>251</v>
      </c>
      <c r="X16">
        <v>4.1780821917808221E-2</v>
      </c>
      <c r="Y16">
        <v>3.6801498313568527E-2</v>
      </c>
      <c r="Z16" t="s">
        <v>261</v>
      </c>
      <c r="AA16" t="s">
        <v>25</v>
      </c>
      <c r="AC16" t="s">
        <v>22</v>
      </c>
      <c r="AD16" t="s">
        <v>261</v>
      </c>
      <c r="AE16">
        <v>4.4652643734093819E-2</v>
      </c>
      <c r="AG16" t="s">
        <v>97</v>
      </c>
      <c r="AH16" t="s">
        <v>261</v>
      </c>
      <c r="AI16">
        <v>7.3812553388382662E-2</v>
      </c>
      <c r="AK16">
        <v>2021</v>
      </c>
      <c r="AL16" t="s">
        <v>156</v>
      </c>
      <c r="AM16">
        <v>0.42520104783927204</v>
      </c>
      <c r="AN16" t="s">
        <v>430</v>
      </c>
    </row>
    <row r="17" spans="9:40" x14ac:dyDescent="0.45">
      <c r="I17" t="s">
        <v>249</v>
      </c>
      <c r="J17" t="s">
        <v>267</v>
      </c>
      <c r="K17">
        <v>3.8529519580955398E-3</v>
      </c>
      <c r="L17" t="s">
        <v>251</v>
      </c>
      <c r="N17" t="s">
        <v>419</v>
      </c>
      <c r="O17" t="s">
        <v>267</v>
      </c>
      <c r="P17">
        <v>9.8111396598142483E-2</v>
      </c>
      <c r="Q17" t="s">
        <v>251</v>
      </c>
      <c r="S17" t="s">
        <v>420</v>
      </c>
      <c r="T17" t="s">
        <v>267</v>
      </c>
      <c r="U17">
        <v>0.11096639295245224</v>
      </c>
      <c r="V17" t="s">
        <v>251</v>
      </c>
      <c r="X17">
        <v>5.6621004566210047E-2</v>
      </c>
      <c r="Y17">
        <v>3.1383039554483752E-2</v>
      </c>
      <c r="Z17" t="s">
        <v>267</v>
      </c>
      <c r="AA17" t="s">
        <v>25</v>
      </c>
      <c r="AC17" t="s">
        <v>22</v>
      </c>
      <c r="AD17" t="s">
        <v>267</v>
      </c>
      <c r="AE17">
        <v>6.865303166571908E-2</v>
      </c>
      <c r="AG17" t="s">
        <v>97</v>
      </c>
      <c r="AH17" t="s">
        <v>267</v>
      </c>
      <c r="AI17">
        <v>0.11218274042090348</v>
      </c>
      <c r="AK17">
        <v>2021</v>
      </c>
      <c r="AL17" t="s">
        <v>159</v>
      </c>
      <c r="AM17">
        <v>0.59935088517747204</v>
      </c>
      <c r="AN17" t="s">
        <v>430</v>
      </c>
    </row>
    <row r="18" spans="9:40" x14ac:dyDescent="0.45">
      <c r="I18" t="s">
        <v>249</v>
      </c>
      <c r="J18" t="s">
        <v>268</v>
      </c>
      <c r="K18">
        <v>0.10109401087784134</v>
      </c>
      <c r="L18" t="s">
        <v>251</v>
      </c>
      <c r="N18" t="s">
        <v>419</v>
      </c>
      <c r="O18" t="s">
        <v>268</v>
      </c>
      <c r="P18">
        <v>0.13772735518670437</v>
      </c>
      <c r="Q18" t="s">
        <v>251</v>
      </c>
      <c r="S18" t="s">
        <v>420</v>
      </c>
      <c r="T18" t="s">
        <v>268</v>
      </c>
      <c r="U18">
        <v>0.13197731147592329</v>
      </c>
      <c r="V18" t="s">
        <v>251</v>
      </c>
      <c r="X18">
        <v>7.0776255707762553E-2</v>
      </c>
      <c r="Y18">
        <v>0.10107517257953577</v>
      </c>
      <c r="Z18" t="s">
        <v>268</v>
      </c>
      <c r="AA18" t="s">
        <v>25</v>
      </c>
      <c r="AC18" t="s">
        <v>22</v>
      </c>
      <c r="AD18" t="s">
        <v>268</v>
      </c>
      <c r="AE18">
        <v>9.4593518132281937E-2</v>
      </c>
      <c r="AG18" t="s">
        <v>97</v>
      </c>
      <c r="AH18" t="s">
        <v>268</v>
      </c>
      <c r="AI18">
        <v>0.16999512470246958</v>
      </c>
      <c r="AK18">
        <v>2021</v>
      </c>
      <c r="AL18" t="s">
        <v>163</v>
      </c>
      <c r="AM18">
        <v>0.40695858062064327</v>
      </c>
      <c r="AN18" t="s">
        <v>430</v>
      </c>
    </row>
    <row r="19" spans="9:40" x14ac:dyDescent="0.45">
      <c r="I19" t="s">
        <v>249</v>
      </c>
      <c r="J19" t="s">
        <v>269</v>
      </c>
      <c r="K19">
        <v>3.3001690616260848E-3</v>
      </c>
      <c r="L19" t="s">
        <v>251</v>
      </c>
      <c r="N19" t="s">
        <v>419</v>
      </c>
      <c r="O19" t="s">
        <v>269</v>
      </c>
      <c r="P19">
        <v>8.2656523708895535E-2</v>
      </c>
      <c r="Q19" t="s">
        <v>251</v>
      </c>
      <c r="S19" t="s">
        <v>420</v>
      </c>
      <c r="T19" t="s">
        <v>269</v>
      </c>
      <c r="U19">
        <v>8.2972967088486962E-2</v>
      </c>
      <c r="V19" t="s">
        <v>251</v>
      </c>
      <c r="X19">
        <v>4.2465753424657533E-2</v>
      </c>
      <c r="Y19">
        <v>3.7404801564610637E-2</v>
      </c>
      <c r="Z19" t="s">
        <v>269</v>
      </c>
      <c r="AA19" t="s">
        <v>25</v>
      </c>
      <c r="AC19" t="s">
        <v>22</v>
      </c>
      <c r="AD19" t="s">
        <v>269</v>
      </c>
      <c r="AE19">
        <v>3.1893724524187421E-2</v>
      </c>
      <c r="AG19" t="s">
        <v>97</v>
      </c>
      <c r="AH19" t="s">
        <v>269</v>
      </c>
      <c r="AI19">
        <v>0.20308169632395123</v>
      </c>
      <c r="AK19">
        <v>2022</v>
      </c>
      <c r="AL19" t="s">
        <v>151</v>
      </c>
      <c r="AM19">
        <v>0.28986997056841707</v>
      </c>
      <c r="AN19" t="s">
        <v>430</v>
      </c>
    </row>
    <row r="20" spans="9:40" x14ac:dyDescent="0.45">
      <c r="I20" t="s">
        <v>249</v>
      </c>
      <c r="J20" t="s">
        <v>275</v>
      </c>
      <c r="K20">
        <v>1.1852802839744027E-2</v>
      </c>
      <c r="L20" t="s">
        <v>251</v>
      </c>
      <c r="N20" t="s">
        <v>419</v>
      </c>
      <c r="O20" t="s">
        <v>275</v>
      </c>
      <c r="P20">
        <v>7.3376889496194239E-2</v>
      </c>
      <c r="Q20" t="s">
        <v>251</v>
      </c>
      <c r="S20" t="s">
        <v>420</v>
      </c>
      <c r="T20" t="s">
        <v>275</v>
      </c>
      <c r="U20">
        <v>7.9280302538639963E-2</v>
      </c>
      <c r="V20" t="s">
        <v>251</v>
      </c>
      <c r="X20">
        <v>0.11141552511415526</v>
      </c>
      <c r="Y20">
        <v>6.1753722994306731E-2</v>
      </c>
      <c r="Z20" t="s">
        <v>275</v>
      </c>
      <c r="AA20" t="s">
        <v>25</v>
      </c>
      <c r="AC20" t="s">
        <v>22</v>
      </c>
      <c r="AD20" t="s">
        <v>275</v>
      </c>
      <c r="AE20">
        <v>0.10295867160868162</v>
      </c>
      <c r="AG20" t="s">
        <v>97</v>
      </c>
      <c r="AH20" t="s">
        <v>275</v>
      </c>
      <c r="AI20">
        <v>0.19675484498479312</v>
      </c>
      <c r="AK20">
        <v>2022</v>
      </c>
      <c r="AL20" t="s">
        <v>156</v>
      </c>
      <c r="AM20">
        <v>0.40786549348052814</v>
      </c>
      <c r="AN20" t="s">
        <v>430</v>
      </c>
    </row>
    <row r="21" spans="9:40" x14ac:dyDescent="0.45">
      <c r="I21" t="s">
        <v>249</v>
      </c>
      <c r="J21" t="s">
        <v>276</v>
      </c>
      <c r="K21">
        <v>0.31573667685748402</v>
      </c>
      <c r="L21" t="s">
        <v>251</v>
      </c>
      <c r="N21" t="s">
        <v>419</v>
      </c>
      <c r="O21" t="s">
        <v>276</v>
      </c>
      <c r="P21">
        <v>6.8754630383806983E-2</v>
      </c>
      <c r="Q21" t="s">
        <v>251</v>
      </c>
      <c r="S21" t="s">
        <v>420</v>
      </c>
      <c r="T21" t="s">
        <v>276</v>
      </c>
      <c r="U21">
        <v>9.0996069628096185E-2</v>
      </c>
      <c r="V21" t="s">
        <v>251</v>
      </c>
      <c r="X21">
        <v>0.13926940639269406</v>
      </c>
      <c r="Y21">
        <v>0.19888985572102202</v>
      </c>
      <c r="Z21" t="s">
        <v>276</v>
      </c>
      <c r="AA21" t="s">
        <v>25</v>
      </c>
      <c r="AC21" t="s">
        <v>22</v>
      </c>
      <c r="AD21" t="s">
        <v>276</v>
      </c>
      <c r="AE21">
        <v>0.14846016692729702</v>
      </c>
      <c r="AG21" t="s">
        <v>97</v>
      </c>
      <c r="AH21" t="s">
        <v>276</v>
      </c>
      <c r="AI21">
        <v>0.261320224492118</v>
      </c>
      <c r="AK21">
        <v>2022</v>
      </c>
      <c r="AL21" t="s">
        <v>159</v>
      </c>
      <c r="AM21">
        <v>0.64955618404812976</v>
      </c>
      <c r="AN21" t="s">
        <v>430</v>
      </c>
    </row>
    <row r="22" spans="9:40" x14ac:dyDescent="0.45">
      <c r="I22" t="s">
        <v>249</v>
      </c>
      <c r="J22" t="s">
        <v>277</v>
      </c>
      <c r="K22">
        <v>2.5416671220648357E-3</v>
      </c>
      <c r="L22" t="s">
        <v>251</v>
      </c>
      <c r="N22" t="s">
        <v>419</v>
      </c>
      <c r="O22" t="s">
        <v>277</v>
      </c>
      <c r="P22">
        <v>6.4939915107821794E-2</v>
      </c>
      <c r="Q22" t="s">
        <v>251</v>
      </c>
      <c r="S22" t="s">
        <v>420</v>
      </c>
      <c r="T22" t="s">
        <v>277</v>
      </c>
      <c r="U22">
        <v>5.8010580771185066E-2</v>
      </c>
      <c r="V22" t="s">
        <v>251</v>
      </c>
      <c r="X22">
        <v>8.3561643835616442E-2</v>
      </c>
      <c r="Y22">
        <v>7.3602996627137054E-2</v>
      </c>
      <c r="Z22" t="s">
        <v>277</v>
      </c>
      <c r="AA22" t="s">
        <v>25</v>
      </c>
      <c r="AC22" t="s">
        <v>22</v>
      </c>
      <c r="AD22" t="s">
        <v>277</v>
      </c>
      <c r="AE22">
        <v>2.8904858480411147E-2</v>
      </c>
      <c r="AG22" t="s">
        <v>97</v>
      </c>
      <c r="AH22" t="s">
        <v>277</v>
      </c>
      <c r="AI22">
        <v>0.24161494748736456</v>
      </c>
      <c r="AK22">
        <v>2022</v>
      </c>
      <c r="AL22" t="s">
        <v>163</v>
      </c>
      <c r="AM22">
        <v>0.44424528896236481</v>
      </c>
      <c r="AN22" t="s">
        <v>430</v>
      </c>
    </row>
    <row r="23" spans="9:40" x14ac:dyDescent="0.45">
      <c r="AC23" t="s">
        <v>19</v>
      </c>
      <c r="AD23" t="s">
        <v>250</v>
      </c>
      <c r="AE23">
        <v>0.10985648785988794</v>
      </c>
      <c r="AK23">
        <v>2025</v>
      </c>
      <c r="AL23" t="s">
        <v>151</v>
      </c>
      <c r="AM23">
        <v>0.30974999999999997</v>
      </c>
      <c r="AN23" t="s">
        <v>430</v>
      </c>
    </row>
    <row r="24" spans="9:40" x14ac:dyDescent="0.45">
      <c r="AC24" t="s">
        <v>19</v>
      </c>
      <c r="AD24" t="s">
        <v>252</v>
      </c>
      <c r="AE24">
        <v>0.13846953422378944</v>
      </c>
      <c r="AK24">
        <v>2025</v>
      </c>
      <c r="AL24" t="s">
        <v>156</v>
      </c>
      <c r="AM24">
        <v>0.46619999999999995</v>
      </c>
      <c r="AN24" t="s">
        <v>430</v>
      </c>
    </row>
    <row r="25" spans="9:40" x14ac:dyDescent="0.45">
      <c r="AC25" t="s">
        <v>19</v>
      </c>
      <c r="AD25" t="s">
        <v>253</v>
      </c>
      <c r="AE25">
        <v>8.0314105168154834E-2</v>
      </c>
      <c r="AK25">
        <v>2025</v>
      </c>
      <c r="AL25" t="s">
        <v>159</v>
      </c>
      <c r="AM25">
        <v>0.68605000000000005</v>
      </c>
      <c r="AN25" t="s">
        <v>430</v>
      </c>
    </row>
    <row r="26" spans="9:40" x14ac:dyDescent="0.45">
      <c r="AC26" t="s">
        <v>19</v>
      </c>
      <c r="AD26" t="s">
        <v>259</v>
      </c>
      <c r="AE26">
        <v>5.5848860922210905E-2</v>
      </c>
      <c r="AK26">
        <v>2025</v>
      </c>
      <c r="AL26" t="s">
        <v>163</v>
      </c>
      <c r="AM26">
        <v>0.49545</v>
      </c>
      <c r="AN26" t="s">
        <v>430</v>
      </c>
    </row>
    <row r="27" spans="9:40" x14ac:dyDescent="0.45">
      <c r="AC27" t="s">
        <v>19</v>
      </c>
      <c r="AD27" t="s">
        <v>260</v>
      </c>
      <c r="AE27">
        <v>7.0223629423002115E-2</v>
      </c>
      <c r="AK27">
        <v>2026</v>
      </c>
      <c r="AL27" t="s">
        <v>151</v>
      </c>
      <c r="AM27">
        <v>0.30145</v>
      </c>
      <c r="AN27" t="s">
        <v>430</v>
      </c>
    </row>
    <row r="28" spans="9:40" x14ac:dyDescent="0.45">
      <c r="AC28" t="s">
        <v>19</v>
      </c>
      <c r="AD28" t="s">
        <v>261</v>
      </c>
      <c r="AE28">
        <v>4.1307028350915216E-2</v>
      </c>
      <c r="AK28">
        <v>2026</v>
      </c>
      <c r="AL28" t="s">
        <v>156</v>
      </c>
      <c r="AM28">
        <v>0.45799999999999996</v>
      </c>
      <c r="AN28" t="s">
        <v>430</v>
      </c>
    </row>
    <row r="29" spans="9:40" x14ac:dyDescent="0.45">
      <c r="AC29" t="s">
        <v>19</v>
      </c>
      <c r="AD29" t="s">
        <v>267</v>
      </c>
      <c r="AE29">
        <v>5.6830258986671343E-2</v>
      </c>
      <c r="AK29">
        <v>2026</v>
      </c>
      <c r="AL29" t="s">
        <v>159</v>
      </c>
      <c r="AM29">
        <v>0.66755000000000009</v>
      </c>
      <c r="AN29" t="s">
        <v>430</v>
      </c>
    </row>
    <row r="30" spans="9:40" x14ac:dyDescent="0.45">
      <c r="AC30" t="s">
        <v>19</v>
      </c>
      <c r="AD30" t="s">
        <v>268</v>
      </c>
      <c r="AE30">
        <v>7.1454604710639774E-2</v>
      </c>
      <c r="AK30">
        <v>2026</v>
      </c>
      <c r="AL30" t="s">
        <v>163</v>
      </c>
      <c r="AM30">
        <v>0.4718</v>
      </c>
      <c r="AN30" t="s">
        <v>430</v>
      </c>
    </row>
    <row r="31" spans="9:40" x14ac:dyDescent="0.45">
      <c r="AC31" t="s">
        <v>19</v>
      </c>
      <c r="AD31" t="s">
        <v>269</v>
      </c>
      <c r="AE31">
        <v>4.1692188613925839E-2</v>
      </c>
      <c r="AK31">
        <v>2027</v>
      </c>
      <c r="AL31" t="s">
        <v>151</v>
      </c>
      <c r="AM31">
        <v>0.31407499999999999</v>
      </c>
      <c r="AN31" t="s">
        <v>430</v>
      </c>
    </row>
    <row r="32" spans="9:40" x14ac:dyDescent="0.45">
      <c r="AC32" t="s">
        <v>19</v>
      </c>
      <c r="AD32" t="s">
        <v>275</v>
      </c>
      <c r="AE32">
        <v>0.11178636331450971</v>
      </c>
      <c r="AK32">
        <v>2027</v>
      </c>
      <c r="AL32" t="s">
        <v>156</v>
      </c>
      <c r="AM32">
        <v>0.46779999999999999</v>
      </c>
      <c r="AN32" t="s">
        <v>430</v>
      </c>
    </row>
    <row r="33" spans="29:40" x14ac:dyDescent="0.45">
      <c r="AC33" t="s">
        <v>19</v>
      </c>
      <c r="AD33" t="s">
        <v>276</v>
      </c>
      <c r="AE33">
        <v>0.14067133163858775</v>
      </c>
      <c r="AK33">
        <v>2027</v>
      </c>
      <c r="AL33" t="s">
        <v>159</v>
      </c>
      <c r="AM33">
        <v>0.64270000000000005</v>
      </c>
      <c r="AN33" t="s">
        <v>430</v>
      </c>
    </row>
    <row r="34" spans="29:40" x14ac:dyDescent="0.45">
      <c r="AC34" t="s">
        <v>19</v>
      </c>
      <c r="AD34" t="s">
        <v>277</v>
      </c>
      <c r="AE34">
        <v>8.154560678770513E-2</v>
      </c>
      <c r="AK34">
        <v>2027</v>
      </c>
      <c r="AL34" t="s">
        <v>163</v>
      </c>
      <c r="AM34">
        <v>0.43180000000000002</v>
      </c>
      <c r="AN34" t="s">
        <v>430</v>
      </c>
    </row>
    <row r="35" spans="29:40" x14ac:dyDescent="0.45">
      <c r="AK35">
        <v>2028</v>
      </c>
      <c r="AL35" t="s">
        <v>151</v>
      </c>
      <c r="AM35">
        <v>0.27312500000000001</v>
      </c>
      <c r="AN35" t="s">
        <v>430</v>
      </c>
    </row>
    <row r="36" spans="29:40" x14ac:dyDescent="0.45">
      <c r="AK36">
        <v>2028</v>
      </c>
      <c r="AL36" t="s">
        <v>156</v>
      </c>
      <c r="AM36">
        <v>0.45724999999999999</v>
      </c>
      <c r="AN36" t="s">
        <v>430</v>
      </c>
    </row>
    <row r="37" spans="29:40" x14ac:dyDescent="0.45">
      <c r="AK37">
        <v>2028</v>
      </c>
      <c r="AL37" t="s">
        <v>159</v>
      </c>
      <c r="AM37">
        <v>0.58745000000000003</v>
      </c>
      <c r="AN37" t="s">
        <v>430</v>
      </c>
    </row>
    <row r="38" spans="29:40" x14ac:dyDescent="0.45">
      <c r="AK38">
        <v>2028</v>
      </c>
      <c r="AL38" t="s">
        <v>163</v>
      </c>
      <c r="AM38">
        <v>0.41454999999999997</v>
      </c>
      <c r="AN38" t="s">
        <v>430</v>
      </c>
    </row>
    <row r="39" spans="29:40" x14ac:dyDescent="0.45">
      <c r="AK39">
        <v>2029</v>
      </c>
      <c r="AL39" t="s">
        <v>151</v>
      </c>
      <c r="AM39">
        <v>0.26454999999999995</v>
      </c>
      <c r="AN39" t="s">
        <v>430</v>
      </c>
    </row>
    <row r="40" spans="29:40" x14ac:dyDescent="0.45">
      <c r="AK40">
        <v>2029</v>
      </c>
      <c r="AL40" t="s">
        <v>156</v>
      </c>
      <c r="AM40">
        <v>0.40090000000000003</v>
      </c>
      <c r="AN40" t="s">
        <v>430</v>
      </c>
    </row>
    <row r="41" spans="29:40" x14ac:dyDescent="0.45">
      <c r="AK41">
        <v>2029</v>
      </c>
      <c r="AL41" t="s">
        <v>159</v>
      </c>
      <c r="AM41">
        <v>0.61270000000000002</v>
      </c>
      <c r="AN41" t="s">
        <v>430</v>
      </c>
    </row>
    <row r="42" spans="29:40" x14ac:dyDescent="0.45">
      <c r="AK42">
        <v>2029</v>
      </c>
      <c r="AL42" t="s">
        <v>163</v>
      </c>
      <c r="AM42">
        <v>0.37512500000000004</v>
      </c>
      <c r="AN42" t="s">
        <v>430</v>
      </c>
    </row>
    <row r="43" spans="29:40" x14ac:dyDescent="0.45">
      <c r="AK43">
        <v>2030</v>
      </c>
      <c r="AL43" t="s">
        <v>151</v>
      </c>
      <c r="AM43">
        <v>0.2802</v>
      </c>
      <c r="AN43" t="s">
        <v>430</v>
      </c>
    </row>
    <row r="44" spans="29:40" x14ac:dyDescent="0.45">
      <c r="AK44">
        <v>2030</v>
      </c>
      <c r="AL44" t="s">
        <v>156</v>
      </c>
      <c r="AM44">
        <v>0.40065000000000001</v>
      </c>
      <c r="AN44" t="s">
        <v>430</v>
      </c>
    </row>
    <row r="45" spans="29:40" x14ac:dyDescent="0.45">
      <c r="AK45">
        <v>2030</v>
      </c>
      <c r="AL45" t="s">
        <v>159</v>
      </c>
      <c r="AM45">
        <v>0.62555000000000005</v>
      </c>
      <c r="AN45" t="s">
        <v>430</v>
      </c>
    </row>
    <row r="46" spans="29:40" x14ac:dyDescent="0.45">
      <c r="AK46">
        <v>2030</v>
      </c>
      <c r="AL46" t="s">
        <v>163</v>
      </c>
      <c r="AM46">
        <v>0.39255000000000001</v>
      </c>
      <c r="AN46" t="s">
        <v>430</v>
      </c>
    </row>
    <row r="47" spans="29:40" x14ac:dyDescent="0.45">
      <c r="AK47">
        <v>2031</v>
      </c>
      <c r="AL47" t="s">
        <v>151</v>
      </c>
      <c r="AM47">
        <v>0.27857499999999996</v>
      </c>
      <c r="AN47" t="s">
        <v>430</v>
      </c>
    </row>
    <row r="48" spans="29:40" x14ac:dyDescent="0.45">
      <c r="AK48">
        <v>2031</v>
      </c>
      <c r="AL48" t="s">
        <v>156</v>
      </c>
      <c r="AM48">
        <v>0.43730000000000002</v>
      </c>
      <c r="AN48" t="s">
        <v>430</v>
      </c>
    </row>
    <row r="49" spans="37:40" x14ac:dyDescent="0.45">
      <c r="AK49">
        <v>2031</v>
      </c>
      <c r="AL49" t="s">
        <v>159</v>
      </c>
      <c r="AM49">
        <v>0.61160000000000003</v>
      </c>
      <c r="AN49" t="s">
        <v>430</v>
      </c>
    </row>
    <row r="50" spans="37:40" x14ac:dyDescent="0.45">
      <c r="AK50">
        <v>2031</v>
      </c>
      <c r="AL50" t="s">
        <v>163</v>
      </c>
      <c r="AM50">
        <v>0.37672499999999998</v>
      </c>
      <c r="AN50" t="s">
        <v>430</v>
      </c>
    </row>
    <row r="51" spans="37:40" x14ac:dyDescent="0.45">
      <c r="AK51">
        <v>2032</v>
      </c>
      <c r="AL51" t="s">
        <v>151</v>
      </c>
      <c r="AM51">
        <v>0.26747500000000002</v>
      </c>
      <c r="AN51" t="s">
        <v>430</v>
      </c>
    </row>
    <row r="52" spans="37:40" x14ac:dyDescent="0.45">
      <c r="AK52">
        <v>2032</v>
      </c>
      <c r="AL52" t="s">
        <v>156</v>
      </c>
      <c r="AM52">
        <v>0.46135000000000004</v>
      </c>
      <c r="AN52" t="s">
        <v>430</v>
      </c>
    </row>
    <row r="53" spans="37:40" x14ac:dyDescent="0.45">
      <c r="AK53">
        <v>2032</v>
      </c>
      <c r="AL53" t="s">
        <v>159</v>
      </c>
      <c r="AM53">
        <v>0.56325000000000003</v>
      </c>
      <c r="AN53" t="s">
        <v>430</v>
      </c>
    </row>
    <row r="54" spans="37:40" x14ac:dyDescent="0.45">
      <c r="AK54">
        <v>2032</v>
      </c>
      <c r="AL54" t="s">
        <v>163</v>
      </c>
      <c r="AM54">
        <v>0.37675000000000003</v>
      </c>
      <c r="AN54" t="s">
        <v>430</v>
      </c>
    </row>
    <row r="55" spans="37:40" x14ac:dyDescent="0.45">
      <c r="AK55">
        <v>2033</v>
      </c>
      <c r="AL55" t="s">
        <v>151</v>
      </c>
      <c r="AM55">
        <v>0.27949999999999997</v>
      </c>
      <c r="AN55" t="s">
        <v>430</v>
      </c>
    </row>
    <row r="56" spans="37:40" x14ac:dyDescent="0.45">
      <c r="AK56">
        <v>2033</v>
      </c>
      <c r="AL56" t="s">
        <v>156</v>
      </c>
      <c r="AM56">
        <v>0.46134999999999998</v>
      </c>
      <c r="AN56" t="s">
        <v>430</v>
      </c>
    </row>
    <row r="57" spans="37:40" x14ac:dyDescent="0.45">
      <c r="AK57">
        <v>2033</v>
      </c>
      <c r="AL57" t="s">
        <v>159</v>
      </c>
      <c r="AM57">
        <v>0.60399999999999998</v>
      </c>
      <c r="AN57" t="s">
        <v>430</v>
      </c>
    </row>
    <row r="58" spans="37:40" x14ac:dyDescent="0.45">
      <c r="AK58">
        <v>2033</v>
      </c>
      <c r="AL58" t="s">
        <v>163</v>
      </c>
      <c r="AM58">
        <v>0.39940000000000003</v>
      </c>
      <c r="AN58" t="s">
        <v>430</v>
      </c>
    </row>
    <row r="59" spans="37:40" x14ac:dyDescent="0.45">
      <c r="AK59">
        <v>2034</v>
      </c>
      <c r="AL59" t="s">
        <v>151</v>
      </c>
      <c r="AM59">
        <v>0.27782499999999999</v>
      </c>
      <c r="AN59" t="s">
        <v>430</v>
      </c>
    </row>
    <row r="60" spans="37:40" x14ac:dyDescent="0.45">
      <c r="AK60">
        <v>2034</v>
      </c>
      <c r="AL60" t="s">
        <v>156</v>
      </c>
      <c r="AM60">
        <v>0.42274999999999996</v>
      </c>
      <c r="AN60" t="s">
        <v>430</v>
      </c>
    </row>
    <row r="61" spans="37:40" x14ac:dyDescent="0.45">
      <c r="AK61">
        <v>2034</v>
      </c>
      <c r="AL61" t="s">
        <v>159</v>
      </c>
      <c r="AM61">
        <v>0.60650000000000004</v>
      </c>
      <c r="AN61" t="s">
        <v>430</v>
      </c>
    </row>
    <row r="62" spans="37:40" x14ac:dyDescent="0.45">
      <c r="AK62">
        <v>2034</v>
      </c>
      <c r="AL62" t="s">
        <v>163</v>
      </c>
      <c r="AM62">
        <v>0.39769999999999994</v>
      </c>
      <c r="AN62" t="s">
        <v>430</v>
      </c>
    </row>
    <row r="63" spans="37:40" x14ac:dyDescent="0.45">
      <c r="AK63">
        <v>2035</v>
      </c>
      <c r="AL63" t="s">
        <v>151</v>
      </c>
      <c r="AM63">
        <v>0.27634999999999998</v>
      </c>
      <c r="AN63" t="s">
        <v>430</v>
      </c>
    </row>
    <row r="64" spans="37:40" x14ac:dyDescent="0.45">
      <c r="AK64">
        <v>2035</v>
      </c>
      <c r="AL64" t="s">
        <v>156</v>
      </c>
      <c r="AM64">
        <v>0.42745</v>
      </c>
      <c r="AN64" t="s">
        <v>430</v>
      </c>
    </row>
    <row r="65" spans="37:40" x14ac:dyDescent="0.45">
      <c r="AK65">
        <v>2035</v>
      </c>
      <c r="AL65" t="s">
        <v>159</v>
      </c>
      <c r="AM65">
        <v>0.58179999999999998</v>
      </c>
      <c r="AN65" t="s">
        <v>430</v>
      </c>
    </row>
    <row r="66" spans="37:40" x14ac:dyDescent="0.45">
      <c r="AK66">
        <v>2035</v>
      </c>
      <c r="AL66" t="s">
        <v>163</v>
      </c>
      <c r="AM66">
        <v>0.38450000000000001</v>
      </c>
      <c r="AN66" t="s">
        <v>430</v>
      </c>
    </row>
    <row r="67" spans="37:40" x14ac:dyDescent="0.45">
      <c r="AK67">
        <v>2036</v>
      </c>
      <c r="AL67" t="s">
        <v>151</v>
      </c>
      <c r="AM67">
        <v>0.25932500000000003</v>
      </c>
      <c r="AN67" t="s">
        <v>430</v>
      </c>
    </row>
    <row r="68" spans="37:40" x14ac:dyDescent="0.45">
      <c r="AK68">
        <v>2036</v>
      </c>
      <c r="AL68" t="s">
        <v>156</v>
      </c>
      <c r="AM68">
        <v>0.40975</v>
      </c>
      <c r="AN68" t="s">
        <v>430</v>
      </c>
    </row>
    <row r="69" spans="37:40" x14ac:dyDescent="0.45">
      <c r="AK69">
        <v>2036</v>
      </c>
      <c r="AL69" t="s">
        <v>159</v>
      </c>
      <c r="AM69">
        <v>0.61355000000000004</v>
      </c>
      <c r="AN69" t="s">
        <v>430</v>
      </c>
    </row>
    <row r="70" spans="37:40" x14ac:dyDescent="0.45">
      <c r="AK70">
        <v>2036</v>
      </c>
      <c r="AL70" t="s">
        <v>163</v>
      </c>
      <c r="AM70">
        <v>0.38747500000000001</v>
      </c>
      <c r="AN70" t="s">
        <v>430</v>
      </c>
    </row>
    <row r="71" spans="37:40" x14ac:dyDescent="0.45">
      <c r="AK71">
        <v>2037</v>
      </c>
      <c r="AL71" t="s">
        <v>151</v>
      </c>
      <c r="AM71">
        <v>0.28712499999999996</v>
      </c>
      <c r="AN71" t="s">
        <v>430</v>
      </c>
    </row>
    <row r="72" spans="37:40" x14ac:dyDescent="0.45">
      <c r="AK72">
        <v>2037</v>
      </c>
      <c r="AL72" t="s">
        <v>156</v>
      </c>
      <c r="AM72">
        <v>0.41910000000000003</v>
      </c>
      <c r="AN72" t="s">
        <v>430</v>
      </c>
    </row>
    <row r="73" spans="37:40" x14ac:dyDescent="0.45">
      <c r="AK73">
        <v>2037</v>
      </c>
      <c r="AL73" t="s">
        <v>159</v>
      </c>
      <c r="AM73">
        <v>0.57345000000000002</v>
      </c>
      <c r="AN73" t="s">
        <v>430</v>
      </c>
    </row>
    <row r="74" spans="37:40" x14ac:dyDescent="0.45">
      <c r="AK74">
        <v>2037</v>
      </c>
      <c r="AL74" t="s">
        <v>163</v>
      </c>
      <c r="AM74">
        <v>0.39419999999999999</v>
      </c>
      <c r="AN74" t="s">
        <v>430</v>
      </c>
    </row>
    <row r="75" spans="37:40" x14ac:dyDescent="0.45">
      <c r="AK75">
        <v>2038</v>
      </c>
      <c r="AL75" t="s">
        <v>151</v>
      </c>
      <c r="AM75">
        <v>0.28477500000000006</v>
      </c>
      <c r="AN75" t="s">
        <v>430</v>
      </c>
    </row>
    <row r="76" spans="37:40" x14ac:dyDescent="0.45">
      <c r="AK76">
        <v>2038</v>
      </c>
      <c r="AL76" t="s">
        <v>156</v>
      </c>
      <c r="AM76">
        <v>0.43779999999999997</v>
      </c>
      <c r="AN76" t="s">
        <v>430</v>
      </c>
    </row>
    <row r="77" spans="37:40" x14ac:dyDescent="0.45">
      <c r="AK77">
        <v>2038</v>
      </c>
      <c r="AL77" t="s">
        <v>159</v>
      </c>
      <c r="AM77">
        <v>0.64200000000000002</v>
      </c>
      <c r="AN77" t="s">
        <v>430</v>
      </c>
    </row>
    <row r="78" spans="37:40" x14ac:dyDescent="0.45">
      <c r="AK78">
        <v>2038</v>
      </c>
      <c r="AL78" t="s">
        <v>163</v>
      </c>
      <c r="AM78">
        <v>0.41485</v>
      </c>
      <c r="AN78" t="s">
        <v>430</v>
      </c>
    </row>
    <row r="79" spans="37:40" x14ac:dyDescent="0.45">
      <c r="AK79">
        <v>2039</v>
      </c>
      <c r="AL79" t="s">
        <v>151</v>
      </c>
      <c r="AM79">
        <v>0.27284999999999998</v>
      </c>
      <c r="AN79" t="s">
        <v>430</v>
      </c>
    </row>
    <row r="80" spans="37:40" x14ac:dyDescent="0.45">
      <c r="AK80">
        <v>2039</v>
      </c>
      <c r="AL80" t="s">
        <v>156</v>
      </c>
      <c r="AM80">
        <v>0.43369999999999997</v>
      </c>
      <c r="AN80" t="s">
        <v>430</v>
      </c>
    </row>
    <row r="81" spans="37:40" x14ac:dyDescent="0.45">
      <c r="AK81">
        <v>2039</v>
      </c>
      <c r="AL81" t="s">
        <v>159</v>
      </c>
      <c r="AM81">
        <v>0.56369999999999998</v>
      </c>
      <c r="AN81" t="s">
        <v>430</v>
      </c>
    </row>
    <row r="82" spans="37:40" x14ac:dyDescent="0.45">
      <c r="AK82">
        <v>2039</v>
      </c>
      <c r="AL82" t="s">
        <v>163</v>
      </c>
      <c r="AM82">
        <v>0.38417499999999999</v>
      </c>
      <c r="AN82" t="s">
        <v>430</v>
      </c>
    </row>
    <row r="83" spans="37:40" x14ac:dyDescent="0.45">
      <c r="AK83">
        <v>2040</v>
      </c>
      <c r="AL83" t="s">
        <v>151</v>
      </c>
      <c r="AM83">
        <v>0.26274999999999998</v>
      </c>
      <c r="AN83" t="s">
        <v>430</v>
      </c>
    </row>
    <row r="84" spans="37:40" x14ac:dyDescent="0.45">
      <c r="AK84">
        <v>2040</v>
      </c>
      <c r="AL84" t="s">
        <v>156</v>
      </c>
      <c r="AM84">
        <v>0.40459999999999996</v>
      </c>
      <c r="AN84" t="s">
        <v>430</v>
      </c>
    </row>
    <row r="85" spans="37:40" x14ac:dyDescent="0.45">
      <c r="AK85">
        <v>2040</v>
      </c>
      <c r="AL85" t="s">
        <v>159</v>
      </c>
      <c r="AM85">
        <v>0.60834999999999995</v>
      </c>
      <c r="AN85" t="s">
        <v>430</v>
      </c>
    </row>
    <row r="86" spans="37:40" x14ac:dyDescent="0.45">
      <c r="AK86">
        <v>2040</v>
      </c>
      <c r="AL86" t="s">
        <v>163</v>
      </c>
      <c r="AM86">
        <v>0.407775</v>
      </c>
      <c r="AN86" t="s">
        <v>430</v>
      </c>
    </row>
    <row r="87" spans="37:40" x14ac:dyDescent="0.45">
      <c r="AK87">
        <v>2041</v>
      </c>
      <c r="AL87" t="s">
        <v>151</v>
      </c>
      <c r="AM87">
        <v>0.22034999999999999</v>
      </c>
      <c r="AN87" t="s">
        <v>430</v>
      </c>
    </row>
    <row r="88" spans="37:40" x14ac:dyDescent="0.45">
      <c r="AK88">
        <v>2041</v>
      </c>
      <c r="AL88" t="s">
        <v>156</v>
      </c>
      <c r="AM88">
        <v>0.36909999999999998</v>
      </c>
      <c r="AN88" t="s">
        <v>430</v>
      </c>
    </row>
    <row r="89" spans="37:40" x14ac:dyDescent="0.45">
      <c r="AK89">
        <v>2041</v>
      </c>
      <c r="AL89" t="s">
        <v>159</v>
      </c>
      <c r="AM89">
        <v>0.50539999999999996</v>
      </c>
      <c r="AN89" t="s">
        <v>430</v>
      </c>
    </row>
    <row r="90" spans="37:40" x14ac:dyDescent="0.45">
      <c r="AK90">
        <v>2041</v>
      </c>
      <c r="AL90" t="s">
        <v>163</v>
      </c>
      <c r="AM90">
        <v>0.33782500000000004</v>
      </c>
      <c r="AN90" t="s">
        <v>430</v>
      </c>
    </row>
    <row r="91" spans="37:40" x14ac:dyDescent="0.45">
      <c r="AK91">
        <v>2042</v>
      </c>
      <c r="AL91" t="s">
        <v>151</v>
      </c>
      <c r="AM91">
        <v>0.22820000000000001</v>
      </c>
      <c r="AN91" t="s">
        <v>430</v>
      </c>
    </row>
    <row r="92" spans="37:40" x14ac:dyDescent="0.45">
      <c r="AK92">
        <v>2042</v>
      </c>
      <c r="AL92" t="s">
        <v>156</v>
      </c>
      <c r="AM92">
        <v>0.36</v>
      </c>
      <c r="AN92" t="s">
        <v>430</v>
      </c>
    </row>
    <row r="93" spans="37:40" x14ac:dyDescent="0.45">
      <c r="AK93">
        <v>2042</v>
      </c>
      <c r="AL93" t="s">
        <v>159</v>
      </c>
      <c r="AM93">
        <v>0.4713</v>
      </c>
      <c r="AN93" t="s">
        <v>430</v>
      </c>
    </row>
    <row r="94" spans="37:40" x14ac:dyDescent="0.45">
      <c r="AK94">
        <v>2042</v>
      </c>
      <c r="AL94" t="s">
        <v>163</v>
      </c>
      <c r="AM94">
        <v>0.32517499999999999</v>
      </c>
      <c r="AN94" t="s">
        <v>430</v>
      </c>
    </row>
    <row r="95" spans="37:40" x14ac:dyDescent="0.45">
      <c r="AK95">
        <v>2043</v>
      </c>
      <c r="AL95" t="s">
        <v>151</v>
      </c>
      <c r="AM95">
        <v>0.23709999999999998</v>
      </c>
      <c r="AN95" t="s">
        <v>430</v>
      </c>
    </row>
    <row r="96" spans="37:40" x14ac:dyDescent="0.45">
      <c r="AK96">
        <v>2043</v>
      </c>
      <c r="AL96" t="s">
        <v>156</v>
      </c>
      <c r="AM96">
        <v>0.33774999999999999</v>
      </c>
      <c r="AN96" t="s">
        <v>430</v>
      </c>
    </row>
    <row r="97" spans="37:40" x14ac:dyDescent="0.45">
      <c r="AK97">
        <v>2043</v>
      </c>
      <c r="AL97" t="s">
        <v>159</v>
      </c>
      <c r="AM97">
        <v>0.52729999999999999</v>
      </c>
      <c r="AN97" t="s">
        <v>430</v>
      </c>
    </row>
    <row r="98" spans="37:40" x14ac:dyDescent="0.45">
      <c r="AK98">
        <v>2043</v>
      </c>
      <c r="AL98" t="s">
        <v>163</v>
      </c>
      <c r="AM98">
        <v>0.34889999999999999</v>
      </c>
      <c r="AN98" t="s">
        <v>430</v>
      </c>
    </row>
    <row r="99" spans="37:40" x14ac:dyDescent="0.45">
      <c r="AK99">
        <v>2044</v>
      </c>
      <c r="AL99" t="s">
        <v>151</v>
      </c>
      <c r="AM99">
        <v>0.22825000000000001</v>
      </c>
      <c r="AN99" t="s">
        <v>430</v>
      </c>
    </row>
    <row r="100" spans="37:40" x14ac:dyDescent="0.45">
      <c r="AK100">
        <v>2044</v>
      </c>
      <c r="AL100" t="s">
        <v>156</v>
      </c>
      <c r="AM100">
        <v>0.39085000000000003</v>
      </c>
      <c r="AN100" t="s">
        <v>430</v>
      </c>
    </row>
    <row r="101" spans="37:40" x14ac:dyDescent="0.45">
      <c r="AK101">
        <v>2044</v>
      </c>
      <c r="AL101" t="s">
        <v>159</v>
      </c>
      <c r="AM101">
        <v>0.47714999999999996</v>
      </c>
      <c r="AN101" t="s">
        <v>430</v>
      </c>
    </row>
    <row r="102" spans="37:40" x14ac:dyDescent="0.45">
      <c r="AK102">
        <v>2044</v>
      </c>
      <c r="AL102" t="s">
        <v>163</v>
      </c>
      <c r="AM102">
        <v>0.33494999999999997</v>
      </c>
      <c r="AN102" t="s">
        <v>430</v>
      </c>
    </row>
    <row r="103" spans="37:40" x14ac:dyDescent="0.45">
      <c r="AK103">
        <v>2045</v>
      </c>
      <c r="AL103" t="s">
        <v>151</v>
      </c>
      <c r="AM103">
        <v>0.275725</v>
      </c>
      <c r="AN103" t="s">
        <v>430</v>
      </c>
    </row>
    <row r="104" spans="37:40" x14ac:dyDescent="0.45">
      <c r="AK104">
        <v>2045</v>
      </c>
      <c r="AL104" t="s">
        <v>156</v>
      </c>
      <c r="AM104">
        <v>0.41265000000000002</v>
      </c>
      <c r="AN104" t="s">
        <v>430</v>
      </c>
    </row>
    <row r="105" spans="37:40" x14ac:dyDescent="0.45">
      <c r="AK105">
        <v>2045</v>
      </c>
      <c r="AL105" t="s">
        <v>159</v>
      </c>
      <c r="AM105">
        <v>0.58099999999999996</v>
      </c>
      <c r="AN105" t="s">
        <v>430</v>
      </c>
    </row>
    <row r="106" spans="37:40" x14ac:dyDescent="0.45">
      <c r="AK106">
        <v>2045</v>
      </c>
      <c r="AL106" t="s">
        <v>163</v>
      </c>
      <c r="AM106">
        <v>0.4047</v>
      </c>
      <c r="AN106" t="s">
        <v>430</v>
      </c>
    </row>
    <row r="107" spans="37:40" x14ac:dyDescent="0.45">
      <c r="AK107">
        <v>2046</v>
      </c>
      <c r="AL107" t="s">
        <v>151</v>
      </c>
      <c r="AM107">
        <v>0.32130000000000003</v>
      </c>
      <c r="AN107" t="s">
        <v>430</v>
      </c>
    </row>
    <row r="108" spans="37:40" x14ac:dyDescent="0.45">
      <c r="AK108">
        <v>2046</v>
      </c>
      <c r="AL108" t="s">
        <v>156</v>
      </c>
      <c r="AM108">
        <v>0.52100000000000002</v>
      </c>
      <c r="AN108" t="s">
        <v>430</v>
      </c>
    </row>
    <row r="109" spans="37:40" x14ac:dyDescent="0.45">
      <c r="AK109">
        <v>2046</v>
      </c>
      <c r="AL109" t="s">
        <v>159</v>
      </c>
      <c r="AM109">
        <v>0.67869999999999997</v>
      </c>
      <c r="AN109" t="s">
        <v>430</v>
      </c>
    </row>
    <row r="110" spans="37:40" x14ac:dyDescent="0.45">
      <c r="AK110">
        <v>2046</v>
      </c>
      <c r="AL110" t="s">
        <v>163</v>
      </c>
      <c r="AM110">
        <v>0.44292499999999996</v>
      </c>
      <c r="AN110" t="s">
        <v>430</v>
      </c>
    </row>
    <row r="111" spans="37:40" x14ac:dyDescent="0.45">
      <c r="AK111">
        <v>2047</v>
      </c>
      <c r="AL111" t="s">
        <v>151</v>
      </c>
      <c r="AM111">
        <v>0.2918</v>
      </c>
      <c r="AN111" t="s">
        <v>430</v>
      </c>
    </row>
    <row r="112" spans="37:40" x14ac:dyDescent="0.45">
      <c r="AK112">
        <v>2047</v>
      </c>
      <c r="AL112" t="s">
        <v>156</v>
      </c>
      <c r="AM112">
        <v>0.43409999999999999</v>
      </c>
      <c r="AN112" t="s">
        <v>430</v>
      </c>
    </row>
    <row r="113" spans="37:40" x14ac:dyDescent="0.45">
      <c r="AK113">
        <v>2047</v>
      </c>
      <c r="AL113" t="s">
        <v>159</v>
      </c>
      <c r="AM113">
        <v>0.56614999999999993</v>
      </c>
      <c r="AN113" t="s">
        <v>430</v>
      </c>
    </row>
    <row r="114" spans="37:40" x14ac:dyDescent="0.45">
      <c r="AK114">
        <v>2047</v>
      </c>
      <c r="AL114" t="s">
        <v>163</v>
      </c>
      <c r="AM114">
        <v>0.40482499999999999</v>
      </c>
      <c r="AN114" t="s">
        <v>430</v>
      </c>
    </row>
    <row r="115" spans="37:40" x14ac:dyDescent="0.45">
      <c r="AK115">
        <v>2048</v>
      </c>
      <c r="AL115" t="s">
        <v>151</v>
      </c>
      <c r="AM115">
        <v>0.26824999999999999</v>
      </c>
      <c r="AN115" t="s">
        <v>430</v>
      </c>
    </row>
    <row r="116" spans="37:40" x14ac:dyDescent="0.45">
      <c r="AK116">
        <v>2048</v>
      </c>
      <c r="AL116" t="s">
        <v>156</v>
      </c>
      <c r="AM116">
        <v>0.43940000000000001</v>
      </c>
      <c r="AN116" t="s">
        <v>430</v>
      </c>
    </row>
    <row r="117" spans="37:40" x14ac:dyDescent="0.45">
      <c r="AK117">
        <v>2048</v>
      </c>
      <c r="AL117" t="s">
        <v>159</v>
      </c>
      <c r="AM117">
        <v>0.61214999999999997</v>
      </c>
      <c r="AN117" t="s">
        <v>430</v>
      </c>
    </row>
    <row r="118" spans="37:40" x14ac:dyDescent="0.45">
      <c r="AK118">
        <v>2048</v>
      </c>
      <c r="AL118" t="s">
        <v>163</v>
      </c>
      <c r="AM118">
        <v>0.398725</v>
      </c>
      <c r="AN118" t="s">
        <v>430</v>
      </c>
    </row>
    <row r="119" spans="37:40" x14ac:dyDescent="0.45">
      <c r="AK119">
        <v>2049</v>
      </c>
      <c r="AL119" t="s">
        <v>151</v>
      </c>
      <c r="AM119">
        <v>0.26687499999999997</v>
      </c>
      <c r="AN119" t="s">
        <v>430</v>
      </c>
    </row>
    <row r="120" spans="37:40" x14ac:dyDescent="0.45">
      <c r="AK120">
        <v>2049</v>
      </c>
      <c r="AL120" t="s">
        <v>156</v>
      </c>
      <c r="AM120">
        <v>0.44285000000000002</v>
      </c>
      <c r="AN120" t="s">
        <v>430</v>
      </c>
    </row>
    <row r="121" spans="37:40" x14ac:dyDescent="0.45">
      <c r="AK121">
        <v>2049</v>
      </c>
      <c r="AL121" t="s">
        <v>159</v>
      </c>
      <c r="AM121">
        <v>0.59175</v>
      </c>
      <c r="AN121" t="s">
        <v>430</v>
      </c>
    </row>
    <row r="122" spans="37:40" x14ac:dyDescent="0.45">
      <c r="AK122">
        <v>2049</v>
      </c>
      <c r="AL122" t="s">
        <v>163</v>
      </c>
      <c r="AM122">
        <v>0.40502499999999997</v>
      </c>
      <c r="AN122" t="s">
        <v>430</v>
      </c>
    </row>
    <row r="123" spans="37:40" x14ac:dyDescent="0.45">
      <c r="AK123">
        <v>2050</v>
      </c>
      <c r="AL123" t="s">
        <v>151</v>
      </c>
      <c r="AM123">
        <v>0.27407500000000001</v>
      </c>
      <c r="AN123" t="s">
        <v>430</v>
      </c>
    </row>
    <row r="124" spans="37:40" x14ac:dyDescent="0.45">
      <c r="AK124">
        <v>2050</v>
      </c>
      <c r="AL124" t="s">
        <v>156</v>
      </c>
      <c r="AM124">
        <v>0.44550000000000001</v>
      </c>
      <c r="AN124" t="s">
        <v>430</v>
      </c>
    </row>
    <row r="125" spans="37:40" x14ac:dyDescent="0.45">
      <c r="AK125">
        <v>2050</v>
      </c>
      <c r="AL125" t="s">
        <v>159</v>
      </c>
      <c r="AM125">
        <v>0.58374999999999999</v>
      </c>
      <c r="AN125" t="s">
        <v>430</v>
      </c>
    </row>
    <row r="126" spans="37:40" x14ac:dyDescent="0.45">
      <c r="AK126">
        <v>2050</v>
      </c>
      <c r="AL126" t="s">
        <v>163</v>
      </c>
      <c r="AM126">
        <v>0.40475000000000005</v>
      </c>
      <c r="AN126" t="s">
        <v>430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ECFAC-16A0-4A10-B1C8-F4D90DE79317}">
  <dimension ref="A9:AN12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126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122</v>
      </c>
      <c r="K10" t="s">
        <v>248</v>
      </c>
      <c r="L10" t="s">
        <v>30</v>
      </c>
      <c r="N10" t="s">
        <v>13</v>
      </c>
      <c r="O10" t="s">
        <v>122</v>
      </c>
      <c r="P10" t="s">
        <v>248</v>
      </c>
      <c r="Q10" t="s">
        <v>30</v>
      </c>
      <c r="S10" t="s">
        <v>13</v>
      </c>
      <c r="T10" t="s">
        <v>122</v>
      </c>
      <c r="U10" t="s">
        <v>248</v>
      </c>
      <c r="V10" t="s">
        <v>30</v>
      </c>
      <c r="X10" t="s">
        <v>421</v>
      </c>
      <c r="Y10" t="s">
        <v>248</v>
      </c>
      <c r="Z10" t="s">
        <v>122</v>
      </c>
      <c r="AA10" t="s">
        <v>13</v>
      </c>
      <c r="AC10" t="s">
        <v>13</v>
      </c>
      <c r="AD10" t="s">
        <v>122</v>
      </c>
      <c r="AE10" t="s">
        <v>248</v>
      </c>
      <c r="AG10" t="s">
        <v>13</v>
      </c>
      <c r="AH10" t="s">
        <v>122</v>
      </c>
      <c r="AI10" t="s">
        <v>427</v>
      </c>
      <c r="AK10" t="s">
        <v>47</v>
      </c>
      <c r="AL10" t="s">
        <v>122</v>
      </c>
      <c r="AM10" t="s">
        <v>428</v>
      </c>
      <c r="AN10" t="s">
        <v>429</v>
      </c>
    </row>
    <row r="11" spans="1:40" x14ac:dyDescent="0.45">
      <c r="A11" t="str">
        <f>IFERROR(IF(Veda!D5=A10,"ok","x"),"")</f>
        <v>x</v>
      </c>
      <c r="C11" t="s">
        <v>151</v>
      </c>
      <c r="D11" t="s">
        <v>152</v>
      </c>
      <c r="E11" t="s">
        <v>240</v>
      </c>
      <c r="F11" t="s">
        <v>2012</v>
      </c>
      <c r="G11" t="s">
        <v>152</v>
      </c>
      <c r="I11" t="s">
        <v>249</v>
      </c>
      <c r="J11" t="s">
        <v>250</v>
      </c>
      <c r="K11">
        <v>1.3291638022163278E-3</v>
      </c>
      <c r="L11" t="s">
        <v>251</v>
      </c>
      <c r="N11" t="s">
        <v>419</v>
      </c>
      <c r="O11" t="s">
        <v>250</v>
      </c>
      <c r="P11">
        <v>7.3541596548974297E-2</v>
      </c>
      <c r="Q11" t="s">
        <v>251</v>
      </c>
      <c r="S11" t="s">
        <v>420</v>
      </c>
      <c r="T11" t="s">
        <v>250</v>
      </c>
      <c r="U11">
        <v>6.7083546802039276E-2</v>
      </c>
      <c r="V11" t="s">
        <v>251</v>
      </c>
      <c r="X11">
        <v>9.5890410958904104E-2</v>
      </c>
      <c r="Y11">
        <v>3.7868880988489187E-2</v>
      </c>
      <c r="Z11" t="s">
        <v>250</v>
      </c>
      <c r="AA11" t="s">
        <v>25</v>
      </c>
      <c r="AC11" t="s">
        <v>22</v>
      </c>
      <c r="AD11" t="s">
        <v>250</v>
      </c>
      <c r="AE11">
        <v>9.1055234174128197E-2</v>
      </c>
      <c r="AG11" t="s">
        <v>97</v>
      </c>
      <c r="AH11" t="s">
        <v>250</v>
      </c>
      <c r="AI11">
        <v>0.31340463946995789</v>
      </c>
      <c r="AK11">
        <v>2020</v>
      </c>
      <c r="AL11" t="s">
        <v>151</v>
      </c>
      <c r="AM11">
        <v>0.28976434744107227</v>
      </c>
      <c r="AN11" t="s">
        <v>430</v>
      </c>
    </row>
    <row r="12" spans="1:40" x14ac:dyDescent="0.45">
      <c r="C12" t="s">
        <v>156</v>
      </c>
      <c r="E12" t="s">
        <v>241</v>
      </c>
      <c r="G12" t="s">
        <v>152</v>
      </c>
      <c r="I12" t="s">
        <v>249</v>
      </c>
      <c r="J12" t="s">
        <v>252</v>
      </c>
      <c r="K12">
        <v>1.111003080909541E-2</v>
      </c>
      <c r="L12" t="s">
        <v>251</v>
      </c>
      <c r="N12" t="s">
        <v>419</v>
      </c>
      <c r="O12" t="s">
        <v>252</v>
      </c>
      <c r="P12">
        <v>6.5571414160160695E-3</v>
      </c>
      <c r="Q12" t="s">
        <v>251</v>
      </c>
      <c r="S12" t="s">
        <v>420</v>
      </c>
      <c r="T12" t="s">
        <v>252</v>
      </c>
      <c r="U12">
        <v>8.5516204249195971E-3</v>
      </c>
      <c r="V12" t="s">
        <v>251</v>
      </c>
      <c r="X12">
        <v>1.3698630136986301E-2</v>
      </c>
      <c r="Y12">
        <v>2.2872485891156796E-2</v>
      </c>
      <c r="Z12" t="s">
        <v>252</v>
      </c>
      <c r="AA12" t="s">
        <v>25</v>
      </c>
      <c r="AC12" t="s">
        <v>22</v>
      </c>
      <c r="AD12" t="s">
        <v>252</v>
      </c>
      <c r="AE12">
        <v>1.5674501057043107E-2</v>
      </c>
      <c r="AG12" t="s">
        <v>97</v>
      </c>
      <c r="AH12" t="s">
        <v>252</v>
      </c>
      <c r="AI12">
        <v>0.19877758981031901</v>
      </c>
      <c r="AK12">
        <v>2020</v>
      </c>
      <c r="AL12" t="s">
        <v>156</v>
      </c>
      <c r="AM12">
        <v>0.4856063724137501</v>
      </c>
      <c r="AN12" t="s">
        <v>430</v>
      </c>
    </row>
    <row r="13" spans="1:40" x14ac:dyDescent="0.45">
      <c r="C13" t="s">
        <v>159</v>
      </c>
      <c r="E13" t="s">
        <v>242</v>
      </c>
      <c r="G13" t="s">
        <v>152</v>
      </c>
      <c r="I13" t="s">
        <v>249</v>
      </c>
      <c r="J13" t="s">
        <v>253</v>
      </c>
      <c r="K13">
        <v>2.6486078609398993E-2</v>
      </c>
      <c r="L13" t="s">
        <v>251</v>
      </c>
      <c r="N13" t="s">
        <v>419</v>
      </c>
      <c r="O13" t="s">
        <v>253</v>
      </c>
      <c r="P13">
        <v>4.7036334689272265E-3</v>
      </c>
      <c r="Q13" t="s">
        <v>251</v>
      </c>
      <c r="S13" t="s">
        <v>420</v>
      </c>
      <c r="T13" t="s">
        <v>253</v>
      </c>
      <c r="U13">
        <v>8.1592441898118116E-3</v>
      </c>
      <c r="V13" t="s">
        <v>251</v>
      </c>
      <c r="X13">
        <v>1.3698630136986301E-2</v>
      </c>
      <c r="Y13">
        <v>1.7502423986276511E-2</v>
      </c>
      <c r="Z13" t="s">
        <v>253</v>
      </c>
      <c r="AA13" t="s">
        <v>25</v>
      </c>
      <c r="AC13" t="s">
        <v>22</v>
      </c>
      <c r="AD13" t="s">
        <v>253</v>
      </c>
      <c r="AE13">
        <v>1.6274014465079634E-2</v>
      </c>
      <c r="AG13" t="s">
        <v>97</v>
      </c>
      <c r="AH13" t="s">
        <v>253</v>
      </c>
      <c r="AI13">
        <v>0.18770019952979444</v>
      </c>
      <c r="AK13">
        <v>2020</v>
      </c>
      <c r="AL13" t="s">
        <v>159</v>
      </c>
      <c r="AM13">
        <v>0.57323894914572482</v>
      </c>
      <c r="AN13" t="s">
        <v>430</v>
      </c>
    </row>
    <row r="14" spans="1:40" x14ac:dyDescent="0.45">
      <c r="C14" t="s">
        <v>163</v>
      </c>
      <c r="E14" t="s">
        <v>243</v>
      </c>
      <c r="G14" t="s">
        <v>152</v>
      </c>
      <c r="I14" t="s">
        <v>249</v>
      </c>
      <c r="J14" t="s">
        <v>254</v>
      </c>
      <c r="K14">
        <v>0.30529698262438298</v>
      </c>
      <c r="L14" t="s">
        <v>251</v>
      </c>
      <c r="N14" t="s">
        <v>419</v>
      </c>
      <c r="O14" t="s">
        <v>254</v>
      </c>
      <c r="P14">
        <v>3.592825453930696E-2</v>
      </c>
      <c r="Q14" t="s">
        <v>251</v>
      </c>
      <c r="S14" t="s">
        <v>420</v>
      </c>
      <c r="T14" t="s">
        <v>254</v>
      </c>
      <c r="U14">
        <v>5.9843020604650611E-2</v>
      </c>
      <c r="V14" t="s">
        <v>251</v>
      </c>
      <c r="X14">
        <v>0.1095890410958904</v>
      </c>
      <c r="Y14">
        <v>0.15147552395395669</v>
      </c>
      <c r="Z14" t="s">
        <v>254</v>
      </c>
      <c r="AA14" t="s">
        <v>25</v>
      </c>
      <c r="AC14" t="s">
        <v>22</v>
      </c>
      <c r="AD14" t="s">
        <v>254</v>
      </c>
      <c r="AE14">
        <v>0.13308828187249358</v>
      </c>
      <c r="AG14" t="s">
        <v>97</v>
      </c>
      <c r="AH14" t="s">
        <v>254</v>
      </c>
      <c r="AI14">
        <v>0.25939600245857863</v>
      </c>
      <c r="AK14">
        <v>2020</v>
      </c>
      <c r="AL14" t="s">
        <v>163</v>
      </c>
      <c r="AM14">
        <v>0.39261947301382405</v>
      </c>
      <c r="AN14" t="s">
        <v>430</v>
      </c>
    </row>
    <row r="15" spans="1:40" x14ac:dyDescent="0.45">
      <c r="E15" t="s">
        <v>244</v>
      </c>
      <c r="G15" t="s">
        <v>152</v>
      </c>
      <c r="I15" t="s">
        <v>249</v>
      </c>
      <c r="J15" t="s">
        <v>255</v>
      </c>
      <c r="K15">
        <v>2.54729204924398E-2</v>
      </c>
      <c r="L15" t="s">
        <v>251</v>
      </c>
      <c r="N15" t="s">
        <v>419</v>
      </c>
      <c r="O15" t="s">
        <v>255</v>
      </c>
      <c r="P15">
        <v>7.0966369761717102E-3</v>
      </c>
      <c r="Q15" t="s">
        <v>251</v>
      </c>
      <c r="S15" t="s">
        <v>420</v>
      </c>
      <c r="T15" t="s">
        <v>255</v>
      </c>
      <c r="U15">
        <v>9.2201172984317827E-3</v>
      </c>
      <c r="V15" t="s">
        <v>251</v>
      </c>
      <c r="X15">
        <v>1.3698630136986301E-2</v>
      </c>
      <c r="Y15">
        <v>2.6651418342739236E-2</v>
      </c>
      <c r="Z15" t="s">
        <v>255</v>
      </c>
      <c r="AA15" t="s">
        <v>25</v>
      </c>
      <c r="AC15" t="s">
        <v>22</v>
      </c>
      <c r="AD15" t="s">
        <v>255</v>
      </c>
      <c r="AE15">
        <v>8.2457275639214438E-3</v>
      </c>
      <c r="AG15" t="s">
        <v>97</v>
      </c>
      <c r="AH15" t="s">
        <v>255</v>
      </c>
      <c r="AI15">
        <v>0.20749045381121944</v>
      </c>
      <c r="AK15">
        <v>2021</v>
      </c>
      <c r="AL15" t="s">
        <v>151</v>
      </c>
      <c r="AM15">
        <v>0.25128996028298184</v>
      </c>
      <c r="AN15" t="s">
        <v>430</v>
      </c>
    </row>
    <row r="16" spans="1:40" x14ac:dyDescent="0.45">
      <c r="E16" t="s">
        <v>245</v>
      </c>
      <c r="G16" t="s">
        <v>152</v>
      </c>
      <c r="I16" t="s">
        <v>249</v>
      </c>
      <c r="J16" t="s">
        <v>256</v>
      </c>
      <c r="K16">
        <v>1.1585764070794509E-2</v>
      </c>
      <c r="L16" t="s">
        <v>251</v>
      </c>
      <c r="N16" t="s">
        <v>419</v>
      </c>
      <c r="O16" t="s">
        <v>256</v>
      </c>
      <c r="P16">
        <v>8.0259272310062274E-2</v>
      </c>
      <c r="Q16" t="s">
        <v>251</v>
      </c>
      <c r="S16" t="s">
        <v>420</v>
      </c>
      <c r="T16" t="s">
        <v>256</v>
      </c>
      <c r="U16">
        <v>6.0194009902175001E-2</v>
      </c>
      <c r="V16" t="s">
        <v>251</v>
      </c>
      <c r="X16">
        <v>8.2191780821917804E-2</v>
      </c>
      <c r="Y16">
        <v>7.2396390125052834E-2</v>
      </c>
      <c r="Z16" t="s">
        <v>256</v>
      </c>
      <c r="AA16" t="s">
        <v>25</v>
      </c>
      <c r="AC16" t="s">
        <v>22</v>
      </c>
      <c r="AD16" t="s">
        <v>256</v>
      </c>
      <c r="AE16">
        <v>3.6280022255087342E-2</v>
      </c>
      <c r="AG16" t="s">
        <v>97</v>
      </c>
      <c r="AH16" t="s">
        <v>256</v>
      </c>
      <c r="AI16">
        <v>0.48239598161582165</v>
      </c>
      <c r="AK16">
        <v>2021</v>
      </c>
      <c r="AL16" t="s">
        <v>156</v>
      </c>
      <c r="AM16">
        <v>0.42520104783927204</v>
      </c>
      <c r="AN16" t="s">
        <v>430</v>
      </c>
    </row>
    <row r="17" spans="9:40" x14ac:dyDescent="0.45">
      <c r="I17" t="s">
        <v>249</v>
      </c>
      <c r="J17" t="s">
        <v>259</v>
      </c>
      <c r="K17">
        <v>2.8107129889712187E-3</v>
      </c>
      <c r="L17" t="s">
        <v>251</v>
      </c>
      <c r="N17" t="s">
        <v>419</v>
      </c>
      <c r="O17" t="s">
        <v>259</v>
      </c>
      <c r="P17">
        <v>7.6683988825372945E-2</v>
      </c>
      <c r="Q17" t="s">
        <v>251</v>
      </c>
      <c r="S17" t="s">
        <v>420</v>
      </c>
      <c r="T17" t="s">
        <v>259</v>
      </c>
      <c r="U17">
        <v>6.9324325075588555E-2</v>
      </c>
      <c r="V17" t="s">
        <v>251</v>
      </c>
      <c r="X17">
        <v>4.8744292237442921E-2</v>
      </c>
      <c r="Y17">
        <v>1.9250014502482003E-2</v>
      </c>
      <c r="Z17" t="s">
        <v>259</v>
      </c>
      <c r="AA17" t="s">
        <v>25</v>
      </c>
      <c r="AC17" t="s">
        <v>22</v>
      </c>
      <c r="AD17" t="s">
        <v>259</v>
      </c>
      <c r="AE17">
        <v>6.519254532687116E-2</v>
      </c>
      <c r="AG17" t="s">
        <v>97</v>
      </c>
      <c r="AH17" t="s">
        <v>259</v>
      </c>
      <c r="AI17">
        <v>0.11603121018014484</v>
      </c>
      <c r="AK17">
        <v>2021</v>
      </c>
      <c r="AL17" t="s">
        <v>159</v>
      </c>
      <c r="AM17">
        <v>0.59935088517747204</v>
      </c>
      <c r="AN17" t="s">
        <v>430</v>
      </c>
    </row>
    <row r="18" spans="9:40" x14ac:dyDescent="0.45">
      <c r="I18" t="s">
        <v>249</v>
      </c>
      <c r="J18" t="s">
        <v>260</v>
      </c>
      <c r="K18">
        <v>8.3725005645677291E-3</v>
      </c>
      <c r="L18" t="s">
        <v>251</v>
      </c>
      <c r="N18" t="s">
        <v>419</v>
      </c>
      <c r="O18" t="s">
        <v>260</v>
      </c>
      <c r="P18">
        <v>9.517215128087203E-3</v>
      </c>
      <c r="Q18" t="s">
        <v>251</v>
      </c>
      <c r="S18" t="s">
        <v>420</v>
      </c>
      <c r="T18" t="s">
        <v>260</v>
      </c>
      <c r="U18">
        <v>8.6656999587655537E-3</v>
      </c>
      <c r="V18" t="s">
        <v>251</v>
      </c>
      <c r="X18">
        <v>6.9634703196347035E-3</v>
      </c>
      <c r="Y18">
        <v>1.1626846994671376E-2</v>
      </c>
      <c r="Z18" t="s">
        <v>260</v>
      </c>
      <c r="AA18" t="s">
        <v>25</v>
      </c>
      <c r="AC18" t="s">
        <v>22</v>
      </c>
      <c r="AD18" t="s">
        <v>260</v>
      </c>
      <c r="AE18">
        <v>1.0619636311418032E-2</v>
      </c>
      <c r="AG18" t="s">
        <v>97</v>
      </c>
      <c r="AH18" t="s">
        <v>260</v>
      </c>
      <c r="AI18">
        <v>3.4881002927453331E-2</v>
      </c>
      <c r="AK18">
        <v>2021</v>
      </c>
      <c r="AL18" t="s">
        <v>163</v>
      </c>
      <c r="AM18">
        <v>0.40695858062064322</v>
      </c>
      <c r="AN18" t="s">
        <v>430</v>
      </c>
    </row>
    <row r="19" spans="9:40" x14ac:dyDescent="0.45">
      <c r="I19" t="s">
        <v>249</v>
      </c>
      <c r="J19" t="s">
        <v>261</v>
      </c>
      <c r="K19">
        <v>1.2664835667177301E-2</v>
      </c>
      <c r="L19" t="s">
        <v>251</v>
      </c>
      <c r="N19" t="s">
        <v>419</v>
      </c>
      <c r="O19" t="s">
        <v>261</v>
      </c>
      <c r="P19">
        <v>1.0194002066023587E-2</v>
      </c>
      <c r="Q19" t="s">
        <v>251</v>
      </c>
      <c r="S19" t="s">
        <v>420</v>
      </c>
      <c r="T19" t="s">
        <v>261</v>
      </c>
      <c r="U19">
        <v>8.4785250708125526E-3</v>
      </c>
      <c r="V19" t="s">
        <v>251</v>
      </c>
      <c r="X19">
        <v>6.9634703196347035E-3</v>
      </c>
      <c r="Y19">
        <v>8.8970655263572278E-3</v>
      </c>
      <c r="Z19" t="s">
        <v>261</v>
      </c>
      <c r="AA19" t="s">
        <v>25</v>
      </c>
      <c r="AC19" t="s">
        <v>22</v>
      </c>
      <c r="AD19" t="s">
        <v>261</v>
      </c>
      <c r="AE19">
        <v>1.0729345314236031E-2</v>
      </c>
      <c r="AG19" t="s">
        <v>97</v>
      </c>
      <c r="AH19" t="s">
        <v>261</v>
      </c>
      <c r="AI19">
        <v>4.1117481935545985E-2</v>
      </c>
      <c r="AK19">
        <v>2022</v>
      </c>
      <c r="AL19" t="s">
        <v>151</v>
      </c>
      <c r="AM19">
        <v>0.28986997056841707</v>
      </c>
      <c r="AN19" t="s">
        <v>430</v>
      </c>
    </row>
    <row r="20" spans="9:40" x14ac:dyDescent="0.45">
      <c r="I20" t="s">
        <v>249</v>
      </c>
      <c r="J20" t="s">
        <v>262</v>
      </c>
      <c r="K20">
        <v>0.13708287383024781</v>
      </c>
      <c r="L20" t="s">
        <v>251</v>
      </c>
      <c r="N20" t="s">
        <v>419</v>
      </c>
      <c r="O20" t="s">
        <v>262</v>
      </c>
      <c r="P20">
        <v>8.0432516876513691E-2</v>
      </c>
      <c r="Q20" t="s">
        <v>251</v>
      </c>
      <c r="S20" t="s">
        <v>420</v>
      </c>
      <c r="T20" t="s">
        <v>262</v>
      </c>
      <c r="U20">
        <v>7.200206693579321E-2</v>
      </c>
      <c r="V20" t="s">
        <v>251</v>
      </c>
      <c r="X20">
        <v>5.5707762557077628E-2</v>
      </c>
      <c r="Y20">
        <v>7.7000058009927999E-2</v>
      </c>
      <c r="Z20" t="s">
        <v>262</v>
      </c>
      <c r="AA20" t="s">
        <v>25</v>
      </c>
      <c r="AC20" t="s">
        <v>22</v>
      </c>
      <c r="AD20" t="s">
        <v>262</v>
      </c>
      <c r="AE20">
        <v>8.6222484179356615E-2</v>
      </c>
      <c r="AG20" t="s">
        <v>97</v>
      </c>
      <c r="AH20" t="s">
        <v>262</v>
      </c>
      <c r="AI20">
        <v>0.11717309303082835</v>
      </c>
      <c r="AK20">
        <v>2022</v>
      </c>
      <c r="AL20" t="s">
        <v>156</v>
      </c>
      <c r="AM20">
        <v>0.40786549348052814</v>
      </c>
      <c r="AN20" t="s">
        <v>430</v>
      </c>
    </row>
    <row r="21" spans="9:40" x14ac:dyDescent="0.45">
      <c r="I21" t="s">
        <v>249</v>
      </c>
      <c r="J21" t="s">
        <v>263</v>
      </c>
      <c r="K21">
        <v>1.0842674499161382E-2</v>
      </c>
      <c r="L21" t="s">
        <v>251</v>
      </c>
      <c r="N21" t="s">
        <v>419</v>
      </c>
      <c r="O21" t="s">
        <v>263</v>
      </c>
      <c r="P21">
        <v>1.111593701554979E-2</v>
      </c>
      <c r="Q21" t="s">
        <v>251</v>
      </c>
      <c r="S21" t="s">
        <v>420</v>
      </c>
      <c r="T21" t="s">
        <v>263</v>
      </c>
      <c r="U21">
        <v>1.0172663491000202E-2</v>
      </c>
      <c r="V21" t="s">
        <v>251</v>
      </c>
      <c r="X21">
        <v>6.9634703196347035E-3</v>
      </c>
      <c r="Y21">
        <v>1.354780432422577E-2</v>
      </c>
      <c r="Z21" t="s">
        <v>263</v>
      </c>
      <c r="AA21" t="s">
        <v>25</v>
      </c>
      <c r="AC21" t="s">
        <v>22</v>
      </c>
      <c r="AD21" t="s">
        <v>263</v>
      </c>
      <c r="AE21">
        <v>6.5015924076928357E-3</v>
      </c>
      <c r="AG21" t="s">
        <v>97</v>
      </c>
      <c r="AH21" t="s">
        <v>263</v>
      </c>
      <c r="AI21">
        <v>8.1659542877799751E-2</v>
      </c>
      <c r="AK21">
        <v>2022</v>
      </c>
      <c r="AL21" t="s">
        <v>159</v>
      </c>
      <c r="AM21">
        <v>0.64955618404812976</v>
      </c>
      <c r="AN21" t="s">
        <v>430</v>
      </c>
    </row>
    <row r="22" spans="9:40" x14ac:dyDescent="0.45">
      <c r="I22" t="s">
        <v>249</v>
      </c>
      <c r="J22" t="s">
        <v>264</v>
      </c>
      <c r="K22">
        <v>8.5671833245019209E-3</v>
      </c>
      <c r="L22" t="s">
        <v>251</v>
      </c>
      <c r="N22" t="s">
        <v>419</v>
      </c>
      <c r="O22" t="s">
        <v>264</v>
      </c>
      <c r="P22">
        <v>7.8403094347226795E-2</v>
      </c>
      <c r="Q22" t="s">
        <v>251</v>
      </c>
      <c r="S22" t="s">
        <v>420</v>
      </c>
      <c r="T22" t="s">
        <v>264</v>
      </c>
      <c r="U22">
        <v>6.4101535791023637E-2</v>
      </c>
      <c r="V22" t="s">
        <v>251</v>
      </c>
      <c r="X22">
        <v>4.1780821917808221E-2</v>
      </c>
      <c r="Y22">
        <v>3.6801498313568527E-2</v>
      </c>
      <c r="Z22" t="s">
        <v>264</v>
      </c>
      <c r="AA22" t="s">
        <v>25</v>
      </c>
      <c r="AC22" t="s">
        <v>22</v>
      </c>
      <c r="AD22" t="s">
        <v>264</v>
      </c>
      <c r="AE22">
        <v>4.4652643734093819E-2</v>
      </c>
      <c r="AG22" t="s">
        <v>97</v>
      </c>
      <c r="AH22" t="s">
        <v>264</v>
      </c>
      <c r="AI22">
        <v>7.3812553388382662E-2</v>
      </c>
      <c r="AK22">
        <v>2022</v>
      </c>
      <c r="AL22" t="s">
        <v>163</v>
      </c>
      <c r="AM22">
        <v>0.44424528896236481</v>
      </c>
      <c r="AN22" t="s">
        <v>430</v>
      </c>
    </row>
    <row r="23" spans="9:40" x14ac:dyDescent="0.45">
      <c r="I23" t="s">
        <v>249</v>
      </c>
      <c r="J23" t="s">
        <v>267</v>
      </c>
      <c r="K23">
        <v>6.921494742284861E-4</v>
      </c>
      <c r="L23" t="s">
        <v>251</v>
      </c>
      <c r="N23" t="s">
        <v>419</v>
      </c>
      <c r="O23" t="s">
        <v>267</v>
      </c>
      <c r="P23">
        <v>8.6526982127424559E-2</v>
      </c>
      <c r="Q23" t="s">
        <v>251</v>
      </c>
      <c r="S23" t="s">
        <v>420</v>
      </c>
      <c r="T23" t="s">
        <v>267</v>
      </c>
      <c r="U23">
        <v>9.7837151988751425E-2</v>
      </c>
      <c r="V23" t="s">
        <v>251</v>
      </c>
      <c r="X23">
        <v>4.954337899543379E-2</v>
      </c>
      <c r="Y23">
        <v>1.956558851071941E-2</v>
      </c>
      <c r="Z23" t="s">
        <v>267</v>
      </c>
      <c r="AA23" t="s">
        <v>25</v>
      </c>
      <c r="AC23" t="s">
        <v>22</v>
      </c>
      <c r="AD23" t="s">
        <v>267</v>
      </c>
      <c r="AE23">
        <v>5.9157788508210594E-2</v>
      </c>
      <c r="AG23" t="s">
        <v>97</v>
      </c>
      <c r="AH23" t="s">
        <v>267</v>
      </c>
      <c r="AI23">
        <v>0.12112869070308596</v>
      </c>
      <c r="AK23">
        <v>2025</v>
      </c>
      <c r="AL23" t="s">
        <v>151</v>
      </c>
      <c r="AM23">
        <v>0.30974999999999997</v>
      </c>
      <c r="AN23" t="s">
        <v>430</v>
      </c>
    </row>
    <row r="24" spans="9:40" x14ac:dyDescent="0.45">
      <c r="I24" t="s">
        <v>249</v>
      </c>
      <c r="J24" t="s">
        <v>268</v>
      </c>
      <c r="K24">
        <v>3.1608024838670539E-3</v>
      </c>
      <c r="L24" t="s">
        <v>251</v>
      </c>
      <c r="N24" t="s">
        <v>419</v>
      </c>
      <c r="O24" t="s">
        <v>268</v>
      </c>
      <c r="P24">
        <v>1.1584414470717936E-2</v>
      </c>
      <c r="Q24" t="s">
        <v>251</v>
      </c>
      <c r="S24" t="s">
        <v>420</v>
      </c>
      <c r="T24" t="s">
        <v>268</v>
      </c>
      <c r="U24">
        <v>1.3129240963700814E-2</v>
      </c>
      <c r="V24" t="s">
        <v>251</v>
      </c>
      <c r="X24">
        <v>7.0776255707762558E-3</v>
      </c>
      <c r="Y24">
        <v>1.1817451043764349E-2</v>
      </c>
      <c r="Z24" t="s">
        <v>268</v>
      </c>
      <c r="AA24" t="s">
        <v>25</v>
      </c>
      <c r="AC24" t="s">
        <v>22</v>
      </c>
      <c r="AD24" t="s">
        <v>268</v>
      </c>
      <c r="AE24">
        <v>9.4952431575084859E-3</v>
      </c>
      <c r="AG24" t="s">
        <v>97</v>
      </c>
      <c r="AH24" t="s">
        <v>268</v>
      </c>
      <c r="AI24">
        <v>5.2219164501109416E-2</v>
      </c>
      <c r="AK24">
        <v>2025</v>
      </c>
      <c r="AL24" t="s">
        <v>156</v>
      </c>
      <c r="AM24">
        <v>0.46619999999999995</v>
      </c>
      <c r="AN24" t="s">
        <v>430</v>
      </c>
    </row>
    <row r="25" spans="9:40" x14ac:dyDescent="0.45">
      <c r="I25" t="s">
        <v>249</v>
      </c>
      <c r="J25" t="s">
        <v>269</v>
      </c>
      <c r="K25">
        <v>6.2661691827385294E-3</v>
      </c>
      <c r="L25" t="s">
        <v>251</v>
      </c>
      <c r="N25" t="s">
        <v>419</v>
      </c>
      <c r="O25" t="s">
        <v>269</v>
      </c>
      <c r="P25">
        <v>1.3139419491385002E-2</v>
      </c>
      <c r="Q25" t="s">
        <v>251</v>
      </c>
      <c r="S25" t="s">
        <v>420</v>
      </c>
      <c r="T25" t="s">
        <v>269</v>
      </c>
      <c r="U25">
        <v>1.3012699245538368E-2</v>
      </c>
      <c r="V25" t="s">
        <v>251</v>
      </c>
      <c r="X25">
        <v>7.0776255707762558E-3</v>
      </c>
      <c r="Y25">
        <v>9.0429190595761998E-3</v>
      </c>
      <c r="Z25" t="s">
        <v>269</v>
      </c>
      <c r="AA25" t="s">
        <v>25</v>
      </c>
      <c r="AC25" t="s">
        <v>22</v>
      </c>
      <c r="AD25" t="s">
        <v>269</v>
      </c>
      <c r="AE25">
        <v>9.5841880018465511E-3</v>
      </c>
      <c r="AG25" t="s">
        <v>97</v>
      </c>
      <c r="AH25" t="s">
        <v>269</v>
      </c>
      <c r="AI25">
        <v>8.0436512854532349E-2</v>
      </c>
      <c r="AK25">
        <v>2025</v>
      </c>
      <c r="AL25" t="s">
        <v>159</v>
      </c>
      <c r="AM25">
        <v>0.68605000000000005</v>
      </c>
      <c r="AN25" t="s">
        <v>430</v>
      </c>
    </row>
    <row r="26" spans="9:40" x14ac:dyDescent="0.45">
      <c r="I26" t="s">
        <v>249</v>
      </c>
      <c r="J26" t="s">
        <v>270</v>
      </c>
      <c r="K26">
        <v>8.9012579531307631E-2</v>
      </c>
      <c r="L26" t="s">
        <v>251</v>
      </c>
      <c r="N26" t="s">
        <v>419</v>
      </c>
      <c r="O26" t="s">
        <v>270</v>
      </c>
      <c r="P26">
        <v>0.11097744425778676</v>
      </c>
      <c r="Q26" t="s">
        <v>251</v>
      </c>
      <c r="S26" t="s">
        <v>420</v>
      </c>
      <c r="T26" t="s">
        <v>270</v>
      </c>
      <c r="U26">
        <v>0.10532487211253123</v>
      </c>
      <c r="V26" t="s">
        <v>251</v>
      </c>
      <c r="X26">
        <v>5.6621004566210047E-2</v>
      </c>
      <c r="Y26">
        <v>7.8262354042877638E-2</v>
      </c>
      <c r="Z26" t="s">
        <v>270</v>
      </c>
      <c r="AA26" t="s">
        <v>25</v>
      </c>
      <c r="AC26" t="s">
        <v>22</v>
      </c>
      <c r="AD26" t="s">
        <v>270</v>
      </c>
      <c r="AE26">
        <v>7.9261935689535823E-2</v>
      </c>
      <c r="AG26" t="s">
        <v>97</v>
      </c>
      <c r="AH26" t="s">
        <v>270</v>
      </c>
      <c r="AI26">
        <v>0.14032697115261983</v>
      </c>
      <c r="AK26">
        <v>2025</v>
      </c>
      <c r="AL26" t="s">
        <v>163</v>
      </c>
      <c r="AM26">
        <v>0.49545</v>
      </c>
      <c r="AN26" t="s">
        <v>430</v>
      </c>
    </row>
    <row r="27" spans="9:40" x14ac:dyDescent="0.45">
      <c r="I27" t="s">
        <v>249</v>
      </c>
      <c r="J27" t="s">
        <v>271</v>
      </c>
      <c r="K27">
        <v>5.8152621637951795E-3</v>
      </c>
      <c r="L27" t="s">
        <v>251</v>
      </c>
      <c r="N27" t="s">
        <v>419</v>
      </c>
      <c r="O27" t="s">
        <v>271</v>
      </c>
      <c r="P27">
        <v>1.3610491437532598E-2</v>
      </c>
      <c r="Q27" t="s">
        <v>251</v>
      </c>
      <c r="S27" t="s">
        <v>420</v>
      </c>
      <c r="T27" t="s">
        <v>271</v>
      </c>
      <c r="U27">
        <v>1.3639740117853681E-2</v>
      </c>
      <c r="V27" t="s">
        <v>251</v>
      </c>
      <c r="X27">
        <v>7.0776255707762558E-3</v>
      </c>
      <c r="Y27">
        <v>1.376989947708193E-2</v>
      </c>
      <c r="Z27" t="s">
        <v>271</v>
      </c>
      <c r="AA27" t="s">
        <v>25</v>
      </c>
      <c r="AC27" t="s">
        <v>22</v>
      </c>
      <c r="AD27" t="s">
        <v>271</v>
      </c>
      <c r="AE27">
        <v>5.7473944408995619E-3</v>
      </c>
      <c r="AG27" t="s">
        <v>97</v>
      </c>
      <c r="AH27" t="s">
        <v>271</v>
      </c>
      <c r="AI27">
        <v>6.8901663485101849E-2</v>
      </c>
      <c r="AK27">
        <v>2026</v>
      </c>
      <c r="AL27" t="s">
        <v>151</v>
      </c>
      <c r="AM27">
        <v>0.30145</v>
      </c>
      <c r="AN27" t="s">
        <v>430</v>
      </c>
    </row>
    <row r="28" spans="9:40" x14ac:dyDescent="0.45">
      <c r="I28" t="s">
        <v>249</v>
      </c>
      <c r="J28" t="s">
        <v>272</v>
      </c>
      <c r="K28">
        <v>3.3001690616260848E-3</v>
      </c>
      <c r="L28" t="s">
        <v>251</v>
      </c>
      <c r="N28" t="s">
        <v>419</v>
      </c>
      <c r="O28" t="s">
        <v>272</v>
      </c>
      <c r="P28">
        <v>8.2656523708895535E-2</v>
      </c>
      <c r="Q28" t="s">
        <v>251</v>
      </c>
      <c r="S28" t="s">
        <v>420</v>
      </c>
      <c r="T28" t="s">
        <v>272</v>
      </c>
      <c r="U28">
        <v>8.2972967088486962E-2</v>
      </c>
      <c r="V28" t="s">
        <v>251</v>
      </c>
      <c r="X28">
        <v>4.2465753424657533E-2</v>
      </c>
      <c r="Y28">
        <v>3.7404801564610637E-2</v>
      </c>
      <c r="Z28" t="s">
        <v>272</v>
      </c>
      <c r="AA28" t="s">
        <v>25</v>
      </c>
      <c r="AC28" t="s">
        <v>22</v>
      </c>
      <c r="AD28" t="s">
        <v>272</v>
      </c>
      <c r="AE28">
        <v>3.1893724524187421E-2</v>
      </c>
      <c r="AG28" t="s">
        <v>97</v>
      </c>
      <c r="AH28" t="s">
        <v>272</v>
      </c>
      <c r="AI28">
        <v>0.20308169632395123</v>
      </c>
      <c r="AK28">
        <v>2026</v>
      </c>
      <c r="AL28" t="s">
        <v>156</v>
      </c>
      <c r="AM28">
        <v>0.45799999999999996</v>
      </c>
      <c r="AN28" t="s">
        <v>430</v>
      </c>
    </row>
    <row r="29" spans="9:40" x14ac:dyDescent="0.45">
      <c r="I29" t="s">
        <v>249</v>
      </c>
      <c r="J29" t="s">
        <v>275</v>
      </c>
      <c r="K29">
        <v>1.1338820863141007E-3</v>
      </c>
      <c r="L29" t="s">
        <v>251</v>
      </c>
      <c r="N29" t="s">
        <v>419</v>
      </c>
      <c r="O29" t="s">
        <v>275</v>
      </c>
      <c r="P29">
        <v>6.5542510306783E-2</v>
      </c>
      <c r="Q29" t="s">
        <v>251</v>
      </c>
      <c r="S29" t="s">
        <v>420</v>
      </c>
      <c r="T29" t="s">
        <v>275</v>
      </c>
      <c r="U29">
        <v>6.9450872900919988E-2</v>
      </c>
      <c r="V29" t="s">
        <v>251</v>
      </c>
      <c r="X29">
        <v>9.7488584474885842E-2</v>
      </c>
      <c r="Y29">
        <v>3.8500029004964E-2</v>
      </c>
      <c r="Z29" t="s">
        <v>275</v>
      </c>
      <c r="AA29" t="s">
        <v>25</v>
      </c>
      <c r="AC29" t="s">
        <v>22</v>
      </c>
      <c r="AD29" t="s">
        <v>275</v>
      </c>
      <c r="AE29">
        <v>8.8103158463667786E-2</v>
      </c>
      <c r="AG29" t="s">
        <v>97</v>
      </c>
      <c r="AH29" t="s">
        <v>275</v>
      </c>
      <c r="AI29">
        <v>0.18768818983303692</v>
      </c>
      <c r="AK29">
        <v>2026</v>
      </c>
      <c r="AL29" t="s">
        <v>159</v>
      </c>
      <c r="AM29">
        <v>0.66755000000000009</v>
      </c>
      <c r="AN29" t="s">
        <v>430</v>
      </c>
    </row>
    <row r="30" spans="9:40" x14ac:dyDescent="0.45">
      <c r="I30" t="s">
        <v>249</v>
      </c>
      <c r="J30" t="s">
        <v>276</v>
      </c>
      <c r="K30">
        <v>1.0718920753429926E-2</v>
      </c>
      <c r="L30" t="s">
        <v>251</v>
      </c>
      <c r="N30" t="s">
        <v>419</v>
      </c>
      <c r="O30" t="s">
        <v>276</v>
      </c>
      <c r="P30">
        <v>7.8343791894112426E-3</v>
      </c>
      <c r="Q30" t="s">
        <v>251</v>
      </c>
      <c r="S30" t="s">
        <v>420</v>
      </c>
      <c r="T30" t="s">
        <v>276</v>
      </c>
      <c r="U30">
        <v>9.8294296377199712E-3</v>
      </c>
      <c r="V30" t="s">
        <v>251</v>
      </c>
      <c r="X30">
        <v>1.3926940639269407E-2</v>
      </c>
      <c r="Y30">
        <v>2.3253693989342742E-2</v>
      </c>
      <c r="Z30" t="s">
        <v>276</v>
      </c>
      <c r="AA30" t="s">
        <v>25</v>
      </c>
      <c r="AC30" t="s">
        <v>22</v>
      </c>
      <c r="AD30" t="s">
        <v>276</v>
      </c>
      <c r="AE30">
        <v>1.4855513145013844E-2</v>
      </c>
      <c r="AG30" t="s">
        <v>97</v>
      </c>
      <c r="AH30" t="s">
        <v>276</v>
      </c>
      <c r="AI30">
        <v>0.11850807900824756</v>
      </c>
      <c r="AK30">
        <v>2026</v>
      </c>
      <c r="AL30" t="s">
        <v>163</v>
      </c>
      <c r="AM30">
        <v>0.4718</v>
      </c>
      <c r="AN30" t="s">
        <v>430</v>
      </c>
    </row>
    <row r="31" spans="9:40" x14ac:dyDescent="0.45">
      <c r="I31" t="s">
        <v>249</v>
      </c>
      <c r="J31" t="s">
        <v>277</v>
      </c>
      <c r="K31">
        <v>2.5126159372480261E-2</v>
      </c>
      <c r="L31" t="s">
        <v>251</v>
      </c>
      <c r="N31" t="s">
        <v>419</v>
      </c>
      <c r="O31" t="s">
        <v>277</v>
      </c>
      <c r="P31">
        <v>7.0882086131648552E-3</v>
      </c>
      <c r="Q31" t="s">
        <v>251</v>
      </c>
      <c r="S31" t="s">
        <v>420</v>
      </c>
      <c r="T31" t="s">
        <v>277</v>
      </c>
      <c r="U31">
        <v>9.684465049147056E-3</v>
      </c>
      <c r="V31" t="s">
        <v>251</v>
      </c>
      <c r="X31">
        <v>1.3926940639269407E-2</v>
      </c>
      <c r="Y31">
        <v>1.7794131052714456E-2</v>
      </c>
      <c r="Z31" t="s">
        <v>277</v>
      </c>
      <c r="AA31" t="s">
        <v>25</v>
      </c>
      <c r="AC31" t="s">
        <v>22</v>
      </c>
      <c r="AD31" t="s">
        <v>277</v>
      </c>
      <c r="AE31">
        <v>1.5187380928799744E-2</v>
      </c>
      <c r="AG31" t="s">
        <v>97</v>
      </c>
      <c r="AH31" t="s">
        <v>277</v>
      </c>
      <c r="AI31">
        <v>0.11666236706978839</v>
      </c>
      <c r="AK31">
        <v>2027</v>
      </c>
      <c r="AL31" t="s">
        <v>151</v>
      </c>
      <c r="AM31">
        <v>0.31407499999999999</v>
      </c>
      <c r="AN31" t="s">
        <v>430</v>
      </c>
    </row>
    <row r="32" spans="9:40" x14ac:dyDescent="0.45">
      <c r="I32" t="s">
        <v>249</v>
      </c>
      <c r="J32" t="s">
        <v>278</v>
      </c>
      <c r="K32">
        <v>0.27424160346493909</v>
      </c>
      <c r="L32" t="s">
        <v>251</v>
      </c>
      <c r="N32" t="s">
        <v>419</v>
      </c>
      <c r="O32" t="s">
        <v>278</v>
      </c>
      <c r="P32">
        <v>5.4200955574645951E-2</v>
      </c>
      <c r="Q32" t="s">
        <v>251</v>
      </c>
      <c r="S32" t="s">
        <v>420</v>
      </c>
      <c r="T32" t="s">
        <v>278</v>
      </c>
      <c r="U32">
        <v>7.1988742582666534E-2</v>
      </c>
      <c r="V32" t="s">
        <v>251</v>
      </c>
      <c r="X32">
        <v>0.11141552511415526</v>
      </c>
      <c r="Y32">
        <v>0.154000116019856</v>
      </c>
      <c r="Z32" t="s">
        <v>278</v>
      </c>
      <c r="AA32" t="s">
        <v>25</v>
      </c>
      <c r="AC32" t="s">
        <v>22</v>
      </c>
      <c r="AD32" t="s">
        <v>278</v>
      </c>
      <c r="AE32">
        <v>0.12594469086169094</v>
      </c>
      <c r="AG32" t="s">
        <v>97</v>
      </c>
      <c r="AH32" t="s">
        <v>278</v>
      </c>
      <c r="AI32">
        <v>0.22512149981551599</v>
      </c>
      <c r="AK32">
        <v>2027</v>
      </c>
      <c r="AL32" t="s">
        <v>156</v>
      </c>
      <c r="AM32">
        <v>0.46779999999999999</v>
      </c>
      <c r="AN32" t="s">
        <v>430</v>
      </c>
    </row>
    <row r="33" spans="9:40" x14ac:dyDescent="0.45">
      <c r="I33" t="s">
        <v>249</v>
      </c>
      <c r="J33" t="s">
        <v>279</v>
      </c>
      <c r="K33">
        <v>1.6368914020064681E-2</v>
      </c>
      <c r="L33" t="s">
        <v>251</v>
      </c>
      <c r="N33" t="s">
        <v>419</v>
      </c>
      <c r="O33" t="s">
        <v>279</v>
      </c>
      <c r="P33">
        <v>7.4654661959961763E-3</v>
      </c>
      <c r="Q33" t="s">
        <v>251</v>
      </c>
      <c r="S33" t="s">
        <v>420</v>
      </c>
      <c r="T33" t="s">
        <v>279</v>
      </c>
      <c r="U33">
        <v>9.3228619962825911E-3</v>
      </c>
      <c r="V33" t="s">
        <v>251</v>
      </c>
      <c r="X33">
        <v>1.3926940639269407E-2</v>
      </c>
      <c r="Y33">
        <v>2.7095608648451557E-2</v>
      </c>
      <c r="Z33" t="s">
        <v>279</v>
      </c>
      <c r="AA33" t="s">
        <v>25</v>
      </c>
      <c r="AC33" t="s">
        <v>22</v>
      </c>
      <c r="AD33" t="s">
        <v>279</v>
      </c>
      <c r="AE33">
        <v>7.3280951368063412E-3</v>
      </c>
      <c r="AG33" t="s">
        <v>97</v>
      </c>
      <c r="AH33" t="s">
        <v>279</v>
      </c>
      <c r="AI33">
        <v>0.10269927428080661</v>
      </c>
      <c r="AK33">
        <v>2027</v>
      </c>
      <c r="AL33" t="s">
        <v>159</v>
      </c>
      <c r="AM33">
        <v>0.64270000000000005</v>
      </c>
      <c r="AN33" t="s">
        <v>430</v>
      </c>
    </row>
    <row r="34" spans="9:40" x14ac:dyDescent="0.45">
      <c r="I34" t="s">
        <v>249</v>
      </c>
      <c r="J34" t="s">
        <v>280</v>
      </c>
      <c r="K34">
        <v>2.5416671220648357E-3</v>
      </c>
      <c r="L34" t="s">
        <v>251</v>
      </c>
      <c r="N34" t="s">
        <v>419</v>
      </c>
      <c r="O34" t="s">
        <v>280</v>
      </c>
      <c r="P34">
        <v>6.4939915107821794E-2</v>
      </c>
      <c r="Q34" t="s">
        <v>251</v>
      </c>
      <c r="S34" t="s">
        <v>420</v>
      </c>
      <c r="T34" t="s">
        <v>280</v>
      </c>
      <c r="U34">
        <v>5.8010580771185066E-2</v>
      </c>
      <c r="V34" t="s">
        <v>251</v>
      </c>
      <c r="X34">
        <v>8.3561643835616442E-2</v>
      </c>
      <c r="Y34">
        <v>7.3602996627137054E-2</v>
      </c>
      <c r="Z34" t="s">
        <v>280</v>
      </c>
      <c r="AA34" t="s">
        <v>25</v>
      </c>
      <c r="AC34" t="s">
        <v>22</v>
      </c>
      <c r="AD34" t="s">
        <v>280</v>
      </c>
      <c r="AE34">
        <v>2.8904858480411147E-2</v>
      </c>
      <c r="AG34" t="s">
        <v>97</v>
      </c>
      <c r="AH34" t="s">
        <v>280</v>
      </c>
      <c r="AI34">
        <v>0.24161494748736456</v>
      </c>
      <c r="AK34">
        <v>2027</v>
      </c>
      <c r="AL34" t="s">
        <v>163</v>
      </c>
      <c r="AM34">
        <v>0.43180000000000002</v>
      </c>
      <c r="AN34" t="s">
        <v>430</v>
      </c>
    </row>
    <row r="35" spans="9:40" x14ac:dyDescent="0.45">
      <c r="AC35" t="s">
        <v>19</v>
      </c>
      <c r="AD35" t="s">
        <v>250</v>
      </c>
      <c r="AE35">
        <v>9.601363240006619E-2</v>
      </c>
      <c r="AK35">
        <v>2028</v>
      </c>
      <c r="AL35" t="s">
        <v>151</v>
      </c>
      <c r="AM35">
        <v>0.27312500000000001</v>
      </c>
      <c r="AN35" t="s">
        <v>430</v>
      </c>
    </row>
    <row r="36" spans="9:40" x14ac:dyDescent="0.45">
      <c r="AC36" t="s">
        <v>19</v>
      </c>
      <c r="AD36" t="s">
        <v>252</v>
      </c>
      <c r="AE36">
        <v>1.3842855459821746E-2</v>
      </c>
      <c r="AK36">
        <v>2028</v>
      </c>
      <c r="AL36" t="s">
        <v>156</v>
      </c>
      <c r="AM36">
        <v>0.45724999999999999</v>
      </c>
      <c r="AN36" t="s">
        <v>430</v>
      </c>
    </row>
    <row r="37" spans="9:40" x14ac:dyDescent="0.45">
      <c r="AC37" t="s">
        <v>19</v>
      </c>
      <c r="AD37" t="s">
        <v>253</v>
      </c>
      <c r="AE37">
        <v>1.3871322963280168E-2</v>
      </c>
      <c r="AK37">
        <v>2028</v>
      </c>
      <c r="AL37" t="s">
        <v>159</v>
      </c>
      <c r="AM37">
        <v>0.58745000000000003</v>
      </c>
      <c r="AN37" t="s">
        <v>430</v>
      </c>
    </row>
    <row r="38" spans="9:40" x14ac:dyDescent="0.45">
      <c r="AC38" t="s">
        <v>19</v>
      </c>
      <c r="AD38" t="s">
        <v>254</v>
      </c>
      <c r="AE38">
        <v>0.11110810626843751</v>
      </c>
      <c r="AK38">
        <v>2028</v>
      </c>
      <c r="AL38" t="s">
        <v>163</v>
      </c>
      <c r="AM38">
        <v>0.41455000000000003</v>
      </c>
      <c r="AN38" t="s">
        <v>430</v>
      </c>
    </row>
    <row r="39" spans="9:40" x14ac:dyDescent="0.45">
      <c r="AC39" t="s">
        <v>19</v>
      </c>
      <c r="AD39" t="s">
        <v>255</v>
      </c>
      <c r="AE39">
        <v>1.3490104992071764E-2</v>
      </c>
      <c r="AK39">
        <v>2029</v>
      </c>
      <c r="AL39" t="s">
        <v>151</v>
      </c>
      <c r="AM39">
        <v>0.26454999999999995</v>
      </c>
      <c r="AN39" t="s">
        <v>430</v>
      </c>
    </row>
    <row r="40" spans="9:40" x14ac:dyDescent="0.45">
      <c r="AC40" t="s">
        <v>19</v>
      </c>
      <c r="AD40" t="s">
        <v>256</v>
      </c>
      <c r="AE40">
        <v>8.0314105168154834E-2</v>
      </c>
      <c r="AK40">
        <v>2029</v>
      </c>
      <c r="AL40" t="s">
        <v>156</v>
      </c>
      <c r="AM40">
        <v>0.40090000000000003</v>
      </c>
      <c r="AN40" t="s">
        <v>430</v>
      </c>
    </row>
    <row r="41" spans="9:40" x14ac:dyDescent="0.45">
      <c r="AC41" t="s">
        <v>19</v>
      </c>
      <c r="AD41" t="s">
        <v>259</v>
      </c>
      <c r="AE41">
        <v>4.8813473302327569E-2</v>
      </c>
      <c r="AK41">
        <v>2029</v>
      </c>
      <c r="AL41" t="s">
        <v>159</v>
      </c>
      <c r="AM41">
        <v>0.61270000000000002</v>
      </c>
      <c r="AN41" t="s">
        <v>430</v>
      </c>
    </row>
    <row r="42" spans="9:40" x14ac:dyDescent="0.45">
      <c r="AC42" t="s">
        <v>19</v>
      </c>
      <c r="AD42" t="s">
        <v>260</v>
      </c>
      <c r="AE42">
        <v>7.0353876198833319E-3</v>
      </c>
      <c r="AK42">
        <v>2029</v>
      </c>
      <c r="AL42" t="s">
        <v>163</v>
      </c>
      <c r="AM42">
        <v>0.37512499999999999</v>
      </c>
      <c r="AN42" t="s">
        <v>430</v>
      </c>
    </row>
    <row r="43" spans="9:40" x14ac:dyDescent="0.45">
      <c r="AC43" t="s">
        <v>19</v>
      </c>
      <c r="AD43" t="s">
        <v>261</v>
      </c>
      <c r="AE43">
        <v>7.0405970803812546E-3</v>
      </c>
      <c r="AK43">
        <v>2030</v>
      </c>
      <c r="AL43" t="s">
        <v>151</v>
      </c>
      <c r="AM43">
        <v>0.2802</v>
      </c>
      <c r="AN43" t="s">
        <v>430</v>
      </c>
    </row>
    <row r="44" spans="9:40" x14ac:dyDescent="0.45">
      <c r="AC44" t="s">
        <v>19</v>
      </c>
      <c r="AD44" t="s">
        <v>262</v>
      </c>
      <c r="AE44">
        <v>5.6343187353644103E-2</v>
      </c>
      <c r="AK44">
        <v>2030</v>
      </c>
      <c r="AL44" t="s">
        <v>156</v>
      </c>
      <c r="AM44">
        <v>0.40065000000000001</v>
      </c>
      <c r="AN44" t="s">
        <v>430</v>
      </c>
    </row>
    <row r="45" spans="9:40" x14ac:dyDescent="0.45">
      <c r="AC45" t="s">
        <v>19</v>
      </c>
      <c r="AD45" t="s">
        <v>263</v>
      </c>
      <c r="AE45">
        <v>6.8398449889767576E-3</v>
      </c>
      <c r="AK45">
        <v>2030</v>
      </c>
      <c r="AL45" t="s">
        <v>159</v>
      </c>
      <c r="AM45">
        <v>0.62555000000000005</v>
      </c>
      <c r="AN45" t="s">
        <v>430</v>
      </c>
    </row>
    <row r="46" spans="9:40" x14ac:dyDescent="0.45">
      <c r="AC46" t="s">
        <v>19</v>
      </c>
      <c r="AD46" t="s">
        <v>264</v>
      </c>
      <c r="AE46">
        <v>4.1307028350915216E-2</v>
      </c>
      <c r="AK46">
        <v>2030</v>
      </c>
      <c r="AL46" t="s">
        <v>163</v>
      </c>
      <c r="AM46">
        <v>0.39254999999999995</v>
      </c>
      <c r="AN46" t="s">
        <v>430</v>
      </c>
    </row>
    <row r="47" spans="9:40" x14ac:dyDescent="0.45">
      <c r="AC47" t="s">
        <v>19</v>
      </c>
      <c r="AD47" t="s">
        <v>267</v>
      </c>
      <c r="AE47">
        <v>4.9683094238515767E-2</v>
      </c>
      <c r="AK47">
        <v>2031</v>
      </c>
      <c r="AL47" t="s">
        <v>151</v>
      </c>
      <c r="AM47">
        <v>0.27857499999999996</v>
      </c>
      <c r="AN47" t="s">
        <v>430</v>
      </c>
    </row>
    <row r="48" spans="9:40" x14ac:dyDescent="0.45">
      <c r="AC48" t="s">
        <v>19</v>
      </c>
      <c r="AD48" t="s">
        <v>268</v>
      </c>
      <c r="AE48">
        <v>7.1471647481555819E-3</v>
      </c>
      <c r="AK48">
        <v>2031</v>
      </c>
      <c r="AL48" t="s">
        <v>156</v>
      </c>
      <c r="AM48">
        <v>0.43730000000000002</v>
      </c>
      <c r="AN48" t="s">
        <v>430</v>
      </c>
    </row>
    <row r="49" spans="29:40" x14ac:dyDescent="0.45">
      <c r="AC49" t="s">
        <v>19</v>
      </c>
      <c r="AD49" t="s">
        <v>269</v>
      </c>
      <c r="AE49">
        <v>7.1513882361207556E-3</v>
      </c>
      <c r="AK49">
        <v>2031</v>
      </c>
      <c r="AL49" t="s">
        <v>159</v>
      </c>
      <c r="AM49">
        <v>0.61160000000000003</v>
      </c>
      <c r="AN49" t="s">
        <v>430</v>
      </c>
    </row>
    <row r="50" spans="29:40" x14ac:dyDescent="0.45">
      <c r="AC50" t="s">
        <v>19</v>
      </c>
      <c r="AD50" t="s">
        <v>270</v>
      </c>
      <c r="AE50">
        <v>5.7334015880077915E-2</v>
      </c>
      <c r="AK50">
        <v>2031</v>
      </c>
      <c r="AL50" t="s">
        <v>163</v>
      </c>
      <c r="AM50">
        <v>0.37672499999999998</v>
      </c>
      <c r="AN50" t="s">
        <v>430</v>
      </c>
    </row>
    <row r="51" spans="29:40" x14ac:dyDescent="0.45">
      <c r="AC51" t="s">
        <v>19</v>
      </c>
      <c r="AD51" t="s">
        <v>271</v>
      </c>
      <c r="AE51">
        <v>6.9692005944410997E-3</v>
      </c>
      <c r="AK51">
        <v>2032</v>
      </c>
      <c r="AL51" t="s">
        <v>151</v>
      </c>
      <c r="AM51">
        <v>0.26747500000000002</v>
      </c>
      <c r="AN51" t="s">
        <v>430</v>
      </c>
    </row>
    <row r="52" spans="29:40" x14ac:dyDescent="0.45">
      <c r="AC52" t="s">
        <v>19</v>
      </c>
      <c r="AD52" t="s">
        <v>272</v>
      </c>
      <c r="AE52">
        <v>4.1692188613925839E-2</v>
      </c>
      <c r="AK52">
        <v>2032</v>
      </c>
      <c r="AL52" t="s">
        <v>156</v>
      </c>
      <c r="AM52">
        <v>0.46135000000000004</v>
      </c>
      <c r="AN52" t="s">
        <v>430</v>
      </c>
    </row>
    <row r="53" spans="29:40" x14ac:dyDescent="0.45">
      <c r="AC53" t="s">
        <v>19</v>
      </c>
      <c r="AD53" t="s">
        <v>275</v>
      </c>
      <c r="AE53">
        <v>9.7718779217803364E-2</v>
      </c>
      <c r="AK53">
        <v>2032</v>
      </c>
      <c r="AL53" t="s">
        <v>159</v>
      </c>
      <c r="AM53">
        <v>0.56325000000000003</v>
      </c>
      <c r="AN53" t="s">
        <v>430</v>
      </c>
    </row>
    <row r="54" spans="29:40" x14ac:dyDescent="0.45">
      <c r="AC54" t="s">
        <v>19</v>
      </c>
      <c r="AD54" t="s">
        <v>276</v>
      </c>
      <c r="AE54">
        <v>1.4067584096706344E-2</v>
      </c>
      <c r="AK54">
        <v>2032</v>
      </c>
      <c r="AL54" t="s">
        <v>163</v>
      </c>
      <c r="AM54">
        <v>0.37675000000000003</v>
      </c>
      <c r="AN54" t="s">
        <v>430</v>
      </c>
    </row>
    <row r="55" spans="29:40" x14ac:dyDescent="0.45">
      <c r="AC55" t="s">
        <v>19</v>
      </c>
      <c r="AD55" t="s">
        <v>277</v>
      </c>
      <c r="AE55">
        <v>1.4083342622130495E-2</v>
      </c>
      <c r="AK55">
        <v>2033</v>
      </c>
      <c r="AL55" t="s">
        <v>151</v>
      </c>
      <c r="AM55">
        <v>0.27949999999999997</v>
      </c>
      <c r="AN55" t="s">
        <v>430</v>
      </c>
    </row>
    <row r="56" spans="29:40" x14ac:dyDescent="0.45">
      <c r="AC56" t="s">
        <v>19</v>
      </c>
      <c r="AD56" t="s">
        <v>278</v>
      </c>
      <c r="AE56">
        <v>0.11287783945800994</v>
      </c>
      <c r="AK56">
        <v>2033</v>
      </c>
      <c r="AL56" t="s">
        <v>156</v>
      </c>
      <c r="AM56">
        <v>0.46134999999999998</v>
      </c>
      <c r="AN56" t="s">
        <v>430</v>
      </c>
    </row>
    <row r="57" spans="29:40" x14ac:dyDescent="0.45">
      <c r="AC57" t="s">
        <v>19</v>
      </c>
      <c r="AD57" t="s">
        <v>279</v>
      </c>
      <c r="AE57">
        <v>1.3710149558447318E-2</v>
      </c>
      <c r="AK57">
        <v>2033</v>
      </c>
      <c r="AL57" t="s">
        <v>159</v>
      </c>
      <c r="AM57">
        <v>0.60399999999999998</v>
      </c>
      <c r="AN57" t="s">
        <v>430</v>
      </c>
    </row>
    <row r="58" spans="29:40" x14ac:dyDescent="0.45">
      <c r="AC58" t="s">
        <v>19</v>
      </c>
      <c r="AD58" t="s">
        <v>280</v>
      </c>
      <c r="AE58">
        <v>8.154560678770513E-2</v>
      </c>
      <c r="AK58">
        <v>2033</v>
      </c>
      <c r="AL58" t="s">
        <v>163</v>
      </c>
      <c r="AM58">
        <v>0.39940000000000003</v>
      </c>
      <c r="AN58" t="s">
        <v>430</v>
      </c>
    </row>
    <row r="59" spans="29:40" x14ac:dyDescent="0.45">
      <c r="AK59">
        <v>2034</v>
      </c>
      <c r="AL59" t="s">
        <v>151</v>
      </c>
      <c r="AM59">
        <v>0.27782499999999999</v>
      </c>
      <c r="AN59" t="s">
        <v>430</v>
      </c>
    </row>
    <row r="60" spans="29:40" x14ac:dyDescent="0.45">
      <c r="AK60">
        <v>2034</v>
      </c>
      <c r="AL60" t="s">
        <v>156</v>
      </c>
      <c r="AM60">
        <v>0.42274999999999996</v>
      </c>
      <c r="AN60" t="s">
        <v>430</v>
      </c>
    </row>
    <row r="61" spans="29:40" x14ac:dyDescent="0.45">
      <c r="AK61">
        <v>2034</v>
      </c>
      <c r="AL61" t="s">
        <v>159</v>
      </c>
      <c r="AM61">
        <v>0.60650000000000004</v>
      </c>
      <c r="AN61" t="s">
        <v>430</v>
      </c>
    </row>
    <row r="62" spans="29:40" x14ac:dyDescent="0.45">
      <c r="AK62">
        <v>2034</v>
      </c>
      <c r="AL62" t="s">
        <v>163</v>
      </c>
      <c r="AM62">
        <v>0.39769999999999994</v>
      </c>
      <c r="AN62" t="s">
        <v>430</v>
      </c>
    </row>
    <row r="63" spans="29:40" x14ac:dyDescent="0.45">
      <c r="AK63">
        <v>2035</v>
      </c>
      <c r="AL63" t="s">
        <v>151</v>
      </c>
      <c r="AM63">
        <v>0.27634999999999998</v>
      </c>
      <c r="AN63" t="s">
        <v>430</v>
      </c>
    </row>
    <row r="64" spans="29:40" x14ac:dyDescent="0.45">
      <c r="AK64">
        <v>2035</v>
      </c>
      <c r="AL64" t="s">
        <v>156</v>
      </c>
      <c r="AM64">
        <v>0.42745</v>
      </c>
      <c r="AN64" t="s">
        <v>430</v>
      </c>
    </row>
    <row r="65" spans="37:40" x14ac:dyDescent="0.45">
      <c r="AK65">
        <v>2035</v>
      </c>
      <c r="AL65" t="s">
        <v>159</v>
      </c>
      <c r="AM65">
        <v>0.58179999999999998</v>
      </c>
      <c r="AN65" t="s">
        <v>430</v>
      </c>
    </row>
    <row r="66" spans="37:40" x14ac:dyDescent="0.45">
      <c r="AK66">
        <v>2035</v>
      </c>
      <c r="AL66" t="s">
        <v>163</v>
      </c>
      <c r="AM66">
        <v>0.38450000000000001</v>
      </c>
      <c r="AN66" t="s">
        <v>430</v>
      </c>
    </row>
    <row r="67" spans="37:40" x14ac:dyDescent="0.45">
      <c r="AK67">
        <v>2036</v>
      </c>
      <c r="AL67" t="s">
        <v>151</v>
      </c>
      <c r="AM67">
        <v>0.25932500000000003</v>
      </c>
      <c r="AN67" t="s">
        <v>430</v>
      </c>
    </row>
    <row r="68" spans="37:40" x14ac:dyDescent="0.45">
      <c r="AK68">
        <v>2036</v>
      </c>
      <c r="AL68" t="s">
        <v>156</v>
      </c>
      <c r="AM68">
        <v>0.40975</v>
      </c>
      <c r="AN68" t="s">
        <v>430</v>
      </c>
    </row>
    <row r="69" spans="37:40" x14ac:dyDescent="0.45">
      <c r="AK69">
        <v>2036</v>
      </c>
      <c r="AL69" t="s">
        <v>159</v>
      </c>
      <c r="AM69">
        <v>0.61355000000000004</v>
      </c>
      <c r="AN69" t="s">
        <v>430</v>
      </c>
    </row>
    <row r="70" spans="37:40" x14ac:dyDescent="0.45">
      <c r="AK70">
        <v>2036</v>
      </c>
      <c r="AL70" t="s">
        <v>163</v>
      </c>
      <c r="AM70">
        <v>0.38747500000000001</v>
      </c>
      <c r="AN70" t="s">
        <v>430</v>
      </c>
    </row>
    <row r="71" spans="37:40" x14ac:dyDescent="0.45">
      <c r="AK71">
        <v>2037</v>
      </c>
      <c r="AL71" t="s">
        <v>151</v>
      </c>
      <c r="AM71">
        <v>0.28712499999999996</v>
      </c>
      <c r="AN71" t="s">
        <v>430</v>
      </c>
    </row>
    <row r="72" spans="37:40" x14ac:dyDescent="0.45">
      <c r="AK72">
        <v>2037</v>
      </c>
      <c r="AL72" t="s">
        <v>156</v>
      </c>
      <c r="AM72">
        <v>0.41910000000000003</v>
      </c>
      <c r="AN72" t="s">
        <v>430</v>
      </c>
    </row>
    <row r="73" spans="37:40" x14ac:dyDescent="0.45">
      <c r="AK73">
        <v>2037</v>
      </c>
      <c r="AL73" t="s">
        <v>159</v>
      </c>
      <c r="AM73">
        <v>0.57345000000000002</v>
      </c>
      <c r="AN73" t="s">
        <v>430</v>
      </c>
    </row>
    <row r="74" spans="37:40" x14ac:dyDescent="0.45">
      <c r="AK74">
        <v>2037</v>
      </c>
      <c r="AL74" t="s">
        <v>163</v>
      </c>
      <c r="AM74">
        <v>0.39419999999999999</v>
      </c>
      <c r="AN74" t="s">
        <v>430</v>
      </c>
    </row>
    <row r="75" spans="37:40" x14ac:dyDescent="0.45">
      <c r="AK75">
        <v>2038</v>
      </c>
      <c r="AL75" t="s">
        <v>151</v>
      </c>
      <c r="AM75">
        <v>0.28477500000000006</v>
      </c>
      <c r="AN75" t="s">
        <v>430</v>
      </c>
    </row>
    <row r="76" spans="37:40" x14ac:dyDescent="0.45">
      <c r="AK76">
        <v>2038</v>
      </c>
      <c r="AL76" t="s">
        <v>156</v>
      </c>
      <c r="AM76">
        <v>0.43779999999999997</v>
      </c>
      <c r="AN76" t="s">
        <v>430</v>
      </c>
    </row>
    <row r="77" spans="37:40" x14ac:dyDescent="0.45">
      <c r="AK77">
        <v>2038</v>
      </c>
      <c r="AL77" t="s">
        <v>159</v>
      </c>
      <c r="AM77">
        <v>0.64200000000000002</v>
      </c>
      <c r="AN77" t="s">
        <v>430</v>
      </c>
    </row>
    <row r="78" spans="37:40" x14ac:dyDescent="0.45">
      <c r="AK78">
        <v>2038</v>
      </c>
      <c r="AL78" t="s">
        <v>163</v>
      </c>
      <c r="AM78">
        <v>0.41485</v>
      </c>
      <c r="AN78" t="s">
        <v>430</v>
      </c>
    </row>
    <row r="79" spans="37:40" x14ac:dyDescent="0.45">
      <c r="AK79">
        <v>2039</v>
      </c>
      <c r="AL79" t="s">
        <v>151</v>
      </c>
      <c r="AM79">
        <v>0.27284999999999998</v>
      </c>
      <c r="AN79" t="s">
        <v>430</v>
      </c>
    </row>
    <row r="80" spans="37:40" x14ac:dyDescent="0.45">
      <c r="AK80">
        <v>2039</v>
      </c>
      <c r="AL80" t="s">
        <v>156</v>
      </c>
      <c r="AM80">
        <v>0.43369999999999997</v>
      </c>
      <c r="AN80" t="s">
        <v>430</v>
      </c>
    </row>
    <row r="81" spans="37:40" x14ac:dyDescent="0.45">
      <c r="AK81">
        <v>2039</v>
      </c>
      <c r="AL81" t="s">
        <v>159</v>
      </c>
      <c r="AM81">
        <v>0.56369999999999998</v>
      </c>
      <c r="AN81" t="s">
        <v>430</v>
      </c>
    </row>
    <row r="82" spans="37:40" x14ac:dyDescent="0.45">
      <c r="AK82">
        <v>2039</v>
      </c>
      <c r="AL82" t="s">
        <v>163</v>
      </c>
      <c r="AM82">
        <v>0.38417499999999999</v>
      </c>
      <c r="AN82" t="s">
        <v>430</v>
      </c>
    </row>
    <row r="83" spans="37:40" x14ac:dyDescent="0.45">
      <c r="AK83">
        <v>2040</v>
      </c>
      <c r="AL83" t="s">
        <v>151</v>
      </c>
      <c r="AM83">
        <v>0.26274999999999998</v>
      </c>
      <c r="AN83" t="s">
        <v>430</v>
      </c>
    </row>
    <row r="84" spans="37:40" x14ac:dyDescent="0.45">
      <c r="AK84">
        <v>2040</v>
      </c>
      <c r="AL84" t="s">
        <v>156</v>
      </c>
      <c r="AM84">
        <v>0.40459999999999996</v>
      </c>
      <c r="AN84" t="s">
        <v>430</v>
      </c>
    </row>
    <row r="85" spans="37:40" x14ac:dyDescent="0.45">
      <c r="AK85">
        <v>2040</v>
      </c>
      <c r="AL85" t="s">
        <v>159</v>
      </c>
      <c r="AM85">
        <v>0.60834999999999995</v>
      </c>
      <c r="AN85" t="s">
        <v>430</v>
      </c>
    </row>
    <row r="86" spans="37:40" x14ac:dyDescent="0.45">
      <c r="AK86">
        <v>2040</v>
      </c>
      <c r="AL86" t="s">
        <v>163</v>
      </c>
      <c r="AM86">
        <v>0.407775</v>
      </c>
      <c r="AN86" t="s">
        <v>430</v>
      </c>
    </row>
    <row r="87" spans="37:40" x14ac:dyDescent="0.45">
      <c r="AK87">
        <v>2041</v>
      </c>
      <c r="AL87" t="s">
        <v>151</v>
      </c>
      <c r="AM87">
        <v>0.22034999999999999</v>
      </c>
      <c r="AN87" t="s">
        <v>430</v>
      </c>
    </row>
    <row r="88" spans="37:40" x14ac:dyDescent="0.45">
      <c r="AK88">
        <v>2041</v>
      </c>
      <c r="AL88" t="s">
        <v>156</v>
      </c>
      <c r="AM88">
        <v>0.36909999999999998</v>
      </c>
      <c r="AN88" t="s">
        <v>430</v>
      </c>
    </row>
    <row r="89" spans="37:40" x14ac:dyDescent="0.45">
      <c r="AK89">
        <v>2041</v>
      </c>
      <c r="AL89" t="s">
        <v>159</v>
      </c>
      <c r="AM89">
        <v>0.50539999999999996</v>
      </c>
      <c r="AN89" t="s">
        <v>430</v>
      </c>
    </row>
    <row r="90" spans="37:40" x14ac:dyDescent="0.45">
      <c r="AK90">
        <v>2041</v>
      </c>
      <c r="AL90" t="s">
        <v>163</v>
      </c>
      <c r="AM90">
        <v>0.33782500000000004</v>
      </c>
      <c r="AN90" t="s">
        <v>430</v>
      </c>
    </row>
    <row r="91" spans="37:40" x14ac:dyDescent="0.45">
      <c r="AK91">
        <v>2042</v>
      </c>
      <c r="AL91" t="s">
        <v>151</v>
      </c>
      <c r="AM91">
        <v>0.22820000000000001</v>
      </c>
      <c r="AN91" t="s">
        <v>430</v>
      </c>
    </row>
    <row r="92" spans="37:40" x14ac:dyDescent="0.45">
      <c r="AK92">
        <v>2042</v>
      </c>
      <c r="AL92" t="s">
        <v>156</v>
      </c>
      <c r="AM92">
        <v>0.36</v>
      </c>
      <c r="AN92" t="s">
        <v>430</v>
      </c>
    </row>
    <row r="93" spans="37:40" x14ac:dyDescent="0.45">
      <c r="AK93">
        <v>2042</v>
      </c>
      <c r="AL93" t="s">
        <v>159</v>
      </c>
      <c r="AM93">
        <v>0.4713</v>
      </c>
      <c r="AN93" t="s">
        <v>430</v>
      </c>
    </row>
    <row r="94" spans="37:40" x14ac:dyDescent="0.45">
      <c r="AK94">
        <v>2042</v>
      </c>
      <c r="AL94" t="s">
        <v>163</v>
      </c>
      <c r="AM94">
        <v>0.32517499999999999</v>
      </c>
      <c r="AN94" t="s">
        <v>430</v>
      </c>
    </row>
    <row r="95" spans="37:40" x14ac:dyDescent="0.45">
      <c r="AK95">
        <v>2043</v>
      </c>
      <c r="AL95" t="s">
        <v>151</v>
      </c>
      <c r="AM95">
        <v>0.23709999999999998</v>
      </c>
      <c r="AN95" t="s">
        <v>430</v>
      </c>
    </row>
    <row r="96" spans="37:40" x14ac:dyDescent="0.45">
      <c r="AK96">
        <v>2043</v>
      </c>
      <c r="AL96" t="s">
        <v>156</v>
      </c>
      <c r="AM96">
        <v>0.33774999999999999</v>
      </c>
      <c r="AN96" t="s">
        <v>430</v>
      </c>
    </row>
    <row r="97" spans="37:40" x14ac:dyDescent="0.45">
      <c r="AK97">
        <v>2043</v>
      </c>
      <c r="AL97" t="s">
        <v>159</v>
      </c>
      <c r="AM97">
        <v>0.52729999999999999</v>
      </c>
      <c r="AN97" t="s">
        <v>430</v>
      </c>
    </row>
    <row r="98" spans="37:40" x14ac:dyDescent="0.45">
      <c r="AK98">
        <v>2043</v>
      </c>
      <c r="AL98" t="s">
        <v>163</v>
      </c>
      <c r="AM98">
        <v>0.34890000000000004</v>
      </c>
      <c r="AN98" t="s">
        <v>430</v>
      </c>
    </row>
    <row r="99" spans="37:40" x14ac:dyDescent="0.45">
      <c r="AK99">
        <v>2044</v>
      </c>
      <c r="AL99" t="s">
        <v>151</v>
      </c>
      <c r="AM99">
        <v>0.22825000000000001</v>
      </c>
      <c r="AN99" t="s">
        <v>430</v>
      </c>
    </row>
    <row r="100" spans="37:40" x14ac:dyDescent="0.45">
      <c r="AK100">
        <v>2044</v>
      </c>
      <c r="AL100" t="s">
        <v>156</v>
      </c>
      <c r="AM100">
        <v>0.39085000000000003</v>
      </c>
      <c r="AN100" t="s">
        <v>430</v>
      </c>
    </row>
    <row r="101" spans="37:40" x14ac:dyDescent="0.45">
      <c r="AK101">
        <v>2044</v>
      </c>
      <c r="AL101" t="s">
        <v>159</v>
      </c>
      <c r="AM101">
        <v>0.47714999999999996</v>
      </c>
      <c r="AN101" t="s">
        <v>430</v>
      </c>
    </row>
    <row r="102" spans="37:40" x14ac:dyDescent="0.45">
      <c r="AK102">
        <v>2044</v>
      </c>
      <c r="AL102" t="s">
        <v>163</v>
      </c>
      <c r="AM102">
        <v>0.33494999999999997</v>
      </c>
      <c r="AN102" t="s">
        <v>430</v>
      </c>
    </row>
    <row r="103" spans="37:40" x14ac:dyDescent="0.45">
      <c r="AK103">
        <v>2045</v>
      </c>
      <c r="AL103" t="s">
        <v>151</v>
      </c>
      <c r="AM103">
        <v>0.275725</v>
      </c>
      <c r="AN103" t="s">
        <v>430</v>
      </c>
    </row>
    <row r="104" spans="37:40" x14ac:dyDescent="0.45">
      <c r="AK104">
        <v>2045</v>
      </c>
      <c r="AL104" t="s">
        <v>156</v>
      </c>
      <c r="AM104">
        <v>0.41265000000000002</v>
      </c>
      <c r="AN104" t="s">
        <v>430</v>
      </c>
    </row>
    <row r="105" spans="37:40" x14ac:dyDescent="0.45">
      <c r="AK105">
        <v>2045</v>
      </c>
      <c r="AL105" t="s">
        <v>159</v>
      </c>
      <c r="AM105">
        <v>0.58099999999999996</v>
      </c>
      <c r="AN105" t="s">
        <v>430</v>
      </c>
    </row>
    <row r="106" spans="37:40" x14ac:dyDescent="0.45">
      <c r="AK106">
        <v>2045</v>
      </c>
      <c r="AL106" t="s">
        <v>163</v>
      </c>
      <c r="AM106">
        <v>0.4047</v>
      </c>
      <c r="AN106" t="s">
        <v>430</v>
      </c>
    </row>
    <row r="107" spans="37:40" x14ac:dyDescent="0.45">
      <c r="AK107">
        <v>2046</v>
      </c>
      <c r="AL107" t="s">
        <v>151</v>
      </c>
      <c r="AM107">
        <v>0.32130000000000003</v>
      </c>
      <c r="AN107" t="s">
        <v>430</v>
      </c>
    </row>
    <row r="108" spans="37:40" x14ac:dyDescent="0.45">
      <c r="AK108">
        <v>2046</v>
      </c>
      <c r="AL108" t="s">
        <v>156</v>
      </c>
      <c r="AM108">
        <v>0.52100000000000002</v>
      </c>
      <c r="AN108" t="s">
        <v>430</v>
      </c>
    </row>
    <row r="109" spans="37:40" x14ac:dyDescent="0.45">
      <c r="AK109">
        <v>2046</v>
      </c>
      <c r="AL109" t="s">
        <v>159</v>
      </c>
      <c r="AM109">
        <v>0.67869999999999997</v>
      </c>
      <c r="AN109" t="s">
        <v>430</v>
      </c>
    </row>
    <row r="110" spans="37:40" x14ac:dyDescent="0.45">
      <c r="AK110">
        <v>2046</v>
      </c>
      <c r="AL110" t="s">
        <v>163</v>
      </c>
      <c r="AM110">
        <v>0.44292500000000001</v>
      </c>
      <c r="AN110" t="s">
        <v>430</v>
      </c>
    </row>
    <row r="111" spans="37:40" x14ac:dyDescent="0.45">
      <c r="AK111">
        <v>2047</v>
      </c>
      <c r="AL111" t="s">
        <v>151</v>
      </c>
      <c r="AM111">
        <v>0.2918</v>
      </c>
      <c r="AN111" t="s">
        <v>430</v>
      </c>
    </row>
    <row r="112" spans="37:40" x14ac:dyDescent="0.45">
      <c r="AK112">
        <v>2047</v>
      </c>
      <c r="AL112" t="s">
        <v>156</v>
      </c>
      <c r="AM112">
        <v>0.43409999999999999</v>
      </c>
      <c r="AN112" t="s">
        <v>430</v>
      </c>
    </row>
    <row r="113" spans="37:40" x14ac:dyDescent="0.45">
      <c r="AK113">
        <v>2047</v>
      </c>
      <c r="AL113" t="s">
        <v>159</v>
      </c>
      <c r="AM113">
        <v>0.56614999999999993</v>
      </c>
      <c r="AN113" t="s">
        <v>430</v>
      </c>
    </row>
    <row r="114" spans="37:40" x14ac:dyDescent="0.45">
      <c r="AK114">
        <v>2047</v>
      </c>
      <c r="AL114" t="s">
        <v>163</v>
      </c>
      <c r="AM114">
        <v>0.40482499999999999</v>
      </c>
      <c r="AN114" t="s">
        <v>430</v>
      </c>
    </row>
    <row r="115" spans="37:40" x14ac:dyDescent="0.45">
      <c r="AK115">
        <v>2048</v>
      </c>
      <c r="AL115" t="s">
        <v>151</v>
      </c>
      <c r="AM115">
        <v>0.26824999999999999</v>
      </c>
      <c r="AN115" t="s">
        <v>430</v>
      </c>
    </row>
    <row r="116" spans="37:40" x14ac:dyDescent="0.45">
      <c r="AK116">
        <v>2048</v>
      </c>
      <c r="AL116" t="s">
        <v>156</v>
      </c>
      <c r="AM116">
        <v>0.43940000000000001</v>
      </c>
      <c r="AN116" t="s">
        <v>430</v>
      </c>
    </row>
    <row r="117" spans="37:40" x14ac:dyDescent="0.45">
      <c r="AK117">
        <v>2048</v>
      </c>
      <c r="AL117" t="s">
        <v>159</v>
      </c>
      <c r="AM117">
        <v>0.61214999999999997</v>
      </c>
      <c r="AN117" t="s">
        <v>430</v>
      </c>
    </row>
    <row r="118" spans="37:40" x14ac:dyDescent="0.45">
      <c r="AK118">
        <v>2048</v>
      </c>
      <c r="AL118" t="s">
        <v>163</v>
      </c>
      <c r="AM118">
        <v>0.398725</v>
      </c>
      <c r="AN118" t="s">
        <v>430</v>
      </c>
    </row>
    <row r="119" spans="37:40" x14ac:dyDescent="0.45">
      <c r="AK119">
        <v>2049</v>
      </c>
      <c r="AL119" t="s">
        <v>151</v>
      </c>
      <c r="AM119">
        <v>0.26687499999999997</v>
      </c>
      <c r="AN119" t="s">
        <v>430</v>
      </c>
    </row>
    <row r="120" spans="37:40" x14ac:dyDescent="0.45">
      <c r="AK120">
        <v>2049</v>
      </c>
      <c r="AL120" t="s">
        <v>156</v>
      </c>
      <c r="AM120">
        <v>0.44285000000000002</v>
      </c>
      <c r="AN120" t="s">
        <v>430</v>
      </c>
    </row>
    <row r="121" spans="37:40" x14ac:dyDescent="0.45">
      <c r="AK121">
        <v>2049</v>
      </c>
      <c r="AL121" t="s">
        <v>159</v>
      </c>
      <c r="AM121">
        <v>0.59175</v>
      </c>
      <c r="AN121" t="s">
        <v>430</v>
      </c>
    </row>
    <row r="122" spans="37:40" x14ac:dyDescent="0.45">
      <c r="AK122">
        <v>2049</v>
      </c>
      <c r="AL122" t="s">
        <v>163</v>
      </c>
      <c r="AM122">
        <v>0.40502499999999997</v>
      </c>
      <c r="AN122" t="s">
        <v>430</v>
      </c>
    </row>
    <row r="123" spans="37:40" x14ac:dyDescent="0.45">
      <c r="AK123">
        <v>2050</v>
      </c>
      <c r="AL123" t="s">
        <v>151</v>
      </c>
      <c r="AM123">
        <v>0.27407500000000001</v>
      </c>
      <c r="AN123" t="s">
        <v>430</v>
      </c>
    </row>
    <row r="124" spans="37:40" x14ac:dyDescent="0.45">
      <c r="AK124">
        <v>2050</v>
      </c>
      <c r="AL124" t="s">
        <v>156</v>
      </c>
      <c r="AM124">
        <v>0.44550000000000001</v>
      </c>
      <c r="AN124" t="s">
        <v>430</v>
      </c>
    </row>
    <row r="125" spans="37:40" x14ac:dyDescent="0.45">
      <c r="AK125">
        <v>2050</v>
      </c>
      <c r="AL125" t="s">
        <v>159</v>
      </c>
      <c r="AM125">
        <v>0.58374999999999999</v>
      </c>
      <c r="AN125" t="s">
        <v>430</v>
      </c>
    </row>
    <row r="126" spans="37:40" x14ac:dyDescent="0.45">
      <c r="AK126">
        <v>2050</v>
      </c>
      <c r="AL126" t="s">
        <v>163</v>
      </c>
      <c r="AM126">
        <v>0.40475</v>
      </c>
      <c r="AN126" t="s">
        <v>430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DCBD2-064E-41D0-95A6-E2BB9550B7C1}">
  <dimension ref="A9:AN213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127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122</v>
      </c>
      <c r="K10" t="s">
        <v>248</v>
      </c>
      <c r="L10" t="s">
        <v>30</v>
      </c>
      <c r="N10" t="s">
        <v>13</v>
      </c>
      <c r="O10" t="s">
        <v>122</v>
      </c>
      <c r="P10" t="s">
        <v>248</v>
      </c>
      <c r="Q10" t="s">
        <v>30</v>
      </c>
      <c r="S10" t="s">
        <v>13</v>
      </c>
      <c r="T10" t="s">
        <v>122</v>
      </c>
      <c r="U10" t="s">
        <v>248</v>
      </c>
      <c r="V10" t="s">
        <v>30</v>
      </c>
      <c r="X10" t="s">
        <v>421</v>
      </c>
      <c r="Y10" t="s">
        <v>248</v>
      </c>
      <c r="Z10" t="s">
        <v>122</v>
      </c>
      <c r="AA10" t="s">
        <v>13</v>
      </c>
      <c r="AC10" t="s">
        <v>13</v>
      </c>
      <c r="AD10" t="s">
        <v>122</v>
      </c>
      <c r="AE10" t="s">
        <v>248</v>
      </c>
      <c r="AG10" t="s">
        <v>13</v>
      </c>
      <c r="AH10" t="s">
        <v>122</v>
      </c>
      <c r="AI10" t="s">
        <v>427</v>
      </c>
      <c r="AK10" t="s">
        <v>47</v>
      </c>
      <c r="AL10" t="s">
        <v>122</v>
      </c>
      <c r="AM10" t="s">
        <v>428</v>
      </c>
      <c r="AN10" t="s">
        <v>429</v>
      </c>
    </row>
    <row r="11" spans="1:40" x14ac:dyDescent="0.45">
      <c r="A11" t="str">
        <f>IFERROR(IF(Veda!D5=A10,"ok","x"),"")</f>
        <v>x</v>
      </c>
      <c r="C11" t="s">
        <v>151</v>
      </c>
      <c r="D11" t="s">
        <v>152</v>
      </c>
      <c r="E11" t="s">
        <v>240</v>
      </c>
      <c r="F11" t="s">
        <v>2017</v>
      </c>
      <c r="G11" t="s">
        <v>152</v>
      </c>
      <c r="I11" t="s">
        <v>249</v>
      </c>
      <c r="J11" t="s">
        <v>250</v>
      </c>
      <c r="K11">
        <v>0</v>
      </c>
      <c r="L11" t="s">
        <v>251</v>
      </c>
      <c r="N11" t="s">
        <v>419</v>
      </c>
      <c r="O11" t="s">
        <v>250</v>
      </c>
      <c r="P11">
        <v>1.7870835987201485E-2</v>
      </c>
      <c r="Q11" t="s">
        <v>251</v>
      </c>
      <c r="S11" t="s">
        <v>420</v>
      </c>
      <c r="T11" t="s">
        <v>250</v>
      </c>
      <c r="U11">
        <v>1.8804923305469411E-2</v>
      </c>
      <c r="V11" t="s">
        <v>251</v>
      </c>
      <c r="X11">
        <v>2.4771689497716895E-2</v>
      </c>
      <c r="Y11">
        <v>9.7827942553597048E-3</v>
      </c>
      <c r="Z11" t="s">
        <v>250</v>
      </c>
      <c r="AA11" t="s">
        <v>25</v>
      </c>
      <c r="AC11" t="s">
        <v>22</v>
      </c>
      <c r="AD11" t="s">
        <v>250</v>
      </c>
      <c r="AE11">
        <v>1.949452943339923E-2</v>
      </c>
      <c r="AG11" t="s">
        <v>97</v>
      </c>
      <c r="AH11" t="s">
        <v>250</v>
      </c>
      <c r="AI11">
        <v>0.10127753898572567</v>
      </c>
      <c r="AK11">
        <v>2020</v>
      </c>
      <c r="AL11" t="s">
        <v>151</v>
      </c>
      <c r="AM11">
        <v>0.2698110913113228</v>
      </c>
      <c r="AN11" t="s">
        <v>430</v>
      </c>
    </row>
    <row r="12" spans="1:40" x14ac:dyDescent="0.45">
      <c r="C12" t="s">
        <v>156</v>
      </c>
      <c r="E12" t="s">
        <v>241</v>
      </c>
      <c r="G12" t="s">
        <v>152</v>
      </c>
      <c r="I12" t="s">
        <v>249</v>
      </c>
      <c r="J12" t="s">
        <v>252</v>
      </c>
      <c r="K12">
        <v>1.5156644477423446E-3</v>
      </c>
      <c r="L12" t="s">
        <v>251</v>
      </c>
      <c r="N12" t="s">
        <v>419</v>
      </c>
      <c r="O12" t="s">
        <v>252</v>
      </c>
      <c r="P12">
        <v>1.9241151758176208E-3</v>
      </c>
      <c r="Q12" t="s">
        <v>251</v>
      </c>
      <c r="S12" t="s">
        <v>420</v>
      </c>
      <c r="T12" t="s">
        <v>252</v>
      </c>
      <c r="U12">
        <v>2.4994659436263973E-3</v>
      </c>
      <c r="V12" t="s">
        <v>251</v>
      </c>
      <c r="X12">
        <v>3.5388127853881279E-3</v>
      </c>
      <c r="Y12">
        <v>5.9087255218821738E-3</v>
      </c>
      <c r="Z12" t="s">
        <v>252</v>
      </c>
      <c r="AA12" t="s">
        <v>25</v>
      </c>
      <c r="AC12" t="s">
        <v>22</v>
      </c>
      <c r="AD12" t="s">
        <v>252</v>
      </c>
      <c r="AE12">
        <v>3.1657926352740033E-3</v>
      </c>
      <c r="AG12" t="s">
        <v>97</v>
      </c>
      <c r="AH12" t="s">
        <v>252</v>
      </c>
      <c r="AI12">
        <v>2.7713627671200891E-2</v>
      </c>
      <c r="AK12">
        <v>2020</v>
      </c>
      <c r="AL12" t="s">
        <v>156</v>
      </c>
      <c r="AM12">
        <v>0.29641543281765542</v>
      </c>
      <c r="AN12" t="s">
        <v>430</v>
      </c>
    </row>
    <row r="13" spans="1:40" x14ac:dyDescent="0.45">
      <c r="C13" t="s">
        <v>159</v>
      </c>
      <c r="E13" t="s">
        <v>242</v>
      </c>
      <c r="G13" t="s">
        <v>152</v>
      </c>
      <c r="I13" t="s">
        <v>249</v>
      </c>
      <c r="J13" t="s">
        <v>253</v>
      </c>
      <c r="K13">
        <v>6.0907786952883094E-3</v>
      </c>
      <c r="L13" t="s">
        <v>251</v>
      </c>
      <c r="N13" t="s">
        <v>419</v>
      </c>
      <c r="O13" t="s">
        <v>253</v>
      </c>
      <c r="P13">
        <v>1.3264422841106609E-3</v>
      </c>
      <c r="Q13" t="s">
        <v>251</v>
      </c>
      <c r="S13" t="s">
        <v>420</v>
      </c>
      <c r="T13" t="s">
        <v>253</v>
      </c>
      <c r="U13">
        <v>2.4236393429404191E-3</v>
      </c>
      <c r="V13" t="s">
        <v>251</v>
      </c>
      <c r="X13">
        <v>3.5388127853881279E-3</v>
      </c>
      <c r="Y13">
        <v>4.521459529788099E-3</v>
      </c>
      <c r="Z13" t="s">
        <v>253</v>
      </c>
      <c r="AA13" t="s">
        <v>25</v>
      </c>
      <c r="AC13" t="s">
        <v>22</v>
      </c>
      <c r="AD13" t="s">
        <v>253</v>
      </c>
      <c r="AE13">
        <v>3.2675077100406246E-3</v>
      </c>
      <c r="AG13" t="s">
        <v>97</v>
      </c>
      <c r="AH13" t="s">
        <v>253</v>
      </c>
      <c r="AI13">
        <v>5.3468428145687641E-2</v>
      </c>
      <c r="AK13">
        <v>2020</v>
      </c>
      <c r="AL13" t="s">
        <v>159</v>
      </c>
      <c r="AM13">
        <v>0.4856063724137501</v>
      </c>
      <c r="AN13" t="s">
        <v>430</v>
      </c>
    </row>
    <row r="14" spans="1:40" x14ac:dyDescent="0.45">
      <c r="C14" t="s">
        <v>163</v>
      </c>
      <c r="E14" t="s">
        <v>243</v>
      </c>
      <c r="G14" t="s">
        <v>152</v>
      </c>
      <c r="I14" t="s">
        <v>249</v>
      </c>
      <c r="J14" t="s">
        <v>254</v>
      </c>
      <c r="K14">
        <v>7.6881218911729401E-2</v>
      </c>
      <c r="L14" t="s">
        <v>251</v>
      </c>
      <c r="N14" t="s">
        <v>419</v>
      </c>
      <c r="O14" t="s">
        <v>254</v>
      </c>
      <c r="P14">
        <v>7.4752469730248045E-3</v>
      </c>
      <c r="Q14" t="s">
        <v>251</v>
      </c>
      <c r="S14" t="s">
        <v>420</v>
      </c>
      <c r="T14" t="s">
        <v>254</v>
      </c>
      <c r="U14">
        <v>1.6522426805358741E-2</v>
      </c>
      <c r="V14" t="s">
        <v>251</v>
      </c>
      <c r="X14">
        <v>2.8310502283105023E-2</v>
      </c>
      <c r="Y14">
        <v>3.9131177021438819E-2</v>
      </c>
      <c r="Z14" t="s">
        <v>254</v>
      </c>
      <c r="AA14" t="s">
        <v>25</v>
      </c>
      <c r="AC14" t="s">
        <v>22</v>
      </c>
      <c r="AD14" t="s">
        <v>254</v>
      </c>
      <c r="AE14">
        <v>2.8374663716285258E-2</v>
      </c>
      <c r="AG14" t="s">
        <v>97</v>
      </c>
      <c r="AH14" t="s">
        <v>254</v>
      </c>
      <c r="AI14">
        <v>9.0744247298884417E-2</v>
      </c>
      <c r="AK14">
        <v>2020</v>
      </c>
      <c r="AL14" t="s">
        <v>163</v>
      </c>
      <c r="AM14">
        <v>0.55540744690304811</v>
      </c>
      <c r="AN14" t="s">
        <v>430</v>
      </c>
    </row>
    <row r="15" spans="1:40" x14ac:dyDescent="0.45">
      <c r="C15" t="s">
        <v>167</v>
      </c>
      <c r="E15" t="s">
        <v>244</v>
      </c>
      <c r="G15" t="s">
        <v>152</v>
      </c>
      <c r="I15" t="s">
        <v>249</v>
      </c>
      <c r="J15" t="s">
        <v>255</v>
      </c>
      <c r="K15">
        <v>6.3045631172925004E-3</v>
      </c>
      <c r="L15" t="s">
        <v>251</v>
      </c>
      <c r="N15" t="s">
        <v>419</v>
      </c>
      <c r="O15" t="s">
        <v>255</v>
      </c>
      <c r="P15">
        <v>1.1229787319966876E-3</v>
      </c>
      <c r="Q15" t="s">
        <v>251</v>
      </c>
      <c r="S15" t="s">
        <v>420</v>
      </c>
      <c r="T15" t="s">
        <v>255</v>
      </c>
      <c r="U15">
        <v>2.2277816707203545E-3</v>
      </c>
      <c r="V15" t="s">
        <v>251</v>
      </c>
      <c r="X15">
        <v>3.5388127853881279E-3</v>
      </c>
      <c r="Y15">
        <v>6.8849497385409693E-3</v>
      </c>
      <c r="Z15" t="s">
        <v>255</v>
      </c>
      <c r="AA15" t="s">
        <v>25</v>
      </c>
      <c r="AC15" t="s">
        <v>22</v>
      </c>
      <c r="AD15" t="s">
        <v>255</v>
      </c>
      <c r="AE15">
        <v>2.0364327629016658E-3</v>
      </c>
      <c r="AG15" t="s">
        <v>97</v>
      </c>
      <c r="AH15" t="s">
        <v>255</v>
      </c>
      <c r="AI15">
        <v>0.13177806983731877</v>
      </c>
      <c r="AK15">
        <v>2020</v>
      </c>
      <c r="AL15" t="s">
        <v>167</v>
      </c>
      <c r="AM15">
        <v>0.59107045138840164</v>
      </c>
      <c r="AN15" t="s">
        <v>430</v>
      </c>
    </row>
    <row r="16" spans="1:40" x14ac:dyDescent="0.45">
      <c r="C16" t="s">
        <v>169</v>
      </c>
      <c r="E16" t="s">
        <v>245</v>
      </c>
      <c r="G16" t="s">
        <v>152</v>
      </c>
      <c r="I16" t="s">
        <v>249</v>
      </c>
      <c r="J16" t="s">
        <v>256</v>
      </c>
      <c r="K16">
        <v>1.9471601344935659E-3</v>
      </c>
      <c r="L16" t="s">
        <v>251</v>
      </c>
      <c r="N16" t="s">
        <v>419</v>
      </c>
      <c r="O16" t="s">
        <v>256</v>
      </c>
      <c r="P16">
        <v>1.6525825054479949E-2</v>
      </c>
      <c r="Q16" t="s">
        <v>251</v>
      </c>
      <c r="S16" t="s">
        <v>420</v>
      </c>
      <c r="T16" t="s">
        <v>256</v>
      </c>
      <c r="U16">
        <v>1.5257859067072079E-2</v>
      </c>
      <c r="V16" t="s">
        <v>251</v>
      </c>
      <c r="X16">
        <v>2.1232876712328767E-2</v>
      </c>
      <c r="Y16">
        <v>1.8702400782305319E-2</v>
      </c>
      <c r="Z16" t="s">
        <v>256</v>
      </c>
      <c r="AA16" t="s">
        <v>25</v>
      </c>
      <c r="AC16" t="s">
        <v>22</v>
      </c>
      <c r="AD16" t="s">
        <v>256</v>
      </c>
      <c r="AE16">
        <v>5.7743017845529217E-3</v>
      </c>
      <c r="AG16" t="s">
        <v>97</v>
      </c>
      <c r="AH16" t="s">
        <v>256</v>
      </c>
      <c r="AI16">
        <v>0.14655383190485249</v>
      </c>
      <c r="AK16">
        <v>2020</v>
      </c>
      <c r="AL16" t="s">
        <v>169</v>
      </c>
      <c r="AM16">
        <v>0.61228311826397963</v>
      </c>
      <c r="AN16" t="s">
        <v>430</v>
      </c>
    </row>
    <row r="17" spans="3:40" x14ac:dyDescent="0.45">
      <c r="C17" t="s">
        <v>171</v>
      </c>
      <c r="I17" t="s">
        <v>249</v>
      </c>
      <c r="J17" t="s">
        <v>259</v>
      </c>
      <c r="K17">
        <v>1.3291638022163278E-3</v>
      </c>
      <c r="L17" t="s">
        <v>251</v>
      </c>
      <c r="N17" t="s">
        <v>419</v>
      </c>
      <c r="O17" t="s">
        <v>259</v>
      </c>
      <c r="P17">
        <v>5.5670760561772815E-2</v>
      </c>
      <c r="Q17" t="s">
        <v>251</v>
      </c>
      <c r="S17" t="s">
        <v>420</v>
      </c>
      <c r="T17" t="s">
        <v>259</v>
      </c>
      <c r="U17">
        <v>4.8278623496569861E-2</v>
      </c>
      <c r="V17" t="s">
        <v>251</v>
      </c>
      <c r="X17">
        <v>7.1118721461187209E-2</v>
      </c>
      <c r="Y17">
        <v>2.8086086733129477E-2</v>
      </c>
      <c r="Z17" t="s">
        <v>259</v>
      </c>
      <c r="AA17" t="s">
        <v>25</v>
      </c>
      <c r="AC17" t="s">
        <v>22</v>
      </c>
      <c r="AD17" t="s">
        <v>259</v>
      </c>
      <c r="AE17">
        <v>7.1560704740728967E-2</v>
      </c>
      <c r="AG17" t="s">
        <v>97</v>
      </c>
      <c r="AH17" t="s">
        <v>259</v>
      </c>
      <c r="AI17">
        <v>0.28018050022651519</v>
      </c>
      <c r="AK17">
        <v>2020</v>
      </c>
      <c r="AL17" t="s">
        <v>171</v>
      </c>
      <c r="AM17">
        <v>0.3193982579304388</v>
      </c>
      <c r="AN17" t="s">
        <v>430</v>
      </c>
    </row>
    <row r="18" spans="3:40" x14ac:dyDescent="0.45">
      <c r="I18" t="s">
        <v>249</v>
      </c>
      <c r="J18" t="s">
        <v>260</v>
      </c>
      <c r="K18">
        <v>9.5943663613530673E-3</v>
      </c>
      <c r="L18" t="s">
        <v>251</v>
      </c>
      <c r="N18" t="s">
        <v>419</v>
      </c>
      <c r="O18" t="s">
        <v>260</v>
      </c>
      <c r="P18">
        <v>4.633026240198449E-3</v>
      </c>
      <c r="Q18" t="s">
        <v>251</v>
      </c>
      <c r="S18" t="s">
        <v>420</v>
      </c>
      <c r="T18" t="s">
        <v>260</v>
      </c>
      <c r="U18">
        <v>6.0521544812931994E-3</v>
      </c>
      <c r="V18" t="s">
        <v>251</v>
      </c>
      <c r="X18">
        <v>1.0159817351598174E-2</v>
      </c>
      <c r="Y18">
        <v>1.6963760369274626E-2</v>
      </c>
      <c r="Z18" t="s">
        <v>260</v>
      </c>
      <c r="AA18" t="s">
        <v>25</v>
      </c>
      <c r="AC18" t="s">
        <v>22</v>
      </c>
      <c r="AD18" t="s">
        <v>260</v>
      </c>
      <c r="AE18">
        <v>1.2508708421769106E-2</v>
      </c>
      <c r="AG18" t="s">
        <v>97</v>
      </c>
      <c r="AH18" t="s">
        <v>260</v>
      </c>
      <c r="AI18">
        <v>0.15582783927999255</v>
      </c>
      <c r="AK18">
        <v>2021</v>
      </c>
      <c r="AL18" t="s">
        <v>151</v>
      </c>
      <c r="AM18">
        <v>0.24537183889815969</v>
      </c>
      <c r="AN18" t="s">
        <v>430</v>
      </c>
    </row>
    <row r="19" spans="3:40" x14ac:dyDescent="0.45">
      <c r="I19" t="s">
        <v>249</v>
      </c>
      <c r="J19" t="s">
        <v>261</v>
      </c>
      <c r="K19">
        <v>2.0395299914110685E-2</v>
      </c>
      <c r="L19" t="s">
        <v>251</v>
      </c>
      <c r="N19" t="s">
        <v>419</v>
      </c>
      <c r="O19" t="s">
        <v>261</v>
      </c>
      <c r="P19">
        <v>3.377191184816566E-3</v>
      </c>
      <c r="Q19" t="s">
        <v>251</v>
      </c>
      <c r="S19" t="s">
        <v>420</v>
      </c>
      <c r="T19" t="s">
        <v>261</v>
      </c>
      <c r="U19">
        <v>5.7356048468713925E-3</v>
      </c>
      <c r="V19" t="s">
        <v>251</v>
      </c>
      <c r="X19">
        <v>1.0159817351598174E-2</v>
      </c>
      <c r="Y19">
        <v>1.2980964456488416E-2</v>
      </c>
      <c r="Z19" t="s">
        <v>261</v>
      </c>
      <c r="AA19" t="s">
        <v>25</v>
      </c>
      <c r="AC19" t="s">
        <v>22</v>
      </c>
      <c r="AD19" t="s">
        <v>261</v>
      </c>
      <c r="AE19">
        <v>1.300650675503901E-2</v>
      </c>
      <c r="AG19" t="s">
        <v>97</v>
      </c>
      <c r="AH19" t="s">
        <v>261</v>
      </c>
      <c r="AI19">
        <v>0.14341752701631894</v>
      </c>
      <c r="AK19">
        <v>2021</v>
      </c>
      <c r="AL19" t="s">
        <v>156</v>
      </c>
      <c r="AM19">
        <v>0.25326266741125586</v>
      </c>
      <c r="AN19" t="s">
        <v>430</v>
      </c>
    </row>
    <row r="20" spans="3:40" x14ac:dyDescent="0.45">
      <c r="I20" t="s">
        <v>249</v>
      </c>
      <c r="J20" t="s">
        <v>262</v>
      </c>
      <c r="K20">
        <v>0.2284157637126536</v>
      </c>
      <c r="L20" t="s">
        <v>251</v>
      </c>
      <c r="N20" t="s">
        <v>419</v>
      </c>
      <c r="O20" t="s">
        <v>262</v>
      </c>
      <c r="P20">
        <v>2.8453007566282159E-2</v>
      </c>
      <c r="Q20" t="s">
        <v>251</v>
      </c>
      <c r="S20" t="s">
        <v>420</v>
      </c>
      <c r="T20" t="s">
        <v>262</v>
      </c>
      <c r="U20">
        <v>4.3320593799291866E-2</v>
      </c>
      <c r="V20" t="s">
        <v>251</v>
      </c>
      <c r="X20">
        <v>8.1278538812785392E-2</v>
      </c>
      <c r="Y20">
        <v>0.11234434693251791</v>
      </c>
      <c r="Z20" t="s">
        <v>262</v>
      </c>
      <c r="AA20" t="s">
        <v>25</v>
      </c>
      <c r="AC20" t="s">
        <v>22</v>
      </c>
      <c r="AD20" t="s">
        <v>262</v>
      </c>
      <c r="AE20">
        <v>0.1047136181562083</v>
      </c>
      <c r="AG20" t="s">
        <v>97</v>
      </c>
      <c r="AH20" t="s">
        <v>262</v>
      </c>
      <c r="AI20">
        <v>0.22221488911410603</v>
      </c>
      <c r="AK20">
        <v>2021</v>
      </c>
      <c r="AL20" t="s">
        <v>159</v>
      </c>
      <c r="AM20">
        <v>0.42520104783927204</v>
      </c>
      <c r="AN20" t="s">
        <v>430</v>
      </c>
    </row>
    <row r="21" spans="3:40" x14ac:dyDescent="0.45">
      <c r="I21" t="s">
        <v>249</v>
      </c>
      <c r="J21" t="s">
        <v>263</v>
      </c>
      <c r="K21">
        <v>1.9168357375147299E-2</v>
      </c>
      <c r="L21" t="s">
        <v>251</v>
      </c>
      <c r="N21" t="s">
        <v>419</v>
      </c>
      <c r="O21" t="s">
        <v>263</v>
      </c>
      <c r="P21">
        <v>5.973658244175022E-3</v>
      </c>
      <c r="Q21" t="s">
        <v>251</v>
      </c>
      <c r="S21" t="s">
        <v>420</v>
      </c>
      <c r="T21" t="s">
        <v>263</v>
      </c>
      <c r="U21">
        <v>6.9923356277114277E-3</v>
      </c>
      <c r="V21" t="s">
        <v>251</v>
      </c>
      <c r="X21">
        <v>1.0159817351598174E-2</v>
      </c>
      <c r="Y21">
        <v>1.9766468604198267E-2</v>
      </c>
      <c r="Z21" t="s">
        <v>263</v>
      </c>
      <c r="AA21" t="s">
        <v>25</v>
      </c>
      <c r="AC21" t="s">
        <v>22</v>
      </c>
      <c r="AD21" t="s">
        <v>263</v>
      </c>
      <c r="AE21">
        <v>6.2092948010197798E-3</v>
      </c>
      <c r="AG21" t="s">
        <v>97</v>
      </c>
      <c r="AH21" t="s">
        <v>263</v>
      </c>
      <c r="AI21">
        <v>0.20324386008244644</v>
      </c>
      <c r="AK21">
        <v>2021</v>
      </c>
      <c r="AL21" t="s">
        <v>163</v>
      </c>
      <c r="AM21">
        <v>0.57377934693164512</v>
      </c>
      <c r="AN21" t="s">
        <v>430</v>
      </c>
    </row>
    <row r="22" spans="3:40" x14ac:dyDescent="0.45">
      <c r="I22" t="s">
        <v>249</v>
      </c>
      <c r="J22" t="s">
        <v>264</v>
      </c>
      <c r="K22">
        <v>9.6386039363009438E-3</v>
      </c>
      <c r="L22" t="s">
        <v>251</v>
      </c>
      <c r="N22" t="s">
        <v>419</v>
      </c>
      <c r="O22" t="s">
        <v>264</v>
      </c>
      <c r="P22">
        <v>6.3733447255582318E-2</v>
      </c>
      <c r="Q22" t="s">
        <v>251</v>
      </c>
      <c r="S22" t="s">
        <v>420</v>
      </c>
      <c r="T22" t="s">
        <v>264</v>
      </c>
      <c r="U22">
        <v>4.4936150835102925E-2</v>
      </c>
      <c r="V22" t="s">
        <v>251</v>
      </c>
      <c r="X22">
        <v>6.095890410958904E-2</v>
      </c>
      <c r="Y22">
        <v>5.3693989342747522E-2</v>
      </c>
      <c r="Z22" t="s">
        <v>264</v>
      </c>
      <c r="AA22" t="s">
        <v>25</v>
      </c>
      <c r="AC22" t="s">
        <v>22</v>
      </c>
      <c r="AD22" t="s">
        <v>264</v>
      </c>
      <c r="AE22">
        <v>3.0505720470534421E-2</v>
      </c>
      <c r="AG22" t="s">
        <v>97</v>
      </c>
      <c r="AH22" t="s">
        <v>264</v>
      </c>
      <c r="AI22">
        <v>0.43089850526093465</v>
      </c>
      <c r="AK22">
        <v>2021</v>
      </c>
      <c r="AL22" t="s">
        <v>167</v>
      </c>
      <c r="AM22">
        <v>0.62492242342329907</v>
      </c>
      <c r="AN22" t="s">
        <v>430</v>
      </c>
    </row>
    <row r="23" spans="3:40" x14ac:dyDescent="0.45">
      <c r="I23" t="s">
        <v>249</v>
      </c>
      <c r="J23" t="s">
        <v>267</v>
      </c>
      <c r="K23">
        <v>2.8107129889712187E-3</v>
      </c>
      <c r="L23" t="s">
        <v>251</v>
      </c>
      <c r="N23" t="s">
        <v>419</v>
      </c>
      <c r="O23" t="s">
        <v>267</v>
      </c>
      <c r="P23">
        <v>7.6683988825372945E-2</v>
      </c>
      <c r="Q23" t="s">
        <v>251</v>
      </c>
      <c r="S23" t="s">
        <v>420</v>
      </c>
      <c r="T23" t="s">
        <v>267</v>
      </c>
      <c r="U23">
        <v>6.9324325075588555E-2</v>
      </c>
      <c r="V23" t="s">
        <v>251</v>
      </c>
      <c r="X23">
        <v>4.8744292237442921E-2</v>
      </c>
      <c r="Y23">
        <v>1.9250014502482003E-2</v>
      </c>
      <c r="Z23" t="s">
        <v>267</v>
      </c>
      <c r="AA23" t="s">
        <v>25</v>
      </c>
      <c r="AC23" t="s">
        <v>22</v>
      </c>
      <c r="AD23" t="s">
        <v>267</v>
      </c>
      <c r="AE23">
        <v>6.519254532687116E-2</v>
      </c>
      <c r="AG23" t="s">
        <v>97</v>
      </c>
      <c r="AH23" t="s">
        <v>267</v>
      </c>
      <c r="AI23">
        <v>0.11603121018014484</v>
      </c>
      <c r="AK23">
        <v>2021</v>
      </c>
      <c r="AL23" t="s">
        <v>169</v>
      </c>
      <c r="AM23">
        <v>0.57271626051018953</v>
      </c>
      <c r="AN23" t="s">
        <v>430</v>
      </c>
    </row>
    <row r="24" spans="3:40" x14ac:dyDescent="0.45">
      <c r="I24" t="s">
        <v>249</v>
      </c>
      <c r="J24" t="s">
        <v>268</v>
      </c>
      <c r="K24">
        <v>8.3725005645677291E-3</v>
      </c>
      <c r="L24" t="s">
        <v>251</v>
      </c>
      <c r="N24" t="s">
        <v>419</v>
      </c>
      <c r="O24" t="s">
        <v>268</v>
      </c>
      <c r="P24">
        <v>9.517215128087203E-3</v>
      </c>
      <c r="Q24" t="s">
        <v>251</v>
      </c>
      <c r="S24" t="s">
        <v>420</v>
      </c>
      <c r="T24" t="s">
        <v>268</v>
      </c>
      <c r="U24">
        <v>8.6656999587655537E-3</v>
      </c>
      <c r="V24" t="s">
        <v>251</v>
      </c>
      <c r="X24">
        <v>6.9634703196347035E-3</v>
      </c>
      <c r="Y24">
        <v>1.1626846994671376E-2</v>
      </c>
      <c r="Z24" t="s">
        <v>268</v>
      </c>
      <c r="AA24" t="s">
        <v>25</v>
      </c>
      <c r="AC24" t="s">
        <v>22</v>
      </c>
      <c r="AD24" t="s">
        <v>268</v>
      </c>
      <c r="AE24">
        <v>1.0619636311418032E-2</v>
      </c>
      <c r="AG24" t="s">
        <v>97</v>
      </c>
      <c r="AH24" t="s">
        <v>268</v>
      </c>
      <c r="AI24">
        <v>3.4881002927453331E-2</v>
      </c>
      <c r="AK24">
        <v>2021</v>
      </c>
      <c r="AL24" t="s">
        <v>171</v>
      </c>
      <c r="AM24">
        <v>0.35170602065746115</v>
      </c>
      <c r="AN24" t="s">
        <v>430</v>
      </c>
    </row>
    <row r="25" spans="3:40" x14ac:dyDescent="0.45">
      <c r="I25" t="s">
        <v>249</v>
      </c>
      <c r="J25" t="s">
        <v>269</v>
      </c>
      <c r="K25">
        <v>1.2664835667177301E-2</v>
      </c>
      <c r="L25" t="s">
        <v>251</v>
      </c>
      <c r="N25" t="s">
        <v>419</v>
      </c>
      <c r="O25" t="s">
        <v>269</v>
      </c>
      <c r="P25">
        <v>1.0194002066023587E-2</v>
      </c>
      <c r="Q25" t="s">
        <v>251</v>
      </c>
      <c r="S25" t="s">
        <v>420</v>
      </c>
      <c r="T25" t="s">
        <v>269</v>
      </c>
      <c r="U25">
        <v>8.4785250708125526E-3</v>
      </c>
      <c r="V25" t="s">
        <v>251</v>
      </c>
      <c r="X25">
        <v>6.9634703196347035E-3</v>
      </c>
      <c r="Y25">
        <v>8.8970655263572278E-3</v>
      </c>
      <c r="Z25" t="s">
        <v>269</v>
      </c>
      <c r="AA25" t="s">
        <v>25</v>
      </c>
      <c r="AC25" t="s">
        <v>22</v>
      </c>
      <c r="AD25" t="s">
        <v>269</v>
      </c>
      <c r="AE25">
        <v>1.0729345314236031E-2</v>
      </c>
      <c r="AG25" t="s">
        <v>97</v>
      </c>
      <c r="AH25" t="s">
        <v>269</v>
      </c>
      <c r="AI25">
        <v>4.1117481935545985E-2</v>
      </c>
      <c r="AK25">
        <v>2022</v>
      </c>
      <c r="AL25" t="s">
        <v>151</v>
      </c>
      <c r="AM25">
        <v>0.22856863093367569</v>
      </c>
      <c r="AN25" t="s">
        <v>430</v>
      </c>
    </row>
    <row r="26" spans="3:40" x14ac:dyDescent="0.45">
      <c r="I26" t="s">
        <v>249</v>
      </c>
      <c r="J26" t="s">
        <v>270</v>
      </c>
      <c r="K26">
        <v>0.13708287383024781</v>
      </c>
      <c r="L26" t="s">
        <v>251</v>
      </c>
      <c r="N26" t="s">
        <v>419</v>
      </c>
      <c r="O26" t="s">
        <v>270</v>
      </c>
      <c r="P26">
        <v>8.0432516876513691E-2</v>
      </c>
      <c r="Q26" t="s">
        <v>251</v>
      </c>
      <c r="S26" t="s">
        <v>420</v>
      </c>
      <c r="T26" t="s">
        <v>270</v>
      </c>
      <c r="U26">
        <v>7.200206693579321E-2</v>
      </c>
      <c r="V26" t="s">
        <v>251</v>
      </c>
      <c r="X26">
        <v>5.5707762557077628E-2</v>
      </c>
      <c r="Y26">
        <v>7.7000058009927999E-2</v>
      </c>
      <c r="Z26" t="s">
        <v>270</v>
      </c>
      <c r="AA26" t="s">
        <v>25</v>
      </c>
      <c r="AC26" t="s">
        <v>22</v>
      </c>
      <c r="AD26" t="s">
        <v>270</v>
      </c>
      <c r="AE26">
        <v>8.6222484179356615E-2</v>
      </c>
      <c r="AG26" t="s">
        <v>97</v>
      </c>
      <c r="AH26" t="s">
        <v>270</v>
      </c>
      <c r="AI26">
        <v>0.11717309303082835</v>
      </c>
      <c r="AK26">
        <v>2022</v>
      </c>
      <c r="AL26" t="s">
        <v>156</v>
      </c>
      <c r="AM26">
        <v>0.31030375044666419</v>
      </c>
      <c r="AN26" t="s">
        <v>430</v>
      </c>
    </row>
    <row r="27" spans="3:40" x14ac:dyDescent="0.45">
      <c r="I27" t="s">
        <v>249</v>
      </c>
      <c r="J27" t="s">
        <v>271</v>
      </c>
      <c r="K27">
        <v>1.0842674499161382E-2</v>
      </c>
      <c r="L27" t="s">
        <v>251</v>
      </c>
      <c r="N27" t="s">
        <v>419</v>
      </c>
      <c r="O27" t="s">
        <v>271</v>
      </c>
      <c r="P27">
        <v>1.111593701554979E-2</v>
      </c>
      <c r="Q27" t="s">
        <v>251</v>
      </c>
      <c r="S27" t="s">
        <v>420</v>
      </c>
      <c r="T27" t="s">
        <v>271</v>
      </c>
      <c r="U27">
        <v>1.0172663491000202E-2</v>
      </c>
      <c r="V27" t="s">
        <v>251</v>
      </c>
      <c r="X27">
        <v>6.9634703196347035E-3</v>
      </c>
      <c r="Y27">
        <v>1.354780432422577E-2</v>
      </c>
      <c r="Z27" t="s">
        <v>271</v>
      </c>
      <c r="AA27" t="s">
        <v>25</v>
      </c>
      <c r="AC27" t="s">
        <v>22</v>
      </c>
      <c r="AD27" t="s">
        <v>271</v>
      </c>
      <c r="AE27">
        <v>6.5015924076928357E-3</v>
      </c>
      <c r="AG27" t="s">
        <v>97</v>
      </c>
      <c r="AH27" t="s">
        <v>271</v>
      </c>
      <c r="AI27">
        <v>8.1659542877799751E-2</v>
      </c>
      <c r="AK27">
        <v>2022</v>
      </c>
      <c r="AL27" t="s">
        <v>159</v>
      </c>
      <c r="AM27">
        <v>0.40786549348052814</v>
      </c>
      <c r="AN27" t="s">
        <v>430</v>
      </c>
    </row>
    <row r="28" spans="3:40" x14ac:dyDescent="0.45">
      <c r="I28" t="s">
        <v>249</v>
      </c>
      <c r="J28" t="s">
        <v>272</v>
      </c>
      <c r="K28">
        <v>8.5671833245019209E-3</v>
      </c>
      <c r="L28" t="s">
        <v>251</v>
      </c>
      <c r="N28" t="s">
        <v>419</v>
      </c>
      <c r="O28" t="s">
        <v>272</v>
      </c>
      <c r="P28">
        <v>7.8403094347226795E-2</v>
      </c>
      <c r="Q28" t="s">
        <v>251</v>
      </c>
      <c r="S28" t="s">
        <v>420</v>
      </c>
      <c r="T28" t="s">
        <v>272</v>
      </c>
      <c r="U28">
        <v>6.4101535791023637E-2</v>
      </c>
      <c r="V28" t="s">
        <v>251</v>
      </c>
      <c r="X28">
        <v>4.1780821917808221E-2</v>
      </c>
      <c r="Y28">
        <v>3.6801498313568527E-2</v>
      </c>
      <c r="Z28" t="s">
        <v>272</v>
      </c>
      <c r="AA28" t="s">
        <v>25</v>
      </c>
      <c r="AC28" t="s">
        <v>22</v>
      </c>
      <c r="AD28" t="s">
        <v>272</v>
      </c>
      <c r="AE28">
        <v>4.4652643734093819E-2</v>
      </c>
      <c r="AG28" t="s">
        <v>97</v>
      </c>
      <c r="AH28" t="s">
        <v>272</v>
      </c>
      <c r="AI28">
        <v>7.3812553388382662E-2</v>
      </c>
      <c r="AK28">
        <v>2022</v>
      </c>
      <c r="AL28" t="s">
        <v>163</v>
      </c>
      <c r="AM28">
        <v>0.58949643171063837</v>
      </c>
      <c r="AN28" t="s">
        <v>430</v>
      </c>
    </row>
    <row r="29" spans="3:40" x14ac:dyDescent="0.45">
      <c r="I29" t="s">
        <v>249</v>
      </c>
      <c r="J29" t="s">
        <v>275</v>
      </c>
      <c r="K29">
        <v>3.9949852694818087E-4</v>
      </c>
      <c r="L29" t="s">
        <v>251</v>
      </c>
      <c r="N29" t="s">
        <v>419</v>
      </c>
      <c r="O29" t="s">
        <v>275</v>
      </c>
      <c r="P29">
        <v>5.21461902063994E-2</v>
      </c>
      <c r="Q29" t="s">
        <v>251</v>
      </c>
      <c r="S29" t="s">
        <v>420</v>
      </c>
      <c r="T29" t="s">
        <v>275</v>
      </c>
      <c r="U29">
        <v>5.8266126603190097E-2</v>
      </c>
      <c r="V29" t="s">
        <v>251</v>
      </c>
      <c r="X29">
        <v>2.4771689497716895E-2</v>
      </c>
      <c r="Y29">
        <v>9.7827942553597048E-3</v>
      </c>
      <c r="Z29" t="s">
        <v>275</v>
      </c>
      <c r="AA29" t="s">
        <v>25</v>
      </c>
      <c r="AC29" t="s">
        <v>22</v>
      </c>
      <c r="AD29" t="s">
        <v>275</v>
      </c>
      <c r="AE29">
        <v>3.1290129919684682E-2</v>
      </c>
      <c r="AG29" t="s">
        <v>97</v>
      </c>
      <c r="AH29" t="s">
        <v>275</v>
      </c>
      <c r="AI29">
        <v>9.0557243741560711E-2</v>
      </c>
      <c r="AK29">
        <v>2022</v>
      </c>
      <c r="AL29" t="s">
        <v>167</v>
      </c>
      <c r="AM29">
        <v>0.70961593638562115</v>
      </c>
      <c r="AN29" t="s">
        <v>430</v>
      </c>
    </row>
    <row r="30" spans="3:40" x14ac:dyDescent="0.45">
      <c r="I30" t="s">
        <v>249</v>
      </c>
      <c r="J30" t="s">
        <v>276</v>
      </c>
      <c r="K30">
        <v>1.5950621698403843E-3</v>
      </c>
      <c r="L30" t="s">
        <v>251</v>
      </c>
      <c r="N30" t="s">
        <v>419</v>
      </c>
      <c r="O30" t="s">
        <v>276</v>
      </c>
      <c r="P30">
        <v>6.9797535869503E-3</v>
      </c>
      <c r="Q30" t="s">
        <v>251</v>
      </c>
      <c r="S30" t="s">
        <v>420</v>
      </c>
      <c r="T30" t="s">
        <v>276</v>
      </c>
      <c r="U30">
        <v>7.9219619050836E-3</v>
      </c>
      <c r="V30" t="s">
        <v>251</v>
      </c>
      <c r="X30">
        <v>3.5388127853881279E-3</v>
      </c>
      <c r="Y30">
        <v>5.9087255218821738E-3</v>
      </c>
      <c r="Z30" t="s">
        <v>276</v>
      </c>
      <c r="AA30" t="s">
        <v>25</v>
      </c>
      <c r="AC30" t="s">
        <v>22</v>
      </c>
      <c r="AD30" t="s">
        <v>276</v>
      </c>
      <c r="AE30">
        <v>4.878510750396468E-3</v>
      </c>
      <c r="AG30" t="s">
        <v>97</v>
      </c>
      <c r="AH30" t="s">
        <v>276</v>
      </c>
      <c r="AI30">
        <v>3.8525592846895274E-2</v>
      </c>
      <c r="AK30">
        <v>2022</v>
      </c>
      <c r="AL30" t="s">
        <v>169</v>
      </c>
      <c r="AM30">
        <v>0.69297378700174128</v>
      </c>
      <c r="AN30" t="s">
        <v>430</v>
      </c>
    </row>
    <row r="31" spans="3:40" x14ac:dyDescent="0.45">
      <c r="I31" t="s">
        <v>249</v>
      </c>
      <c r="J31" t="s">
        <v>277</v>
      </c>
      <c r="K31">
        <v>3.0283477756202618E-3</v>
      </c>
      <c r="L31" t="s">
        <v>251</v>
      </c>
      <c r="N31" t="s">
        <v>419</v>
      </c>
      <c r="O31" t="s">
        <v>277</v>
      </c>
      <c r="P31">
        <v>7.7421033792447001E-3</v>
      </c>
      <c r="Q31" t="s">
        <v>251</v>
      </c>
      <c r="S31" t="s">
        <v>420</v>
      </c>
      <c r="T31" t="s">
        <v>277</v>
      </c>
      <c r="U31">
        <v>7.8743154094812005E-3</v>
      </c>
      <c r="V31" t="s">
        <v>251</v>
      </c>
      <c r="X31">
        <v>3.5388127853881279E-3</v>
      </c>
      <c r="Y31">
        <v>4.521459529788099E-3</v>
      </c>
      <c r="Z31" t="s">
        <v>277</v>
      </c>
      <c r="AA31" t="s">
        <v>25</v>
      </c>
      <c r="AC31" t="s">
        <v>22</v>
      </c>
      <c r="AD31" t="s">
        <v>277</v>
      </c>
      <c r="AE31">
        <v>4.9283984321186322E-3</v>
      </c>
      <c r="AG31" t="s">
        <v>97</v>
      </c>
      <c r="AH31" t="s">
        <v>277</v>
      </c>
      <c r="AI31">
        <v>6.5790488331782804E-2</v>
      </c>
      <c r="AK31">
        <v>2022</v>
      </c>
      <c r="AL31" t="s">
        <v>171</v>
      </c>
      <c r="AM31">
        <v>0.36133578961590596</v>
      </c>
      <c r="AN31" t="s">
        <v>430</v>
      </c>
    </row>
    <row r="32" spans="3:40" x14ac:dyDescent="0.45">
      <c r="I32" t="s">
        <v>249</v>
      </c>
      <c r="J32" t="s">
        <v>278</v>
      </c>
      <c r="K32">
        <v>4.3142022957508581E-2</v>
      </c>
      <c r="L32" t="s">
        <v>251</v>
      </c>
      <c r="N32" t="s">
        <v>419</v>
      </c>
      <c r="O32" t="s">
        <v>278</v>
      </c>
      <c r="P32">
        <v>6.6621125480320606E-2</v>
      </c>
      <c r="Q32" t="s">
        <v>251</v>
      </c>
      <c r="S32" t="s">
        <v>420</v>
      </c>
      <c r="T32" t="s">
        <v>278</v>
      </c>
      <c r="U32">
        <v>6.3828737481394698E-2</v>
      </c>
      <c r="V32" t="s">
        <v>251</v>
      </c>
      <c r="X32">
        <v>2.8310502283105023E-2</v>
      </c>
      <c r="Y32">
        <v>3.9131177021438819E-2</v>
      </c>
      <c r="Z32" t="s">
        <v>278</v>
      </c>
      <c r="AA32" t="s">
        <v>25</v>
      </c>
      <c r="AC32" t="s">
        <v>22</v>
      </c>
      <c r="AD32" t="s">
        <v>278</v>
      </c>
      <c r="AE32">
        <v>4.054259722853655E-2</v>
      </c>
      <c r="AG32" t="s">
        <v>97</v>
      </c>
      <c r="AH32" t="s">
        <v>278</v>
      </c>
      <c r="AI32">
        <v>0.11998236237451998</v>
      </c>
      <c r="AK32">
        <v>2025</v>
      </c>
      <c r="AL32" t="s">
        <v>151</v>
      </c>
      <c r="AM32">
        <v>0.2868</v>
      </c>
      <c r="AN32" t="s">
        <v>430</v>
      </c>
    </row>
    <row r="33" spans="9:40" x14ac:dyDescent="0.45">
      <c r="I33" t="s">
        <v>249</v>
      </c>
      <c r="J33" t="s">
        <v>279</v>
      </c>
      <c r="K33">
        <v>2.7779154947420817E-3</v>
      </c>
      <c r="L33" t="s">
        <v>251</v>
      </c>
      <c r="N33" t="s">
        <v>419</v>
      </c>
      <c r="O33" t="s">
        <v>279</v>
      </c>
      <c r="P33">
        <v>8.3100494361197999E-3</v>
      </c>
      <c r="Q33" t="s">
        <v>251</v>
      </c>
      <c r="S33" t="s">
        <v>420</v>
      </c>
      <c r="T33" t="s">
        <v>279</v>
      </c>
      <c r="U33">
        <v>8.3495263949457006E-3</v>
      </c>
      <c r="V33" t="s">
        <v>251</v>
      </c>
      <c r="X33">
        <v>3.5388127853881279E-3</v>
      </c>
      <c r="Y33">
        <v>6.8849497385409693E-3</v>
      </c>
      <c r="Z33" t="s">
        <v>279</v>
      </c>
      <c r="AA33" t="s">
        <v>25</v>
      </c>
      <c r="AC33" t="s">
        <v>22</v>
      </c>
      <c r="AD33" t="s">
        <v>279</v>
      </c>
      <c r="AE33">
        <v>3.0673261932617898E-3</v>
      </c>
      <c r="AG33" t="s">
        <v>97</v>
      </c>
      <c r="AH33" t="s">
        <v>279</v>
      </c>
      <c r="AI33">
        <v>4.169317729613109E-2</v>
      </c>
      <c r="AK33">
        <v>2025</v>
      </c>
      <c r="AL33" t="s">
        <v>156</v>
      </c>
      <c r="AM33">
        <v>0.31739999999999996</v>
      </c>
      <c r="AN33" t="s">
        <v>430</v>
      </c>
    </row>
    <row r="34" spans="9:40" x14ac:dyDescent="0.45">
      <c r="I34" t="s">
        <v>249</v>
      </c>
      <c r="J34" t="s">
        <v>280</v>
      </c>
      <c r="K34">
        <v>1.7294291727537796E-3</v>
      </c>
      <c r="L34" t="s">
        <v>251</v>
      </c>
      <c r="N34" t="s">
        <v>419</v>
      </c>
      <c r="O34" t="s">
        <v>280</v>
      </c>
      <c r="P34">
        <v>5.06188838616147E-2</v>
      </c>
      <c r="Q34" t="s">
        <v>251</v>
      </c>
      <c r="S34" t="s">
        <v>420</v>
      </c>
      <c r="T34" t="s">
        <v>280</v>
      </c>
      <c r="U34">
        <v>5.0761612923299199E-2</v>
      </c>
      <c r="V34" t="s">
        <v>251</v>
      </c>
      <c r="X34">
        <v>2.1232876712328767E-2</v>
      </c>
      <c r="Y34">
        <v>1.8702400782305319E-2</v>
      </c>
      <c r="Z34" t="s">
        <v>280</v>
      </c>
      <c r="AA34" t="s">
        <v>25</v>
      </c>
      <c r="AC34" t="s">
        <v>22</v>
      </c>
      <c r="AD34" t="s">
        <v>280</v>
      </c>
      <c r="AE34">
        <v>2.1054722532817555E-2</v>
      </c>
      <c r="AG34" t="s">
        <v>97</v>
      </c>
      <c r="AH34" t="s">
        <v>280</v>
      </c>
      <c r="AI34">
        <v>6.7070478797988331E-2</v>
      </c>
      <c r="AK34">
        <v>2025</v>
      </c>
      <c r="AL34" t="s">
        <v>159</v>
      </c>
      <c r="AM34">
        <v>0.46619999999999995</v>
      </c>
      <c r="AN34" t="s">
        <v>430</v>
      </c>
    </row>
    <row r="35" spans="9:40" x14ac:dyDescent="0.45">
      <c r="I35" t="s">
        <v>249</v>
      </c>
      <c r="J35" t="s">
        <v>283</v>
      </c>
      <c r="K35">
        <v>2.9265094728030523E-4</v>
      </c>
      <c r="L35" t="s">
        <v>251</v>
      </c>
      <c r="N35" t="s">
        <v>419</v>
      </c>
      <c r="O35" t="s">
        <v>283</v>
      </c>
      <c r="P35">
        <v>3.4380791921025153E-2</v>
      </c>
      <c r="Q35" t="s">
        <v>251</v>
      </c>
      <c r="S35" t="s">
        <v>420</v>
      </c>
      <c r="T35" t="s">
        <v>283</v>
      </c>
      <c r="U35">
        <v>3.9571025385561329E-2</v>
      </c>
      <c r="V35" t="s">
        <v>251</v>
      </c>
      <c r="X35">
        <v>2.4771689497716895E-2</v>
      </c>
      <c r="Y35">
        <v>9.7827942553597048E-3</v>
      </c>
      <c r="Z35" t="s">
        <v>283</v>
      </c>
      <c r="AA35" t="s">
        <v>25</v>
      </c>
      <c r="AC35" t="s">
        <v>22</v>
      </c>
      <c r="AD35" t="s">
        <v>283</v>
      </c>
      <c r="AE35">
        <v>2.7867658588525919E-2</v>
      </c>
      <c r="AG35" t="s">
        <v>97</v>
      </c>
      <c r="AH35" t="s">
        <v>283</v>
      </c>
      <c r="AI35">
        <v>0.12775358316000784</v>
      </c>
      <c r="AK35">
        <v>2025</v>
      </c>
      <c r="AL35" t="s">
        <v>163</v>
      </c>
      <c r="AM35">
        <v>0.67</v>
      </c>
      <c r="AN35" t="s">
        <v>430</v>
      </c>
    </row>
    <row r="36" spans="9:40" x14ac:dyDescent="0.45">
      <c r="I36" t="s">
        <v>249</v>
      </c>
      <c r="J36" t="s">
        <v>284</v>
      </c>
      <c r="K36">
        <v>1.5657403140266696E-3</v>
      </c>
      <c r="L36" t="s">
        <v>251</v>
      </c>
      <c r="N36" t="s">
        <v>419</v>
      </c>
      <c r="O36" t="s">
        <v>284</v>
      </c>
      <c r="P36">
        <v>4.6046608837676355E-3</v>
      </c>
      <c r="Q36" t="s">
        <v>251</v>
      </c>
      <c r="S36" t="s">
        <v>420</v>
      </c>
      <c r="T36" t="s">
        <v>284</v>
      </c>
      <c r="U36">
        <v>5.2072790586172139E-3</v>
      </c>
      <c r="V36" t="s">
        <v>251</v>
      </c>
      <c r="X36">
        <v>3.5388127853881279E-3</v>
      </c>
      <c r="Y36">
        <v>5.9087255218821738E-3</v>
      </c>
      <c r="Z36" t="s">
        <v>284</v>
      </c>
      <c r="AA36" t="s">
        <v>25</v>
      </c>
      <c r="AC36" t="s">
        <v>22</v>
      </c>
      <c r="AD36" t="s">
        <v>284</v>
      </c>
      <c r="AE36">
        <v>4.6167324071120178E-3</v>
      </c>
      <c r="AG36" t="s">
        <v>97</v>
      </c>
      <c r="AH36" t="s">
        <v>284</v>
      </c>
      <c r="AI36">
        <v>4.2486498981736176E-2</v>
      </c>
      <c r="AK36">
        <v>2025</v>
      </c>
      <c r="AL36" t="s">
        <v>167</v>
      </c>
      <c r="AM36">
        <v>0.70209999999999995</v>
      </c>
      <c r="AN36" t="s">
        <v>430</v>
      </c>
    </row>
    <row r="37" spans="9:40" x14ac:dyDescent="0.45">
      <c r="I37" t="s">
        <v>249</v>
      </c>
      <c r="J37" t="s">
        <v>285</v>
      </c>
      <c r="K37">
        <v>3.2378214071182676E-3</v>
      </c>
      <c r="L37" t="s">
        <v>251</v>
      </c>
      <c r="N37" t="s">
        <v>419</v>
      </c>
      <c r="O37" t="s">
        <v>285</v>
      </c>
      <c r="P37">
        <v>5.3973161121403023E-3</v>
      </c>
      <c r="Q37" t="s">
        <v>251</v>
      </c>
      <c r="S37" t="s">
        <v>420</v>
      </c>
      <c r="T37" t="s">
        <v>285</v>
      </c>
      <c r="U37">
        <v>5.1383838360571678E-3</v>
      </c>
      <c r="V37" t="s">
        <v>251</v>
      </c>
      <c r="X37">
        <v>3.5388127853881279E-3</v>
      </c>
      <c r="Y37">
        <v>4.521459529788099E-3</v>
      </c>
      <c r="Z37" t="s">
        <v>285</v>
      </c>
      <c r="AA37" t="s">
        <v>25</v>
      </c>
      <c r="AC37" t="s">
        <v>22</v>
      </c>
      <c r="AD37" t="s">
        <v>285</v>
      </c>
      <c r="AE37">
        <v>4.6557895697279189E-3</v>
      </c>
      <c r="AG37" t="s">
        <v>97</v>
      </c>
      <c r="AH37" t="s">
        <v>285</v>
      </c>
      <c r="AI37">
        <v>3.982810663240377E-2</v>
      </c>
      <c r="AK37">
        <v>2025</v>
      </c>
      <c r="AL37" t="s">
        <v>169</v>
      </c>
      <c r="AM37">
        <v>0.76329999999999998</v>
      </c>
      <c r="AN37" t="s">
        <v>430</v>
      </c>
    </row>
    <row r="38" spans="9:40" x14ac:dyDescent="0.45">
      <c r="I38" t="s">
        <v>249</v>
      </c>
      <c r="J38" t="s">
        <v>286</v>
      </c>
      <c r="K38">
        <v>4.5870556573799043E-2</v>
      </c>
      <c r="L38" t="s">
        <v>251</v>
      </c>
      <c r="N38" t="s">
        <v>419</v>
      </c>
      <c r="O38" t="s">
        <v>286</v>
      </c>
      <c r="P38">
        <v>4.435631877746616E-2</v>
      </c>
      <c r="Q38" t="s">
        <v>251</v>
      </c>
      <c r="S38" t="s">
        <v>420</v>
      </c>
      <c r="T38" t="s">
        <v>286</v>
      </c>
      <c r="U38">
        <v>4.1496134631136529E-2</v>
      </c>
      <c r="V38" t="s">
        <v>251</v>
      </c>
      <c r="X38">
        <v>2.8310502283105023E-2</v>
      </c>
      <c r="Y38">
        <v>3.9131177021438819E-2</v>
      </c>
      <c r="Z38" t="s">
        <v>286</v>
      </c>
      <c r="AA38" t="s">
        <v>25</v>
      </c>
      <c r="AC38" t="s">
        <v>22</v>
      </c>
      <c r="AD38" t="s">
        <v>286</v>
      </c>
      <c r="AE38">
        <v>3.8719338460999272E-2</v>
      </c>
      <c r="AG38" t="s">
        <v>97</v>
      </c>
      <c r="AH38" t="s">
        <v>286</v>
      </c>
      <c r="AI38">
        <v>0.15296638280831831</v>
      </c>
      <c r="AK38">
        <v>2025</v>
      </c>
      <c r="AL38" t="s">
        <v>171</v>
      </c>
      <c r="AM38">
        <v>0.40616666666666673</v>
      </c>
      <c r="AN38" t="s">
        <v>430</v>
      </c>
    </row>
    <row r="39" spans="9:40" x14ac:dyDescent="0.45">
      <c r="I39" t="s">
        <v>249</v>
      </c>
      <c r="J39" t="s">
        <v>287</v>
      </c>
      <c r="K39">
        <v>3.0373466690530974E-3</v>
      </c>
      <c r="L39" t="s">
        <v>251</v>
      </c>
      <c r="N39" t="s">
        <v>419</v>
      </c>
      <c r="O39" t="s">
        <v>287</v>
      </c>
      <c r="P39">
        <v>5.3004420014127985E-3</v>
      </c>
      <c r="Q39" t="s">
        <v>251</v>
      </c>
      <c r="S39" t="s">
        <v>420</v>
      </c>
      <c r="T39" t="s">
        <v>287</v>
      </c>
      <c r="U39">
        <v>5.2902137229079811E-3</v>
      </c>
      <c r="V39" t="s">
        <v>251</v>
      </c>
      <c r="X39">
        <v>3.5388127853881279E-3</v>
      </c>
      <c r="Y39">
        <v>6.8849497385409693E-3</v>
      </c>
      <c r="Z39" t="s">
        <v>287</v>
      </c>
      <c r="AA39" t="s">
        <v>25</v>
      </c>
      <c r="AC39" t="s">
        <v>22</v>
      </c>
      <c r="AD39" t="s">
        <v>287</v>
      </c>
      <c r="AE39">
        <v>2.6800682476377721E-3</v>
      </c>
      <c r="AG39" t="s">
        <v>97</v>
      </c>
      <c r="AH39" t="s">
        <v>287</v>
      </c>
      <c r="AI39">
        <v>3.7143697841996781E-2</v>
      </c>
      <c r="AK39">
        <v>2026</v>
      </c>
      <c r="AL39" t="s">
        <v>151</v>
      </c>
      <c r="AM39">
        <v>0.25640000000000002</v>
      </c>
      <c r="AN39" t="s">
        <v>430</v>
      </c>
    </row>
    <row r="40" spans="9:40" x14ac:dyDescent="0.45">
      <c r="I40" t="s">
        <v>249</v>
      </c>
      <c r="J40" t="s">
        <v>288</v>
      </c>
      <c r="K40">
        <v>1.5707398888723052E-3</v>
      </c>
      <c r="L40" t="s">
        <v>251</v>
      </c>
      <c r="N40" t="s">
        <v>419</v>
      </c>
      <c r="O40" t="s">
        <v>288</v>
      </c>
      <c r="P40">
        <v>3.2037639847280829E-2</v>
      </c>
      <c r="Q40" t="s">
        <v>251</v>
      </c>
      <c r="S40" t="s">
        <v>420</v>
      </c>
      <c r="T40" t="s">
        <v>288</v>
      </c>
      <c r="U40">
        <v>3.2211354165187764E-2</v>
      </c>
      <c r="V40" t="s">
        <v>251</v>
      </c>
      <c r="X40">
        <v>2.1232876712328767E-2</v>
      </c>
      <c r="Y40">
        <v>1.8702400782305319E-2</v>
      </c>
      <c r="Z40" t="s">
        <v>288</v>
      </c>
      <c r="AA40" t="s">
        <v>25</v>
      </c>
      <c r="AC40" t="s">
        <v>22</v>
      </c>
      <c r="AD40" t="s">
        <v>288</v>
      </c>
      <c r="AE40">
        <v>1.0839001991369867E-2</v>
      </c>
      <c r="AG40" t="s">
        <v>97</v>
      </c>
      <c r="AH40" t="s">
        <v>288</v>
      </c>
      <c r="AI40">
        <v>0.17289648945838665</v>
      </c>
      <c r="AK40">
        <v>2026</v>
      </c>
      <c r="AL40" t="s">
        <v>156</v>
      </c>
      <c r="AM40">
        <v>0.31646666666666667</v>
      </c>
      <c r="AN40" t="s">
        <v>430</v>
      </c>
    </row>
    <row r="41" spans="9:40" x14ac:dyDescent="0.45">
      <c r="I41" t="s">
        <v>249</v>
      </c>
      <c r="J41" t="s">
        <v>291</v>
      </c>
      <c r="K41">
        <v>4.8036425087640667E-4</v>
      </c>
      <c r="L41" t="s">
        <v>251</v>
      </c>
      <c r="N41" t="s">
        <v>419</v>
      </c>
      <c r="O41" t="s">
        <v>291</v>
      </c>
      <c r="P41">
        <v>2.2218056232612447E-2</v>
      </c>
      <c r="Q41" t="s">
        <v>251</v>
      </c>
      <c r="S41" t="s">
        <v>420</v>
      </c>
      <c r="T41" t="s">
        <v>291</v>
      </c>
      <c r="U41">
        <v>2.1333212003720476E-2</v>
      </c>
      <c r="V41" t="s">
        <v>251</v>
      </c>
      <c r="X41">
        <v>2.3972602739726026E-2</v>
      </c>
      <c r="Y41">
        <v>9.4672202471222967E-3</v>
      </c>
      <c r="Z41" t="s">
        <v>291</v>
      </c>
      <c r="AA41" t="s">
        <v>25</v>
      </c>
      <c r="AC41" t="s">
        <v>22</v>
      </c>
      <c r="AD41" t="s">
        <v>291</v>
      </c>
      <c r="AE41">
        <v>2.479801325847876E-2</v>
      </c>
      <c r="AG41" t="s">
        <v>97</v>
      </c>
      <c r="AH41" t="s">
        <v>291</v>
      </c>
      <c r="AI41">
        <v>0.11873084055346217</v>
      </c>
      <c r="AK41">
        <v>2026</v>
      </c>
      <c r="AL41" t="s">
        <v>159</v>
      </c>
      <c r="AM41">
        <v>0.45799999999999996</v>
      </c>
      <c r="AN41" t="s">
        <v>430</v>
      </c>
    </row>
    <row r="42" spans="9:40" x14ac:dyDescent="0.45">
      <c r="I42" t="s">
        <v>249</v>
      </c>
      <c r="J42" t="s">
        <v>292</v>
      </c>
      <c r="K42">
        <v>2.6737579325745247E-3</v>
      </c>
      <c r="L42" t="s">
        <v>251</v>
      </c>
      <c r="N42" t="s">
        <v>419</v>
      </c>
      <c r="O42" t="s">
        <v>292</v>
      </c>
      <c r="P42">
        <v>2.7657812640603397E-3</v>
      </c>
      <c r="Q42" t="s">
        <v>251</v>
      </c>
      <c r="S42" t="s">
        <v>420</v>
      </c>
      <c r="T42" t="s">
        <v>292</v>
      </c>
      <c r="U42">
        <v>2.8122559328442984E-3</v>
      </c>
      <c r="V42" t="s">
        <v>251</v>
      </c>
      <c r="X42">
        <v>3.4246575342465752E-3</v>
      </c>
      <c r="Y42">
        <v>5.7181214727892006E-3</v>
      </c>
      <c r="Z42" t="s">
        <v>292</v>
      </c>
      <c r="AA42" t="s">
        <v>25</v>
      </c>
      <c r="AC42" t="s">
        <v>22</v>
      </c>
      <c r="AD42" t="s">
        <v>292</v>
      </c>
      <c r="AE42">
        <v>4.0903914423662405E-3</v>
      </c>
      <c r="AG42" t="s">
        <v>97</v>
      </c>
      <c r="AH42" t="s">
        <v>292</v>
      </c>
      <c r="AI42">
        <v>5.9529546434148539E-2</v>
      </c>
      <c r="AK42">
        <v>2026</v>
      </c>
      <c r="AL42" t="s">
        <v>163</v>
      </c>
      <c r="AM42">
        <v>0.57340000000000002</v>
      </c>
      <c r="AN42" t="s">
        <v>430</v>
      </c>
    </row>
    <row r="43" spans="9:40" x14ac:dyDescent="0.45">
      <c r="I43" t="s">
        <v>249</v>
      </c>
      <c r="J43" t="s">
        <v>293</v>
      </c>
      <c r="K43">
        <v>5.0872602575584595E-3</v>
      </c>
      <c r="L43" t="s">
        <v>251</v>
      </c>
      <c r="N43" t="s">
        <v>419</v>
      </c>
      <c r="O43" t="s">
        <v>293</v>
      </c>
      <c r="P43">
        <v>2.9609691843650704E-3</v>
      </c>
      <c r="Q43" t="s">
        <v>251</v>
      </c>
      <c r="S43" t="s">
        <v>420</v>
      </c>
      <c r="T43" t="s">
        <v>293</v>
      </c>
      <c r="U43">
        <v>2.7468828959333635E-3</v>
      </c>
      <c r="V43" t="s">
        <v>251</v>
      </c>
      <c r="X43">
        <v>3.4246575342465752E-3</v>
      </c>
      <c r="Y43">
        <v>4.3756059965691279E-3</v>
      </c>
      <c r="Z43" t="s">
        <v>293</v>
      </c>
      <c r="AA43" t="s">
        <v>25</v>
      </c>
      <c r="AC43" t="s">
        <v>22</v>
      </c>
      <c r="AD43" t="s">
        <v>293</v>
      </c>
      <c r="AE43">
        <v>4.1577220422169573E-3</v>
      </c>
      <c r="AG43" t="s">
        <v>97</v>
      </c>
      <c r="AH43" t="s">
        <v>293</v>
      </c>
      <c r="AI43">
        <v>6.0284732903687965E-2</v>
      </c>
      <c r="AK43">
        <v>2026</v>
      </c>
      <c r="AL43" t="s">
        <v>167</v>
      </c>
      <c r="AM43">
        <v>0.76170000000000004</v>
      </c>
      <c r="AN43" t="s">
        <v>430</v>
      </c>
    </row>
    <row r="44" spans="9:40" x14ac:dyDescent="0.45">
      <c r="I44" t="s">
        <v>249</v>
      </c>
      <c r="J44" t="s">
        <v>294</v>
      </c>
      <c r="K44">
        <v>5.8818921899361797E-2</v>
      </c>
      <c r="L44" t="s">
        <v>251</v>
      </c>
      <c r="N44" t="s">
        <v>419</v>
      </c>
      <c r="O44" t="s">
        <v>294</v>
      </c>
      <c r="P44">
        <v>2.4302266342116588E-2</v>
      </c>
      <c r="Q44" t="s">
        <v>251</v>
      </c>
      <c r="S44" t="s">
        <v>420</v>
      </c>
      <c r="T44" t="s">
        <v>294</v>
      </c>
      <c r="U44">
        <v>2.4188958820866076E-2</v>
      </c>
      <c r="V44" t="s">
        <v>251</v>
      </c>
      <c r="X44">
        <v>2.7397260273972601E-2</v>
      </c>
      <c r="Y44">
        <v>3.7868880988489173E-2</v>
      </c>
      <c r="Z44" t="s">
        <v>294</v>
      </c>
      <c r="AA44" t="s">
        <v>25</v>
      </c>
      <c r="AC44" t="s">
        <v>22</v>
      </c>
      <c r="AD44" t="s">
        <v>294</v>
      </c>
      <c r="AE44">
        <v>3.4216958823629393E-2</v>
      </c>
      <c r="AG44" t="s">
        <v>97</v>
      </c>
      <c r="AH44" t="s">
        <v>294</v>
      </c>
      <c r="AI44">
        <v>0.14058199902488355</v>
      </c>
      <c r="AK44">
        <v>2026</v>
      </c>
      <c r="AL44" t="s">
        <v>169</v>
      </c>
      <c r="AM44">
        <v>0.75239999999999996</v>
      </c>
      <c r="AN44" t="s">
        <v>430</v>
      </c>
    </row>
    <row r="45" spans="9:40" x14ac:dyDescent="0.45">
      <c r="I45" t="s">
        <v>249</v>
      </c>
      <c r="J45" t="s">
        <v>295</v>
      </c>
      <c r="K45">
        <v>3.8015886530664736E-3</v>
      </c>
      <c r="L45" t="s">
        <v>251</v>
      </c>
      <c r="N45" t="s">
        <v>419</v>
      </c>
      <c r="O45" t="s">
        <v>295</v>
      </c>
      <c r="P45">
        <v>3.2853587354604373E-3</v>
      </c>
      <c r="Q45" t="s">
        <v>251</v>
      </c>
      <c r="S45" t="s">
        <v>420</v>
      </c>
      <c r="T45" t="s">
        <v>295</v>
      </c>
      <c r="U45">
        <v>3.5179091356963214E-3</v>
      </c>
      <c r="V45" t="s">
        <v>251</v>
      </c>
      <c r="X45">
        <v>3.4246575342465752E-3</v>
      </c>
      <c r="Y45">
        <v>6.662854585684809E-3</v>
      </c>
      <c r="Z45" t="s">
        <v>295</v>
      </c>
      <c r="AA45" t="s">
        <v>25</v>
      </c>
      <c r="AC45" t="s">
        <v>22</v>
      </c>
      <c r="AD45" t="s">
        <v>295</v>
      </c>
      <c r="AE45">
        <v>2.0473205801080424E-3</v>
      </c>
      <c r="AG45" t="s">
        <v>97</v>
      </c>
      <c r="AH45" t="s">
        <v>295</v>
      </c>
      <c r="AI45">
        <v>6.0476550817863295E-2</v>
      </c>
      <c r="AK45">
        <v>2026</v>
      </c>
      <c r="AL45" t="s">
        <v>171</v>
      </c>
      <c r="AM45">
        <v>0.3782666666666667</v>
      </c>
      <c r="AN45" t="s">
        <v>430</v>
      </c>
    </row>
    <row r="46" spans="9:40" x14ac:dyDescent="0.45">
      <c r="I46" t="s">
        <v>249</v>
      </c>
      <c r="J46" t="s">
        <v>296</v>
      </c>
      <c r="K46">
        <v>1.460444015450549E-3</v>
      </c>
      <c r="L46" t="s">
        <v>251</v>
      </c>
      <c r="N46" t="s">
        <v>419</v>
      </c>
      <c r="O46" t="s">
        <v>296</v>
      </c>
      <c r="P46">
        <v>2.2049907763470482E-2</v>
      </c>
      <c r="Q46" t="s">
        <v>251</v>
      </c>
      <c r="S46" t="s">
        <v>420</v>
      </c>
      <c r="T46" t="s">
        <v>296</v>
      </c>
      <c r="U46">
        <v>1.9793008246759176E-2</v>
      </c>
      <c r="V46" t="s">
        <v>251</v>
      </c>
      <c r="X46">
        <v>2.0547945205479451E-2</v>
      </c>
      <c r="Y46">
        <v>1.8099097531263209E-2</v>
      </c>
      <c r="Z46" t="s">
        <v>296</v>
      </c>
      <c r="AA46" t="s">
        <v>25</v>
      </c>
      <c r="AC46" t="s">
        <v>22</v>
      </c>
      <c r="AD46" t="s">
        <v>296</v>
      </c>
      <c r="AE46">
        <v>1.0053081654747002E-2</v>
      </c>
      <c r="AG46" t="s">
        <v>97</v>
      </c>
      <c r="AH46" t="s">
        <v>296</v>
      </c>
      <c r="AI46">
        <v>0.13509154973956239</v>
      </c>
      <c r="AK46">
        <v>2027</v>
      </c>
      <c r="AL46" t="s">
        <v>151</v>
      </c>
      <c r="AM46">
        <v>0.30059999999999998</v>
      </c>
      <c r="AN46" t="s">
        <v>430</v>
      </c>
    </row>
    <row r="47" spans="9:40" x14ac:dyDescent="0.45">
      <c r="I47" t="s">
        <v>249</v>
      </c>
      <c r="J47" t="s">
        <v>299</v>
      </c>
      <c r="K47">
        <v>6.5351783543769401E-4</v>
      </c>
      <c r="L47" t="s">
        <v>251</v>
      </c>
      <c r="N47" t="s">
        <v>419</v>
      </c>
      <c r="O47" t="s">
        <v>299</v>
      </c>
      <c r="P47">
        <v>4.3324454074170557E-2</v>
      </c>
      <c r="Q47" t="s">
        <v>251</v>
      </c>
      <c r="S47" t="s">
        <v>420</v>
      </c>
      <c r="T47" t="s">
        <v>299</v>
      </c>
      <c r="U47">
        <v>4.8117660897199516E-2</v>
      </c>
      <c r="V47" t="s">
        <v>251</v>
      </c>
      <c r="X47">
        <v>7.3515981735159816E-2</v>
      </c>
      <c r="Y47">
        <v>2.9032808757841703E-2</v>
      </c>
      <c r="Z47" t="s">
        <v>299</v>
      </c>
      <c r="AA47" t="s">
        <v>25</v>
      </c>
      <c r="AC47" t="s">
        <v>22</v>
      </c>
      <c r="AD47" t="s">
        <v>299</v>
      </c>
      <c r="AE47">
        <v>6.3305145205189026E-2</v>
      </c>
      <c r="AG47" t="s">
        <v>97</v>
      </c>
      <c r="AH47" t="s">
        <v>299</v>
      </c>
      <c r="AI47">
        <v>0.19448681173159699</v>
      </c>
      <c r="AK47">
        <v>2027</v>
      </c>
      <c r="AL47" t="s">
        <v>156</v>
      </c>
      <c r="AM47">
        <v>0.31856666666666666</v>
      </c>
      <c r="AN47" t="s">
        <v>430</v>
      </c>
    </row>
    <row r="48" spans="9:40" x14ac:dyDescent="0.45">
      <c r="I48" t="s">
        <v>249</v>
      </c>
      <c r="J48" t="s">
        <v>300</v>
      </c>
      <c r="K48">
        <v>8.0451628208554008E-3</v>
      </c>
      <c r="L48" t="s">
        <v>251</v>
      </c>
      <c r="N48" t="s">
        <v>419</v>
      </c>
      <c r="O48" t="s">
        <v>300</v>
      </c>
      <c r="P48">
        <v>5.0685979253509029E-3</v>
      </c>
      <c r="Q48" t="s">
        <v>251</v>
      </c>
      <c r="S48" t="s">
        <v>420</v>
      </c>
      <c r="T48" t="s">
        <v>300</v>
      </c>
      <c r="U48">
        <v>7.0171737048756724E-3</v>
      </c>
      <c r="V48" t="s">
        <v>251</v>
      </c>
      <c r="X48">
        <v>1.0502283105022832E-2</v>
      </c>
      <c r="Y48">
        <v>1.7535572516553546E-2</v>
      </c>
      <c r="Z48" t="s">
        <v>300</v>
      </c>
      <c r="AA48" t="s">
        <v>25</v>
      </c>
      <c r="AC48" t="s">
        <v>22</v>
      </c>
      <c r="AD48" t="s">
        <v>300</v>
      </c>
      <c r="AE48">
        <v>1.0765121702647602E-2</v>
      </c>
      <c r="AG48" t="s">
        <v>97</v>
      </c>
      <c r="AH48" t="s">
        <v>300</v>
      </c>
      <c r="AI48">
        <v>0.10159354782162078</v>
      </c>
      <c r="AK48">
        <v>2027</v>
      </c>
      <c r="AL48" t="s">
        <v>159</v>
      </c>
      <c r="AM48">
        <v>0.46779999999999999</v>
      </c>
      <c r="AN48" t="s">
        <v>430</v>
      </c>
    </row>
    <row r="49" spans="9:40" x14ac:dyDescent="0.45">
      <c r="I49" t="s">
        <v>249</v>
      </c>
      <c r="J49" t="s">
        <v>301</v>
      </c>
      <c r="K49">
        <v>2.00388991149218E-2</v>
      </c>
      <c r="L49" t="s">
        <v>251</v>
      </c>
      <c r="N49" t="s">
        <v>419</v>
      </c>
      <c r="O49" t="s">
        <v>301</v>
      </c>
      <c r="P49">
        <v>4.1272394287997843E-3</v>
      </c>
      <c r="Q49" t="s">
        <v>251</v>
      </c>
      <c r="S49" t="s">
        <v>420</v>
      </c>
      <c r="T49" t="s">
        <v>301</v>
      </c>
      <c r="U49">
        <v>6.9375821532136929E-3</v>
      </c>
      <c r="V49" t="s">
        <v>251</v>
      </c>
      <c r="X49">
        <v>1.0502283105022832E-2</v>
      </c>
      <c r="Y49">
        <v>1.3418525056145329E-2</v>
      </c>
      <c r="Z49" t="s">
        <v>301</v>
      </c>
      <c r="AA49" t="s">
        <v>25</v>
      </c>
      <c r="AC49" t="s">
        <v>22</v>
      </c>
      <c r="AD49" t="s">
        <v>301</v>
      </c>
      <c r="AE49">
        <v>1.1029658886582784E-2</v>
      </c>
      <c r="AG49" t="s">
        <v>97</v>
      </c>
      <c r="AH49" t="s">
        <v>301</v>
      </c>
      <c r="AI49">
        <v>0.10307565073595515</v>
      </c>
      <c r="AK49">
        <v>2027</v>
      </c>
      <c r="AL49" t="s">
        <v>163</v>
      </c>
      <c r="AM49">
        <v>0.58409999999999995</v>
      </c>
      <c r="AN49" t="s">
        <v>430</v>
      </c>
    </row>
    <row r="50" spans="9:40" x14ac:dyDescent="0.45">
      <c r="I50" t="s">
        <v>249</v>
      </c>
      <c r="J50" t="s">
        <v>302</v>
      </c>
      <c r="K50">
        <v>0.21542268156557731</v>
      </c>
      <c r="L50" t="s">
        <v>251</v>
      </c>
      <c r="N50" t="s">
        <v>419</v>
      </c>
      <c r="O50" t="s">
        <v>302</v>
      </c>
      <c r="P50">
        <v>2.9898689232529359E-2</v>
      </c>
      <c r="Q50" t="s">
        <v>251</v>
      </c>
      <c r="S50" t="s">
        <v>420</v>
      </c>
      <c r="T50" t="s">
        <v>302</v>
      </c>
      <c r="U50">
        <v>4.7799783761800461E-2</v>
      </c>
      <c r="V50" t="s">
        <v>251</v>
      </c>
      <c r="X50">
        <v>8.4018264840182655E-2</v>
      </c>
      <c r="Y50">
        <v>0.11613123503136681</v>
      </c>
      <c r="Z50" t="s">
        <v>302</v>
      </c>
      <c r="AA50" t="s">
        <v>25</v>
      </c>
      <c r="AC50" t="s">
        <v>22</v>
      </c>
      <c r="AD50" t="s">
        <v>302</v>
      </c>
      <c r="AE50">
        <v>9.1727732038061546E-2</v>
      </c>
      <c r="AG50" t="s">
        <v>97</v>
      </c>
      <c r="AH50" t="s">
        <v>302</v>
      </c>
      <c r="AI50">
        <v>0.24542014917120891</v>
      </c>
      <c r="AK50">
        <v>2027</v>
      </c>
      <c r="AL50" t="s">
        <v>167</v>
      </c>
      <c r="AM50">
        <v>0.70130000000000003</v>
      </c>
      <c r="AN50" t="s">
        <v>430</v>
      </c>
    </row>
    <row r="51" spans="9:40" x14ac:dyDescent="0.45">
      <c r="I51" t="s">
        <v>249</v>
      </c>
      <c r="J51" t="s">
        <v>303</v>
      </c>
      <c r="K51">
        <v>1.2567325366998209E-2</v>
      </c>
      <c r="L51" t="s">
        <v>251</v>
      </c>
      <c r="N51" t="s">
        <v>419</v>
      </c>
      <c r="O51" t="s">
        <v>303</v>
      </c>
      <c r="P51">
        <v>4.1801074605357395E-3</v>
      </c>
      <c r="Q51" t="s">
        <v>251</v>
      </c>
      <c r="S51" t="s">
        <v>420</v>
      </c>
      <c r="T51" t="s">
        <v>303</v>
      </c>
      <c r="U51">
        <v>5.8049528605862702E-3</v>
      </c>
      <c r="V51" t="s">
        <v>251</v>
      </c>
      <c r="X51">
        <v>1.0502283105022832E-2</v>
      </c>
      <c r="Y51">
        <v>2.0432754062766744E-2</v>
      </c>
      <c r="Z51" t="s">
        <v>303</v>
      </c>
      <c r="AA51" t="s">
        <v>25</v>
      </c>
      <c r="AC51" t="s">
        <v>22</v>
      </c>
      <c r="AD51" t="s">
        <v>303</v>
      </c>
      <c r="AE51">
        <v>5.2807745566982988E-3</v>
      </c>
      <c r="AG51" t="s">
        <v>97</v>
      </c>
      <c r="AH51" t="s">
        <v>303</v>
      </c>
      <c r="AI51">
        <v>7.0493620807483781E-2</v>
      </c>
      <c r="AK51">
        <v>2027</v>
      </c>
      <c r="AL51" t="s">
        <v>169</v>
      </c>
      <c r="AM51">
        <v>0.6401</v>
      </c>
      <c r="AN51" t="s">
        <v>430</v>
      </c>
    </row>
    <row r="52" spans="9:40" x14ac:dyDescent="0.45">
      <c r="I52" t="s">
        <v>249</v>
      </c>
      <c r="J52" t="s">
        <v>304</v>
      </c>
      <c r="K52">
        <v>1.0812231066142869E-3</v>
      </c>
      <c r="L52" t="s">
        <v>251</v>
      </c>
      <c r="N52" t="s">
        <v>419</v>
      </c>
      <c r="O52" t="s">
        <v>304</v>
      </c>
      <c r="P52">
        <v>4.2890007344351305E-2</v>
      </c>
      <c r="Q52" t="s">
        <v>251</v>
      </c>
      <c r="S52" t="s">
        <v>420</v>
      </c>
      <c r="T52" t="s">
        <v>304</v>
      </c>
      <c r="U52">
        <v>3.821757252442589E-2</v>
      </c>
      <c r="V52" t="s">
        <v>251</v>
      </c>
      <c r="X52">
        <v>6.3013698630136991E-2</v>
      </c>
      <c r="Y52">
        <v>5.5503899095873853E-2</v>
      </c>
      <c r="Z52" t="s">
        <v>304</v>
      </c>
      <c r="AA52" t="s">
        <v>25</v>
      </c>
      <c r="AC52" t="s">
        <v>22</v>
      </c>
      <c r="AD52" t="s">
        <v>304</v>
      </c>
      <c r="AE52">
        <v>1.8851776825664145E-2</v>
      </c>
      <c r="AG52" t="s">
        <v>97</v>
      </c>
      <c r="AH52" t="s">
        <v>304</v>
      </c>
      <c r="AI52">
        <v>0.22573676304908497</v>
      </c>
      <c r="AK52">
        <v>2027</v>
      </c>
      <c r="AL52" t="s">
        <v>171</v>
      </c>
      <c r="AM52">
        <v>0.36236666666666667</v>
      </c>
      <c r="AN52" t="s">
        <v>430</v>
      </c>
    </row>
    <row r="53" spans="9:40" x14ac:dyDescent="0.45">
      <c r="AC53" t="s">
        <v>19</v>
      </c>
      <c r="AD53" t="s">
        <v>250</v>
      </c>
      <c r="AE53">
        <v>2.4807105468120417E-2</v>
      </c>
      <c r="AK53">
        <v>2028</v>
      </c>
      <c r="AL53" t="s">
        <v>151</v>
      </c>
      <c r="AM53">
        <v>0.25540000000000002</v>
      </c>
      <c r="AN53" t="s">
        <v>430</v>
      </c>
    </row>
    <row r="54" spans="9:40" x14ac:dyDescent="0.45">
      <c r="AC54" t="s">
        <v>19</v>
      </c>
      <c r="AD54" t="s">
        <v>252</v>
      </c>
      <c r="AE54">
        <v>3.5619570919209883E-3</v>
      </c>
      <c r="AK54">
        <v>2028</v>
      </c>
      <c r="AL54" t="s">
        <v>156</v>
      </c>
      <c r="AM54">
        <v>0.2790333333333333</v>
      </c>
      <c r="AN54" t="s">
        <v>430</v>
      </c>
    </row>
    <row r="55" spans="9:40" x14ac:dyDescent="0.45">
      <c r="AC55" t="s">
        <v>19</v>
      </c>
      <c r="AD55" t="s">
        <v>253</v>
      </c>
      <c r="AE55">
        <v>3.5667869659552921E-3</v>
      </c>
      <c r="AK55">
        <v>2028</v>
      </c>
      <c r="AL55" t="s">
        <v>159</v>
      </c>
      <c r="AM55">
        <v>0.45724999999999999</v>
      </c>
      <c r="AN55" t="s">
        <v>430</v>
      </c>
    </row>
    <row r="56" spans="9:40" x14ac:dyDescent="0.45">
      <c r="AC56" t="s">
        <v>19</v>
      </c>
      <c r="AD56" t="s">
        <v>254</v>
      </c>
      <c r="AE56">
        <v>2.8640404348957808E-2</v>
      </c>
      <c r="AK56">
        <v>2028</v>
      </c>
      <c r="AL56" t="s">
        <v>163</v>
      </c>
      <c r="AM56">
        <v>0.59350000000000003</v>
      </c>
      <c r="AN56" t="s">
        <v>430</v>
      </c>
    </row>
    <row r="57" spans="9:40" x14ac:dyDescent="0.45">
      <c r="AC57" t="s">
        <v>19</v>
      </c>
      <c r="AD57" t="s">
        <v>255</v>
      </c>
      <c r="AE57">
        <v>3.5083301744215831E-3</v>
      </c>
      <c r="AK57">
        <v>2028</v>
      </c>
      <c r="AL57" t="s">
        <v>167</v>
      </c>
      <c r="AM57">
        <v>0.58140000000000003</v>
      </c>
      <c r="AN57" t="s">
        <v>430</v>
      </c>
    </row>
    <row r="58" spans="9:40" x14ac:dyDescent="0.45">
      <c r="AC58" t="s">
        <v>19</v>
      </c>
      <c r="AD58" t="s">
        <v>256</v>
      </c>
      <c r="AE58">
        <v>2.0743977908245111E-2</v>
      </c>
      <c r="AK58">
        <v>2028</v>
      </c>
      <c r="AL58" t="s">
        <v>169</v>
      </c>
      <c r="AM58">
        <v>0.67200000000000004</v>
      </c>
      <c r="AN58" t="s">
        <v>430</v>
      </c>
    </row>
    <row r="59" spans="9:40" x14ac:dyDescent="0.45">
      <c r="AC59" t="s">
        <v>19</v>
      </c>
      <c r="AD59" t="s">
        <v>259</v>
      </c>
      <c r="AE59">
        <v>7.1206526931945763E-2</v>
      </c>
      <c r="AK59">
        <v>2028</v>
      </c>
      <c r="AL59" t="s">
        <v>171</v>
      </c>
      <c r="AM59">
        <v>0.32873333333333332</v>
      </c>
      <c r="AN59" t="s">
        <v>430</v>
      </c>
    </row>
    <row r="60" spans="9:40" x14ac:dyDescent="0.45">
      <c r="AC60" t="s">
        <v>19</v>
      </c>
      <c r="AD60" t="s">
        <v>260</v>
      </c>
      <c r="AE60">
        <v>1.0280898367900759E-2</v>
      </c>
      <c r="AK60">
        <v>2029</v>
      </c>
      <c r="AL60" t="s">
        <v>151</v>
      </c>
      <c r="AM60">
        <v>0.2417</v>
      </c>
      <c r="AN60" t="s">
        <v>430</v>
      </c>
    </row>
    <row r="61" spans="9:40" x14ac:dyDescent="0.45">
      <c r="AC61" t="s">
        <v>19</v>
      </c>
      <c r="AD61" t="s">
        <v>261</v>
      </c>
      <c r="AE61">
        <v>1.0304535997324876E-2</v>
      </c>
      <c r="AK61">
        <v>2029</v>
      </c>
      <c r="AL61" t="s">
        <v>156</v>
      </c>
      <c r="AM61">
        <v>0.27216666666666667</v>
      </c>
      <c r="AN61" t="s">
        <v>430</v>
      </c>
    </row>
    <row r="62" spans="9:40" x14ac:dyDescent="0.45">
      <c r="AC62" t="s">
        <v>19</v>
      </c>
      <c r="AD62" t="s">
        <v>262</v>
      </c>
      <c r="AE62">
        <v>8.2467701919479705E-2</v>
      </c>
      <c r="AK62">
        <v>2029</v>
      </c>
      <c r="AL62" t="s">
        <v>159</v>
      </c>
      <c r="AM62">
        <v>0.40090000000000003</v>
      </c>
      <c r="AN62" t="s">
        <v>430</v>
      </c>
    </row>
    <row r="63" spans="9:40" x14ac:dyDescent="0.45">
      <c r="AC63" t="s">
        <v>19</v>
      </c>
      <c r="AD63" t="s">
        <v>263</v>
      </c>
      <c r="AE63">
        <v>9.9817748176501808E-3</v>
      </c>
      <c r="AK63">
        <v>2029</v>
      </c>
      <c r="AL63" t="s">
        <v>163</v>
      </c>
      <c r="AM63">
        <v>0.60219999999999996</v>
      </c>
      <c r="AN63" t="s">
        <v>430</v>
      </c>
    </row>
    <row r="64" spans="9:40" x14ac:dyDescent="0.45">
      <c r="AC64" t="s">
        <v>19</v>
      </c>
      <c r="AD64" t="s">
        <v>264</v>
      </c>
      <c r="AE64">
        <v>5.9570127259909726E-2</v>
      </c>
      <c r="AK64">
        <v>2029</v>
      </c>
      <c r="AL64" t="s">
        <v>167</v>
      </c>
      <c r="AM64">
        <v>0.62319999999999998</v>
      </c>
      <c r="AN64" t="s">
        <v>430</v>
      </c>
    </row>
    <row r="65" spans="29:40" x14ac:dyDescent="0.45">
      <c r="AC65" t="s">
        <v>19</v>
      </c>
      <c r="AD65" t="s">
        <v>267</v>
      </c>
      <c r="AE65">
        <v>4.8813473302327569E-2</v>
      </c>
      <c r="AK65">
        <v>2029</v>
      </c>
      <c r="AL65" t="s">
        <v>169</v>
      </c>
      <c r="AM65">
        <v>0.56759999999999999</v>
      </c>
      <c r="AN65" t="s">
        <v>430</v>
      </c>
    </row>
    <row r="66" spans="29:40" x14ac:dyDescent="0.45">
      <c r="AC66" t="s">
        <v>19</v>
      </c>
      <c r="AD66" t="s">
        <v>268</v>
      </c>
      <c r="AE66">
        <v>7.0353876198833319E-3</v>
      </c>
      <c r="AK66">
        <v>2029</v>
      </c>
      <c r="AL66" t="s">
        <v>171</v>
      </c>
      <c r="AM66">
        <v>0.31096666666666667</v>
      </c>
      <c r="AN66" t="s">
        <v>430</v>
      </c>
    </row>
    <row r="67" spans="29:40" x14ac:dyDescent="0.45">
      <c r="AC67" t="s">
        <v>19</v>
      </c>
      <c r="AD67" t="s">
        <v>269</v>
      </c>
      <c r="AE67">
        <v>7.0405970803812546E-3</v>
      </c>
      <c r="AK67">
        <v>2030</v>
      </c>
      <c r="AL67" t="s">
        <v>151</v>
      </c>
      <c r="AM67">
        <v>0.23350000000000001</v>
      </c>
      <c r="AN67" t="s">
        <v>430</v>
      </c>
    </row>
    <row r="68" spans="29:40" x14ac:dyDescent="0.45">
      <c r="AC68" t="s">
        <v>19</v>
      </c>
      <c r="AD68" t="s">
        <v>270</v>
      </c>
      <c r="AE68">
        <v>5.6343187353644103E-2</v>
      </c>
      <c r="AK68">
        <v>2030</v>
      </c>
      <c r="AL68" t="s">
        <v>156</v>
      </c>
      <c r="AM68">
        <v>0.29576666666666668</v>
      </c>
      <c r="AN68" t="s">
        <v>430</v>
      </c>
    </row>
    <row r="69" spans="29:40" x14ac:dyDescent="0.45">
      <c r="AC69" t="s">
        <v>19</v>
      </c>
      <c r="AD69" t="s">
        <v>271</v>
      </c>
      <c r="AE69">
        <v>6.8398449889767576E-3</v>
      </c>
      <c r="AK69">
        <v>2030</v>
      </c>
      <c r="AL69" t="s">
        <v>159</v>
      </c>
      <c r="AM69">
        <v>0.40065000000000001</v>
      </c>
      <c r="AN69" t="s">
        <v>430</v>
      </c>
    </row>
    <row r="70" spans="29:40" x14ac:dyDescent="0.45">
      <c r="AC70" t="s">
        <v>19</v>
      </c>
      <c r="AD70" t="s">
        <v>272</v>
      </c>
      <c r="AE70">
        <v>4.1307028350915216E-2</v>
      </c>
      <c r="AK70">
        <v>2030</v>
      </c>
      <c r="AL70" t="s">
        <v>163</v>
      </c>
      <c r="AM70">
        <v>0.55489999999999995</v>
      </c>
      <c r="AN70" t="s">
        <v>430</v>
      </c>
    </row>
    <row r="71" spans="29:40" x14ac:dyDescent="0.45">
      <c r="AC71" t="s">
        <v>19</v>
      </c>
      <c r="AD71" t="s">
        <v>275</v>
      </c>
      <c r="AE71">
        <v>2.4820133261090005E-2</v>
      </c>
      <c r="AK71">
        <v>2030</v>
      </c>
      <c r="AL71" t="s">
        <v>167</v>
      </c>
      <c r="AM71">
        <v>0.69620000000000004</v>
      </c>
      <c r="AN71" t="s">
        <v>430</v>
      </c>
    </row>
    <row r="72" spans="29:40" x14ac:dyDescent="0.45">
      <c r="AC72" t="s">
        <v>19</v>
      </c>
      <c r="AD72" t="s">
        <v>276</v>
      </c>
      <c r="AE72">
        <v>3.5651303084484587E-3</v>
      </c>
      <c r="AK72">
        <v>2030</v>
      </c>
      <c r="AL72" t="s">
        <v>169</v>
      </c>
      <c r="AM72">
        <v>0.57189999999999996</v>
      </c>
      <c r="AN72" t="s">
        <v>430</v>
      </c>
    </row>
    <row r="73" spans="29:40" x14ac:dyDescent="0.45">
      <c r="AC73" t="s">
        <v>19</v>
      </c>
      <c r="AD73" t="s">
        <v>277</v>
      </c>
      <c r="AE73">
        <v>3.5674991925016271E-3</v>
      </c>
      <c r="AK73">
        <v>2030</v>
      </c>
      <c r="AL73" t="s">
        <v>171</v>
      </c>
      <c r="AM73">
        <v>0.33276666666666666</v>
      </c>
      <c r="AN73" t="s">
        <v>430</v>
      </c>
    </row>
    <row r="74" spans="29:40" x14ac:dyDescent="0.45">
      <c r="AC74" t="s">
        <v>19</v>
      </c>
      <c r="AD74" t="s">
        <v>278</v>
      </c>
      <c r="AE74">
        <v>2.859295804606838E-2</v>
      </c>
      <c r="AK74">
        <v>2031</v>
      </c>
      <c r="AL74" t="s">
        <v>151</v>
      </c>
      <c r="AM74">
        <v>0.23710000000000001</v>
      </c>
      <c r="AN74" t="s">
        <v>430</v>
      </c>
    </row>
    <row r="75" spans="29:40" x14ac:dyDescent="0.45">
      <c r="AC75" t="s">
        <v>19</v>
      </c>
      <c r="AD75" t="s">
        <v>279</v>
      </c>
      <c r="AE75">
        <v>3.479127390160216E-3</v>
      </c>
      <c r="AK75">
        <v>2031</v>
      </c>
      <c r="AL75" t="s">
        <v>156</v>
      </c>
      <c r="AM75">
        <v>0.29239999999999999</v>
      </c>
      <c r="AN75" t="s">
        <v>430</v>
      </c>
    </row>
    <row r="76" spans="29:40" x14ac:dyDescent="0.45">
      <c r="AC76" t="s">
        <v>19</v>
      </c>
      <c r="AD76" t="s">
        <v>280</v>
      </c>
      <c r="AE76">
        <v>2.1000634207120769E-2</v>
      </c>
      <c r="AK76">
        <v>2031</v>
      </c>
      <c r="AL76" t="s">
        <v>159</v>
      </c>
      <c r="AM76">
        <v>0.43730000000000002</v>
      </c>
      <c r="AN76" t="s">
        <v>430</v>
      </c>
    </row>
    <row r="77" spans="29:40" x14ac:dyDescent="0.45">
      <c r="AC77" t="s">
        <v>19</v>
      </c>
      <c r="AD77" t="s">
        <v>283</v>
      </c>
      <c r="AE77">
        <v>2.4862960977425762E-2</v>
      </c>
      <c r="AK77">
        <v>2031</v>
      </c>
      <c r="AL77" t="s">
        <v>163</v>
      </c>
      <c r="AM77">
        <v>0.54390000000000005</v>
      </c>
      <c r="AN77" t="s">
        <v>430</v>
      </c>
    </row>
    <row r="78" spans="29:40" x14ac:dyDescent="0.45">
      <c r="AC78" t="s">
        <v>19</v>
      </c>
      <c r="AD78" t="s">
        <v>284</v>
      </c>
      <c r="AE78">
        <v>3.5820344397071236E-3</v>
      </c>
      <c r="AK78">
        <v>2031</v>
      </c>
      <c r="AL78" t="s">
        <v>167</v>
      </c>
      <c r="AM78">
        <v>0.67930000000000001</v>
      </c>
      <c r="AN78" t="s">
        <v>430</v>
      </c>
    </row>
    <row r="79" spans="29:40" x14ac:dyDescent="0.45">
      <c r="AC79" t="s">
        <v>19</v>
      </c>
      <c r="AD79" t="s">
        <v>285</v>
      </c>
      <c r="AE79">
        <v>3.5838890436191294E-3</v>
      </c>
      <c r="AK79">
        <v>2031</v>
      </c>
      <c r="AL79" t="s">
        <v>169</v>
      </c>
      <c r="AM79">
        <v>0.55269999999999997</v>
      </c>
      <c r="AN79" t="s">
        <v>430</v>
      </c>
    </row>
    <row r="80" spans="29:40" x14ac:dyDescent="0.45">
      <c r="AC80" t="s">
        <v>19</v>
      </c>
      <c r="AD80" t="s">
        <v>286</v>
      </c>
      <c r="AE80">
        <v>2.8741057834009535E-2</v>
      </c>
      <c r="AK80">
        <v>2031</v>
      </c>
      <c r="AL80" t="s">
        <v>171</v>
      </c>
      <c r="AM80">
        <v>0.31806666666666666</v>
      </c>
      <c r="AN80" t="s">
        <v>430</v>
      </c>
    </row>
    <row r="81" spans="29:40" x14ac:dyDescent="0.45">
      <c r="AC81" t="s">
        <v>19</v>
      </c>
      <c r="AD81" t="s">
        <v>287</v>
      </c>
      <c r="AE81">
        <v>3.4900732042808841E-3</v>
      </c>
      <c r="AK81">
        <v>2032</v>
      </c>
      <c r="AL81" t="s">
        <v>151</v>
      </c>
      <c r="AM81">
        <v>0.22370000000000001</v>
      </c>
      <c r="AN81" t="s">
        <v>430</v>
      </c>
    </row>
    <row r="82" spans="29:40" x14ac:dyDescent="0.45">
      <c r="AC82" t="s">
        <v>19</v>
      </c>
      <c r="AD82" t="s">
        <v>288</v>
      </c>
      <c r="AE82">
        <v>2.069155440680507E-2</v>
      </c>
      <c r="AK82">
        <v>2032</v>
      </c>
      <c r="AL82" t="s">
        <v>156</v>
      </c>
      <c r="AM82">
        <v>0.28206666666666669</v>
      </c>
      <c r="AN82" t="s">
        <v>430</v>
      </c>
    </row>
    <row r="83" spans="29:40" x14ac:dyDescent="0.45">
      <c r="AC83" t="s">
        <v>19</v>
      </c>
      <c r="AD83" t="s">
        <v>291</v>
      </c>
      <c r="AE83">
        <v>2.4047245922384015E-2</v>
      </c>
      <c r="AK83">
        <v>2032</v>
      </c>
      <c r="AL83" t="s">
        <v>159</v>
      </c>
      <c r="AM83">
        <v>0.46135000000000004</v>
      </c>
      <c r="AN83" t="s">
        <v>430</v>
      </c>
    </row>
    <row r="84" spans="29:40" x14ac:dyDescent="0.45">
      <c r="AC84" t="s">
        <v>19</v>
      </c>
      <c r="AD84" t="s">
        <v>292</v>
      </c>
      <c r="AE84">
        <v>3.4613336324393596E-3</v>
      </c>
      <c r="AK84">
        <v>2032</v>
      </c>
      <c r="AL84" t="s">
        <v>163</v>
      </c>
      <c r="AM84">
        <v>0.51129999999999998</v>
      </c>
      <c r="AN84" t="s">
        <v>430</v>
      </c>
    </row>
    <row r="85" spans="29:40" x14ac:dyDescent="0.45">
      <c r="AC85" t="s">
        <v>19</v>
      </c>
      <c r="AD85" t="s">
        <v>293</v>
      </c>
      <c r="AE85">
        <v>3.4645307820917511E-3</v>
      </c>
      <c r="AK85">
        <v>2032</v>
      </c>
      <c r="AL85" t="s">
        <v>167</v>
      </c>
      <c r="AM85">
        <v>0.61519999999999997</v>
      </c>
      <c r="AN85" t="s">
        <v>430</v>
      </c>
    </row>
    <row r="86" spans="29:40" x14ac:dyDescent="0.45">
      <c r="AC86" t="s">
        <v>19</v>
      </c>
      <c r="AD86" t="s">
        <v>294</v>
      </c>
      <c r="AE86">
        <v>2.776160247455349E-2</v>
      </c>
      <c r="AK86">
        <v>2032</v>
      </c>
      <c r="AL86" t="s">
        <v>169</v>
      </c>
      <c r="AM86">
        <v>0.57240000000000002</v>
      </c>
      <c r="AN86" t="s">
        <v>430</v>
      </c>
    </row>
    <row r="87" spans="29:40" x14ac:dyDescent="0.45">
      <c r="AC87" t="s">
        <v>19</v>
      </c>
      <c r="AD87" t="s">
        <v>295</v>
      </c>
      <c r="AE87">
        <v>3.3643197440800989E-3</v>
      </c>
      <c r="AK87">
        <v>2032</v>
      </c>
      <c r="AL87" t="s">
        <v>171</v>
      </c>
      <c r="AM87">
        <v>0.31153333333333333</v>
      </c>
      <c r="AN87" t="s">
        <v>430</v>
      </c>
    </row>
    <row r="88" spans="29:40" x14ac:dyDescent="0.45">
      <c r="AC88" t="s">
        <v>19</v>
      </c>
      <c r="AD88" t="s">
        <v>296</v>
      </c>
      <c r="AE88">
        <v>2.0079988394289126E-2</v>
      </c>
      <c r="AK88">
        <v>2033</v>
      </c>
      <c r="AL88" t="s">
        <v>151</v>
      </c>
      <c r="AM88">
        <v>0.26369999999999999</v>
      </c>
      <c r="AN88" t="s">
        <v>430</v>
      </c>
    </row>
    <row r="89" spans="29:40" x14ac:dyDescent="0.45">
      <c r="AC89" t="s">
        <v>19</v>
      </c>
      <c r="AD89" t="s">
        <v>299</v>
      </c>
      <c r="AE89">
        <v>7.3671533295419353E-2</v>
      </c>
      <c r="AK89">
        <v>2033</v>
      </c>
      <c r="AL89" t="s">
        <v>156</v>
      </c>
      <c r="AM89">
        <v>0.28476666666666667</v>
      </c>
      <c r="AN89" t="s">
        <v>430</v>
      </c>
    </row>
    <row r="90" spans="29:40" x14ac:dyDescent="0.45">
      <c r="AC90" t="s">
        <v>19</v>
      </c>
      <c r="AD90" t="s">
        <v>300</v>
      </c>
      <c r="AE90">
        <v>1.0606250464266984E-2</v>
      </c>
      <c r="AK90">
        <v>2033</v>
      </c>
      <c r="AL90" t="s">
        <v>159</v>
      </c>
      <c r="AM90">
        <v>0.46134999999999998</v>
      </c>
      <c r="AN90" t="s">
        <v>430</v>
      </c>
    </row>
    <row r="91" spans="29:40" x14ac:dyDescent="0.45">
      <c r="AC91" t="s">
        <v>19</v>
      </c>
      <c r="AD91" t="s">
        <v>301</v>
      </c>
      <c r="AE91">
        <v>1.0618811840038744E-2</v>
      </c>
      <c r="AK91">
        <v>2033</v>
      </c>
      <c r="AL91" t="s">
        <v>163</v>
      </c>
      <c r="AM91">
        <v>0.50719999999999998</v>
      </c>
      <c r="AN91" t="s">
        <v>430</v>
      </c>
    </row>
    <row r="92" spans="29:40" x14ac:dyDescent="0.45">
      <c r="AC92" t="s">
        <v>19</v>
      </c>
      <c r="AD92" t="s">
        <v>302</v>
      </c>
      <c r="AE92">
        <v>8.5116236983456453E-2</v>
      </c>
      <c r="AK92">
        <v>2033</v>
      </c>
      <c r="AL92" t="s">
        <v>167</v>
      </c>
      <c r="AM92">
        <v>0.70079999999999998</v>
      </c>
      <c r="AN92" t="s">
        <v>430</v>
      </c>
    </row>
    <row r="93" spans="29:40" x14ac:dyDescent="0.45">
      <c r="AC93" t="s">
        <v>19</v>
      </c>
      <c r="AD93" t="s">
        <v>303</v>
      </c>
      <c r="AE93">
        <v>1.0345829814367219E-2</v>
      </c>
      <c r="AK93">
        <v>2033</v>
      </c>
      <c r="AL93" t="s">
        <v>169</v>
      </c>
      <c r="AM93">
        <v>0.58540000000000003</v>
      </c>
      <c r="AN93" t="s">
        <v>430</v>
      </c>
    </row>
    <row r="94" spans="29:40" x14ac:dyDescent="0.45">
      <c r="AC94" t="s">
        <v>19</v>
      </c>
      <c r="AD94" t="s">
        <v>304</v>
      </c>
      <c r="AE94">
        <v>6.1465618393416001E-2</v>
      </c>
      <c r="AK94">
        <v>2033</v>
      </c>
      <c r="AL94" t="s">
        <v>171</v>
      </c>
      <c r="AM94">
        <v>0.33739999999999998</v>
      </c>
      <c r="AN94" t="s">
        <v>430</v>
      </c>
    </row>
    <row r="95" spans="29:40" x14ac:dyDescent="0.45">
      <c r="AK95">
        <v>2034</v>
      </c>
      <c r="AL95" t="s">
        <v>151</v>
      </c>
      <c r="AM95">
        <v>0.23400000000000001</v>
      </c>
      <c r="AN95" t="s">
        <v>430</v>
      </c>
    </row>
    <row r="96" spans="29:40" x14ac:dyDescent="0.45">
      <c r="AK96">
        <v>2034</v>
      </c>
      <c r="AL96" t="s">
        <v>156</v>
      </c>
      <c r="AM96">
        <v>0.29243333333333332</v>
      </c>
      <c r="AN96" t="s">
        <v>430</v>
      </c>
    </row>
    <row r="97" spans="37:40" x14ac:dyDescent="0.45">
      <c r="AK97">
        <v>2034</v>
      </c>
      <c r="AL97" t="s">
        <v>159</v>
      </c>
      <c r="AM97">
        <v>0.42274999999999996</v>
      </c>
      <c r="AN97" t="s">
        <v>430</v>
      </c>
    </row>
    <row r="98" spans="37:40" x14ac:dyDescent="0.45">
      <c r="AK98">
        <v>2034</v>
      </c>
      <c r="AL98" t="s">
        <v>163</v>
      </c>
      <c r="AM98">
        <v>0.56269999999999998</v>
      </c>
      <c r="AN98" t="s">
        <v>430</v>
      </c>
    </row>
    <row r="99" spans="37:40" x14ac:dyDescent="0.45">
      <c r="AK99">
        <v>2034</v>
      </c>
      <c r="AL99" t="s">
        <v>167</v>
      </c>
      <c r="AM99">
        <v>0.65029999999999999</v>
      </c>
      <c r="AN99" t="s">
        <v>430</v>
      </c>
    </row>
    <row r="100" spans="37:40" x14ac:dyDescent="0.45">
      <c r="AK100">
        <v>2034</v>
      </c>
      <c r="AL100" t="s">
        <v>169</v>
      </c>
      <c r="AM100">
        <v>0.62109999999999999</v>
      </c>
      <c r="AN100" t="s">
        <v>430</v>
      </c>
    </row>
    <row r="101" spans="37:40" x14ac:dyDescent="0.45">
      <c r="AK101">
        <v>2034</v>
      </c>
      <c r="AL101" t="s">
        <v>171</v>
      </c>
      <c r="AM101">
        <v>0.32323333333333332</v>
      </c>
      <c r="AN101" t="s">
        <v>430</v>
      </c>
    </row>
    <row r="102" spans="37:40" x14ac:dyDescent="0.45">
      <c r="AK102">
        <v>2035</v>
      </c>
      <c r="AL102" t="s">
        <v>151</v>
      </c>
      <c r="AM102">
        <v>0.26050000000000001</v>
      </c>
      <c r="AN102" t="s">
        <v>430</v>
      </c>
    </row>
    <row r="103" spans="37:40" x14ac:dyDescent="0.45">
      <c r="AK103">
        <v>2035</v>
      </c>
      <c r="AL103" t="s">
        <v>156</v>
      </c>
      <c r="AM103">
        <v>0.28163333333333335</v>
      </c>
      <c r="AN103" t="s">
        <v>430</v>
      </c>
    </row>
    <row r="104" spans="37:40" x14ac:dyDescent="0.45">
      <c r="AK104">
        <v>2035</v>
      </c>
      <c r="AL104" t="s">
        <v>159</v>
      </c>
      <c r="AM104">
        <v>0.42745</v>
      </c>
      <c r="AN104" t="s">
        <v>430</v>
      </c>
    </row>
    <row r="105" spans="37:40" x14ac:dyDescent="0.45">
      <c r="AK105">
        <v>2035</v>
      </c>
      <c r="AL105" t="s">
        <v>163</v>
      </c>
      <c r="AM105">
        <v>0.50290000000000001</v>
      </c>
      <c r="AN105" t="s">
        <v>430</v>
      </c>
    </row>
    <row r="106" spans="37:40" x14ac:dyDescent="0.45">
      <c r="AK106">
        <v>2035</v>
      </c>
      <c r="AL106" t="s">
        <v>167</v>
      </c>
      <c r="AM106">
        <v>0.66069999999999995</v>
      </c>
      <c r="AN106" t="s">
        <v>430</v>
      </c>
    </row>
    <row r="107" spans="37:40" x14ac:dyDescent="0.45">
      <c r="AK107">
        <v>2035</v>
      </c>
      <c r="AL107" t="s">
        <v>169</v>
      </c>
      <c r="AM107">
        <v>0.60460000000000003</v>
      </c>
      <c r="AN107" t="s">
        <v>430</v>
      </c>
    </row>
    <row r="108" spans="37:40" x14ac:dyDescent="0.45">
      <c r="AK108">
        <v>2035</v>
      </c>
      <c r="AL108" t="s">
        <v>171</v>
      </c>
      <c r="AM108">
        <v>0.31113333333333332</v>
      </c>
      <c r="AN108" t="s">
        <v>430</v>
      </c>
    </row>
    <row r="109" spans="37:40" x14ac:dyDescent="0.45">
      <c r="AK109">
        <v>2036</v>
      </c>
      <c r="AL109" t="s">
        <v>151</v>
      </c>
      <c r="AM109">
        <v>0.22989999999999999</v>
      </c>
      <c r="AN109" t="s">
        <v>430</v>
      </c>
    </row>
    <row r="110" spans="37:40" x14ac:dyDescent="0.45">
      <c r="AK110">
        <v>2036</v>
      </c>
      <c r="AL110" t="s">
        <v>156</v>
      </c>
      <c r="AM110">
        <v>0.26913333333333339</v>
      </c>
      <c r="AN110" t="s">
        <v>430</v>
      </c>
    </row>
    <row r="111" spans="37:40" x14ac:dyDescent="0.45">
      <c r="AK111">
        <v>2036</v>
      </c>
      <c r="AL111" t="s">
        <v>159</v>
      </c>
      <c r="AM111">
        <v>0.40975</v>
      </c>
      <c r="AN111" t="s">
        <v>430</v>
      </c>
    </row>
    <row r="112" spans="37:40" x14ac:dyDescent="0.45">
      <c r="AK112">
        <v>2036</v>
      </c>
      <c r="AL112" t="s">
        <v>163</v>
      </c>
      <c r="AM112">
        <v>0.56479999999999997</v>
      </c>
      <c r="AN112" t="s">
        <v>430</v>
      </c>
    </row>
    <row r="113" spans="37:40" x14ac:dyDescent="0.45">
      <c r="AK113">
        <v>2036</v>
      </c>
      <c r="AL113" t="s">
        <v>167</v>
      </c>
      <c r="AM113">
        <v>0.6623</v>
      </c>
      <c r="AN113" t="s">
        <v>430</v>
      </c>
    </row>
    <row r="114" spans="37:40" x14ac:dyDescent="0.45">
      <c r="AK114">
        <v>2036</v>
      </c>
      <c r="AL114" t="s">
        <v>169</v>
      </c>
      <c r="AM114">
        <v>0.56359999999999999</v>
      </c>
      <c r="AN114" t="s">
        <v>430</v>
      </c>
    </row>
    <row r="115" spans="37:40" x14ac:dyDescent="0.45">
      <c r="AK115">
        <v>2036</v>
      </c>
      <c r="AL115" t="s">
        <v>171</v>
      </c>
      <c r="AM115">
        <v>0.32876666666666665</v>
      </c>
      <c r="AN115" t="s">
        <v>430</v>
      </c>
    </row>
    <row r="116" spans="37:40" x14ac:dyDescent="0.45">
      <c r="AK116">
        <v>2037</v>
      </c>
      <c r="AL116" t="s">
        <v>151</v>
      </c>
      <c r="AM116">
        <v>0.25280000000000002</v>
      </c>
      <c r="AN116" t="s">
        <v>430</v>
      </c>
    </row>
    <row r="117" spans="37:40" x14ac:dyDescent="0.45">
      <c r="AK117">
        <v>2037</v>
      </c>
      <c r="AL117" t="s">
        <v>156</v>
      </c>
      <c r="AM117">
        <v>0.29856666666666665</v>
      </c>
      <c r="AN117" t="s">
        <v>430</v>
      </c>
    </row>
    <row r="118" spans="37:40" x14ac:dyDescent="0.45">
      <c r="AK118">
        <v>2037</v>
      </c>
      <c r="AL118" t="s">
        <v>159</v>
      </c>
      <c r="AM118">
        <v>0.41910000000000003</v>
      </c>
      <c r="AN118" t="s">
        <v>430</v>
      </c>
    </row>
    <row r="119" spans="37:40" x14ac:dyDescent="0.45">
      <c r="AK119">
        <v>2037</v>
      </c>
      <c r="AL119" t="s">
        <v>163</v>
      </c>
      <c r="AM119">
        <v>0.49869999999999998</v>
      </c>
      <c r="AN119" t="s">
        <v>430</v>
      </c>
    </row>
    <row r="120" spans="37:40" x14ac:dyDescent="0.45">
      <c r="AK120">
        <v>2037</v>
      </c>
      <c r="AL120" t="s">
        <v>167</v>
      </c>
      <c r="AM120">
        <v>0.6482</v>
      </c>
      <c r="AN120" t="s">
        <v>430</v>
      </c>
    </row>
    <row r="121" spans="37:40" x14ac:dyDescent="0.45">
      <c r="AK121">
        <v>2037</v>
      </c>
      <c r="AL121" t="s">
        <v>169</v>
      </c>
      <c r="AM121">
        <v>0.5504</v>
      </c>
      <c r="AN121" t="s">
        <v>430</v>
      </c>
    </row>
    <row r="122" spans="37:40" x14ac:dyDescent="0.45">
      <c r="AK122">
        <v>2037</v>
      </c>
      <c r="AL122" t="s">
        <v>171</v>
      </c>
      <c r="AM122">
        <v>0.34213333333333334</v>
      </c>
      <c r="AN122" t="s">
        <v>430</v>
      </c>
    </row>
    <row r="123" spans="37:40" x14ac:dyDescent="0.45">
      <c r="AK123">
        <v>2038</v>
      </c>
      <c r="AL123" t="s">
        <v>151</v>
      </c>
      <c r="AM123">
        <v>0.25800000000000001</v>
      </c>
      <c r="AN123" t="s">
        <v>430</v>
      </c>
    </row>
    <row r="124" spans="37:40" x14ac:dyDescent="0.45">
      <c r="AK124">
        <v>2038</v>
      </c>
      <c r="AL124" t="s">
        <v>156</v>
      </c>
      <c r="AM124">
        <v>0.29370000000000002</v>
      </c>
      <c r="AN124" t="s">
        <v>430</v>
      </c>
    </row>
    <row r="125" spans="37:40" x14ac:dyDescent="0.45">
      <c r="AK125">
        <v>2038</v>
      </c>
      <c r="AL125" t="s">
        <v>159</v>
      </c>
      <c r="AM125">
        <v>0.43779999999999997</v>
      </c>
      <c r="AN125" t="s">
        <v>430</v>
      </c>
    </row>
    <row r="126" spans="37:40" x14ac:dyDescent="0.45">
      <c r="AK126">
        <v>2038</v>
      </c>
      <c r="AL126" t="s">
        <v>163</v>
      </c>
      <c r="AM126">
        <v>0.6018</v>
      </c>
      <c r="AN126" t="s">
        <v>430</v>
      </c>
    </row>
    <row r="127" spans="37:40" x14ac:dyDescent="0.45">
      <c r="AK127">
        <v>2038</v>
      </c>
      <c r="AL127" t="s">
        <v>167</v>
      </c>
      <c r="AM127">
        <v>0.68220000000000003</v>
      </c>
      <c r="AN127" t="s">
        <v>430</v>
      </c>
    </row>
    <row r="128" spans="37:40" x14ac:dyDescent="0.45">
      <c r="AK128">
        <v>2038</v>
      </c>
      <c r="AL128" t="s">
        <v>169</v>
      </c>
      <c r="AM128">
        <v>0.6694</v>
      </c>
      <c r="AN128" t="s">
        <v>430</v>
      </c>
    </row>
    <row r="129" spans="37:40" x14ac:dyDescent="0.45">
      <c r="AK129">
        <v>2038</v>
      </c>
      <c r="AL129" t="s">
        <v>171</v>
      </c>
      <c r="AM129">
        <v>0.33</v>
      </c>
      <c r="AN129" t="s">
        <v>430</v>
      </c>
    </row>
    <row r="130" spans="37:40" x14ac:dyDescent="0.45">
      <c r="AK130">
        <v>2039</v>
      </c>
      <c r="AL130" t="s">
        <v>151</v>
      </c>
      <c r="AM130">
        <v>0.26140000000000002</v>
      </c>
      <c r="AN130" t="s">
        <v>430</v>
      </c>
    </row>
    <row r="131" spans="37:40" x14ac:dyDescent="0.45">
      <c r="AK131">
        <v>2039</v>
      </c>
      <c r="AL131" t="s">
        <v>156</v>
      </c>
      <c r="AM131">
        <v>0.27666666666666667</v>
      </c>
      <c r="AN131" t="s">
        <v>430</v>
      </c>
    </row>
    <row r="132" spans="37:40" x14ac:dyDescent="0.45">
      <c r="AK132">
        <v>2039</v>
      </c>
      <c r="AL132" t="s">
        <v>159</v>
      </c>
      <c r="AM132">
        <v>0.43369999999999997</v>
      </c>
      <c r="AN132" t="s">
        <v>430</v>
      </c>
    </row>
    <row r="133" spans="37:40" x14ac:dyDescent="0.45">
      <c r="AK133">
        <v>2039</v>
      </c>
      <c r="AL133" t="s">
        <v>163</v>
      </c>
      <c r="AM133">
        <v>0.50519999999999998</v>
      </c>
      <c r="AN133" t="s">
        <v>430</v>
      </c>
    </row>
    <row r="134" spans="37:40" x14ac:dyDescent="0.45">
      <c r="AK134">
        <v>2039</v>
      </c>
      <c r="AL134" t="s">
        <v>167</v>
      </c>
      <c r="AM134">
        <v>0.62219999999999998</v>
      </c>
      <c r="AN134" t="s">
        <v>430</v>
      </c>
    </row>
    <row r="135" spans="37:40" x14ac:dyDescent="0.45">
      <c r="AK135">
        <v>2039</v>
      </c>
      <c r="AL135" t="s">
        <v>169</v>
      </c>
      <c r="AM135">
        <v>0.55089999999999995</v>
      </c>
      <c r="AN135" t="s">
        <v>430</v>
      </c>
    </row>
    <row r="136" spans="37:40" x14ac:dyDescent="0.45">
      <c r="AK136">
        <v>2039</v>
      </c>
      <c r="AL136" t="s">
        <v>171</v>
      </c>
      <c r="AM136">
        <v>0.3286</v>
      </c>
      <c r="AN136" t="s">
        <v>430</v>
      </c>
    </row>
    <row r="137" spans="37:40" x14ac:dyDescent="0.45">
      <c r="AK137">
        <v>2040</v>
      </c>
      <c r="AL137" t="s">
        <v>151</v>
      </c>
      <c r="AM137">
        <v>0.25440000000000002</v>
      </c>
      <c r="AN137" t="s">
        <v>430</v>
      </c>
    </row>
    <row r="138" spans="37:40" x14ac:dyDescent="0.45">
      <c r="AK138">
        <v>2040</v>
      </c>
      <c r="AL138" t="s">
        <v>156</v>
      </c>
      <c r="AM138">
        <v>0.26553333333333334</v>
      </c>
      <c r="AN138" t="s">
        <v>430</v>
      </c>
    </row>
    <row r="139" spans="37:40" x14ac:dyDescent="0.45">
      <c r="AK139">
        <v>2040</v>
      </c>
      <c r="AL139" t="s">
        <v>159</v>
      </c>
      <c r="AM139">
        <v>0.40459999999999996</v>
      </c>
      <c r="AN139" t="s">
        <v>430</v>
      </c>
    </row>
    <row r="140" spans="37:40" x14ac:dyDescent="0.45">
      <c r="AK140">
        <v>2040</v>
      </c>
      <c r="AL140" t="s">
        <v>163</v>
      </c>
      <c r="AM140">
        <v>0.56399999999999995</v>
      </c>
      <c r="AN140" t="s">
        <v>430</v>
      </c>
    </row>
    <row r="141" spans="37:40" x14ac:dyDescent="0.45">
      <c r="AK141">
        <v>2040</v>
      </c>
      <c r="AL141" t="s">
        <v>167</v>
      </c>
      <c r="AM141">
        <v>0.65269999999999995</v>
      </c>
      <c r="AN141" t="s">
        <v>430</v>
      </c>
    </row>
    <row r="142" spans="37:40" x14ac:dyDescent="0.45">
      <c r="AK142">
        <v>2040</v>
      </c>
      <c r="AL142" t="s">
        <v>169</v>
      </c>
      <c r="AM142">
        <v>0.61629999999999996</v>
      </c>
      <c r="AN142" t="s">
        <v>430</v>
      </c>
    </row>
    <row r="143" spans="37:40" x14ac:dyDescent="0.45">
      <c r="AK143">
        <v>2040</v>
      </c>
      <c r="AL143" t="s">
        <v>171</v>
      </c>
      <c r="AM143">
        <v>0.33826666666666672</v>
      </c>
      <c r="AN143" t="s">
        <v>430</v>
      </c>
    </row>
    <row r="144" spans="37:40" x14ac:dyDescent="0.45">
      <c r="AK144">
        <v>2041</v>
      </c>
      <c r="AL144" t="s">
        <v>151</v>
      </c>
      <c r="AM144">
        <v>0.1925</v>
      </c>
      <c r="AN144" t="s">
        <v>430</v>
      </c>
    </row>
    <row r="145" spans="37:40" x14ac:dyDescent="0.45">
      <c r="AK145">
        <v>2041</v>
      </c>
      <c r="AL145" t="s">
        <v>156</v>
      </c>
      <c r="AM145">
        <v>0.22963333333333333</v>
      </c>
      <c r="AN145" t="s">
        <v>430</v>
      </c>
    </row>
    <row r="146" spans="37:40" x14ac:dyDescent="0.45">
      <c r="AK146">
        <v>2041</v>
      </c>
      <c r="AL146" t="s">
        <v>159</v>
      </c>
      <c r="AM146">
        <v>0.36909999999999998</v>
      </c>
      <c r="AN146" t="s">
        <v>430</v>
      </c>
    </row>
    <row r="147" spans="37:40" x14ac:dyDescent="0.45">
      <c r="AK147">
        <v>2041</v>
      </c>
      <c r="AL147" t="s">
        <v>163</v>
      </c>
      <c r="AM147">
        <v>0.47620000000000001</v>
      </c>
      <c r="AN147" t="s">
        <v>430</v>
      </c>
    </row>
    <row r="148" spans="37:40" x14ac:dyDescent="0.45">
      <c r="AK148">
        <v>2041</v>
      </c>
      <c r="AL148" t="s">
        <v>167</v>
      </c>
      <c r="AM148">
        <v>0.53459999999999996</v>
      </c>
      <c r="AN148" t="s">
        <v>430</v>
      </c>
    </row>
    <row r="149" spans="37:40" x14ac:dyDescent="0.45">
      <c r="AK149">
        <v>2041</v>
      </c>
      <c r="AL149" t="s">
        <v>169</v>
      </c>
      <c r="AM149">
        <v>0.5333</v>
      </c>
      <c r="AN149" t="s">
        <v>430</v>
      </c>
    </row>
    <row r="150" spans="37:40" x14ac:dyDescent="0.45">
      <c r="AK150">
        <v>2041</v>
      </c>
      <c r="AL150" t="s">
        <v>171</v>
      </c>
      <c r="AM150">
        <v>0.27266666666666667</v>
      </c>
      <c r="AN150" t="s">
        <v>430</v>
      </c>
    </row>
    <row r="151" spans="37:40" x14ac:dyDescent="0.45">
      <c r="AK151">
        <v>2042</v>
      </c>
      <c r="AL151" t="s">
        <v>151</v>
      </c>
      <c r="AM151">
        <v>0.19800000000000001</v>
      </c>
      <c r="AN151" t="s">
        <v>430</v>
      </c>
    </row>
    <row r="152" spans="37:40" x14ac:dyDescent="0.45">
      <c r="AK152">
        <v>2042</v>
      </c>
      <c r="AL152" t="s">
        <v>156</v>
      </c>
      <c r="AM152">
        <v>0.23826666666666665</v>
      </c>
      <c r="AN152" t="s">
        <v>430</v>
      </c>
    </row>
    <row r="153" spans="37:40" x14ac:dyDescent="0.45">
      <c r="AK153">
        <v>2042</v>
      </c>
      <c r="AL153" t="s">
        <v>159</v>
      </c>
      <c r="AM153">
        <v>0.36</v>
      </c>
      <c r="AN153" t="s">
        <v>430</v>
      </c>
    </row>
    <row r="154" spans="37:40" x14ac:dyDescent="0.45">
      <c r="AK154">
        <v>2042</v>
      </c>
      <c r="AL154" t="s">
        <v>163</v>
      </c>
      <c r="AM154">
        <v>0.41949999999999998</v>
      </c>
      <c r="AN154" t="s">
        <v>430</v>
      </c>
    </row>
    <row r="155" spans="37:40" x14ac:dyDescent="0.45">
      <c r="AK155">
        <v>2042</v>
      </c>
      <c r="AL155" t="s">
        <v>167</v>
      </c>
      <c r="AM155">
        <v>0.52310000000000001</v>
      </c>
      <c r="AN155" t="s">
        <v>430</v>
      </c>
    </row>
    <row r="156" spans="37:40" x14ac:dyDescent="0.45">
      <c r="AK156">
        <v>2042</v>
      </c>
      <c r="AL156" t="s">
        <v>169</v>
      </c>
      <c r="AM156">
        <v>0.50209999999999999</v>
      </c>
      <c r="AN156" t="s">
        <v>430</v>
      </c>
    </row>
    <row r="157" spans="37:40" x14ac:dyDescent="0.45">
      <c r="AK157">
        <v>2042</v>
      </c>
      <c r="AL157" t="s">
        <v>171</v>
      </c>
      <c r="AM157">
        <v>0.26619999999999999</v>
      </c>
      <c r="AN157" t="s">
        <v>430</v>
      </c>
    </row>
    <row r="158" spans="37:40" x14ac:dyDescent="0.45">
      <c r="AK158">
        <v>2043</v>
      </c>
      <c r="AL158" t="s">
        <v>151</v>
      </c>
      <c r="AM158">
        <v>0.2208</v>
      </c>
      <c r="AN158" t="s">
        <v>430</v>
      </c>
    </row>
    <row r="159" spans="37:40" x14ac:dyDescent="0.45">
      <c r="AK159">
        <v>2043</v>
      </c>
      <c r="AL159" t="s">
        <v>156</v>
      </c>
      <c r="AM159">
        <v>0.24253333333333335</v>
      </c>
      <c r="AN159" t="s">
        <v>430</v>
      </c>
    </row>
    <row r="160" spans="37:40" x14ac:dyDescent="0.45">
      <c r="AK160">
        <v>2043</v>
      </c>
      <c r="AL160" t="s">
        <v>159</v>
      </c>
      <c r="AM160">
        <v>0.33774999999999999</v>
      </c>
      <c r="AN160" t="s">
        <v>430</v>
      </c>
    </row>
    <row r="161" spans="37:40" x14ac:dyDescent="0.45">
      <c r="AK161">
        <v>2043</v>
      </c>
      <c r="AL161" t="s">
        <v>163</v>
      </c>
      <c r="AM161">
        <v>0.46500000000000002</v>
      </c>
      <c r="AN161" t="s">
        <v>430</v>
      </c>
    </row>
    <row r="162" spans="37:40" x14ac:dyDescent="0.45">
      <c r="AK162">
        <v>2043</v>
      </c>
      <c r="AL162" t="s">
        <v>167</v>
      </c>
      <c r="AM162">
        <v>0.58960000000000001</v>
      </c>
      <c r="AN162" t="s">
        <v>430</v>
      </c>
    </row>
    <row r="163" spans="37:40" x14ac:dyDescent="0.45">
      <c r="AK163">
        <v>2043</v>
      </c>
      <c r="AL163" t="s">
        <v>169</v>
      </c>
      <c r="AM163">
        <v>0.51419999999999999</v>
      </c>
      <c r="AN163" t="s">
        <v>430</v>
      </c>
    </row>
    <row r="164" spans="37:40" x14ac:dyDescent="0.45">
      <c r="AK164">
        <v>2043</v>
      </c>
      <c r="AL164" t="s">
        <v>171</v>
      </c>
      <c r="AM164">
        <v>0.29380000000000001</v>
      </c>
      <c r="AN164" t="s">
        <v>430</v>
      </c>
    </row>
    <row r="165" spans="37:40" x14ac:dyDescent="0.45">
      <c r="AK165">
        <v>2044</v>
      </c>
      <c r="AL165" t="s">
        <v>151</v>
      </c>
      <c r="AM165">
        <v>0.21429999999999999</v>
      </c>
      <c r="AN165" t="s">
        <v>430</v>
      </c>
    </row>
    <row r="166" spans="37:40" x14ac:dyDescent="0.45">
      <c r="AK166">
        <v>2044</v>
      </c>
      <c r="AL166" t="s">
        <v>156</v>
      </c>
      <c r="AM166">
        <v>0.2329</v>
      </c>
      <c r="AN166" t="s">
        <v>430</v>
      </c>
    </row>
    <row r="167" spans="37:40" x14ac:dyDescent="0.45">
      <c r="AK167">
        <v>2044</v>
      </c>
      <c r="AL167" t="s">
        <v>159</v>
      </c>
      <c r="AM167">
        <v>0.39085000000000003</v>
      </c>
      <c r="AN167" t="s">
        <v>430</v>
      </c>
    </row>
    <row r="168" spans="37:40" x14ac:dyDescent="0.45">
      <c r="AK168">
        <v>2044</v>
      </c>
      <c r="AL168" t="s">
        <v>163</v>
      </c>
      <c r="AM168">
        <v>0.43090000000000001</v>
      </c>
      <c r="AN168" t="s">
        <v>430</v>
      </c>
    </row>
    <row r="169" spans="37:40" x14ac:dyDescent="0.45">
      <c r="AK169">
        <v>2044</v>
      </c>
      <c r="AL169" t="s">
        <v>167</v>
      </c>
      <c r="AM169">
        <v>0.52339999999999998</v>
      </c>
      <c r="AN169" t="s">
        <v>430</v>
      </c>
    </row>
    <row r="170" spans="37:40" x14ac:dyDescent="0.45">
      <c r="AK170">
        <v>2044</v>
      </c>
      <c r="AL170" t="s">
        <v>169</v>
      </c>
      <c r="AM170">
        <v>0.50490000000000002</v>
      </c>
      <c r="AN170" t="s">
        <v>430</v>
      </c>
    </row>
    <row r="171" spans="37:40" x14ac:dyDescent="0.45">
      <c r="AK171">
        <v>2044</v>
      </c>
      <c r="AL171" t="s">
        <v>171</v>
      </c>
      <c r="AM171">
        <v>0.27829999999999999</v>
      </c>
      <c r="AN171" t="s">
        <v>430</v>
      </c>
    </row>
    <row r="172" spans="37:40" x14ac:dyDescent="0.45">
      <c r="AK172">
        <v>2045</v>
      </c>
      <c r="AL172" t="s">
        <v>151</v>
      </c>
      <c r="AM172">
        <v>0.25879999999999997</v>
      </c>
      <c r="AN172" t="s">
        <v>430</v>
      </c>
    </row>
    <row r="173" spans="37:40" x14ac:dyDescent="0.45">
      <c r="AK173">
        <v>2045</v>
      </c>
      <c r="AL173" t="s">
        <v>156</v>
      </c>
      <c r="AM173">
        <v>0.28136666666666665</v>
      </c>
      <c r="AN173" t="s">
        <v>430</v>
      </c>
    </row>
    <row r="174" spans="37:40" x14ac:dyDescent="0.45">
      <c r="AK174">
        <v>2045</v>
      </c>
      <c r="AL174" t="s">
        <v>159</v>
      </c>
      <c r="AM174">
        <v>0.41265000000000002</v>
      </c>
      <c r="AN174" t="s">
        <v>430</v>
      </c>
    </row>
    <row r="175" spans="37:40" x14ac:dyDescent="0.45">
      <c r="AK175">
        <v>2045</v>
      </c>
      <c r="AL175" t="s">
        <v>163</v>
      </c>
      <c r="AM175">
        <v>0.54279999999999995</v>
      </c>
      <c r="AN175" t="s">
        <v>430</v>
      </c>
    </row>
    <row r="176" spans="37:40" x14ac:dyDescent="0.45">
      <c r="AK176">
        <v>2045</v>
      </c>
      <c r="AL176" t="s">
        <v>167</v>
      </c>
      <c r="AM176">
        <v>0.61919999999999997</v>
      </c>
      <c r="AN176" t="s">
        <v>430</v>
      </c>
    </row>
    <row r="177" spans="37:40" x14ac:dyDescent="0.45">
      <c r="AK177">
        <v>2045</v>
      </c>
      <c r="AL177" t="s">
        <v>169</v>
      </c>
      <c r="AM177">
        <v>0.60170000000000001</v>
      </c>
      <c r="AN177" t="s">
        <v>430</v>
      </c>
    </row>
    <row r="178" spans="37:40" x14ac:dyDescent="0.45">
      <c r="AK178">
        <v>2045</v>
      </c>
      <c r="AL178" t="s">
        <v>171</v>
      </c>
      <c r="AM178">
        <v>0.33903333333333335</v>
      </c>
      <c r="AN178" t="s">
        <v>430</v>
      </c>
    </row>
    <row r="179" spans="37:40" x14ac:dyDescent="0.45">
      <c r="AK179">
        <v>2046</v>
      </c>
      <c r="AL179" t="s">
        <v>151</v>
      </c>
      <c r="AM179">
        <v>0.29070000000000001</v>
      </c>
      <c r="AN179" t="s">
        <v>430</v>
      </c>
    </row>
    <row r="180" spans="37:40" x14ac:dyDescent="0.45">
      <c r="AK180">
        <v>2046</v>
      </c>
      <c r="AL180" t="s">
        <v>156</v>
      </c>
      <c r="AM180">
        <v>0.33149999999999996</v>
      </c>
      <c r="AN180" t="s">
        <v>430</v>
      </c>
    </row>
    <row r="181" spans="37:40" x14ac:dyDescent="0.45">
      <c r="AK181">
        <v>2046</v>
      </c>
      <c r="AL181" t="s">
        <v>159</v>
      </c>
      <c r="AM181">
        <v>0.52100000000000002</v>
      </c>
      <c r="AN181" t="s">
        <v>430</v>
      </c>
    </row>
    <row r="182" spans="37:40" x14ac:dyDescent="0.45">
      <c r="AK182">
        <v>2046</v>
      </c>
      <c r="AL182" t="s">
        <v>163</v>
      </c>
      <c r="AM182">
        <v>0.58489999999999998</v>
      </c>
      <c r="AN182" t="s">
        <v>430</v>
      </c>
    </row>
    <row r="183" spans="37:40" x14ac:dyDescent="0.45">
      <c r="AK183">
        <v>2046</v>
      </c>
      <c r="AL183" t="s">
        <v>167</v>
      </c>
      <c r="AM183">
        <v>0.77249999999999996</v>
      </c>
      <c r="AN183" t="s">
        <v>430</v>
      </c>
    </row>
    <row r="184" spans="37:40" x14ac:dyDescent="0.45">
      <c r="AK184">
        <v>2046</v>
      </c>
      <c r="AL184" t="s">
        <v>169</v>
      </c>
      <c r="AM184">
        <v>0.67989999999999995</v>
      </c>
      <c r="AN184" t="s">
        <v>430</v>
      </c>
    </row>
    <row r="185" spans="37:40" x14ac:dyDescent="0.45">
      <c r="AK185">
        <v>2046</v>
      </c>
      <c r="AL185" t="s">
        <v>171</v>
      </c>
      <c r="AM185">
        <v>0.36393333333333328</v>
      </c>
      <c r="AN185" t="s">
        <v>430</v>
      </c>
    </row>
    <row r="186" spans="37:40" x14ac:dyDescent="0.45">
      <c r="AK186">
        <v>2047</v>
      </c>
      <c r="AL186" t="s">
        <v>151</v>
      </c>
      <c r="AM186">
        <v>0.25740000000000002</v>
      </c>
      <c r="AN186" t="s">
        <v>430</v>
      </c>
    </row>
    <row r="187" spans="37:40" x14ac:dyDescent="0.45">
      <c r="AK187">
        <v>2047</v>
      </c>
      <c r="AL187" t="s">
        <v>156</v>
      </c>
      <c r="AM187">
        <v>0.30326666666666663</v>
      </c>
      <c r="AN187" t="s">
        <v>430</v>
      </c>
    </row>
    <row r="188" spans="37:40" x14ac:dyDescent="0.45">
      <c r="AK188">
        <v>2047</v>
      </c>
      <c r="AL188" t="s">
        <v>159</v>
      </c>
      <c r="AM188">
        <v>0.43409999999999999</v>
      </c>
      <c r="AN188" t="s">
        <v>430</v>
      </c>
    </row>
    <row r="189" spans="37:40" x14ac:dyDescent="0.45">
      <c r="AK189">
        <v>2047</v>
      </c>
      <c r="AL189" t="s">
        <v>163</v>
      </c>
      <c r="AM189">
        <v>0.51149999999999995</v>
      </c>
      <c r="AN189" t="s">
        <v>430</v>
      </c>
    </row>
    <row r="190" spans="37:40" x14ac:dyDescent="0.45">
      <c r="AK190">
        <v>2047</v>
      </c>
      <c r="AL190" t="s">
        <v>167</v>
      </c>
      <c r="AM190">
        <v>0.62080000000000002</v>
      </c>
      <c r="AN190" t="s">
        <v>430</v>
      </c>
    </row>
    <row r="191" spans="37:40" x14ac:dyDescent="0.45">
      <c r="AK191">
        <v>2047</v>
      </c>
      <c r="AL191" t="s">
        <v>169</v>
      </c>
      <c r="AM191">
        <v>0.61750000000000005</v>
      </c>
      <c r="AN191" t="s">
        <v>430</v>
      </c>
    </row>
    <row r="192" spans="37:40" x14ac:dyDescent="0.45">
      <c r="AK192">
        <v>2047</v>
      </c>
      <c r="AL192" t="s">
        <v>171</v>
      </c>
      <c r="AM192">
        <v>0.33393333333333336</v>
      </c>
      <c r="AN192" t="s">
        <v>430</v>
      </c>
    </row>
    <row r="193" spans="37:40" x14ac:dyDescent="0.45">
      <c r="AK193">
        <v>2048</v>
      </c>
      <c r="AL193" t="s">
        <v>151</v>
      </c>
      <c r="AM193">
        <v>0.2341</v>
      </c>
      <c r="AN193" t="s">
        <v>430</v>
      </c>
    </row>
    <row r="194" spans="37:40" x14ac:dyDescent="0.45">
      <c r="AK194">
        <v>2048</v>
      </c>
      <c r="AL194" t="s">
        <v>156</v>
      </c>
      <c r="AM194">
        <v>0.27963333333333334</v>
      </c>
      <c r="AN194" t="s">
        <v>430</v>
      </c>
    </row>
    <row r="195" spans="37:40" x14ac:dyDescent="0.45">
      <c r="AK195">
        <v>2048</v>
      </c>
      <c r="AL195" t="s">
        <v>159</v>
      </c>
      <c r="AM195">
        <v>0.43940000000000001</v>
      </c>
      <c r="AN195" t="s">
        <v>430</v>
      </c>
    </row>
    <row r="196" spans="37:40" x14ac:dyDescent="0.45">
      <c r="AK196">
        <v>2048</v>
      </c>
      <c r="AL196" t="s">
        <v>163</v>
      </c>
      <c r="AM196">
        <v>0.53469999999999995</v>
      </c>
      <c r="AN196" t="s">
        <v>430</v>
      </c>
    </row>
    <row r="197" spans="37:40" x14ac:dyDescent="0.45">
      <c r="AK197">
        <v>2048</v>
      </c>
      <c r="AL197" t="s">
        <v>167</v>
      </c>
      <c r="AM197">
        <v>0.68959999999999999</v>
      </c>
      <c r="AN197" t="s">
        <v>430</v>
      </c>
    </row>
    <row r="198" spans="37:40" x14ac:dyDescent="0.45">
      <c r="AK198">
        <v>2048</v>
      </c>
      <c r="AL198" t="s">
        <v>169</v>
      </c>
      <c r="AM198">
        <v>0.58379999999999999</v>
      </c>
      <c r="AN198" t="s">
        <v>430</v>
      </c>
    </row>
    <row r="199" spans="37:40" x14ac:dyDescent="0.45">
      <c r="AK199">
        <v>2048</v>
      </c>
      <c r="AL199" t="s">
        <v>171</v>
      </c>
      <c r="AM199">
        <v>0.3370333333333333</v>
      </c>
      <c r="AN199" t="s">
        <v>430</v>
      </c>
    </row>
    <row r="200" spans="37:40" x14ac:dyDescent="0.45">
      <c r="AK200">
        <v>2049</v>
      </c>
      <c r="AL200" t="s">
        <v>151</v>
      </c>
      <c r="AM200">
        <v>0.23300000000000001</v>
      </c>
      <c r="AN200" t="s">
        <v>430</v>
      </c>
    </row>
    <row r="201" spans="37:40" x14ac:dyDescent="0.45">
      <c r="AK201">
        <v>2049</v>
      </c>
      <c r="AL201" t="s">
        <v>156</v>
      </c>
      <c r="AM201">
        <v>0.27816666666666662</v>
      </c>
      <c r="AN201" t="s">
        <v>430</v>
      </c>
    </row>
    <row r="202" spans="37:40" x14ac:dyDescent="0.45">
      <c r="AK202">
        <v>2049</v>
      </c>
      <c r="AL202" t="s">
        <v>159</v>
      </c>
      <c r="AM202">
        <v>0.44285000000000002</v>
      </c>
      <c r="AN202" t="s">
        <v>430</v>
      </c>
    </row>
    <row r="203" spans="37:40" x14ac:dyDescent="0.45">
      <c r="AK203">
        <v>2049</v>
      </c>
      <c r="AL203" t="s">
        <v>163</v>
      </c>
      <c r="AM203">
        <v>0.52849999999999997</v>
      </c>
      <c r="AN203" t="s">
        <v>430</v>
      </c>
    </row>
    <row r="204" spans="37:40" x14ac:dyDescent="0.45">
      <c r="AK204">
        <v>2049</v>
      </c>
      <c r="AL204" t="s">
        <v>167</v>
      </c>
      <c r="AM204">
        <v>0.65500000000000003</v>
      </c>
      <c r="AN204" t="s">
        <v>430</v>
      </c>
    </row>
    <row r="205" spans="37:40" x14ac:dyDescent="0.45">
      <c r="AK205">
        <v>2049</v>
      </c>
      <c r="AL205" t="s">
        <v>169</v>
      </c>
      <c r="AM205">
        <v>0.64280000000000004</v>
      </c>
      <c r="AN205" t="s">
        <v>430</v>
      </c>
    </row>
    <row r="206" spans="37:40" x14ac:dyDescent="0.45">
      <c r="AK206">
        <v>2049</v>
      </c>
      <c r="AL206" t="s">
        <v>171</v>
      </c>
      <c r="AM206">
        <v>0.32576666666666665</v>
      </c>
      <c r="AN206" t="s">
        <v>430</v>
      </c>
    </row>
    <row r="207" spans="37:40" x14ac:dyDescent="0.45">
      <c r="AK207">
        <v>2050</v>
      </c>
      <c r="AL207" t="s">
        <v>151</v>
      </c>
      <c r="AM207">
        <v>0.26329999999999998</v>
      </c>
      <c r="AN207" t="s">
        <v>430</v>
      </c>
    </row>
    <row r="208" spans="37:40" x14ac:dyDescent="0.45">
      <c r="AK208">
        <v>2050</v>
      </c>
      <c r="AL208" t="s">
        <v>156</v>
      </c>
      <c r="AM208">
        <v>0.27766666666666667</v>
      </c>
      <c r="AN208" t="s">
        <v>430</v>
      </c>
    </row>
    <row r="209" spans="37:40" x14ac:dyDescent="0.45">
      <c r="AK209">
        <v>2050</v>
      </c>
      <c r="AL209" t="s">
        <v>159</v>
      </c>
      <c r="AM209">
        <v>0.44550000000000001</v>
      </c>
      <c r="AN209" t="s">
        <v>430</v>
      </c>
    </row>
    <row r="210" spans="37:40" x14ac:dyDescent="0.45">
      <c r="AK210">
        <v>2050</v>
      </c>
      <c r="AL210" t="s">
        <v>163</v>
      </c>
      <c r="AM210">
        <v>0.4929</v>
      </c>
      <c r="AN210" t="s">
        <v>430</v>
      </c>
    </row>
    <row r="211" spans="37:40" x14ac:dyDescent="0.45">
      <c r="AK211">
        <v>2050</v>
      </c>
      <c r="AL211" t="s">
        <v>167</v>
      </c>
      <c r="AM211">
        <v>0.67459999999999998</v>
      </c>
      <c r="AN211" t="s">
        <v>430</v>
      </c>
    </row>
    <row r="212" spans="37:40" x14ac:dyDescent="0.45">
      <c r="AK212">
        <v>2050</v>
      </c>
      <c r="AL212" t="s">
        <v>169</v>
      </c>
      <c r="AM212">
        <v>0.63300000000000001</v>
      </c>
      <c r="AN212" t="s">
        <v>430</v>
      </c>
    </row>
    <row r="213" spans="37:40" x14ac:dyDescent="0.45">
      <c r="AK213">
        <v>2050</v>
      </c>
      <c r="AL213" t="s">
        <v>171</v>
      </c>
      <c r="AM213">
        <v>0.32866666666666666</v>
      </c>
      <c r="AN213" t="s">
        <v>430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6C4D4-37CA-4ED6-B3F2-552A32740F00}">
  <dimension ref="A9:AN213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128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122</v>
      </c>
      <c r="K10" t="s">
        <v>248</v>
      </c>
      <c r="L10" t="s">
        <v>30</v>
      </c>
      <c r="N10" t="s">
        <v>13</v>
      </c>
      <c r="O10" t="s">
        <v>122</v>
      </c>
      <c r="P10" t="s">
        <v>248</v>
      </c>
      <c r="Q10" t="s">
        <v>30</v>
      </c>
      <c r="S10" t="s">
        <v>13</v>
      </c>
      <c r="T10" t="s">
        <v>122</v>
      </c>
      <c r="U10" t="s">
        <v>248</v>
      </c>
      <c r="V10" t="s">
        <v>30</v>
      </c>
      <c r="X10" t="s">
        <v>421</v>
      </c>
      <c r="Y10" t="s">
        <v>248</v>
      </c>
      <c r="Z10" t="s">
        <v>122</v>
      </c>
      <c r="AA10" t="s">
        <v>13</v>
      </c>
      <c r="AC10" t="s">
        <v>13</v>
      </c>
      <c r="AD10" t="s">
        <v>122</v>
      </c>
      <c r="AE10" t="s">
        <v>248</v>
      </c>
      <c r="AG10" t="s">
        <v>13</v>
      </c>
      <c r="AH10" t="s">
        <v>122</v>
      </c>
      <c r="AI10" t="s">
        <v>427</v>
      </c>
      <c r="AK10" t="s">
        <v>47</v>
      </c>
      <c r="AL10" t="s">
        <v>122</v>
      </c>
      <c r="AM10" t="s">
        <v>428</v>
      </c>
      <c r="AN10" t="s">
        <v>429</v>
      </c>
    </row>
    <row r="11" spans="1:40" x14ac:dyDescent="0.45">
      <c r="A11" t="str">
        <f>IFERROR(IF(Veda!D5=A10,"ok","x"),"")</f>
        <v>x</v>
      </c>
      <c r="C11" t="s">
        <v>151</v>
      </c>
      <c r="D11" t="s">
        <v>152</v>
      </c>
      <c r="E11" t="s">
        <v>240</v>
      </c>
      <c r="F11" t="s">
        <v>2017</v>
      </c>
      <c r="G11" t="s">
        <v>152</v>
      </c>
      <c r="I11" t="s">
        <v>249</v>
      </c>
      <c r="J11" t="s">
        <v>250</v>
      </c>
      <c r="K11">
        <v>0</v>
      </c>
      <c r="L11" t="s">
        <v>251</v>
      </c>
      <c r="N11" t="s">
        <v>419</v>
      </c>
      <c r="O11" t="s">
        <v>250</v>
      </c>
      <c r="P11">
        <v>1.7870835987201485E-2</v>
      </c>
      <c r="Q11" t="s">
        <v>251</v>
      </c>
      <c r="S11" t="s">
        <v>420</v>
      </c>
      <c r="T11" t="s">
        <v>250</v>
      </c>
      <c r="U11">
        <v>1.8804923305469411E-2</v>
      </c>
      <c r="V11" t="s">
        <v>251</v>
      </c>
      <c r="X11">
        <v>2.4771689497716895E-2</v>
      </c>
      <c r="Y11">
        <v>9.7827942553597048E-3</v>
      </c>
      <c r="Z11" t="s">
        <v>250</v>
      </c>
      <c r="AA11" t="s">
        <v>25</v>
      </c>
      <c r="AC11" t="s">
        <v>22</v>
      </c>
      <c r="AD11" t="s">
        <v>250</v>
      </c>
      <c r="AE11">
        <v>1.949452943339923E-2</v>
      </c>
      <c r="AG11" t="s">
        <v>97</v>
      </c>
      <c r="AH11" t="s">
        <v>250</v>
      </c>
      <c r="AI11">
        <v>0.10127753898572567</v>
      </c>
      <c r="AK11">
        <v>2020</v>
      </c>
      <c r="AL11" t="s">
        <v>151</v>
      </c>
      <c r="AM11">
        <v>0.2698110913113228</v>
      </c>
      <c r="AN11" t="s">
        <v>430</v>
      </c>
    </row>
    <row r="12" spans="1:40" x14ac:dyDescent="0.45">
      <c r="C12" t="s">
        <v>156</v>
      </c>
      <c r="E12" t="s">
        <v>241</v>
      </c>
      <c r="G12" t="s">
        <v>152</v>
      </c>
      <c r="I12" t="s">
        <v>249</v>
      </c>
      <c r="J12" t="s">
        <v>252</v>
      </c>
      <c r="K12">
        <v>1.5156644477423446E-3</v>
      </c>
      <c r="L12" t="s">
        <v>251</v>
      </c>
      <c r="N12" t="s">
        <v>419</v>
      </c>
      <c r="O12" t="s">
        <v>252</v>
      </c>
      <c r="P12">
        <v>1.9241151758176208E-3</v>
      </c>
      <c r="Q12" t="s">
        <v>251</v>
      </c>
      <c r="S12" t="s">
        <v>420</v>
      </c>
      <c r="T12" t="s">
        <v>252</v>
      </c>
      <c r="U12">
        <v>2.4994659436263973E-3</v>
      </c>
      <c r="V12" t="s">
        <v>251</v>
      </c>
      <c r="X12">
        <v>3.5388127853881279E-3</v>
      </c>
      <c r="Y12">
        <v>5.9087255218821738E-3</v>
      </c>
      <c r="Z12" t="s">
        <v>252</v>
      </c>
      <c r="AA12" t="s">
        <v>25</v>
      </c>
      <c r="AC12" t="s">
        <v>22</v>
      </c>
      <c r="AD12" t="s">
        <v>252</v>
      </c>
      <c r="AE12">
        <v>3.1657926352740033E-3</v>
      </c>
      <c r="AG12" t="s">
        <v>97</v>
      </c>
      <c r="AH12" t="s">
        <v>252</v>
      </c>
      <c r="AI12">
        <v>2.7713627671200891E-2</v>
      </c>
      <c r="AK12">
        <v>2020</v>
      </c>
      <c r="AL12" t="s">
        <v>156</v>
      </c>
      <c r="AM12">
        <v>0.29641543281765542</v>
      </c>
      <c r="AN12" t="s">
        <v>430</v>
      </c>
    </row>
    <row r="13" spans="1:40" x14ac:dyDescent="0.45">
      <c r="C13" t="s">
        <v>159</v>
      </c>
      <c r="E13" t="s">
        <v>242</v>
      </c>
      <c r="G13" t="s">
        <v>152</v>
      </c>
      <c r="I13" t="s">
        <v>249</v>
      </c>
      <c r="J13" t="s">
        <v>253</v>
      </c>
      <c r="K13">
        <v>6.0907786952883094E-3</v>
      </c>
      <c r="L13" t="s">
        <v>251</v>
      </c>
      <c r="N13" t="s">
        <v>419</v>
      </c>
      <c r="O13" t="s">
        <v>253</v>
      </c>
      <c r="P13">
        <v>1.3264422841106609E-3</v>
      </c>
      <c r="Q13" t="s">
        <v>251</v>
      </c>
      <c r="S13" t="s">
        <v>420</v>
      </c>
      <c r="T13" t="s">
        <v>253</v>
      </c>
      <c r="U13">
        <v>2.4236393429404191E-3</v>
      </c>
      <c r="V13" t="s">
        <v>251</v>
      </c>
      <c r="X13">
        <v>3.5388127853881279E-3</v>
      </c>
      <c r="Y13">
        <v>4.521459529788099E-3</v>
      </c>
      <c r="Z13" t="s">
        <v>253</v>
      </c>
      <c r="AA13" t="s">
        <v>25</v>
      </c>
      <c r="AC13" t="s">
        <v>22</v>
      </c>
      <c r="AD13" t="s">
        <v>253</v>
      </c>
      <c r="AE13">
        <v>3.2675077100406246E-3</v>
      </c>
      <c r="AG13" t="s">
        <v>97</v>
      </c>
      <c r="AH13" t="s">
        <v>253</v>
      </c>
      <c r="AI13">
        <v>5.3468428145687641E-2</v>
      </c>
      <c r="AK13">
        <v>2020</v>
      </c>
      <c r="AL13" t="s">
        <v>159</v>
      </c>
      <c r="AM13">
        <v>0.4856063724137501</v>
      </c>
      <c r="AN13" t="s">
        <v>430</v>
      </c>
    </row>
    <row r="14" spans="1:40" x14ac:dyDescent="0.45">
      <c r="C14" t="s">
        <v>163</v>
      </c>
      <c r="E14" t="s">
        <v>243</v>
      </c>
      <c r="G14" t="s">
        <v>152</v>
      </c>
      <c r="I14" t="s">
        <v>249</v>
      </c>
      <c r="J14" t="s">
        <v>254</v>
      </c>
      <c r="K14">
        <v>8.8262464634354994E-3</v>
      </c>
      <c r="L14" t="s">
        <v>251</v>
      </c>
      <c r="N14" t="s">
        <v>419</v>
      </c>
      <c r="O14" t="s">
        <v>254</v>
      </c>
      <c r="P14">
        <v>1.0431621995471597E-3</v>
      </c>
      <c r="Q14" t="s">
        <v>251</v>
      </c>
      <c r="S14" t="s">
        <v>420</v>
      </c>
      <c r="T14" t="s">
        <v>254</v>
      </c>
      <c r="U14">
        <v>2.3370906629166972E-3</v>
      </c>
      <c r="V14" t="s">
        <v>251</v>
      </c>
      <c r="X14">
        <v>3.5388127853881279E-3</v>
      </c>
      <c r="Y14">
        <v>4.4803553522445696E-3</v>
      </c>
      <c r="Z14" t="s">
        <v>254</v>
      </c>
      <c r="AA14" t="s">
        <v>25</v>
      </c>
      <c r="AC14" t="s">
        <v>22</v>
      </c>
      <c r="AD14" t="s">
        <v>254</v>
      </c>
      <c r="AE14">
        <v>3.312860856965701E-3</v>
      </c>
      <c r="AG14" t="s">
        <v>97</v>
      </c>
      <c r="AH14" t="s">
        <v>254</v>
      </c>
      <c r="AI14">
        <v>5.848083541293625E-2</v>
      </c>
      <c r="AK14">
        <v>2020</v>
      </c>
      <c r="AL14" t="s">
        <v>163</v>
      </c>
      <c r="AM14">
        <v>0.55540744690304811</v>
      </c>
      <c r="AN14" t="s">
        <v>430</v>
      </c>
    </row>
    <row r="15" spans="1:40" x14ac:dyDescent="0.45">
      <c r="C15" t="s">
        <v>167</v>
      </c>
      <c r="E15" t="s">
        <v>244</v>
      </c>
      <c r="G15" t="s">
        <v>152</v>
      </c>
      <c r="I15" t="s">
        <v>249</v>
      </c>
      <c r="J15" t="s">
        <v>255</v>
      </c>
      <c r="K15">
        <v>6.8054972448293893E-2</v>
      </c>
      <c r="L15" t="s">
        <v>251</v>
      </c>
      <c r="N15" t="s">
        <v>419</v>
      </c>
      <c r="O15" t="s">
        <v>255</v>
      </c>
      <c r="P15">
        <v>6.432084773477645E-3</v>
      </c>
      <c r="Q15" t="s">
        <v>251</v>
      </c>
      <c r="S15" t="s">
        <v>420</v>
      </c>
      <c r="T15" t="s">
        <v>255</v>
      </c>
      <c r="U15">
        <v>1.4185336142442046E-2</v>
      </c>
      <c r="V15" t="s">
        <v>251</v>
      </c>
      <c r="X15">
        <v>2.4771689497716895E-2</v>
      </c>
      <c r="Y15">
        <v>3.4650821669194247E-2</v>
      </c>
      <c r="Z15" t="s">
        <v>255</v>
      </c>
      <c r="AA15" t="s">
        <v>25</v>
      </c>
      <c r="AC15" t="s">
        <v>22</v>
      </c>
      <c r="AD15" t="s">
        <v>255</v>
      </c>
      <c r="AE15">
        <v>2.5061802859319558E-2</v>
      </c>
      <c r="AG15" t="s">
        <v>97</v>
      </c>
      <c r="AH15" t="s">
        <v>255</v>
      </c>
      <c r="AI15">
        <v>8.590995507981436E-2</v>
      </c>
      <c r="AK15">
        <v>2020</v>
      </c>
      <c r="AL15" t="s">
        <v>167</v>
      </c>
      <c r="AM15">
        <v>0.59107045138840164</v>
      </c>
      <c r="AN15" t="s">
        <v>430</v>
      </c>
    </row>
    <row r="16" spans="1:40" x14ac:dyDescent="0.45">
      <c r="C16" t="s">
        <v>169</v>
      </c>
      <c r="E16" t="s">
        <v>245</v>
      </c>
      <c r="G16" t="s">
        <v>152</v>
      </c>
      <c r="I16" t="s">
        <v>249</v>
      </c>
      <c r="J16" t="s">
        <v>256</v>
      </c>
      <c r="K16">
        <v>6.3045631172925004E-3</v>
      </c>
      <c r="L16" t="s">
        <v>251</v>
      </c>
      <c r="N16" t="s">
        <v>419</v>
      </c>
      <c r="O16" t="s">
        <v>256</v>
      </c>
      <c r="P16">
        <v>1.1229787319966876E-3</v>
      </c>
      <c r="Q16" t="s">
        <v>251</v>
      </c>
      <c r="S16" t="s">
        <v>420</v>
      </c>
      <c r="T16" t="s">
        <v>256</v>
      </c>
      <c r="U16">
        <v>2.2277816707203545E-3</v>
      </c>
      <c r="V16" t="s">
        <v>251</v>
      </c>
      <c r="X16">
        <v>3.5388127853881279E-3</v>
      </c>
      <c r="Y16">
        <v>6.8849497385409693E-3</v>
      </c>
      <c r="Z16" t="s">
        <v>256</v>
      </c>
      <c r="AA16" t="s">
        <v>25</v>
      </c>
      <c r="AC16" t="s">
        <v>22</v>
      </c>
      <c r="AD16" t="s">
        <v>256</v>
      </c>
      <c r="AE16">
        <v>2.0364327629016658E-3</v>
      </c>
      <c r="AG16" t="s">
        <v>97</v>
      </c>
      <c r="AH16" t="s">
        <v>256</v>
      </c>
      <c r="AI16">
        <v>0.13177806983731877</v>
      </c>
      <c r="AK16">
        <v>2020</v>
      </c>
      <c r="AL16" t="s">
        <v>169</v>
      </c>
      <c r="AM16">
        <v>0.61228311826397963</v>
      </c>
      <c r="AN16" t="s">
        <v>430</v>
      </c>
    </row>
    <row r="17" spans="3:40" x14ac:dyDescent="0.45">
      <c r="C17" t="s">
        <v>171</v>
      </c>
      <c r="E17" t="s">
        <v>246</v>
      </c>
      <c r="G17" t="s">
        <v>152</v>
      </c>
      <c r="I17" t="s">
        <v>249</v>
      </c>
      <c r="J17" t="s">
        <v>257</v>
      </c>
      <c r="K17">
        <v>1.9471601344935659E-3</v>
      </c>
      <c r="L17" t="s">
        <v>251</v>
      </c>
      <c r="N17" t="s">
        <v>419</v>
      </c>
      <c r="O17" t="s">
        <v>257</v>
      </c>
      <c r="P17">
        <v>1.7169265539782872E-3</v>
      </c>
      <c r="Q17" t="s">
        <v>251</v>
      </c>
      <c r="S17" t="s">
        <v>420</v>
      </c>
      <c r="T17" t="s">
        <v>257</v>
      </c>
      <c r="U17">
        <v>2.3637794363564149E-3</v>
      </c>
      <c r="V17" t="s">
        <v>251</v>
      </c>
      <c r="X17">
        <v>3.5388127853881279E-3</v>
      </c>
      <c r="Y17">
        <v>5.3435430806586613E-3</v>
      </c>
      <c r="Z17" t="s">
        <v>257</v>
      </c>
      <c r="AA17" t="s">
        <v>25</v>
      </c>
      <c r="AC17" t="s">
        <v>22</v>
      </c>
      <c r="AD17" t="s">
        <v>257</v>
      </c>
      <c r="AE17">
        <v>9.1182133949866144E-4</v>
      </c>
      <c r="AG17" t="s">
        <v>97</v>
      </c>
      <c r="AH17" t="s">
        <v>257</v>
      </c>
      <c r="AI17">
        <v>2.5642555722991123E-2</v>
      </c>
      <c r="AK17">
        <v>2020</v>
      </c>
      <c r="AL17" t="s">
        <v>171</v>
      </c>
      <c r="AM17">
        <v>0.3193982579304388</v>
      </c>
      <c r="AN17" t="s">
        <v>430</v>
      </c>
    </row>
    <row r="18" spans="3:40" x14ac:dyDescent="0.45">
      <c r="E18" t="s">
        <v>247</v>
      </c>
      <c r="G18" t="s">
        <v>152</v>
      </c>
      <c r="I18" t="s">
        <v>249</v>
      </c>
      <c r="J18" t="s">
        <v>258</v>
      </c>
      <c r="K18">
        <v>0</v>
      </c>
      <c r="L18" t="s">
        <v>251</v>
      </c>
      <c r="N18" t="s">
        <v>419</v>
      </c>
      <c r="O18" t="s">
        <v>258</v>
      </c>
      <c r="P18">
        <v>1.4808898500501662E-2</v>
      </c>
      <c r="Q18" t="s">
        <v>251</v>
      </c>
      <c r="S18" t="s">
        <v>420</v>
      </c>
      <c r="T18" t="s">
        <v>258</v>
      </c>
      <c r="U18">
        <v>1.2894079630715663E-2</v>
      </c>
      <c r="V18" t="s">
        <v>251</v>
      </c>
      <c r="X18">
        <v>1.7694063926940638E-2</v>
      </c>
      <c r="Y18">
        <v>1.3358857701646654E-2</v>
      </c>
      <c r="Z18" t="s">
        <v>258</v>
      </c>
      <c r="AA18" t="s">
        <v>25</v>
      </c>
      <c r="AC18" t="s">
        <v>22</v>
      </c>
      <c r="AD18" t="s">
        <v>258</v>
      </c>
      <c r="AE18">
        <v>4.8624804450542597E-3</v>
      </c>
      <c r="AG18" t="s">
        <v>97</v>
      </c>
      <c r="AH18" t="s">
        <v>258</v>
      </c>
      <c r="AI18">
        <v>0.14420377925344408</v>
      </c>
      <c r="AK18">
        <v>2021</v>
      </c>
      <c r="AL18" t="s">
        <v>151</v>
      </c>
      <c r="AM18">
        <v>0.24537183889815969</v>
      </c>
      <c r="AN18" t="s">
        <v>430</v>
      </c>
    </row>
    <row r="19" spans="3:40" x14ac:dyDescent="0.45">
      <c r="I19" t="s">
        <v>249</v>
      </c>
      <c r="J19" t="s">
        <v>259</v>
      </c>
      <c r="K19">
        <v>1.3291638022163278E-3</v>
      </c>
      <c r="L19" t="s">
        <v>251</v>
      </c>
      <c r="N19" t="s">
        <v>419</v>
      </c>
      <c r="O19" t="s">
        <v>259</v>
      </c>
      <c r="P19">
        <v>5.5670760561772815E-2</v>
      </c>
      <c r="Q19" t="s">
        <v>251</v>
      </c>
      <c r="S19" t="s">
        <v>420</v>
      </c>
      <c r="T19" t="s">
        <v>259</v>
      </c>
      <c r="U19">
        <v>4.8278623496569861E-2</v>
      </c>
      <c r="V19" t="s">
        <v>251</v>
      </c>
      <c r="X19">
        <v>7.1118721461187209E-2</v>
      </c>
      <c r="Y19">
        <v>2.8086086733129477E-2</v>
      </c>
      <c r="Z19" t="s">
        <v>259</v>
      </c>
      <c r="AA19" t="s">
        <v>25</v>
      </c>
      <c r="AC19" t="s">
        <v>22</v>
      </c>
      <c r="AD19" t="s">
        <v>259</v>
      </c>
      <c r="AE19">
        <v>7.1560704740728967E-2</v>
      </c>
      <c r="AG19" t="s">
        <v>97</v>
      </c>
      <c r="AH19" t="s">
        <v>259</v>
      </c>
      <c r="AI19">
        <v>0.28018050022651519</v>
      </c>
      <c r="AK19">
        <v>2021</v>
      </c>
      <c r="AL19" t="s">
        <v>156</v>
      </c>
      <c r="AM19">
        <v>0.25326266741125586</v>
      </c>
      <c r="AN19" t="s">
        <v>430</v>
      </c>
    </row>
    <row r="20" spans="3:40" x14ac:dyDescent="0.45">
      <c r="I20" t="s">
        <v>249</v>
      </c>
      <c r="J20" t="s">
        <v>260</v>
      </c>
      <c r="K20">
        <v>9.5943663613530673E-3</v>
      </c>
      <c r="L20" t="s">
        <v>251</v>
      </c>
      <c r="N20" t="s">
        <v>419</v>
      </c>
      <c r="O20" t="s">
        <v>260</v>
      </c>
      <c r="P20">
        <v>4.633026240198449E-3</v>
      </c>
      <c r="Q20" t="s">
        <v>251</v>
      </c>
      <c r="S20" t="s">
        <v>420</v>
      </c>
      <c r="T20" t="s">
        <v>260</v>
      </c>
      <c r="U20">
        <v>6.0521544812931994E-3</v>
      </c>
      <c r="V20" t="s">
        <v>251</v>
      </c>
      <c r="X20">
        <v>1.0159817351598174E-2</v>
      </c>
      <c r="Y20">
        <v>1.6963760369274626E-2</v>
      </c>
      <c r="Z20" t="s">
        <v>260</v>
      </c>
      <c r="AA20" t="s">
        <v>25</v>
      </c>
      <c r="AC20" t="s">
        <v>22</v>
      </c>
      <c r="AD20" t="s">
        <v>260</v>
      </c>
      <c r="AE20">
        <v>1.2508708421769106E-2</v>
      </c>
      <c r="AG20" t="s">
        <v>97</v>
      </c>
      <c r="AH20" t="s">
        <v>260</v>
      </c>
      <c r="AI20">
        <v>0.15582783927999255</v>
      </c>
      <c r="AK20">
        <v>2021</v>
      </c>
      <c r="AL20" t="s">
        <v>159</v>
      </c>
      <c r="AM20">
        <v>0.42520104783927204</v>
      </c>
      <c r="AN20" t="s">
        <v>430</v>
      </c>
    </row>
    <row r="21" spans="3:40" x14ac:dyDescent="0.45">
      <c r="I21" t="s">
        <v>249</v>
      </c>
      <c r="J21" t="s">
        <v>261</v>
      </c>
      <c r="K21">
        <v>2.0395299914110685E-2</v>
      </c>
      <c r="L21" t="s">
        <v>251</v>
      </c>
      <c r="N21" t="s">
        <v>419</v>
      </c>
      <c r="O21" t="s">
        <v>261</v>
      </c>
      <c r="P21">
        <v>3.377191184816566E-3</v>
      </c>
      <c r="Q21" t="s">
        <v>251</v>
      </c>
      <c r="S21" t="s">
        <v>420</v>
      </c>
      <c r="T21" t="s">
        <v>261</v>
      </c>
      <c r="U21">
        <v>5.7356048468713925E-3</v>
      </c>
      <c r="V21" t="s">
        <v>251</v>
      </c>
      <c r="X21">
        <v>1.0159817351598174E-2</v>
      </c>
      <c r="Y21">
        <v>1.2980964456488416E-2</v>
      </c>
      <c r="Z21" t="s">
        <v>261</v>
      </c>
      <c r="AA21" t="s">
        <v>25</v>
      </c>
      <c r="AC21" t="s">
        <v>22</v>
      </c>
      <c r="AD21" t="s">
        <v>261</v>
      </c>
      <c r="AE21">
        <v>1.300650675503901E-2</v>
      </c>
      <c r="AG21" t="s">
        <v>97</v>
      </c>
      <c r="AH21" t="s">
        <v>261</v>
      </c>
      <c r="AI21">
        <v>0.14341752701631894</v>
      </c>
      <c r="AK21">
        <v>2021</v>
      </c>
      <c r="AL21" t="s">
        <v>163</v>
      </c>
      <c r="AM21">
        <v>0.57377934693164512</v>
      </c>
      <c r="AN21" t="s">
        <v>430</v>
      </c>
    </row>
    <row r="22" spans="3:40" x14ac:dyDescent="0.45">
      <c r="I22" t="s">
        <v>249</v>
      </c>
      <c r="J22" t="s">
        <v>262</v>
      </c>
      <c r="K22">
        <v>2.6512192823414899E-2</v>
      </c>
      <c r="L22" t="s">
        <v>251</v>
      </c>
      <c r="N22" t="s">
        <v>419</v>
      </c>
      <c r="O22" t="s">
        <v>262</v>
      </c>
      <c r="P22">
        <v>3.0624986417597745E-3</v>
      </c>
      <c r="Q22" t="s">
        <v>251</v>
      </c>
      <c r="S22" t="s">
        <v>420</v>
      </c>
      <c r="T22" t="s">
        <v>262</v>
      </c>
      <c r="U22">
        <v>5.3949416259778671E-3</v>
      </c>
      <c r="V22" t="s">
        <v>251</v>
      </c>
      <c r="X22">
        <v>1.0159817351598174E-2</v>
      </c>
      <c r="Y22">
        <v>1.2862955688702157E-2</v>
      </c>
      <c r="Z22" t="s">
        <v>262</v>
      </c>
      <c r="AA22" t="s">
        <v>25</v>
      </c>
      <c r="AC22" t="s">
        <v>22</v>
      </c>
      <c r="AD22" t="s">
        <v>262</v>
      </c>
      <c r="AE22">
        <v>1.32190360558469E-2</v>
      </c>
      <c r="AG22" t="s">
        <v>97</v>
      </c>
      <c r="AH22" t="s">
        <v>262</v>
      </c>
      <c r="AI22">
        <v>0.13348515781438497</v>
      </c>
      <c r="AK22">
        <v>2021</v>
      </c>
      <c r="AL22" t="s">
        <v>167</v>
      </c>
      <c r="AM22">
        <v>0.62492242342329907</v>
      </c>
      <c r="AN22" t="s">
        <v>430</v>
      </c>
    </row>
    <row r="23" spans="3:40" x14ac:dyDescent="0.45">
      <c r="I23" t="s">
        <v>249</v>
      </c>
      <c r="J23" t="s">
        <v>263</v>
      </c>
      <c r="K23">
        <v>0.20190357088923869</v>
      </c>
      <c r="L23" t="s">
        <v>251</v>
      </c>
      <c r="N23" t="s">
        <v>419</v>
      </c>
      <c r="O23" t="s">
        <v>263</v>
      </c>
      <c r="P23">
        <v>2.5390508924522381E-2</v>
      </c>
      <c r="Q23" t="s">
        <v>251</v>
      </c>
      <c r="S23" t="s">
        <v>420</v>
      </c>
      <c r="T23" t="s">
        <v>263</v>
      </c>
      <c r="U23">
        <v>3.7925652173313999E-2</v>
      </c>
      <c r="V23" t="s">
        <v>251</v>
      </c>
      <c r="X23">
        <v>7.1118721461187209E-2</v>
      </c>
      <c r="Y23">
        <v>9.9481391243815748E-2</v>
      </c>
      <c r="Z23" t="s">
        <v>263</v>
      </c>
      <c r="AA23" t="s">
        <v>25</v>
      </c>
      <c r="AC23" t="s">
        <v>22</v>
      </c>
      <c r="AD23" t="s">
        <v>263</v>
      </c>
      <c r="AE23">
        <v>9.1494582100361418E-2</v>
      </c>
      <c r="AG23" t="s">
        <v>97</v>
      </c>
      <c r="AH23" t="s">
        <v>263</v>
      </c>
      <c r="AI23">
        <v>0.22314708746610257</v>
      </c>
      <c r="AK23">
        <v>2021</v>
      </c>
      <c r="AL23" t="s">
        <v>169</v>
      </c>
      <c r="AM23">
        <v>0.57271626051018953</v>
      </c>
      <c r="AN23" t="s">
        <v>430</v>
      </c>
    </row>
    <row r="24" spans="3:40" x14ac:dyDescent="0.45">
      <c r="I24" t="s">
        <v>249</v>
      </c>
      <c r="J24" t="s">
        <v>264</v>
      </c>
      <c r="K24">
        <v>1.9168357375147299E-2</v>
      </c>
      <c r="L24" t="s">
        <v>251</v>
      </c>
      <c r="N24" t="s">
        <v>419</v>
      </c>
      <c r="O24" t="s">
        <v>264</v>
      </c>
      <c r="P24">
        <v>5.973658244175022E-3</v>
      </c>
      <c r="Q24" t="s">
        <v>251</v>
      </c>
      <c r="S24" t="s">
        <v>420</v>
      </c>
      <c r="T24" t="s">
        <v>264</v>
      </c>
      <c r="U24">
        <v>6.9923356277114277E-3</v>
      </c>
      <c r="V24" t="s">
        <v>251</v>
      </c>
      <c r="X24">
        <v>1.0159817351598174E-2</v>
      </c>
      <c r="Y24">
        <v>1.9766468604198267E-2</v>
      </c>
      <c r="Z24" t="s">
        <v>264</v>
      </c>
      <c r="AA24" t="s">
        <v>25</v>
      </c>
      <c r="AC24" t="s">
        <v>22</v>
      </c>
      <c r="AD24" t="s">
        <v>264</v>
      </c>
      <c r="AE24">
        <v>6.2092948010197798E-3</v>
      </c>
      <c r="AG24" t="s">
        <v>97</v>
      </c>
      <c r="AH24" t="s">
        <v>264</v>
      </c>
      <c r="AI24">
        <v>0.20324386008244644</v>
      </c>
      <c r="AK24">
        <v>2021</v>
      </c>
      <c r="AL24" t="s">
        <v>171</v>
      </c>
      <c r="AM24">
        <v>0.35170602065746115</v>
      </c>
      <c r="AN24" t="s">
        <v>430</v>
      </c>
    </row>
    <row r="25" spans="3:40" x14ac:dyDescent="0.45">
      <c r="I25" t="s">
        <v>249</v>
      </c>
      <c r="J25" t="s">
        <v>265</v>
      </c>
      <c r="K25">
        <v>9.3971181395823625E-3</v>
      </c>
      <c r="L25" t="s">
        <v>251</v>
      </c>
      <c r="N25" t="s">
        <v>419</v>
      </c>
      <c r="O25" t="s">
        <v>265</v>
      </c>
      <c r="P25">
        <v>7.5802148283230534E-3</v>
      </c>
      <c r="Q25" t="s">
        <v>251</v>
      </c>
      <c r="S25" t="s">
        <v>420</v>
      </c>
      <c r="T25" t="s">
        <v>265</v>
      </c>
      <c r="U25">
        <v>7.3347695105378929E-3</v>
      </c>
      <c r="V25" t="s">
        <v>251</v>
      </c>
      <c r="X25">
        <v>1.0159817351598174E-2</v>
      </c>
      <c r="Y25">
        <v>1.5341139812213574E-2</v>
      </c>
      <c r="Z25" t="s">
        <v>265</v>
      </c>
      <c r="AA25" t="s">
        <v>25</v>
      </c>
      <c r="AC25" t="s">
        <v>22</v>
      </c>
      <c r="AD25" t="s">
        <v>265</v>
      </c>
      <c r="AE25">
        <v>5.5301908371356914E-3</v>
      </c>
      <c r="AG25" t="s">
        <v>97</v>
      </c>
      <c r="AH25" t="s">
        <v>265</v>
      </c>
      <c r="AI25">
        <v>0.39286901059285051</v>
      </c>
      <c r="AK25">
        <v>2022</v>
      </c>
      <c r="AL25" t="s">
        <v>151</v>
      </c>
      <c r="AM25">
        <v>0.22856863093367569</v>
      </c>
      <c r="AN25" t="s">
        <v>430</v>
      </c>
    </row>
    <row r="26" spans="3:40" x14ac:dyDescent="0.45">
      <c r="I26" t="s">
        <v>249</v>
      </c>
      <c r="J26" t="s">
        <v>266</v>
      </c>
      <c r="K26">
        <v>2.4148579671858214E-4</v>
      </c>
      <c r="L26" t="s">
        <v>251</v>
      </c>
      <c r="N26" t="s">
        <v>419</v>
      </c>
      <c r="O26" t="s">
        <v>266</v>
      </c>
      <c r="P26">
        <v>5.6153232427259267E-2</v>
      </c>
      <c r="Q26" t="s">
        <v>251</v>
      </c>
      <c r="S26" t="s">
        <v>420</v>
      </c>
      <c r="T26" t="s">
        <v>266</v>
      </c>
      <c r="U26">
        <v>3.7601381324565031E-2</v>
      </c>
      <c r="V26" t="s">
        <v>251</v>
      </c>
      <c r="X26">
        <v>5.0799086757990865E-2</v>
      </c>
      <c r="Y26">
        <v>3.8352849530533945E-2</v>
      </c>
      <c r="Z26" t="s">
        <v>266</v>
      </c>
      <c r="AA26" t="s">
        <v>25</v>
      </c>
      <c r="AC26" t="s">
        <v>22</v>
      </c>
      <c r="AD26" t="s">
        <v>266</v>
      </c>
      <c r="AE26">
        <v>2.4975529633398726E-2</v>
      </c>
      <c r="AG26" t="s">
        <v>97</v>
      </c>
      <c r="AH26" t="s">
        <v>266</v>
      </c>
      <c r="AI26">
        <v>0.39164992839625556</v>
      </c>
      <c r="AK26">
        <v>2022</v>
      </c>
      <c r="AL26" t="s">
        <v>156</v>
      </c>
      <c r="AM26">
        <v>0.31030375044666419</v>
      </c>
      <c r="AN26" t="s">
        <v>430</v>
      </c>
    </row>
    <row r="27" spans="3:40" x14ac:dyDescent="0.45">
      <c r="I27" t="s">
        <v>249</v>
      </c>
      <c r="J27" t="s">
        <v>267</v>
      </c>
      <c r="K27">
        <v>2.8107129889712187E-3</v>
      </c>
      <c r="L27" t="s">
        <v>251</v>
      </c>
      <c r="N27" t="s">
        <v>419</v>
      </c>
      <c r="O27" t="s">
        <v>267</v>
      </c>
      <c r="P27">
        <v>7.6683988825372945E-2</v>
      </c>
      <c r="Q27" t="s">
        <v>251</v>
      </c>
      <c r="S27" t="s">
        <v>420</v>
      </c>
      <c r="T27" t="s">
        <v>267</v>
      </c>
      <c r="U27">
        <v>6.9324325075588555E-2</v>
      </c>
      <c r="V27" t="s">
        <v>251</v>
      </c>
      <c r="X27">
        <v>4.8744292237442921E-2</v>
      </c>
      <c r="Y27">
        <v>1.9250014502482003E-2</v>
      </c>
      <c r="Z27" t="s">
        <v>267</v>
      </c>
      <c r="AA27" t="s">
        <v>25</v>
      </c>
      <c r="AC27" t="s">
        <v>22</v>
      </c>
      <c r="AD27" t="s">
        <v>267</v>
      </c>
      <c r="AE27">
        <v>6.519254532687116E-2</v>
      </c>
      <c r="AG27" t="s">
        <v>97</v>
      </c>
      <c r="AH27" t="s">
        <v>267</v>
      </c>
      <c r="AI27">
        <v>0.11603121018014484</v>
      </c>
      <c r="AK27">
        <v>2022</v>
      </c>
      <c r="AL27" t="s">
        <v>159</v>
      </c>
      <c r="AM27">
        <v>0.40786549348052814</v>
      </c>
      <c r="AN27" t="s">
        <v>430</v>
      </c>
    </row>
    <row r="28" spans="3:40" x14ac:dyDescent="0.45">
      <c r="I28" t="s">
        <v>249</v>
      </c>
      <c r="J28" t="s">
        <v>268</v>
      </c>
      <c r="K28">
        <v>8.3725005645677291E-3</v>
      </c>
      <c r="L28" t="s">
        <v>251</v>
      </c>
      <c r="N28" t="s">
        <v>419</v>
      </c>
      <c r="O28" t="s">
        <v>268</v>
      </c>
      <c r="P28">
        <v>9.517215128087203E-3</v>
      </c>
      <c r="Q28" t="s">
        <v>251</v>
      </c>
      <c r="S28" t="s">
        <v>420</v>
      </c>
      <c r="T28" t="s">
        <v>268</v>
      </c>
      <c r="U28">
        <v>8.6656999587655537E-3</v>
      </c>
      <c r="V28" t="s">
        <v>251</v>
      </c>
      <c r="X28">
        <v>6.9634703196347035E-3</v>
      </c>
      <c r="Y28">
        <v>1.1626846994671376E-2</v>
      </c>
      <c r="Z28" t="s">
        <v>268</v>
      </c>
      <c r="AA28" t="s">
        <v>25</v>
      </c>
      <c r="AC28" t="s">
        <v>22</v>
      </c>
      <c r="AD28" t="s">
        <v>268</v>
      </c>
      <c r="AE28">
        <v>1.0619636311418032E-2</v>
      </c>
      <c r="AG28" t="s">
        <v>97</v>
      </c>
      <c r="AH28" t="s">
        <v>268</v>
      </c>
      <c r="AI28">
        <v>3.4881002927453331E-2</v>
      </c>
      <c r="AK28">
        <v>2022</v>
      </c>
      <c r="AL28" t="s">
        <v>163</v>
      </c>
      <c r="AM28">
        <v>0.58949643171063837</v>
      </c>
      <c r="AN28" t="s">
        <v>430</v>
      </c>
    </row>
    <row r="29" spans="3:40" x14ac:dyDescent="0.45">
      <c r="I29" t="s">
        <v>249</v>
      </c>
      <c r="J29" t="s">
        <v>269</v>
      </c>
      <c r="K29">
        <v>1.2664835667177301E-2</v>
      </c>
      <c r="L29" t="s">
        <v>251</v>
      </c>
      <c r="N29" t="s">
        <v>419</v>
      </c>
      <c r="O29" t="s">
        <v>269</v>
      </c>
      <c r="P29">
        <v>1.0194002066023587E-2</v>
      </c>
      <c r="Q29" t="s">
        <v>251</v>
      </c>
      <c r="S29" t="s">
        <v>420</v>
      </c>
      <c r="T29" t="s">
        <v>269</v>
      </c>
      <c r="U29">
        <v>8.4785250708125526E-3</v>
      </c>
      <c r="V29" t="s">
        <v>251</v>
      </c>
      <c r="X29">
        <v>6.9634703196347035E-3</v>
      </c>
      <c r="Y29">
        <v>8.8970655263572278E-3</v>
      </c>
      <c r="Z29" t="s">
        <v>269</v>
      </c>
      <c r="AA29" t="s">
        <v>25</v>
      </c>
      <c r="AC29" t="s">
        <v>22</v>
      </c>
      <c r="AD29" t="s">
        <v>269</v>
      </c>
      <c r="AE29">
        <v>1.0729345314236031E-2</v>
      </c>
      <c r="AG29" t="s">
        <v>97</v>
      </c>
      <c r="AH29" t="s">
        <v>269</v>
      </c>
      <c r="AI29">
        <v>4.1117481935545985E-2</v>
      </c>
      <c r="AK29">
        <v>2022</v>
      </c>
      <c r="AL29" t="s">
        <v>167</v>
      </c>
      <c r="AM29">
        <v>0.70961593638562115</v>
      </c>
      <c r="AN29" t="s">
        <v>430</v>
      </c>
    </row>
    <row r="30" spans="3:40" x14ac:dyDescent="0.45">
      <c r="I30" t="s">
        <v>249</v>
      </c>
      <c r="J30" t="s">
        <v>270</v>
      </c>
      <c r="K30">
        <v>1.55480478016528E-2</v>
      </c>
      <c r="L30" t="s">
        <v>251</v>
      </c>
      <c r="N30" t="s">
        <v>419</v>
      </c>
      <c r="O30" t="s">
        <v>270</v>
      </c>
      <c r="P30">
        <v>1.0157745184645434E-2</v>
      </c>
      <c r="Q30" t="s">
        <v>251</v>
      </c>
      <c r="S30" t="s">
        <v>420</v>
      </c>
      <c r="T30" t="s">
        <v>270</v>
      </c>
      <c r="U30">
        <v>8.3822871839087168E-3</v>
      </c>
      <c r="V30" t="s">
        <v>251</v>
      </c>
      <c r="X30">
        <v>6.9634703196347035E-3</v>
      </c>
      <c r="Y30">
        <v>8.8161831124812517E-3</v>
      </c>
      <c r="Z30" t="s">
        <v>270</v>
      </c>
      <c r="AA30" t="s">
        <v>25</v>
      </c>
      <c r="AC30" t="s">
        <v>22</v>
      </c>
      <c r="AD30" t="s">
        <v>270</v>
      </c>
      <c r="AE30">
        <v>1.0738987049895491E-2</v>
      </c>
      <c r="AG30" t="s">
        <v>97</v>
      </c>
      <c r="AH30" t="s">
        <v>270</v>
      </c>
      <c r="AI30">
        <v>4.0569612498225105E-2</v>
      </c>
      <c r="AK30">
        <v>2022</v>
      </c>
      <c r="AL30" t="s">
        <v>169</v>
      </c>
      <c r="AM30">
        <v>0.69297378700174128</v>
      </c>
      <c r="AN30" t="s">
        <v>430</v>
      </c>
    </row>
    <row r="31" spans="3:40" x14ac:dyDescent="0.45">
      <c r="I31" t="s">
        <v>249</v>
      </c>
      <c r="J31" t="s">
        <v>271</v>
      </c>
      <c r="K31">
        <v>0.121534826028595</v>
      </c>
      <c r="L31" t="s">
        <v>251</v>
      </c>
      <c r="N31" t="s">
        <v>419</v>
      </c>
      <c r="O31" t="s">
        <v>271</v>
      </c>
      <c r="P31">
        <v>7.0274771691868257E-2</v>
      </c>
      <c r="Q31" t="s">
        <v>251</v>
      </c>
      <c r="S31" t="s">
        <v>420</v>
      </c>
      <c r="T31" t="s">
        <v>271</v>
      </c>
      <c r="U31">
        <v>6.3619779751884487E-2</v>
      </c>
      <c r="V31" t="s">
        <v>251</v>
      </c>
      <c r="X31">
        <v>4.8744292237442921E-2</v>
      </c>
      <c r="Y31">
        <v>6.8183874897446747E-2</v>
      </c>
      <c r="Z31" t="s">
        <v>271</v>
      </c>
      <c r="AA31" t="s">
        <v>25</v>
      </c>
      <c r="AC31" t="s">
        <v>22</v>
      </c>
      <c r="AD31" t="s">
        <v>271</v>
      </c>
      <c r="AE31">
        <v>7.5483497129461119E-2</v>
      </c>
      <c r="AG31" t="s">
        <v>97</v>
      </c>
      <c r="AH31" t="s">
        <v>271</v>
      </c>
      <c r="AI31">
        <v>0.11683573699183092</v>
      </c>
      <c r="AK31">
        <v>2022</v>
      </c>
      <c r="AL31" t="s">
        <v>171</v>
      </c>
      <c r="AM31">
        <v>0.36133578961590596</v>
      </c>
      <c r="AN31" t="s">
        <v>430</v>
      </c>
    </row>
    <row r="32" spans="3:40" x14ac:dyDescent="0.45">
      <c r="I32" t="s">
        <v>249</v>
      </c>
      <c r="J32" t="s">
        <v>272</v>
      </c>
      <c r="K32">
        <v>1.0842674499161382E-2</v>
      </c>
      <c r="L32" t="s">
        <v>251</v>
      </c>
      <c r="N32" t="s">
        <v>419</v>
      </c>
      <c r="O32" t="s">
        <v>272</v>
      </c>
      <c r="P32">
        <v>1.111593701554979E-2</v>
      </c>
      <c r="Q32" t="s">
        <v>251</v>
      </c>
      <c r="S32" t="s">
        <v>420</v>
      </c>
      <c r="T32" t="s">
        <v>272</v>
      </c>
      <c r="U32">
        <v>1.0172663491000202E-2</v>
      </c>
      <c r="V32" t="s">
        <v>251</v>
      </c>
      <c r="X32">
        <v>6.9634703196347035E-3</v>
      </c>
      <c r="Y32">
        <v>1.354780432422577E-2</v>
      </c>
      <c r="Z32" t="s">
        <v>272</v>
      </c>
      <c r="AA32" t="s">
        <v>25</v>
      </c>
      <c r="AC32" t="s">
        <v>22</v>
      </c>
      <c r="AD32" t="s">
        <v>272</v>
      </c>
      <c r="AE32">
        <v>6.5015924076928357E-3</v>
      </c>
      <c r="AG32" t="s">
        <v>97</v>
      </c>
      <c r="AH32" t="s">
        <v>272</v>
      </c>
      <c r="AI32">
        <v>8.1659542877799751E-2</v>
      </c>
      <c r="AK32">
        <v>2025</v>
      </c>
      <c r="AL32" t="s">
        <v>151</v>
      </c>
      <c r="AM32">
        <v>0.2868</v>
      </c>
      <c r="AN32" t="s">
        <v>430</v>
      </c>
    </row>
    <row r="33" spans="9:40" x14ac:dyDescent="0.45">
      <c r="I33" t="s">
        <v>249</v>
      </c>
      <c r="J33" t="s">
        <v>273</v>
      </c>
      <c r="K33">
        <v>6.523845687922759E-3</v>
      </c>
      <c r="L33" t="s">
        <v>251</v>
      </c>
      <c r="N33" t="s">
        <v>419</v>
      </c>
      <c r="O33" t="s">
        <v>273</v>
      </c>
      <c r="P33">
        <v>1.1855957036763589E-2</v>
      </c>
      <c r="Q33" t="s">
        <v>251</v>
      </c>
      <c r="S33" t="s">
        <v>420</v>
      </c>
      <c r="T33" t="s">
        <v>273</v>
      </c>
      <c r="U33">
        <v>1.0426584163756218E-2</v>
      </c>
      <c r="V33" t="s">
        <v>251</v>
      </c>
      <c r="X33">
        <v>6.9634703196347035E-3</v>
      </c>
      <c r="Y33">
        <v>1.0514713803876726E-2</v>
      </c>
      <c r="Z33" t="s">
        <v>273</v>
      </c>
      <c r="AA33" t="s">
        <v>25</v>
      </c>
      <c r="AC33" t="s">
        <v>22</v>
      </c>
      <c r="AD33" t="s">
        <v>273</v>
      </c>
      <c r="AE33">
        <v>8.1483995213649171E-3</v>
      </c>
      <c r="AG33" t="s">
        <v>97</v>
      </c>
      <c r="AH33" t="s">
        <v>273</v>
      </c>
      <c r="AI33">
        <v>2.5602306286175214E-2</v>
      </c>
      <c r="AK33">
        <v>2025</v>
      </c>
      <c r="AL33" t="s">
        <v>156</v>
      </c>
      <c r="AM33">
        <v>0.31739999999999996</v>
      </c>
      <c r="AN33" t="s">
        <v>430</v>
      </c>
    </row>
    <row r="34" spans="9:40" x14ac:dyDescent="0.45">
      <c r="I34" t="s">
        <v>249</v>
      </c>
      <c r="J34" t="s">
        <v>274</v>
      </c>
      <c r="K34">
        <v>2.0433376365791615E-3</v>
      </c>
      <c r="L34" t="s">
        <v>251</v>
      </c>
      <c r="N34" t="s">
        <v>419</v>
      </c>
      <c r="O34" t="s">
        <v>274</v>
      </c>
      <c r="P34">
        <v>6.6547137310463203E-2</v>
      </c>
      <c r="Q34" t="s">
        <v>251</v>
      </c>
      <c r="S34" t="s">
        <v>420</v>
      </c>
      <c r="T34" t="s">
        <v>274</v>
      </c>
      <c r="U34">
        <v>5.367495162726741E-2</v>
      </c>
      <c r="V34" t="s">
        <v>251</v>
      </c>
      <c r="X34">
        <v>3.4817351598173514E-2</v>
      </c>
      <c r="Y34">
        <v>2.6286784509691803E-2</v>
      </c>
      <c r="Z34" t="s">
        <v>274</v>
      </c>
      <c r="AA34" t="s">
        <v>25</v>
      </c>
      <c r="AC34" t="s">
        <v>22</v>
      </c>
      <c r="AD34" t="s">
        <v>274</v>
      </c>
      <c r="AE34">
        <v>3.6504244212728895E-2</v>
      </c>
      <c r="AG34" t="s">
        <v>97</v>
      </c>
      <c r="AH34" t="s">
        <v>274</v>
      </c>
      <c r="AI34">
        <v>6.5168450610925133E-2</v>
      </c>
      <c r="AK34">
        <v>2025</v>
      </c>
      <c r="AL34" t="s">
        <v>159</v>
      </c>
      <c r="AM34">
        <v>0.46619999999999995</v>
      </c>
      <c r="AN34" t="s">
        <v>430</v>
      </c>
    </row>
    <row r="35" spans="9:40" x14ac:dyDescent="0.45">
      <c r="I35" t="s">
        <v>249</v>
      </c>
      <c r="J35" t="s">
        <v>275</v>
      </c>
      <c r="K35">
        <v>3.9949852694818087E-4</v>
      </c>
      <c r="L35" t="s">
        <v>251</v>
      </c>
      <c r="N35" t="s">
        <v>419</v>
      </c>
      <c r="O35" t="s">
        <v>275</v>
      </c>
      <c r="P35">
        <v>5.21461902063994E-2</v>
      </c>
      <c r="Q35" t="s">
        <v>251</v>
      </c>
      <c r="S35" t="s">
        <v>420</v>
      </c>
      <c r="T35" t="s">
        <v>275</v>
      </c>
      <c r="U35">
        <v>5.8266126603190097E-2</v>
      </c>
      <c r="V35" t="s">
        <v>251</v>
      </c>
      <c r="X35">
        <v>2.4771689497716895E-2</v>
      </c>
      <c r="Y35">
        <v>9.7827942553597048E-3</v>
      </c>
      <c r="Z35" t="s">
        <v>275</v>
      </c>
      <c r="AA35" t="s">
        <v>25</v>
      </c>
      <c r="AC35" t="s">
        <v>22</v>
      </c>
      <c r="AD35" t="s">
        <v>275</v>
      </c>
      <c r="AE35">
        <v>3.1290129919684682E-2</v>
      </c>
      <c r="AG35" t="s">
        <v>97</v>
      </c>
      <c r="AH35" t="s">
        <v>275</v>
      </c>
      <c r="AI35">
        <v>9.0557243741560711E-2</v>
      </c>
      <c r="AK35">
        <v>2025</v>
      </c>
      <c r="AL35" t="s">
        <v>163</v>
      </c>
      <c r="AM35">
        <v>0.67</v>
      </c>
      <c r="AN35" t="s">
        <v>430</v>
      </c>
    </row>
    <row r="36" spans="9:40" x14ac:dyDescent="0.45">
      <c r="I36" t="s">
        <v>249</v>
      </c>
      <c r="J36" t="s">
        <v>276</v>
      </c>
      <c r="K36">
        <v>1.5950621698403843E-3</v>
      </c>
      <c r="L36" t="s">
        <v>251</v>
      </c>
      <c r="N36" t="s">
        <v>419</v>
      </c>
      <c r="O36" t="s">
        <v>276</v>
      </c>
      <c r="P36">
        <v>6.9797535869503E-3</v>
      </c>
      <c r="Q36" t="s">
        <v>251</v>
      </c>
      <c r="S36" t="s">
        <v>420</v>
      </c>
      <c r="T36" t="s">
        <v>276</v>
      </c>
      <c r="U36">
        <v>7.9219619050836E-3</v>
      </c>
      <c r="V36" t="s">
        <v>251</v>
      </c>
      <c r="X36">
        <v>3.5388127853881279E-3</v>
      </c>
      <c r="Y36">
        <v>5.9087255218821738E-3</v>
      </c>
      <c r="Z36" t="s">
        <v>276</v>
      </c>
      <c r="AA36" t="s">
        <v>25</v>
      </c>
      <c r="AC36" t="s">
        <v>22</v>
      </c>
      <c r="AD36" t="s">
        <v>276</v>
      </c>
      <c r="AE36">
        <v>4.878510750396468E-3</v>
      </c>
      <c r="AG36" t="s">
        <v>97</v>
      </c>
      <c r="AH36" t="s">
        <v>276</v>
      </c>
      <c r="AI36">
        <v>3.8525592846895274E-2</v>
      </c>
      <c r="AK36">
        <v>2025</v>
      </c>
      <c r="AL36" t="s">
        <v>167</v>
      </c>
      <c r="AM36">
        <v>0.70209999999999995</v>
      </c>
      <c r="AN36" t="s">
        <v>430</v>
      </c>
    </row>
    <row r="37" spans="9:40" x14ac:dyDescent="0.45">
      <c r="I37" t="s">
        <v>249</v>
      </c>
      <c r="J37" t="s">
        <v>277</v>
      </c>
      <c r="K37">
        <v>3.0283477756202618E-3</v>
      </c>
      <c r="L37" t="s">
        <v>251</v>
      </c>
      <c r="N37" t="s">
        <v>419</v>
      </c>
      <c r="O37" t="s">
        <v>277</v>
      </c>
      <c r="P37">
        <v>7.7421033792447001E-3</v>
      </c>
      <c r="Q37" t="s">
        <v>251</v>
      </c>
      <c r="S37" t="s">
        <v>420</v>
      </c>
      <c r="T37" t="s">
        <v>277</v>
      </c>
      <c r="U37">
        <v>7.8743154094812005E-3</v>
      </c>
      <c r="V37" t="s">
        <v>251</v>
      </c>
      <c r="X37">
        <v>3.5388127853881279E-3</v>
      </c>
      <c r="Y37">
        <v>4.521459529788099E-3</v>
      </c>
      <c r="Z37" t="s">
        <v>277</v>
      </c>
      <c r="AA37" t="s">
        <v>25</v>
      </c>
      <c r="AC37" t="s">
        <v>22</v>
      </c>
      <c r="AD37" t="s">
        <v>277</v>
      </c>
      <c r="AE37">
        <v>4.9283984321186322E-3</v>
      </c>
      <c r="AG37" t="s">
        <v>97</v>
      </c>
      <c r="AH37" t="s">
        <v>277</v>
      </c>
      <c r="AI37">
        <v>6.5790488331782804E-2</v>
      </c>
      <c r="AK37">
        <v>2025</v>
      </c>
      <c r="AL37" t="s">
        <v>169</v>
      </c>
      <c r="AM37">
        <v>0.76329999999999998</v>
      </c>
      <c r="AN37" t="s">
        <v>430</v>
      </c>
    </row>
    <row r="38" spans="9:40" x14ac:dyDescent="0.45">
      <c r="I38" t="s">
        <v>249</v>
      </c>
      <c r="J38" t="s">
        <v>278</v>
      </c>
      <c r="K38">
        <v>4.2983747799500358E-3</v>
      </c>
      <c r="L38" t="s">
        <v>251</v>
      </c>
      <c r="N38" t="s">
        <v>419</v>
      </c>
      <c r="O38" t="s">
        <v>278</v>
      </c>
      <c r="P38">
        <v>8.1553262393319007E-3</v>
      </c>
      <c r="Q38" t="s">
        <v>251</v>
      </c>
      <c r="S38" t="s">
        <v>420</v>
      </c>
      <c r="T38" t="s">
        <v>278</v>
      </c>
      <c r="U38">
        <v>7.8451054959140995E-3</v>
      </c>
      <c r="V38" t="s">
        <v>251</v>
      </c>
      <c r="X38">
        <v>3.5388127853881279E-3</v>
      </c>
      <c r="Y38">
        <v>4.4803553522445696E-3</v>
      </c>
      <c r="Z38" t="s">
        <v>278</v>
      </c>
      <c r="AA38" t="s">
        <v>25</v>
      </c>
      <c r="AC38" t="s">
        <v>22</v>
      </c>
      <c r="AD38" t="s">
        <v>278</v>
      </c>
      <c r="AE38">
        <v>4.937018504778355E-3</v>
      </c>
      <c r="AG38" t="s">
        <v>97</v>
      </c>
      <c r="AH38" t="s">
        <v>278</v>
      </c>
      <c r="AI38">
        <v>5.5477041993539533E-2</v>
      </c>
      <c r="AK38">
        <v>2025</v>
      </c>
      <c r="AL38" t="s">
        <v>171</v>
      </c>
      <c r="AM38">
        <v>0.40616666666666662</v>
      </c>
      <c r="AN38" t="s">
        <v>430</v>
      </c>
    </row>
    <row r="39" spans="9:40" x14ac:dyDescent="0.45">
      <c r="I39" t="s">
        <v>249</v>
      </c>
      <c r="J39" t="s">
        <v>279</v>
      </c>
      <c r="K39">
        <v>3.8843648177558546E-2</v>
      </c>
      <c r="L39" t="s">
        <v>251</v>
      </c>
      <c r="N39" t="s">
        <v>419</v>
      </c>
      <c r="O39" t="s">
        <v>279</v>
      </c>
      <c r="P39">
        <v>5.84657992409887E-2</v>
      </c>
      <c r="Q39" t="s">
        <v>251</v>
      </c>
      <c r="S39" t="s">
        <v>420</v>
      </c>
      <c r="T39" t="s">
        <v>279</v>
      </c>
      <c r="U39">
        <v>5.5983631985480599E-2</v>
      </c>
      <c r="V39" t="s">
        <v>251</v>
      </c>
      <c r="X39">
        <v>2.4771689497716895E-2</v>
      </c>
      <c r="Y39">
        <v>3.4650821669194247E-2</v>
      </c>
      <c r="Z39" t="s">
        <v>279</v>
      </c>
      <c r="AA39" t="s">
        <v>25</v>
      </c>
      <c r="AC39" t="s">
        <v>22</v>
      </c>
      <c r="AD39" t="s">
        <v>279</v>
      </c>
      <c r="AE39">
        <v>3.5605578723758191E-2</v>
      </c>
      <c r="AG39" t="s">
        <v>97</v>
      </c>
      <c r="AH39" t="s">
        <v>279</v>
      </c>
      <c r="AI39">
        <v>0.11764578777160528</v>
      </c>
      <c r="AK39">
        <v>2026</v>
      </c>
      <c r="AL39" t="s">
        <v>151</v>
      </c>
      <c r="AM39">
        <v>0.25640000000000002</v>
      </c>
      <c r="AN39" t="s">
        <v>430</v>
      </c>
    </row>
    <row r="40" spans="9:40" x14ac:dyDescent="0.45">
      <c r="I40" t="s">
        <v>249</v>
      </c>
      <c r="J40" t="s">
        <v>280</v>
      </c>
      <c r="K40">
        <v>2.7779154947420817E-3</v>
      </c>
      <c r="L40" t="s">
        <v>251</v>
      </c>
      <c r="N40" t="s">
        <v>419</v>
      </c>
      <c r="O40" t="s">
        <v>280</v>
      </c>
      <c r="P40">
        <v>8.3100494361197999E-3</v>
      </c>
      <c r="Q40" t="s">
        <v>251</v>
      </c>
      <c r="S40" t="s">
        <v>420</v>
      </c>
      <c r="T40" t="s">
        <v>280</v>
      </c>
      <c r="U40">
        <v>8.3495263949457006E-3</v>
      </c>
      <c r="V40" t="s">
        <v>251</v>
      </c>
      <c r="X40">
        <v>3.5388127853881279E-3</v>
      </c>
      <c r="Y40">
        <v>6.8849497385409693E-3</v>
      </c>
      <c r="Z40" t="s">
        <v>280</v>
      </c>
      <c r="AA40" t="s">
        <v>25</v>
      </c>
      <c r="AC40" t="s">
        <v>22</v>
      </c>
      <c r="AD40" t="s">
        <v>280</v>
      </c>
      <c r="AE40">
        <v>3.0673261932617898E-3</v>
      </c>
      <c r="AG40" t="s">
        <v>97</v>
      </c>
      <c r="AH40" t="s">
        <v>280</v>
      </c>
      <c r="AI40">
        <v>4.169317729613109E-2</v>
      </c>
      <c r="AK40">
        <v>2026</v>
      </c>
      <c r="AL40" t="s">
        <v>156</v>
      </c>
      <c r="AM40">
        <v>0.31646666666666667</v>
      </c>
      <c r="AN40" t="s">
        <v>430</v>
      </c>
    </row>
    <row r="41" spans="9:40" x14ac:dyDescent="0.45">
      <c r="I41" t="s">
        <v>249</v>
      </c>
      <c r="J41" t="s">
        <v>281</v>
      </c>
      <c r="K41">
        <v>1.4128730063523956E-3</v>
      </c>
      <c r="L41" t="s">
        <v>251</v>
      </c>
      <c r="N41" t="s">
        <v>419</v>
      </c>
      <c r="O41" t="s">
        <v>281</v>
      </c>
      <c r="P41">
        <v>8.4304595037270995E-3</v>
      </c>
      <c r="Q41" t="s">
        <v>251</v>
      </c>
      <c r="S41" t="s">
        <v>420</v>
      </c>
      <c r="T41" t="s">
        <v>281</v>
      </c>
      <c r="U41">
        <v>8.4649161656644E-3</v>
      </c>
      <c r="V41" t="s">
        <v>251</v>
      </c>
      <c r="X41">
        <v>3.5388127853881279E-3</v>
      </c>
      <c r="Y41">
        <v>5.3435430806586613E-3</v>
      </c>
      <c r="Z41" t="s">
        <v>281</v>
      </c>
      <c r="AA41" t="s">
        <v>25</v>
      </c>
      <c r="AC41" t="s">
        <v>22</v>
      </c>
      <c r="AD41" t="s">
        <v>281</v>
      </c>
      <c r="AE41">
        <v>3.7456547182714863E-3</v>
      </c>
      <c r="AG41" t="s">
        <v>97</v>
      </c>
      <c r="AH41" t="s">
        <v>281</v>
      </c>
      <c r="AI41">
        <v>1.8929036410713973E-2</v>
      </c>
      <c r="AK41">
        <v>2026</v>
      </c>
      <c r="AL41" t="s">
        <v>159</v>
      </c>
      <c r="AM41">
        <v>0.45799999999999996</v>
      </c>
      <c r="AN41" t="s">
        <v>430</v>
      </c>
    </row>
    <row r="42" spans="9:40" x14ac:dyDescent="0.45">
      <c r="I42" t="s">
        <v>249</v>
      </c>
      <c r="J42" t="s">
        <v>282</v>
      </c>
      <c r="K42">
        <v>3.1655616640138384E-4</v>
      </c>
      <c r="L42" t="s">
        <v>251</v>
      </c>
      <c r="N42" t="s">
        <v>419</v>
      </c>
      <c r="O42" t="s">
        <v>282</v>
      </c>
      <c r="P42">
        <v>4.2188424357887597E-2</v>
      </c>
      <c r="Q42" t="s">
        <v>251</v>
      </c>
      <c r="S42" t="s">
        <v>420</v>
      </c>
      <c r="T42" t="s">
        <v>282</v>
      </c>
      <c r="U42">
        <v>4.2296696757634797E-2</v>
      </c>
      <c r="V42" t="s">
        <v>251</v>
      </c>
      <c r="X42">
        <v>1.7694063926940638E-2</v>
      </c>
      <c r="Y42">
        <v>1.3358857701646654E-2</v>
      </c>
      <c r="Z42" t="s">
        <v>282</v>
      </c>
      <c r="AA42" t="s">
        <v>25</v>
      </c>
      <c r="AC42" t="s">
        <v>22</v>
      </c>
      <c r="AD42" t="s">
        <v>282</v>
      </c>
      <c r="AE42">
        <v>1.7309067814546067E-2</v>
      </c>
      <c r="AG42" t="s">
        <v>97</v>
      </c>
      <c r="AH42" t="s">
        <v>282</v>
      </c>
      <c r="AI42">
        <v>7.3955067275157216E-2</v>
      </c>
      <c r="AK42">
        <v>2026</v>
      </c>
      <c r="AL42" t="s">
        <v>163</v>
      </c>
      <c r="AM42">
        <v>0.57340000000000002</v>
      </c>
      <c r="AN42" t="s">
        <v>430</v>
      </c>
    </row>
    <row r="43" spans="9:40" x14ac:dyDescent="0.45">
      <c r="I43" t="s">
        <v>249</v>
      </c>
      <c r="J43" t="s">
        <v>283</v>
      </c>
      <c r="K43">
        <v>2.9265094728030523E-4</v>
      </c>
      <c r="L43" t="s">
        <v>251</v>
      </c>
      <c r="N43" t="s">
        <v>419</v>
      </c>
      <c r="O43" t="s">
        <v>283</v>
      </c>
      <c r="P43">
        <v>3.4380791921025153E-2</v>
      </c>
      <c r="Q43" t="s">
        <v>251</v>
      </c>
      <c r="S43" t="s">
        <v>420</v>
      </c>
      <c r="T43" t="s">
        <v>283</v>
      </c>
      <c r="U43">
        <v>3.9571025385561329E-2</v>
      </c>
      <c r="V43" t="s">
        <v>251</v>
      </c>
      <c r="X43">
        <v>2.4771689497716895E-2</v>
      </c>
      <c r="Y43">
        <v>9.7827942553597048E-3</v>
      </c>
      <c r="Z43" t="s">
        <v>283</v>
      </c>
      <c r="AA43" t="s">
        <v>25</v>
      </c>
      <c r="AC43" t="s">
        <v>22</v>
      </c>
      <c r="AD43" t="s">
        <v>283</v>
      </c>
      <c r="AE43">
        <v>2.7867658588525919E-2</v>
      </c>
      <c r="AG43" t="s">
        <v>97</v>
      </c>
      <c r="AH43" t="s">
        <v>283</v>
      </c>
      <c r="AI43">
        <v>0.12775358316000784</v>
      </c>
      <c r="AK43">
        <v>2026</v>
      </c>
      <c r="AL43" t="s">
        <v>167</v>
      </c>
      <c r="AM43">
        <v>0.76170000000000004</v>
      </c>
      <c r="AN43" t="s">
        <v>430</v>
      </c>
    </row>
    <row r="44" spans="9:40" x14ac:dyDescent="0.45">
      <c r="I44" t="s">
        <v>249</v>
      </c>
      <c r="J44" t="s">
        <v>284</v>
      </c>
      <c r="K44">
        <v>1.5657403140266696E-3</v>
      </c>
      <c r="L44" t="s">
        <v>251</v>
      </c>
      <c r="N44" t="s">
        <v>419</v>
      </c>
      <c r="O44" t="s">
        <v>284</v>
      </c>
      <c r="P44">
        <v>4.6046608837676355E-3</v>
      </c>
      <c r="Q44" t="s">
        <v>251</v>
      </c>
      <c r="S44" t="s">
        <v>420</v>
      </c>
      <c r="T44" t="s">
        <v>284</v>
      </c>
      <c r="U44">
        <v>5.2072790586172139E-3</v>
      </c>
      <c r="V44" t="s">
        <v>251</v>
      </c>
      <c r="X44">
        <v>3.5388127853881279E-3</v>
      </c>
      <c r="Y44">
        <v>5.9087255218821738E-3</v>
      </c>
      <c r="Z44" t="s">
        <v>284</v>
      </c>
      <c r="AA44" t="s">
        <v>25</v>
      </c>
      <c r="AC44" t="s">
        <v>22</v>
      </c>
      <c r="AD44" t="s">
        <v>284</v>
      </c>
      <c r="AE44">
        <v>4.6167324071120178E-3</v>
      </c>
      <c r="AG44" t="s">
        <v>97</v>
      </c>
      <c r="AH44" t="s">
        <v>284</v>
      </c>
      <c r="AI44">
        <v>4.2486498981736176E-2</v>
      </c>
      <c r="AK44">
        <v>2026</v>
      </c>
      <c r="AL44" t="s">
        <v>169</v>
      </c>
      <c r="AM44">
        <v>0.75239999999999996</v>
      </c>
      <c r="AN44" t="s">
        <v>430</v>
      </c>
    </row>
    <row r="45" spans="9:40" x14ac:dyDescent="0.45">
      <c r="I45" t="s">
        <v>249</v>
      </c>
      <c r="J45" t="s">
        <v>285</v>
      </c>
      <c r="K45">
        <v>3.2378214071182676E-3</v>
      </c>
      <c r="L45" t="s">
        <v>251</v>
      </c>
      <c r="N45" t="s">
        <v>419</v>
      </c>
      <c r="O45" t="s">
        <v>285</v>
      </c>
      <c r="P45">
        <v>5.3973161121403023E-3</v>
      </c>
      <c r="Q45" t="s">
        <v>251</v>
      </c>
      <c r="S45" t="s">
        <v>420</v>
      </c>
      <c r="T45" t="s">
        <v>285</v>
      </c>
      <c r="U45">
        <v>5.1383838360571678E-3</v>
      </c>
      <c r="V45" t="s">
        <v>251</v>
      </c>
      <c r="X45">
        <v>3.5388127853881279E-3</v>
      </c>
      <c r="Y45">
        <v>4.521459529788099E-3</v>
      </c>
      <c r="Z45" t="s">
        <v>285</v>
      </c>
      <c r="AA45" t="s">
        <v>25</v>
      </c>
      <c r="AC45" t="s">
        <v>22</v>
      </c>
      <c r="AD45" t="s">
        <v>285</v>
      </c>
      <c r="AE45">
        <v>4.6557895697279189E-3</v>
      </c>
      <c r="AG45" t="s">
        <v>97</v>
      </c>
      <c r="AH45" t="s">
        <v>285</v>
      </c>
      <c r="AI45">
        <v>3.982810663240377E-2</v>
      </c>
      <c r="AK45">
        <v>2026</v>
      </c>
      <c r="AL45" t="s">
        <v>171</v>
      </c>
      <c r="AM45">
        <v>0.3782666666666667</v>
      </c>
      <c r="AN45" t="s">
        <v>430</v>
      </c>
    </row>
    <row r="46" spans="9:40" x14ac:dyDescent="0.45">
      <c r="I46" t="s">
        <v>249</v>
      </c>
      <c r="J46" t="s">
        <v>286</v>
      </c>
      <c r="K46">
        <v>4.6837572514513183E-3</v>
      </c>
      <c r="L46" t="s">
        <v>251</v>
      </c>
      <c r="N46" t="s">
        <v>419</v>
      </c>
      <c r="O46" t="s">
        <v>286</v>
      </c>
      <c r="P46">
        <v>5.4359637364010697E-3</v>
      </c>
      <c r="Q46" t="s">
        <v>251</v>
      </c>
      <c r="S46" t="s">
        <v>420</v>
      </c>
      <c r="T46" t="s">
        <v>286</v>
      </c>
      <c r="U46">
        <v>5.0784438137611281E-3</v>
      </c>
      <c r="V46" t="s">
        <v>251</v>
      </c>
      <c r="X46">
        <v>3.5388127853881279E-3</v>
      </c>
      <c r="Y46">
        <v>4.4803553522445696E-3</v>
      </c>
      <c r="Z46" t="s">
        <v>286</v>
      </c>
      <c r="AA46" t="s">
        <v>25</v>
      </c>
      <c r="AC46" t="s">
        <v>22</v>
      </c>
      <c r="AD46" t="s">
        <v>286</v>
      </c>
      <c r="AE46">
        <v>4.6523468885183361E-3</v>
      </c>
      <c r="AG46" t="s">
        <v>97</v>
      </c>
      <c r="AH46" t="s">
        <v>286</v>
      </c>
      <c r="AI46">
        <v>4.0242423516440473E-2</v>
      </c>
      <c r="AK46">
        <v>2027</v>
      </c>
      <c r="AL46" t="s">
        <v>151</v>
      </c>
      <c r="AM46">
        <v>0.30059999999999998</v>
      </c>
      <c r="AN46" t="s">
        <v>430</v>
      </c>
    </row>
    <row r="47" spans="9:40" x14ac:dyDescent="0.45">
      <c r="I47" t="s">
        <v>249</v>
      </c>
      <c r="J47" t="s">
        <v>287</v>
      </c>
      <c r="K47">
        <v>4.1186799322347728E-2</v>
      </c>
      <c r="L47" t="s">
        <v>251</v>
      </c>
      <c r="N47" t="s">
        <v>419</v>
      </c>
      <c r="O47" t="s">
        <v>287</v>
      </c>
      <c r="P47">
        <v>3.8920355041065093E-2</v>
      </c>
      <c r="Q47" t="s">
        <v>251</v>
      </c>
      <c r="S47" t="s">
        <v>420</v>
      </c>
      <c r="T47" t="s">
        <v>287</v>
      </c>
      <c r="U47">
        <v>3.6417690817375399E-2</v>
      </c>
      <c r="V47" t="s">
        <v>251</v>
      </c>
      <c r="X47">
        <v>2.4771689497716895E-2</v>
      </c>
      <c r="Y47">
        <v>3.4650821669194247E-2</v>
      </c>
      <c r="Z47" t="s">
        <v>287</v>
      </c>
      <c r="AA47" t="s">
        <v>25</v>
      </c>
      <c r="AC47" t="s">
        <v>22</v>
      </c>
      <c r="AD47" t="s">
        <v>287</v>
      </c>
      <c r="AE47">
        <v>3.4066991572480936E-2</v>
      </c>
      <c r="AG47" t="s">
        <v>97</v>
      </c>
      <c r="AH47" t="s">
        <v>287</v>
      </c>
      <c r="AI47">
        <v>0.14944411949121883</v>
      </c>
      <c r="AK47">
        <v>2027</v>
      </c>
      <c r="AL47" t="s">
        <v>156</v>
      </c>
      <c r="AM47">
        <v>0.31856666666666666</v>
      </c>
      <c r="AN47" t="s">
        <v>430</v>
      </c>
    </row>
    <row r="48" spans="9:40" x14ac:dyDescent="0.45">
      <c r="I48" t="s">
        <v>249</v>
      </c>
      <c r="J48" t="s">
        <v>288</v>
      </c>
      <c r="K48">
        <v>3.0373466690530974E-3</v>
      </c>
      <c r="L48" t="s">
        <v>251</v>
      </c>
      <c r="N48" t="s">
        <v>419</v>
      </c>
      <c r="O48" t="s">
        <v>288</v>
      </c>
      <c r="P48">
        <v>5.3004420014127985E-3</v>
      </c>
      <c r="Q48" t="s">
        <v>251</v>
      </c>
      <c r="S48" t="s">
        <v>420</v>
      </c>
      <c r="T48" t="s">
        <v>288</v>
      </c>
      <c r="U48">
        <v>5.2902137229079811E-3</v>
      </c>
      <c r="V48" t="s">
        <v>251</v>
      </c>
      <c r="X48">
        <v>3.5388127853881279E-3</v>
      </c>
      <c r="Y48">
        <v>6.8849497385409693E-3</v>
      </c>
      <c r="Z48" t="s">
        <v>288</v>
      </c>
      <c r="AA48" t="s">
        <v>25</v>
      </c>
      <c r="AC48" t="s">
        <v>22</v>
      </c>
      <c r="AD48" t="s">
        <v>288</v>
      </c>
      <c r="AE48">
        <v>2.6800682476377721E-3</v>
      </c>
      <c r="AG48" t="s">
        <v>97</v>
      </c>
      <c r="AH48" t="s">
        <v>288</v>
      </c>
      <c r="AI48">
        <v>3.7143697841996781E-2</v>
      </c>
      <c r="AK48">
        <v>2027</v>
      </c>
      <c r="AL48" t="s">
        <v>159</v>
      </c>
      <c r="AM48">
        <v>0.46779999999999999</v>
      </c>
      <c r="AN48" t="s">
        <v>430</v>
      </c>
    </row>
    <row r="49" spans="9:40" x14ac:dyDescent="0.45">
      <c r="I49" t="s">
        <v>249</v>
      </c>
      <c r="J49" t="s">
        <v>289</v>
      </c>
      <c r="K49">
        <v>1.3841012654518725E-3</v>
      </c>
      <c r="L49" t="s">
        <v>251</v>
      </c>
      <c r="N49" t="s">
        <v>419</v>
      </c>
      <c r="O49" t="s">
        <v>289</v>
      </c>
      <c r="P49">
        <v>5.3786304431929447E-3</v>
      </c>
      <c r="Q49" t="s">
        <v>251</v>
      </c>
      <c r="S49" t="s">
        <v>420</v>
      </c>
      <c r="T49" t="s">
        <v>289</v>
      </c>
      <c r="U49">
        <v>5.334976031101309E-3</v>
      </c>
      <c r="V49" t="s">
        <v>251</v>
      </c>
      <c r="X49">
        <v>3.5388127853881279E-3</v>
      </c>
      <c r="Y49">
        <v>5.3435430806586613E-3</v>
      </c>
      <c r="Z49" t="s">
        <v>289</v>
      </c>
      <c r="AA49" t="s">
        <v>25</v>
      </c>
      <c r="AC49" t="s">
        <v>22</v>
      </c>
      <c r="AD49" t="s">
        <v>289</v>
      </c>
      <c r="AE49">
        <v>1.7413203865086287E-3</v>
      </c>
      <c r="AG49" t="s">
        <v>97</v>
      </c>
      <c r="AH49" t="s">
        <v>289</v>
      </c>
      <c r="AI49">
        <v>4.123341282076165E-2</v>
      </c>
      <c r="AK49">
        <v>2027</v>
      </c>
      <c r="AL49" t="s">
        <v>163</v>
      </c>
      <c r="AM49">
        <v>0.58409999999999995</v>
      </c>
      <c r="AN49" t="s">
        <v>430</v>
      </c>
    </row>
    <row r="50" spans="9:40" x14ac:dyDescent="0.45">
      <c r="I50" t="s">
        <v>249</v>
      </c>
      <c r="J50" t="s">
        <v>290</v>
      </c>
      <c r="K50">
        <v>1.8663862342043286E-4</v>
      </c>
      <c r="L50" t="s">
        <v>251</v>
      </c>
      <c r="N50" t="s">
        <v>419</v>
      </c>
      <c r="O50" t="s">
        <v>290</v>
      </c>
      <c r="P50">
        <v>2.6659009404087886E-2</v>
      </c>
      <c r="Q50" t="s">
        <v>251</v>
      </c>
      <c r="S50" t="s">
        <v>420</v>
      </c>
      <c r="T50" t="s">
        <v>290</v>
      </c>
      <c r="U50">
        <v>2.6876378134086457E-2</v>
      </c>
      <c r="V50" t="s">
        <v>251</v>
      </c>
      <c r="X50">
        <v>1.7694063926940638E-2</v>
      </c>
      <c r="Y50">
        <v>1.3358857701646654E-2</v>
      </c>
      <c r="Z50" t="s">
        <v>290</v>
      </c>
      <c r="AA50" t="s">
        <v>25</v>
      </c>
      <c r="AC50" t="s">
        <v>22</v>
      </c>
      <c r="AD50" t="s">
        <v>290</v>
      </c>
      <c r="AE50">
        <v>9.097681604861239E-3</v>
      </c>
      <c r="AG50" t="s">
        <v>97</v>
      </c>
      <c r="AH50" t="s">
        <v>290</v>
      </c>
      <c r="AI50">
        <v>0.17022533477813839</v>
      </c>
      <c r="AK50">
        <v>2027</v>
      </c>
      <c r="AL50" t="s">
        <v>167</v>
      </c>
      <c r="AM50">
        <v>0.70130000000000003</v>
      </c>
      <c r="AN50" t="s">
        <v>430</v>
      </c>
    </row>
    <row r="51" spans="9:40" x14ac:dyDescent="0.45">
      <c r="I51" t="s">
        <v>249</v>
      </c>
      <c r="J51" t="s">
        <v>291</v>
      </c>
      <c r="K51">
        <v>4.8036425087640667E-4</v>
      </c>
      <c r="L51" t="s">
        <v>251</v>
      </c>
      <c r="N51" t="s">
        <v>419</v>
      </c>
      <c r="O51" t="s">
        <v>291</v>
      </c>
      <c r="P51">
        <v>2.2218056232612447E-2</v>
      </c>
      <c r="Q51" t="s">
        <v>251</v>
      </c>
      <c r="S51" t="s">
        <v>420</v>
      </c>
      <c r="T51" t="s">
        <v>291</v>
      </c>
      <c r="U51">
        <v>2.1333212003720476E-2</v>
      </c>
      <c r="V51" t="s">
        <v>251</v>
      </c>
      <c r="X51">
        <v>2.3972602739726026E-2</v>
      </c>
      <c r="Y51">
        <v>9.4672202471222967E-3</v>
      </c>
      <c r="Z51" t="s">
        <v>291</v>
      </c>
      <c r="AA51" t="s">
        <v>25</v>
      </c>
      <c r="AC51" t="s">
        <v>22</v>
      </c>
      <c r="AD51" t="s">
        <v>291</v>
      </c>
      <c r="AE51">
        <v>2.479801325847876E-2</v>
      </c>
      <c r="AG51" t="s">
        <v>97</v>
      </c>
      <c r="AH51" t="s">
        <v>291</v>
      </c>
      <c r="AI51">
        <v>0.11873084055346217</v>
      </c>
      <c r="AK51">
        <v>2027</v>
      </c>
      <c r="AL51" t="s">
        <v>169</v>
      </c>
      <c r="AM51">
        <v>0.6401</v>
      </c>
      <c r="AN51" t="s">
        <v>430</v>
      </c>
    </row>
    <row r="52" spans="9:40" x14ac:dyDescent="0.45">
      <c r="I52" t="s">
        <v>249</v>
      </c>
      <c r="J52" t="s">
        <v>292</v>
      </c>
      <c r="K52">
        <v>2.6737579325745247E-3</v>
      </c>
      <c r="L52" t="s">
        <v>251</v>
      </c>
      <c r="N52" t="s">
        <v>419</v>
      </c>
      <c r="O52" t="s">
        <v>292</v>
      </c>
      <c r="P52">
        <v>2.7657812640603397E-3</v>
      </c>
      <c r="Q52" t="s">
        <v>251</v>
      </c>
      <c r="S52" t="s">
        <v>420</v>
      </c>
      <c r="T52" t="s">
        <v>292</v>
      </c>
      <c r="U52">
        <v>2.8122559328442984E-3</v>
      </c>
      <c r="V52" t="s">
        <v>251</v>
      </c>
      <c r="X52">
        <v>3.4246575342465752E-3</v>
      </c>
      <c r="Y52">
        <v>5.7181214727892006E-3</v>
      </c>
      <c r="Z52" t="s">
        <v>292</v>
      </c>
      <c r="AA52" t="s">
        <v>25</v>
      </c>
      <c r="AC52" t="s">
        <v>22</v>
      </c>
      <c r="AD52" t="s">
        <v>292</v>
      </c>
      <c r="AE52">
        <v>4.0903914423662405E-3</v>
      </c>
      <c r="AG52" t="s">
        <v>97</v>
      </c>
      <c r="AH52" t="s">
        <v>292</v>
      </c>
      <c r="AI52">
        <v>5.9529546434148539E-2</v>
      </c>
      <c r="AK52">
        <v>2027</v>
      </c>
      <c r="AL52" t="s">
        <v>171</v>
      </c>
      <c r="AM52">
        <v>0.36236666666666667</v>
      </c>
      <c r="AN52" t="s">
        <v>430</v>
      </c>
    </row>
    <row r="53" spans="9:40" x14ac:dyDescent="0.45">
      <c r="I53" t="s">
        <v>249</v>
      </c>
      <c r="J53" t="s">
        <v>293</v>
      </c>
      <c r="K53">
        <v>5.0872602575584595E-3</v>
      </c>
      <c r="L53" t="s">
        <v>251</v>
      </c>
      <c r="N53" t="s">
        <v>419</v>
      </c>
      <c r="O53" t="s">
        <v>293</v>
      </c>
      <c r="P53">
        <v>2.9609691843650704E-3</v>
      </c>
      <c r="Q53" t="s">
        <v>251</v>
      </c>
      <c r="S53" t="s">
        <v>420</v>
      </c>
      <c r="T53" t="s">
        <v>293</v>
      </c>
      <c r="U53">
        <v>2.7468828959333635E-3</v>
      </c>
      <c r="V53" t="s">
        <v>251</v>
      </c>
      <c r="X53">
        <v>3.4246575342465752E-3</v>
      </c>
      <c r="Y53">
        <v>4.3756059965691279E-3</v>
      </c>
      <c r="Z53" t="s">
        <v>293</v>
      </c>
      <c r="AA53" t="s">
        <v>25</v>
      </c>
      <c r="AC53" t="s">
        <v>22</v>
      </c>
      <c r="AD53" t="s">
        <v>293</v>
      </c>
      <c r="AE53">
        <v>4.1577220422169573E-3</v>
      </c>
      <c r="AG53" t="s">
        <v>97</v>
      </c>
      <c r="AH53" t="s">
        <v>293</v>
      </c>
      <c r="AI53">
        <v>6.0284732903687965E-2</v>
      </c>
      <c r="AK53">
        <v>2028</v>
      </c>
      <c r="AL53" t="s">
        <v>151</v>
      </c>
      <c r="AM53">
        <v>0.25540000000000002</v>
      </c>
      <c r="AN53" t="s">
        <v>430</v>
      </c>
    </row>
    <row r="54" spans="9:40" x14ac:dyDescent="0.45">
      <c r="I54" t="s">
        <v>249</v>
      </c>
      <c r="J54" t="s">
        <v>294</v>
      </c>
      <c r="K54">
        <v>6.7634266830591001E-3</v>
      </c>
      <c r="L54" t="s">
        <v>251</v>
      </c>
      <c r="N54" t="s">
        <v>419</v>
      </c>
      <c r="O54" t="s">
        <v>294</v>
      </c>
      <c r="P54">
        <v>2.9475488100523055E-3</v>
      </c>
      <c r="Q54" t="s">
        <v>251</v>
      </c>
      <c r="S54" t="s">
        <v>420</v>
      </c>
      <c r="T54" t="s">
        <v>294</v>
      </c>
      <c r="U54">
        <v>2.7031950431327689E-3</v>
      </c>
      <c r="V54" t="s">
        <v>251</v>
      </c>
      <c r="X54">
        <v>3.4246575342465752E-3</v>
      </c>
      <c r="Y54">
        <v>4.3358277602366805E-3</v>
      </c>
      <c r="Z54" t="s">
        <v>294</v>
      </c>
      <c r="AA54" t="s">
        <v>25</v>
      </c>
      <c r="AC54" t="s">
        <v>22</v>
      </c>
      <c r="AD54" t="s">
        <v>294</v>
      </c>
      <c r="AE54">
        <v>4.1645427847299245E-3</v>
      </c>
      <c r="AG54" t="s">
        <v>97</v>
      </c>
      <c r="AH54" t="s">
        <v>294</v>
      </c>
      <c r="AI54">
        <v>5.7452323734495492E-2</v>
      </c>
      <c r="AK54">
        <v>2028</v>
      </c>
      <c r="AL54" t="s">
        <v>156</v>
      </c>
      <c r="AM54">
        <v>0.2790333333333333</v>
      </c>
      <c r="AN54" t="s">
        <v>430</v>
      </c>
    </row>
    <row r="55" spans="9:40" x14ac:dyDescent="0.45">
      <c r="I55" t="s">
        <v>249</v>
      </c>
      <c r="J55" t="s">
        <v>295</v>
      </c>
      <c r="K55">
        <v>5.2055495216302698E-2</v>
      </c>
      <c r="L55" t="s">
        <v>251</v>
      </c>
      <c r="N55" t="s">
        <v>419</v>
      </c>
      <c r="O55" t="s">
        <v>295</v>
      </c>
      <c r="P55">
        <v>2.1354717532064284E-2</v>
      </c>
      <c r="Q55" t="s">
        <v>251</v>
      </c>
      <c r="S55" t="s">
        <v>420</v>
      </c>
      <c r="T55" t="s">
        <v>295</v>
      </c>
      <c r="U55">
        <v>2.1485763777733306E-2</v>
      </c>
      <c r="V55" t="s">
        <v>251</v>
      </c>
      <c r="X55">
        <v>2.3972602739726026E-2</v>
      </c>
      <c r="Y55">
        <v>3.3533053228252493E-2</v>
      </c>
      <c r="Z55" t="s">
        <v>295</v>
      </c>
      <c r="AA55" t="s">
        <v>25</v>
      </c>
      <c r="AC55" t="s">
        <v>22</v>
      </c>
      <c r="AD55" t="s">
        <v>295</v>
      </c>
      <c r="AE55">
        <v>3.0052416038899462E-2</v>
      </c>
      <c r="AG55" t="s">
        <v>97</v>
      </c>
      <c r="AH55" t="s">
        <v>295</v>
      </c>
      <c r="AI55">
        <v>0.13831363842302236</v>
      </c>
      <c r="AK55">
        <v>2028</v>
      </c>
      <c r="AL55" t="s">
        <v>159</v>
      </c>
      <c r="AM55">
        <v>0.45724999999999999</v>
      </c>
      <c r="AN55" t="s">
        <v>430</v>
      </c>
    </row>
    <row r="56" spans="9:40" x14ac:dyDescent="0.45">
      <c r="I56" t="s">
        <v>249</v>
      </c>
      <c r="J56" t="s">
        <v>296</v>
      </c>
      <c r="K56">
        <v>3.8015886530664736E-3</v>
      </c>
      <c r="L56" t="s">
        <v>251</v>
      </c>
      <c r="N56" t="s">
        <v>419</v>
      </c>
      <c r="O56" t="s">
        <v>296</v>
      </c>
      <c r="P56">
        <v>3.2853587354604373E-3</v>
      </c>
      <c r="Q56" t="s">
        <v>251</v>
      </c>
      <c r="S56" t="s">
        <v>420</v>
      </c>
      <c r="T56" t="s">
        <v>296</v>
      </c>
      <c r="U56">
        <v>3.5179091356963214E-3</v>
      </c>
      <c r="V56" t="s">
        <v>251</v>
      </c>
      <c r="X56">
        <v>3.4246575342465752E-3</v>
      </c>
      <c r="Y56">
        <v>6.662854585684809E-3</v>
      </c>
      <c r="Z56" t="s">
        <v>296</v>
      </c>
      <c r="AA56" t="s">
        <v>25</v>
      </c>
      <c r="AC56" t="s">
        <v>22</v>
      </c>
      <c r="AD56" t="s">
        <v>296</v>
      </c>
      <c r="AE56">
        <v>2.0473205801080424E-3</v>
      </c>
      <c r="AG56" t="s">
        <v>97</v>
      </c>
      <c r="AH56" t="s">
        <v>296</v>
      </c>
      <c r="AI56">
        <v>6.0476550817863295E-2</v>
      </c>
      <c r="AK56">
        <v>2028</v>
      </c>
      <c r="AL56" t="s">
        <v>163</v>
      </c>
      <c r="AM56">
        <v>0.59350000000000003</v>
      </c>
      <c r="AN56" t="s">
        <v>430</v>
      </c>
    </row>
    <row r="57" spans="9:40" x14ac:dyDescent="0.45">
      <c r="I57" t="s">
        <v>249</v>
      </c>
      <c r="J57" t="s">
        <v>297</v>
      </c>
      <c r="K57">
        <v>1.460444015450549E-3</v>
      </c>
      <c r="L57" t="s">
        <v>251</v>
      </c>
      <c r="N57" t="s">
        <v>419</v>
      </c>
      <c r="O57" t="s">
        <v>297</v>
      </c>
      <c r="P57">
        <v>3.5280298980588662E-3</v>
      </c>
      <c r="Q57" t="s">
        <v>251</v>
      </c>
      <c r="S57" t="s">
        <v>420</v>
      </c>
      <c r="T57" t="s">
        <v>297</v>
      </c>
      <c r="U57">
        <v>3.4983633838829727E-3</v>
      </c>
      <c r="V57" t="s">
        <v>251</v>
      </c>
      <c r="X57">
        <v>3.4246575342465752E-3</v>
      </c>
      <c r="Y57">
        <v>5.1711707232180593E-3</v>
      </c>
      <c r="Z57" t="s">
        <v>297</v>
      </c>
      <c r="AA57" t="s">
        <v>25</v>
      </c>
      <c r="AC57" t="s">
        <v>22</v>
      </c>
      <c r="AD57" t="s">
        <v>297</v>
      </c>
      <c r="AE57">
        <v>1.7386513426476894E-3</v>
      </c>
      <c r="AG57" t="s">
        <v>97</v>
      </c>
      <c r="AH57" t="s">
        <v>297</v>
      </c>
      <c r="AI57">
        <v>4.5942355101804999E-2</v>
      </c>
      <c r="AK57">
        <v>2028</v>
      </c>
      <c r="AL57" t="s">
        <v>167</v>
      </c>
      <c r="AM57">
        <v>0.58140000000000003</v>
      </c>
      <c r="AN57" t="s">
        <v>430</v>
      </c>
    </row>
    <row r="58" spans="9:40" x14ac:dyDescent="0.45">
      <c r="I58" t="s">
        <v>249</v>
      </c>
      <c r="J58" t="s">
        <v>298</v>
      </c>
      <c r="K58">
        <v>0</v>
      </c>
      <c r="L58" t="s">
        <v>251</v>
      </c>
      <c r="N58" t="s">
        <v>419</v>
      </c>
      <c r="O58" t="s">
        <v>298</v>
      </c>
      <c r="P58">
        <v>1.8521877865411613E-2</v>
      </c>
      <c r="Q58" t="s">
        <v>251</v>
      </c>
      <c r="S58" t="s">
        <v>420</v>
      </c>
      <c r="T58" t="s">
        <v>298</v>
      </c>
      <c r="U58">
        <v>1.6294644862876205E-2</v>
      </c>
      <c r="V58" t="s">
        <v>251</v>
      </c>
      <c r="X58">
        <v>1.7123287671232876E-2</v>
      </c>
      <c r="Y58">
        <v>1.2927926808045149E-2</v>
      </c>
      <c r="Z58" t="s">
        <v>298</v>
      </c>
      <c r="AA58" t="s">
        <v>25</v>
      </c>
      <c r="AC58" t="s">
        <v>22</v>
      </c>
      <c r="AD58" t="s">
        <v>298</v>
      </c>
      <c r="AE58">
        <v>8.3144303120993128E-3</v>
      </c>
      <c r="AG58" t="s">
        <v>97</v>
      </c>
      <c r="AH58" t="s">
        <v>298</v>
      </c>
      <c r="AI58">
        <v>0.13771850336164992</v>
      </c>
      <c r="AK58">
        <v>2028</v>
      </c>
      <c r="AL58" t="s">
        <v>169</v>
      </c>
      <c r="AM58">
        <v>0.67200000000000004</v>
      </c>
      <c r="AN58" t="s">
        <v>430</v>
      </c>
    </row>
    <row r="59" spans="9:40" x14ac:dyDescent="0.45">
      <c r="I59" t="s">
        <v>249</v>
      </c>
      <c r="J59" t="s">
        <v>299</v>
      </c>
      <c r="K59">
        <v>6.5351783543769401E-4</v>
      </c>
      <c r="L59" t="s">
        <v>251</v>
      </c>
      <c r="N59" t="s">
        <v>419</v>
      </c>
      <c r="O59" t="s">
        <v>299</v>
      </c>
      <c r="P59">
        <v>4.3324454074170557E-2</v>
      </c>
      <c r="Q59" t="s">
        <v>251</v>
      </c>
      <c r="S59" t="s">
        <v>420</v>
      </c>
      <c r="T59" t="s">
        <v>299</v>
      </c>
      <c r="U59">
        <v>4.8117660897199516E-2</v>
      </c>
      <c r="V59" t="s">
        <v>251</v>
      </c>
      <c r="X59">
        <v>7.3515981735159816E-2</v>
      </c>
      <c r="Y59">
        <v>2.9032808757841703E-2</v>
      </c>
      <c r="Z59" t="s">
        <v>299</v>
      </c>
      <c r="AA59" t="s">
        <v>25</v>
      </c>
      <c r="AC59" t="s">
        <v>22</v>
      </c>
      <c r="AD59" t="s">
        <v>299</v>
      </c>
      <c r="AE59">
        <v>6.3305145205189026E-2</v>
      </c>
      <c r="AG59" t="s">
        <v>97</v>
      </c>
      <c r="AH59" t="s">
        <v>299</v>
      </c>
      <c r="AI59">
        <v>0.19448681173159699</v>
      </c>
      <c r="AK59">
        <v>2028</v>
      </c>
      <c r="AL59" t="s">
        <v>171</v>
      </c>
      <c r="AM59">
        <v>0.32873333333333332</v>
      </c>
      <c r="AN59" t="s">
        <v>430</v>
      </c>
    </row>
    <row r="60" spans="9:40" x14ac:dyDescent="0.45">
      <c r="I60" t="s">
        <v>249</v>
      </c>
      <c r="J60" t="s">
        <v>300</v>
      </c>
      <c r="K60">
        <v>8.0451628208554008E-3</v>
      </c>
      <c r="L60" t="s">
        <v>251</v>
      </c>
      <c r="N60" t="s">
        <v>419</v>
      </c>
      <c r="O60" t="s">
        <v>300</v>
      </c>
      <c r="P60">
        <v>5.0685979253509029E-3</v>
      </c>
      <c r="Q60" t="s">
        <v>251</v>
      </c>
      <c r="S60" t="s">
        <v>420</v>
      </c>
      <c r="T60" t="s">
        <v>300</v>
      </c>
      <c r="U60">
        <v>7.0171737048756724E-3</v>
      </c>
      <c r="V60" t="s">
        <v>251</v>
      </c>
      <c r="X60">
        <v>1.0502283105022832E-2</v>
      </c>
      <c r="Y60">
        <v>1.7535572516553546E-2</v>
      </c>
      <c r="Z60" t="s">
        <v>300</v>
      </c>
      <c r="AA60" t="s">
        <v>25</v>
      </c>
      <c r="AC60" t="s">
        <v>22</v>
      </c>
      <c r="AD60" t="s">
        <v>300</v>
      </c>
      <c r="AE60">
        <v>1.0765121702647602E-2</v>
      </c>
      <c r="AG60" t="s">
        <v>97</v>
      </c>
      <c r="AH60" t="s">
        <v>300</v>
      </c>
      <c r="AI60">
        <v>0.10159354782162078</v>
      </c>
      <c r="AK60">
        <v>2029</v>
      </c>
      <c r="AL60" t="s">
        <v>151</v>
      </c>
      <c r="AM60">
        <v>0.2417</v>
      </c>
      <c r="AN60" t="s">
        <v>430</v>
      </c>
    </row>
    <row r="61" spans="9:40" x14ac:dyDescent="0.45">
      <c r="I61" t="s">
        <v>249</v>
      </c>
      <c r="J61" t="s">
        <v>301</v>
      </c>
      <c r="K61">
        <v>2.00388991149218E-2</v>
      </c>
      <c r="L61" t="s">
        <v>251</v>
      </c>
      <c r="N61" t="s">
        <v>419</v>
      </c>
      <c r="O61" t="s">
        <v>301</v>
      </c>
      <c r="P61">
        <v>4.1272394287997843E-3</v>
      </c>
      <c r="Q61" t="s">
        <v>251</v>
      </c>
      <c r="S61" t="s">
        <v>420</v>
      </c>
      <c r="T61" t="s">
        <v>301</v>
      </c>
      <c r="U61">
        <v>6.9375821532136929E-3</v>
      </c>
      <c r="V61" t="s">
        <v>251</v>
      </c>
      <c r="X61">
        <v>1.0502283105022832E-2</v>
      </c>
      <c r="Y61">
        <v>1.3418525056145329E-2</v>
      </c>
      <c r="Z61" t="s">
        <v>301</v>
      </c>
      <c r="AA61" t="s">
        <v>25</v>
      </c>
      <c r="AC61" t="s">
        <v>22</v>
      </c>
      <c r="AD61" t="s">
        <v>301</v>
      </c>
      <c r="AE61">
        <v>1.1029658886582784E-2</v>
      </c>
      <c r="AG61" t="s">
        <v>97</v>
      </c>
      <c r="AH61" t="s">
        <v>301</v>
      </c>
      <c r="AI61">
        <v>0.10307565073595515</v>
      </c>
      <c r="AK61">
        <v>2029</v>
      </c>
      <c r="AL61" t="s">
        <v>156</v>
      </c>
      <c r="AM61">
        <v>0.27216666666666667</v>
      </c>
      <c r="AN61" t="s">
        <v>430</v>
      </c>
    </row>
    <row r="62" spans="9:40" x14ac:dyDescent="0.45">
      <c r="I62" t="s">
        <v>249</v>
      </c>
      <c r="J62" t="s">
        <v>302</v>
      </c>
      <c r="K62">
        <v>2.64831396637897E-2</v>
      </c>
      <c r="L62" t="s">
        <v>251</v>
      </c>
      <c r="N62" t="s">
        <v>419</v>
      </c>
      <c r="O62" t="s">
        <v>302</v>
      </c>
      <c r="P62">
        <v>4.0105982402821828E-3</v>
      </c>
      <c r="Q62" t="s">
        <v>251</v>
      </c>
      <c r="S62" t="s">
        <v>420</v>
      </c>
      <c r="T62" t="s">
        <v>302</v>
      </c>
      <c r="U62">
        <v>6.8109426726939773E-3</v>
      </c>
      <c r="V62" t="s">
        <v>251</v>
      </c>
      <c r="X62">
        <v>1.0502283105022832E-2</v>
      </c>
      <c r="Y62">
        <v>1.3296538464725824E-2</v>
      </c>
      <c r="Z62" t="s">
        <v>302</v>
      </c>
      <c r="AA62" t="s">
        <v>25</v>
      </c>
      <c r="AC62" t="s">
        <v>22</v>
      </c>
      <c r="AD62" t="s">
        <v>302</v>
      </c>
      <c r="AE62">
        <v>1.1101378069373485E-2</v>
      </c>
      <c r="AG62" t="s">
        <v>97</v>
      </c>
      <c r="AH62" t="s">
        <v>302</v>
      </c>
      <c r="AI62">
        <v>0.10488192223674364</v>
      </c>
      <c r="AK62">
        <v>2029</v>
      </c>
      <c r="AL62" t="s">
        <v>159</v>
      </c>
      <c r="AM62">
        <v>0.40090000000000003</v>
      </c>
      <c r="AN62" t="s">
        <v>430</v>
      </c>
    </row>
    <row r="63" spans="9:40" x14ac:dyDescent="0.45">
      <c r="I63" t="s">
        <v>249</v>
      </c>
      <c r="J63" t="s">
        <v>303</v>
      </c>
      <c r="K63">
        <v>0.18893954190178761</v>
      </c>
      <c r="L63" t="s">
        <v>251</v>
      </c>
      <c r="N63" t="s">
        <v>419</v>
      </c>
      <c r="O63" t="s">
        <v>303</v>
      </c>
      <c r="P63">
        <v>2.5888090992247176E-2</v>
      </c>
      <c r="Q63" t="s">
        <v>251</v>
      </c>
      <c r="S63" t="s">
        <v>420</v>
      </c>
      <c r="T63" t="s">
        <v>303</v>
      </c>
      <c r="U63">
        <v>4.0988841089106484E-2</v>
      </c>
      <c r="V63" t="s">
        <v>251</v>
      </c>
      <c r="X63">
        <v>7.3515981735159816E-2</v>
      </c>
      <c r="Y63">
        <v>0.102834696566641</v>
      </c>
      <c r="Z63" t="s">
        <v>303</v>
      </c>
      <c r="AA63" t="s">
        <v>25</v>
      </c>
      <c r="AC63" t="s">
        <v>22</v>
      </c>
      <c r="AD63" t="s">
        <v>303</v>
      </c>
      <c r="AE63">
        <v>8.0626353968688058E-2</v>
      </c>
      <c r="AG63" t="s">
        <v>97</v>
      </c>
      <c r="AH63" t="s">
        <v>303</v>
      </c>
      <c r="AI63">
        <v>0.24262891179345814</v>
      </c>
      <c r="AK63">
        <v>2029</v>
      </c>
      <c r="AL63" t="s">
        <v>163</v>
      </c>
      <c r="AM63">
        <v>0.60219999999999996</v>
      </c>
      <c r="AN63" t="s">
        <v>430</v>
      </c>
    </row>
    <row r="64" spans="9:40" x14ac:dyDescent="0.45">
      <c r="I64" t="s">
        <v>249</v>
      </c>
      <c r="J64" t="s">
        <v>304</v>
      </c>
      <c r="K64">
        <v>1.2567325366998209E-2</v>
      </c>
      <c r="L64" t="s">
        <v>251</v>
      </c>
      <c r="N64" t="s">
        <v>419</v>
      </c>
      <c r="O64" t="s">
        <v>304</v>
      </c>
      <c r="P64">
        <v>4.1801074605357395E-3</v>
      </c>
      <c r="Q64" t="s">
        <v>251</v>
      </c>
      <c r="S64" t="s">
        <v>420</v>
      </c>
      <c r="T64" t="s">
        <v>304</v>
      </c>
      <c r="U64">
        <v>5.8049528605862702E-3</v>
      </c>
      <c r="V64" t="s">
        <v>251</v>
      </c>
      <c r="X64">
        <v>1.0502283105022832E-2</v>
      </c>
      <c r="Y64">
        <v>2.0432754062766744E-2</v>
      </c>
      <c r="Z64" t="s">
        <v>304</v>
      </c>
      <c r="AA64" t="s">
        <v>25</v>
      </c>
      <c r="AC64" t="s">
        <v>22</v>
      </c>
      <c r="AD64" t="s">
        <v>304</v>
      </c>
      <c r="AE64">
        <v>5.2807745566982988E-3</v>
      </c>
      <c r="AG64" t="s">
        <v>97</v>
      </c>
      <c r="AH64" t="s">
        <v>304</v>
      </c>
      <c r="AI64">
        <v>7.0493620807483781E-2</v>
      </c>
      <c r="AK64">
        <v>2029</v>
      </c>
      <c r="AL64" t="s">
        <v>167</v>
      </c>
      <c r="AM64">
        <v>0.62319999999999998</v>
      </c>
      <c r="AN64" t="s">
        <v>430</v>
      </c>
    </row>
    <row r="65" spans="9:40" x14ac:dyDescent="0.45">
      <c r="I65" t="s">
        <v>249</v>
      </c>
      <c r="J65" t="s">
        <v>305</v>
      </c>
      <c r="K65">
        <v>1.0812231066142869E-3</v>
      </c>
      <c r="L65" t="s">
        <v>251</v>
      </c>
      <c r="N65" t="s">
        <v>419</v>
      </c>
      <c r="O65" t="s">
        <v>305</v>
      </c>
      <c r="P65">
        <v>5.4957140420028722E-3</v>
      </c>
      <c r="Q65" t="s">
        <v>251</v>
      </c>
      <c r="S65" t="s">
        <v>420</v>
      </c>
      <c r="T65" t="s">
        <v>305</v>
      </c>
      <c r="U65">
        <v>6.0203058129385777E-3</v>
      </c>
      <c r="V65" t="s">
        <v>251</v>
      </c>
      <c r="X65">
        <v>1.0502283105022832E-2</v>
      </c>
      <c r="Y65">
        <v>1.585825688453538E-2</v>
      </c>
      <c r="Z65" t="s">
        <v>305</v>
      </c>
      <c r="AA65" t="s">
        <v>25</v>
      </c>
      <c r="AC65" t="s">
        <v>22</v>
      </c>
      <c r="AD65" t="s">
        <v>305</v>
      </c>
      <c r="AE65">
        <v>3.068467502513105E-3</v>
      </c>
      <c r="AG65" t="s">
        <v>97</v>
      </c>
      <c r="AH65" t="s">
        <v>305</v>
      </c>
      <c r="AI65">
        <v>5.6707873286574006E-2</v>
      </c>
      <c r="AK65">
        <v>2029</v>
      </c>
      <c r="AL65" t="s">
        <v>169</v>
      </c>
      <c r="AM65">
        <v>0.56759999999999999</v>
      </c>
      <c r="AN65" t="s">
        <v>430</v>
      </c>
    </row>
    <row r="66" spans="9:40" x14ac:dyDescent="0.45">
      <c r="I66" t="s">
        <v>249</v>
      </c>
      <c r="J66" t="s">
        <v>306</v>
      </c>
      <c r="K66">
        <v>0</v>
      </c>
      <c r="L66" t="s">
        <v>251</v>
      </c>
      <c r="N66" t="s">
        <v>419</v>
      </c>
      <c r="O66" t="s">
        <v>306</v>
      </c>
      <c r="P66">
        <v>3.7394293302348433E-2</v>
      </c>
      <c r="Q66" t="s">
        <v>251</v>
      </c>
      <c r="S66" t="s">
        <v>420</v>
      </c>
      <c r="T66" t="s">
        <v>306</v>
      </c>
      <c r="U66">
        <v>3.2197266711487309E-2</v>
      </c>
      <c r="V66" t="s">
        <v>251</v>
      </c>
      <c r="X66">
        <v>5.2511415525114152E-2</v>
      </c>
      <c r="Y66">
        <v>3.9645642211338455E-2</v>
      </c>
      <c r="Z66" t="s">
        <v>306</v>
      </c>
      <c r="AA66" t="s">
        <v>25</v>
      </c>
      <c r="AC66" t="s">
        <v>22</v>
      </c>
      <c r="AD66" t="s">
        <v>306</v>
      </c>
      <c r="AE66">
        <v>1.5783309323151039E-2</v>
      </c>
      <c r="AG66" t="s">
        <v>97</v>
      </c>
      <c r="AH66" t="s">
        <v>306</v>
      </c>
      <c r="AI66">
        <v>0.22452576517808431</v>
      </c>
      <c r="AK66">
        <v>2029</v>
      </c>
      <c r="AL66" t="s">
        <v>171</v>
      </c>
      <c r="AM66">
        <v>0.31096666666666667</v>
      </c>
      <c r="AN66" t="s">
        <v>430</v>
      </c>
    </row>
    <row r="67" spans="9:40" x14ac:dyDescent="0.45">
      <c r="AC67" t="s">
        <v>19</v>
      </c>
      <c r="AD67" t="s">
        <v>250</v>
      </c>
      <c r="AE67">
        <v>2.4807105468120417E-2</v>
      </c>
      <c r="AK67">
        <v>2030</v>
      </c>
      <c r="AL67" t="s">
        <v>151</v>
      </c>
      <c r="AM67">
        <v>0.23350000000000001</v>
      </c>
      <c r="AN67" t="s">
        <v>430</v>
      </c>
    </row>
    <row r="68" spans="9:40" x14ac:dyDescent="0.45">
      <c r="AC68" t="s">
        <v>19</v>
      </c>
      <c r="AD68" t="s">
        <v>252</v>
      </c>
      <c r="AE68">
        <v>3.5619570919209883E-3</v>
      </c>
      <c r="AK68">
        <v>2030</v>
      </c>
      <c r="AL68" t="s">
        <v>156</v>
      </c>
      <c r="AM68">
        <v>0.29576666666666668</v>
      </c>
      <c r="AN68" t="s">
        <v>430</v>
      </c>
    </row>
    <row r="69" spans="9:40" x14ac:dyDescent="0.45">
      <c r="AC69" t="s">
        <v>19</v>
      </c>
      <c r="AD69" t="s">
        <v>253</v>
      </c>
      <c r="AE69">
        <v>3.5667869659552921E-3</v>
      </c>
      <c r="AK69">
        <v>2030</v>
      </c>
      <c r="AL69" t="s">
        <v>159</v>
      </c>
      <c r="AM69">
        <v>0.40065000000000001</v>
      </c>
      <c r="AN69" t="s">
        <v>430</v>
      </c>
    </row>
    <row r="70" spans="9:40" x14ac:dyDescent="0.45">
      <c r="AC70" t="s">
        <v>19</v>
      </c>
      <c r="AD70" t="s">
        <v>254</v>
      </c>
      <c r="AE70">
        <v>3.5689405305789229E-3</v>
      </c>
      <c r="AK70">
        <v>2030</v>
      </c>
      <c r="AL70" t="s">
        <v>163</v>
      </c>
      <c r="AM70">
        <v>0.55489999999999995</v>
      </c>
      <c r="AN70" t="s">
        <v>430</v>
      </c>
    </row>
    <row r="71" spans="9:40" x14ac:dyDescent="0.45">
      <c r="AC71" t="s">
        <v>19</v>
      </c>
      <c r="AD71" t="s">
        <v>255</v>
      </c>
      <c r="AE71">
        <v>2.5071463818378881E-2</v>
      </c>
      <c r="AK71">
        <v>2030</v>
      </c>
      <c r="AL71" t="s">
        <v>167</v>
      </c>
      <c r="AM71">
        <v>0.69620000000000004</v>
      </c>
      <c r="AN71" t="s">
        <v>430</v>
      </c>
    </row>
    <row r="72" spans="9:40" x14ac:dyDescent="0.45">
      <c r="AC72" t="s">
        <v>19</v>
      </c>
      <c r="AD72" t="s">
        <v>256</v>
      </c>
      <c r="AE72">
        <v>3.5083301744215831E-3</v>
      </c>
      <c r="AK72">
        <v>2030</v>
      </c>
      <c r="AL72" t="s">
        <v>169</v>
      </c>
      <c r="AM72">
        <v>0.57189999999999996</v>
      </c>
      <c r="AN72" t="s">
        <v>430</v>
      </c>
    </row>
    <row r="73" spans="9:40" x14ac:dyDescent="0.45">
      <c r="AC73" t="s">
        <v>19</v>
      </c>
      <c r="AD73" t="s">
        <v>257</v>
      </c>
      <c r="AE73">
        <v>3.45492873392677E-3</v>
      </c>
      <c r="AK73">
        <v>2030</v>
      </c>
      <c r="AL73" t="s">
        <v>171</v>
      </c>
      <c r="AM73">
        <v>0.33276666666666671</v>
      </c>
      <c r="AN73" t="s">
        <v>430</v>
      </c>
    </row>
    <row r="74" spans="9:40" x14ac:dyDescent="0.45">
      <c r="AC74" t="s">
        <v>19</v>
      </c>
      <c r="AD74" t="s">
        <v>258</v>
      </c>
      <c r="AE74">
        <v>1.7289049174318342E-2</v>
      </c>
      <c r="AK74">
        <v>2031</v>
      </c>
      <c r="AL74" t="s">
        <v>151</v>
      </c>
      <c r="AM74">
        <v>0.23710000000000001</v>
      </c>
      <c r="AN74" t="s">
        <v>430</v>
      </c>
    </row>
    <row r="75" spans="9:40" x14ac:dyDescent="0.45">
      <c r="AC75" t="s">
        <v>19</v>
      </c>
      <c r="AD75" t="s">
        <v>259</v>
      </c>
      <c r="AE75">
        <v>7.1206526931945763E-2</v>
      </c>
      <c r="AK75">
        <v>2031</v>
      </c>
      <c r="AL75" t="s">
        <v>156</v>
      </c>
      <c r="AM75">
        <v>0.29239999999999999</v>
      </c>
      <c r="AN75" t="s">
        <v>430</v>
      </c>
    </row>
    <row r="76" spans="9:40" x14ac:dyDescent="0.45">
      <c r="AC76" t="s">
        <v>19</v>
      </c>
      <c r="AD76" t="s">
        <v>260</v>
      </c>
      <c r="AE76">
        <v>1.0280898367900759E-2</v>
      </c>
      <c r="AK76">
        <v>2031</v>
      </c>
      <c r="AL76" t="s">
        <v>159</v>
      </c>
      <c r="AM76">
        <v>0.43730000000000002</v>
      </c>
      <c r="AN76" t="s">
        <v>430</v>
      </c>
    </row>
    <row r="77" spans="9:40" x14ac:dyDescent="0.45">
      <c r="AC77" t="s">
        <v>19</v>
      </c>
      <c r="AD77" t="s">
        <v>261</v>
      </c>
      <c r="AE77">
        <v>1.0304535997324876E-2</v>
      </c>
      <c r="AK77">
        <v>2031</v>
      </c>
      <c r="AL77" t="s">
        <v>163</v>
      </c>
      <c r="AM77">
        <v>0.54390000000000005</v>
      </c>
      <c r="AN77" t="s">
        <v>430</v>
      </c>
    </row>
    <row r="78" spans="9:40" x14ac:dyDescent="0.45">
      <c r="AC78" t="s">
        <v>19</v>
      </c>
      <c r="AD78" t="s">
        <v>262</v>
      </c>
      <c r="AE78">
        <v>1.0314627812661549E-2</v>
      </c>
      <c r="AK78">
        <v>2031</v>
      </c>
      <c r="AL78" t="s">
        <v>167</v>
      </c>
      <c r="AM78">
        <v>0.67930000000000001</v>
      </c>
      <c r="AN78" t="s">
        <v>430</v>
      </c>
    </row>
    <row r="79" spans="9:40" x14ac:dyDescent="0.45">
      <c r="AC79" t="s">
        <v>19</v>
      </c>
      <c r="AD79" t="s">
        <v>263</v>
      </c>
      <c r="AE79">
        <v>7.2153074106818149E-2</v>
      </c>
      <c r="AK79">
        <v>2031</v>
      </c>
      <c r="AL79" t="s">
        <v>169</v>
      </c>
      <c r="AM79">
        <v>0.55269999999999997</v>
      </c>
      <c r="AN79" t="s">
        <v>430</v>
      </c>
    </row>
    <row r="80" spans="9:40" x14ac:dyDescent="0.45">
      <c r="AC80" t="s">
        <v>19</v>
      </c>
      <c r="AD80" t="s">
        <v>264</v>
      </c>
      <c r="AE80">
        <v>9.9817748176501808E-3</v>
      </c>
      <c r="AK80">
        <v>2031</v>
      </c>
      <c r="AL80" t="s">
        <v>171</v>
      </c>
      <c r="AM80">
        <v>0.31806666666666666</v>
      </c>
      <c r="AN80" t="s">
        <v>430</v>
      </c>
    </row>
    <row r="81" spans="29:40" x14ac:dyDescent="0.45">
      <c r="AC81" t="s">
        <v>19</v>
      </c>
      <c r="AD81" t="s">
        <v>265</v>
      </c>
      <c r="AE81">
        <v>9.9495280085190665E-3</v>
      </c>
      <c r="AK81">
        <v>2032</v>
      </c>
      <c r="AL81" t="s">
        <v>151</v>
      </c>
      <c r="AM81">
        <v>0.22370000000000001</v>
      </c>
      <c r="AN81" t="s">
        <v>430</v>
      </c>
    </row>
    <row r="82" spans="29:40" x14ac:dyDescent="0.45">
      <c r="AC82" t="s">
        <v>19</v>
      </c>
      <c r="AD82" t="s">
        <v>266</v>
      </c>
      <c r="AE82">
        <v>4.962059925139066E-2</v>
      </c>
      <c r="AK82">
        <v>2032</v>
      </c>
      <c r="AL82" t="s">
        <v>156</v>
      </c>
      <c r="AM82">
        <v>0.28206666666666669</v>
      </c>
      <c r="AN82" t="s">
        <v>430</v>
      </c>
    </row>
    <row r="83" spans="29:40" x14ac:dyDescent="0.45">
      <c r="AC83" t="s">
        <v>19</v>
      </c>
      <c r="AD83" t="s">
        <v>267</v>
      </c>
      <c r="AE83">
        <v>4.8813473302327569E-2</v>
      </c>
      <c r="AK83">
        <v>2032</v>
      </c>
      <c r="AL83" t="s">
        <v>159</v>
      </c>
      <c r="AM83">
        <v>0.46135000000000004</v>
      </c>
      <c r="AN83" t="s">
        <v>430</v>
      </c>
    </row>
    <row r="84" spans="29:40" x14ac:dyDescent="0.45">
      <c r="AC84" t="s">
        <v>19</v>
      </c>
      <c r="AD84" t="s">
        <v>268</v>
      </c>
      <c r="AE84">
        <v>7.0353876198833319E-3</v>
      </c>
      <c r="AK84">
        <v>2032</v>
      </c>
      <c r="AL84" t="s">
        <v>163</v>
      </c>
      <c r="AM84">
        <v>0.51129999999999998</v>
      </c>
      <c r="AN84" t="s">
        <v>430</v>
      </c>
    </row>
    <row r="85" spans="29:40" x14ac:dyDescent="0.45">
      <c r="AC85" t="s">
        <v>19</v>
      </c>
      <c r="AD85" t="s">
        <v>269</v>
      </c>
      <c r="AE85">
        <v>7.0405970803812546E-3</v>
      </c>
      <c r="AK85">
        <v>2032</v>
      </c>
      <c r="AL85" t="s">
        <v>167</v>
      </c>
      <c r="AM85">
        <v>0.61519999999999997</v>
      </c>
      <c r="AN85" t="s">
        <v>430</v>
      </c>
    </row>
    <row r="86" spans="29:40" x14ac:dyDescent="0.45">
      <c r="AC86" t="s">
        <v>19</v>
      </c>
      <c r="AD86" t="s">
        <v>270</v>
      </c>
      <c r="AE86">
        <v>7.0410549119152141E-3</v>
      </c>
      <c r="AK86">
        <v>2032</v>
      </c>
      <c r="AL86" t="s">
        <v>169</v>
      </c>
      <c r="AM86">
        <v>0.57240000000000002</v>
      </c>
      <c r="AN86" t="s">
        <v>430</v>
      </c>
    </row>
    <row r="87" spans="29:40" x14ac:dyDescent="0.45">
      <c r="AC87" t="s">
        <v>19</v>
      </c>
      <c r="AD87" t="s">
        <v>271</v>
      </c>
      <c r="AE87">
        <v>4.9302132441728888E-2</v>
      </c>
      <c r="AK87">
        <v>2032</v>
      </c>
      <c r="AL87" t="s">
        <v>171</v>
      </c>
      <c r="AM87">
        <v>0.31153333333333333</v>
      </c>
      <c r="AN87" t="s">
        <v>430</v>
      </c>
    </row>
    <row r="88" spans="29:40" x14ac:dyDescent="0.45">
      <c r="AC88" t="s">
        <v>19</v>
      </c>
      <c r="AD88" t="s">
        <v>272</v>
      </c>
      <c r="AE88">
        <v>6.8398449889767576E-3</v>
      </c>
      <c r="AK88">
        <v>2033</v>
      </c>
      <c r="AL88" t="s">
        <v>151</v>
      </c>
      <c r="AM88">
        <v>0.26369999999999999</v>
      </c>
      <c r="AN88" t="s">
        <v>430</v>
      </c>
    </row>
    <row r="89" spans="29:40" x14ac:dyDescent="0.45">
      <c r="AC89" t="s">
        <v>19</v>
      </c>
      <c r="AD89" t="s">
        <v>273</v>
      </c>
      <c r="AE89">
        <v>6.9180425514922522E-3</v>
      </c>
      <c r="AK89">
        <v>2033</v>
      </c>
      <c r="AL89" t="s">
        <v>156</v>
      </c>
      <c r="AM89">
        <v>0.28476666666666667</v>
      </c>
      <c r="AN89" t="s">
        <v>430</v>
      </c>
    </row>
    <row r="90" spans="29:40" x14ac:dyDescent="0.45">
      <c r="AC90" t="s">
        <v>19</v>
      </c>
      <c r="AD90" t="s">
        <v>274</v>
      </c>
      <c r="AE90">
        <v>3.4388985799422976E-2</v>
      </c>
      <c r="AK90">
        <v>2033</v>
      </c>
      <c r="AL90" t="s">
        <v>159</v>
      </c>
      <c r="AM90">
        <v>0.46134999999999998</v>
      </c>
      <c r="AN90" t="s">
        <v>430</v>
      </c>
    </row>
    <row r="91" spans="29:40" x14ac:dyDescent="0.45">
      <c r="AC91" t="s">
        <v>19</v>
      </c>
      <c r="AD91" t="s">
        <v>275</v>
      </c>
      <c r="AE91">
        <v>2.4820133261090005E-2</v>
      </c>
      <c r="AK91">
        <v>2033</v>
      </c>
      <c r="AL91" t="s">
        <v>163</v>
      </c>
      <c r="AM91">
        <v>0.50719999999999998</v>
      </c>
      <c r="AN91" t="s">
        <v>430</v>
      </c>
    </row>
    <row r="92" spans="29:40" x14ac:dyDescent="0.45">
      <c r="AC92" t="s">
        <v>19</v>
      </c>
      <c r="AD92" t="s">
        <v>276</v>
      </c>
      <c r="AE92">
        <v>3.5651303084484587E-3</v>
      </c>
      <c r="AK92">
        <v>2033</v>
      </c>
      <c r="AL92" t="s">
        <v>167</v>
      </c>
      <c r="AM92">
        <v>0.70079999999999998</v>
      </c>
      <c r="AN92" t="s">
        <v>430</v>
      </c>
    </row>
    <row r="93" spans="29:40" x14ac:dyDescent="0.45">
      <c r="AC93" t="s">
        <v>19</v>
      </c>
      <c r="AD93" t="s">
        <v>277</v>
      </c>
      <c r="AE93">
        <v>3.5674991925016271E-3</v>
      </c>
      <c r="AK93">
        <v>2033</v>
      </c>
      <c r="AL93" t="s">
        <v>169</v>
      </c>
      <c r="AM93">
        <v>0.58540000000000003</v>
      </c>
      <c r="AN93" t="s">
        <v>430</v>
      </c>
    </row>
    <row r="94" spans="29:40" x14ac:dyDescent="0.45">
      <c r="AC94" t="s">
        <v>19</v>
      </c>
      <c r="AD94" t="s">
        <v>278</v>
      </c>
      <c r="AE94">
        <v>3.5679085110338947E-3</v>
      </c>
      <c r="AK94">
        <v>2033</v>
      </c>
      <c r="AL94" t="s">
        <v>171</v>
      </c>
      <c r="AM94">
        <v>0.33739999999999998</v>
      </c>
      <c r="AN94" t="s">
        <v>430</v>
      </c>
    </row>
    <row r="95" spans="29:40" x14ac:dyDescent="0.45">
      <c r="AC95" t="s">
        <v>19</v>
      </c>
      <c r="AD95" t="s">
        <v>279</v>
      </c>
      <c r="AE95">
        <v>2.5025049535034486E-2</v>
      </c>
      <c r="AK95">
        <v>2034</v>
      </c>
      <c r="AL95" t="s">
        <v>151</v>
      </c>
      <c r="AM95">
        <v>0.23400000000000001</v>
      </c>
      <c r="AN95" t="s">
        <v>430</v>
      </c>
    </row>
    <row r="96" spans="29:40" x14ac:dyDescent="0.45">
      <c r="AC96" t="s">
        <v>19</v>
      </c>
      <c r="AD96" t="s">
        <v>280</v>
      </c>
      <c r="AE96">
        <v>3.479127390160216E-3</v>
      </c>
      <c r="AK96">
        <v>2034</v>
      </c>
      <c r="AL96" t="s">
        <v>156</v>
      </c>
      <c r="AM96">
        <v>0.29243333333333332</v>
      </c>
      <c r="AN96" t="s">
        <v>430</v>
      </c>
    </row>
    <row r="97" spans="29:40" x14ac:dyDescent="0.45">
      <c r="AC97" t="s">
        <v>19</v>
      </c>
      <c r="AD97" t="s">
        <v>281</v>
      </c>
      <c r="AE97">
        <v>3.5113373780817588E-3</v>
      </c>
      <c r="AK97">
        <v>2034</v>
      </c>
      <c r="AL97" t="s">
        <v>159</v>
      </c>
      <c r="AM97">
        <v>0.42274999999999996</v>
      </c>
      <c r="AN97" t="s">
        <v>430</v>
      </c>
    </row>
    <row r="98" spans="29:40" x14ac:dyDescent="0.45">
      <c r="AC98" t="s">
        <v>19</v>
      </c>
      <c r="AD98" t="s">
        <v>282</v>
      </c>
      <c r="AE98">
        <v>1.7489296829039009E-2</v>
      </c>
      <c r="AK98">
        <v>2034</v>
      </c>
      <c r="AL98" t="s">
        <v>163</v>
      </c>
      <c r="AM98">
        <v>0.56269999999999998</v>
      </c>
      <c r="AN98" t="s">
        <v>430</v>
      </c>
    </row>
    <row r="99" spans="29:40" x14ac:dyDescent="0.45">
      <c r="AC99" t="s">
        <v>19</v>
      </c>
      <c r="AD99" t="s">
        <v>283</v>
      </c>
      <c r="AE99">
        <v>2.4862960977425762E-2</v>
      </c>
      <c r="AK99">
        <v>2034</v>
      </c>
      <c r="AL99" t="s">
        <v>167</v>
      </c>
      <c r="AM99">
        <v>0.65029999999999999</v>
      </c>
      <c r="AN99" t="s">
        <v>430</v>
      </c>
    </row>
    <row r="100" spans="29:40" x14ac:dyDescent="0.45">
      <c r="AC100" t="s">
        <v>19</v>
      </c>
      <c r="AD100" t="s">
        <v>284</v>
      </c>
      <c r="AE100">
        <v>3.5820344397071236E-3</v>
      </c>
      <c r="AK100">
        <v>2034</v>
      </c>
      <c r="AL100" t="s">
        <v>169</v>
      </c>
      <c r="AM100">
        <v>0.62109999999999999</v>
      </c>
      <c r="AN100" t="s">
        <v>430</v>
      </c>
    </row>
    <row r="101" spans="29:40" x14ac:dyDescent="0.45">
      <c r="AC101" t="s">
        <v>19</v>
      </c>
      <c r="AD101" t="s">
        <v>285</v>
      </c>
      <c r="AE101">
        <v>3.5838890436191294E-3</v>
      </c>
      <c r="AK101">
        <v>2034</v>
      </c>
      <c r="AL101" t="s">
        <v>171</v>
      </c>
      <c r="AM101">
        <v>0.32323333333333332</v>
      </c>
      <c r="AN101" t="s">
        <v>430</v>
      </c>
    </row>
    <row r="102" spans="29:40" x14ac:dyDescent="0.45">
      <c r="AC102" t="s">
        <v>19</v>
      </c>
      <c r="AD102" t="s">
        <v>286</v>
      </c>
      <c r="AE102">
        <v>3.5837255701455981E-3</v>
      </c>
      <c r="AK102">
        <v>2035</v>
      </c>
      <c r="AL102" t="s">
        <v>151</v>
      </c>
      <c r="AM102">
        <v>0.26050000000000001</v>
      </c>
      <c r="AN102" t="s">
        <v>430</v>
      </c>
    </row>
    <row r="103" spans="29:40" x14ac:dyDescent="0.45">
      <c r="AC103" t="s">
        <v>19</v>
      </c>
      <c r="AD103" t="s">
        <v>287</v>
      </c>
      <c r="AE103">
        <v>2.5157332263863935E-2</v>
      </c>
      <c r="AK103">
        <v>2035</v>
      </c>
      <c r="AL103" t="s">
        <v>156</v>
      </c>
      <c r="AM103">
        <v>0.28163333333333335</v>
      </c>
      <c r="AN103" t="s">
        <v>430</v>
      </c>
    </row>
    <row r="104" spans="29:40" x14ac:dyDescent="0.45">
      <c r="AC104" t="s">
        <v>19</v>
      </c>
      <c r="AD104" t="s">
        <v>288</v>
      </c>
      <c r="AE104">
        <v>3.4900732042808841E-3</v>
      </c>
      <c r="AK104">
        <v>2035</v>
      </c>
      <c r="AL104" t="s">
        <v>159</v>
      </c>
      <c r="AM104">
        <v>0.42745</v>
      </c>
      <c r="AN104" t="s">
        <v>430</v>
      </c>
    </row>
    <row r="105" spans="29:40" x14ac:dyDescent="0.45">
      <c r="AC105" t="s">
        <v>19</v>
      </c>
      <c r="AD105" t="s">
        <v>289</v>
      </c>
      <c r="AE105">
        <v>3.4454973739073765E-3</v>
      </c>
      <c r="AK105">
        <v>2035</v>
      </c>
      <c r="AL105" t="s">
        <v>163</v>
      </c>
      <c r="AM105">
        <v>0.50290000000000001</v>
      </c>
      <c r="AN105" t="s">
        <v>430</v>
      </c>
    </row>
    <row r="106" spans="29:40" x14ac:dyDescent="0.45">
      <c r="AC106" t="s">
        <v>19</v>
      </c>
      <c r="AD106" t="s">
        <v>290</v>
      </c>
      <c r="AE106">
        <v>1.7246057032897694E-2</v>
      </c>
      <c r="AK106">
        <v>2035</v>
      </c>
      <c r="AL106" t="s">
        <v>167</v>
      </c>
      <c r="AM106">
        <v>0.66069999999999995</v>
      </c>
      <c r="AN106" t="s">
        <v>430</v>
      </c>
    </row>
    <row r="107" spans="29:40" x14ac:dyDescent="0.45">
      <c r="AC107" t="s">
        <v>19</v>
      </c>
      <c r="AD107" t="s">
        <v>291</v>
      </c>
      <c r="AE107">
        <v>2.4047245922384015E-2</v>
      </c>
      <c r="AK107">
        <v>2035</v>
      </c>
      <c r="AL107" t="s">
        <v>169</v>
      </c>
      <c r="AM107">
        <v>0.60460000000000003</v>
      </c>
      <c r="AN107" t="s">
        <v>430</v>
      </c>
    </row>
    <row r="108" spans="29:40" x14ac:dyDescent="0.45">
      <c r="AC108" t="s">
        <v>19</v>
      </c>
      <c r="AD108" t="s">
        <v>292</v>
      </c>
      <c r="AE108">
        <v>3.4613336324393596E-3</v>
      </c>
      <c r="AK108">
        <v>2035</v>
      </c>
      <c r="AL108" t="s">
        <v>171</v>
      </c>
      <c r="AM108">
        <v>0.31113333333333332</v>
      </c>
      <c r="AN108" t="s">
        <v>430</v>
      </c>
    </row>
    <row r="109" spans="29:40" x14ac:dyDescent="0.45">
      <c r="AC109" t="s">
        <v>19</v>
      </c>
      <c r="AD109" t="s">
        <v>293</v>
      </c>
      <c r="AE109">
        <v>3.4645307820917511E-3</v>
      </c>
      <c r="AK109">
        <v>2036</v>
      </c>
      <c r="AL109" t="s">
        <v>151</v>
      </c>
      <c r="AM109">
        <v>0.22989999999999999</v>
      </c>
      <c r="AN109" t="s">
        <v>430</v>
      </c>
    </row>
    <row r="110" spans="29:40" x14ac:dyDescent="0.45">
      <c r="AC110" t="s">
        <v>19</v>
      </c>
      <c r="AD110" t="s">
        <v>294</v>
      </c>
      <c r="AE110">
        <v>3.4648546606046815E-3</v>
      </c>
      <c r="AK110">
        <v>2036</v>
      </c>
      <c r="AL110" t="s">
        <v>156</v>
      </c>
      <c r="AM110">
        <v>0.26913333333333339</v>
      </c>
      <c r="AN110" t="s">
        <v>430</v>
      </c>
    </row>
    <row r="111" spans="29:40" x14ac:dyDescent="0.45">
      <c r="AC111" t="s">
        <v>19</v>
      </c>
      <c r="AD111" t="s">
        <v>295</v>
      </c>
      <c r="AE111">
        <v>2.4296747813948808E-2</v>
      </c>
      <c r="AK111">
        <v>2036</v>
      </c>
      <c r="AL111" t="s">
        <v>159</v>
      </c>
      <c r="AM111">
        <v>0.40975</v>
      </c>
      <c r="AN111" t="s">
        <v>430</v>
      </c>
    </row>
    <row r="112" spans="29:40" x14ac:dyDescent="0.45">
      <c r="AC112" t="s">
        <v>19</v>
      </c>
      <c r="AD112" t="s">
        <v>296</v>
      </c>
      <c r="AE112">
        <v>3.3643197440800989E-3</v>
      </c>
      <c r="AK112">
        <v>2036</v>
      </c>
      <c r="AL112" t="s">
        <v>163</v>
      </c>
      <c r="AM112">
        <v>0.56479999999999997</v>
      </c>
      <c r="AN112" t="s">
        <v>430</v>
      </c>
    </row>
    <row r="113" spans="29:40" x14ac:dyDescent="0.45">
      <c r="AC113" t="s">
        <v>19</v>
      </c>
      <c r="AD113" t="s">
        <v>297</v>
      </c>
      <c r="AE113">
        <v>3.3496627865089753E-3</v>
      </c>
      <c r="AK113">
        <v>2036</v>
      </c>
      <c r="AL113" t="s">
        <v>167</v>
      </c>
      <c r="AM113">
        <v>0.6623</v>
      </c>
      <c r="AN113" t="s">
        <v>430</v>
      </c>
    </row>
    <row r="114" spans="29:40" x14ac:dyDescent="0.45">
      <c r="AC114" t="s">
        <v>19</v>
      </c>
      <c r="AD114" t="s">
        <v>298</v>
      </c>
      <c r="AE114">
        <v>1.673032560778015E-2</v>
      </c>
      <c r="AK114">
        <v>2036</v>
      </c>
      <c r="AL114" t="s">
        <v>169</v>
      </c>
      <c r="AM114">
        <v>0.56359999999999999</v>
      </c>
      <c r="AN114" t="s">
        <v>430</v>
      </c>
    </row>
    <row r="115" spans="29:40" x14ac:dyDescent="0.45">
      <c r="AC115" t="s">
        <v>19</v>
      </c>
      <c r="AD115" t="s">
        <v>299</v>
      </c>
      <c r="AE115">
        <v>7.3671533295419353E-2</v>
      </c>
      <c r="AK115">
        <v>2036</v>
      </c>
      <c r="AL115" t="s">
        <v>171</v>
      </c>
      <c r="AM115">
        <v>0.32876666666666665</v>
      </c>
      <c r="AN115" t="s">
        <v>430</v>
      </c>
    </row>
    <row r="116" spans="29:40" x14ac:dyDescent="0.45">
      <c r="AC116" t="s">
        <v>19</v>
      </c>
      <c r="AD116" t="s">
        <v>300</v>
      </c>
      <c r="AE116">
        <v>1.0606250464266984E-2</v>
      </c>
      <c r="AK116">
        <v>2037</v>
      </c>
      <c r="AL116" t="s">
        <v>151</v>
      </c>
      <c r="AM116">
        <v>0.25280000000000002</v>
      </c>
      <c r="AN116" t="s">
        <v>430</v>
      </c>
    </row>
    <row r="117" spans="29:40" x14ac:dyDescent="0.45">
      <c r="AC117" t="s">
        <v>19</v>
      </c>
      <c r="AD117" t="s">
        <v>301</v>
      </c>
      <c r="AE117">
        <v>1.0618811840038744E-2</v>
      </c>
      <c r="AK117">
        <v>2037</v>
      </c>
      <c r="AL117" t="s">
        <v>156</v>
      </c>
      <c r="AM117">
        <v>0.29856666666666665</v>
      </c>
      <c r="AN117" t="s">
        <v>430</v>
      </c>
    </row>
    <row r="118" spans="29:40" x14ac:dyDescent="0.45">
      <c r="AC118" t="s">
        <v>19</v>
      </c>
      <c r="AD118" t="s">
        <v>302</v>
      </c>
      <c r="AE118">
        <v>1.0622217378691861E-2</v>
      </c>
      <c r="AK118">
        <v>2037</v>
      </c>
      <c r="AL118" t="s">
        <v>159</v>
      </c>
      <c r="AM118">
        <v>0.41910000000000003</v>
      </c>
      <c r="AN118" t="s">
        <v>430</v>
      </c>
    </row>
    <row r="119" spans="29:40" x14ac:dyDescent="0.45">
      <c r="AC119" t="s">
        <v>19</v>
      </c>
      <c r="AD119" t="s">
        <v>303</v>
      </c>
      <c r="AE119">
        <v>7.4494019604764594E-2</v>
      </c>
      <c r="AK119">
        <v>2037</v>
      </c>
      <c r="AL119" t="s">
        <v>163</v>
      </c>
      <c r="AM119">
        <v>0.49869999999999998</v>
      </c>
      <c r="AN119" t="s">
        <v>430</v>
      </c>
    </row>
    <row r="120" spans="29:40" x14ac:dyDescent="0.45">
      <c r="AC120" t="s">
        <v>19</v>
      </c>
      <c r="AD120" t="s">
        <v>304</v>
      </c>
      <c r="AE120">
        <v>1.0345829814367219E-2</v>
      </c>
      <c r="AK120">
        <v>2037</v>
      </c>
      <c r="AL120" t="s">
        <v>167</v>
      </c>
      <c r="AM120">
        <v>0.6482</v>
      </c>
      <c r="AN120" t="s">
        <v>430</v>
      </c>
    </row>
    <row r="121" spans="29:40" x14ac:dyDescent="0.45">
      <c r="AC121" t="s">
        <v>19</v>
      </c>
      <c r="AD121" t="s">
        <v>305</v>
      </c>
      <c r="AE121">
        <v>1.0240779855730979E-2</v>
      </c>
      <c r="AK121">
        <v>2037</v>
      </c>
      <c r="AL121" t="s">
        <v>169</v>
      </c>
      <c r="AM121">
        <v>0.5504</v>
      </c>
      <c r="AN121" t="s">
        <v>430</v>
      </c>
    </row>
    <row r="122" spans="29:40" x14ac:dyDescent="0.45">
      <c r="AC122" t="s">
        <v>19</v>
      </c>
      <c r="AD122" t="s">
        <v>306</v>
      </c>
      <c r="AE122">
        <v>5.1224838537685016E-2</v>
      </c>
      <c r="AK122">
        <v>2037</v>
      </c>
      <c r="AL122" t="s">
        <v>171</v>
      </c>
      <c r="AM122">
        <v>0.34213333333333334</v>
      </c>
      <c r="AN122" t="s">
        <v>430</v>
      </c>
    </row>
    <row r="123" spans="29:40" x14ac:dyDescent="0.45">
      <c r="AK123">
        <v>2038</v>
      </c>
      <c r="AL123" t="s">
        <v>151</v>
      </c>
      <c r="AM123">
        <v>0.25800000000000001</v>
      </c>
      <c r="AN123" t="s">
        <v>430</v>
      </c>
    </row>
    <row r="124" spans="29:40" x14ac:dyDescent="0.45">
      <c r="AK124">
        <v>2038</v>
      </c>
      <c r="AL124" t="s">
        <v>156</v>
      </c>
      <c r="AM124">
        <v>0.29370000000000002</v>
      </c>
      <c r="AN124" t="s">
        <v>430</v>
      </c>
    </row>
    <row r="125" spans="29:40" x14ac:dyDescent="0.45">
      <c r="AK125">
        <v>2038</v>
      </c>
      <c r="AL125" t="s">
        <v>159</v>
      </c>
      <c r="AM125">
        <v>0.43779999999999997</v>
      </c>
      <c r="AN125" t="s">
        <v>430</v>
      </c>
    </row>
    <row r="126" spans="29:40" x14ac:dyDescent="0.45">
      <c r="AK126">
        <v>2038</v>
      </c>
      <c r="AL126" t="s">
        <v>163</v>
      </c>
      <c r="AM126">
        <v>0.6018</v>
      </c>
      <c r="AN126" t="s">
        <v>430</v>
      </c>
    </row>
    <row r="127" spans="29:40" x14ac:dyDescent="0.45">
      <c r="AK127">
        <v>2038</v>
      </c>
      <c r="AL127" t="s">
        <v>167</v>
      </c>
      <c r="AM127">
        <v>0.68220000000000003</v>
      </c>
      <c r="AN127" t="s">
        <v>430</v>
      </c>
    </row>
    <row r="128" spans="29:40" x14ac:dyDescent="0.45">
      <c r="AK128">
        <v>2038</v>
      </c>
      <c r="AL128" t="s">
        <v>169</v>
      </c>
      <c r="AM128">
        <v>0.6694</v>
      </c>
      <c r="AN128" t="s">
        <v>430</v>
      </c>
    </row>
    <row r="129" spans="37:40" x14ac:dyDescent="0.45">
      <c r="AK129">
        <v>2038</v>
      </c>
      <c r="AL129" t="s">
        <v>171</v>
      </c>
      <c r="AM129">
        <v>0.33</v>
      </c>
      <c r="AN129" t="s">
        <v>430</v>
      </c>
    </row>
    <row r="130" spans="37:40" x14ac:dyDescent="0.45">
      <c r="AK130">
        <v>2039</v>
      </c>
      <c r="AL130" t="s">
        <v>151</v>
      </c>
      <c r="AM130">
        <v>0.26140000000000002</v>
      </c>
      <c r="AN130" t="s">
        <v>430</v>
      </c>
    </row>
    <row r="131" spans="37:40" x14ac:dyDescent="0.45">
      <c r="AK131">
        <v>2039</v>
      </c>
      <c r="AL131" t="s">
        <v>156</v>
      </c>
      <c r="AM131">
        <v>0.27666666666666667</v>
      </c>
      <c r="AN131" t="s">
        <v>430</v>
      </c>
    </row>
    <row r="132" spans="37:40" x14ac:dyDescent="0.45">
      <c r="AK132">
        <v>2039</v>
      </c>
      <c r="AL132" t="s">
        <v>159</v>
      </c>
      <c r="AM132">
        <v>0.43369999999999997</v>
      </c>
      <c r="AN132" t="s">
        <v>430</v>
      </c>
    </row>
    <row r="133" spans="37:40" x14ac:dyDescent="0.45">
      <c r="AK133">
        <v>2039</v>
      </c>
      <c r="AL133" t="s">
        <v>163</v>
      </c>
      <c r="AM133">
        <v>0.50519999999999998</v>
      </c>
      <c r="AN133" t="s">
        <v>430</v>
      </c>
    </row>
    <row r="134" spans="37:40" x14ac:dyDescent="0.45">
      <c r="AK134">
        <v>2039</v>
      </c>
      <c r="AL134" t="s">
        <v>167</v>
      </c>
      <c r="AM134">
        <v>0.62219999999999998</v>
      </c>
      <c r="AN134" t="s">
        <v>430</v>
      </c>
    </row>
    <row r="135" spans="37:40" x14ac:dyDescent="0.45">
      <c r="AK135">
        <v>2039</v>
      </c>
      <c r="AL135" t="s">
        <v>169</v>
      </c>
      <c r="AM135">
        <v>0.55089999999999995</v>
      </c>
      <c r="AN135" t="s">
        <v>430</v>
      </c>
    </row>
    <row r="136" spans="37:40" x14ac:dyDescent="0.45">
      <c r="AK136">
        <v>2039</v>
      </c>
      <c r="AL136" t="s">
        <v>171</v>
      </c>
      <c r="AM136">
        <v>0.3286</v>
      </c>
      <c r="AN136" t="s">
        <v>430</v>
      </c>
    </row>
    <row r="137" spans="37:40" x14ac:dyDescent="0.45">
      <c r="AK137">
        <v>2040</v>
      </c>
      <c r="AL137" t="s">
        <v>151</v>
      </c>
      <c r="AM137">
        <v>0.25440000000000002</v>
      </c>
      <c r="AN137" t="s">
        <v>430</v>
      </c>
    </row>
    <row r="138" spans="37:40" x14ac:dyDescent="0.45">
      <c r="AK138">
        <v>2040</v>
      </c>
      <c r="AL138" t="s">
        <v>156</v>
      </c>
      <c r="AM138">
        <v>0.26553333333333334</v>
      </c>
      <c r="AN138" t="s">
        <v>430</v>
      </c>
    </row>
    <row r="139" spans="37:40" x14ac:dyDescent="0.45">
      <c r="AK139">
        <v>2040</v>
      </c>
      <c r="AL139" t="s">
        <v>159</v>
      </c>
      <c r="AM139">
        <v>0.40459999999999996</v>
      </c>
      <c r="AN139" t="s">
        <v>430</v>
      </c>
    </row>
    <row r="140" spans="37:40" x14ac:dyDescent="0.45">
      <c r="AK140">
        <v>2040</v>
      </c>
      <c r="AL140" t="s">
        <v>163</v>
      </c>
      <c r="AM140">
        <v>0.56399999999999995</v>
      </c>
      <c r="AN140" t="s">
        <v>430</v>
      </c>
    </row>
    <row r="141" spans="37:40" x14ac:dyDescent="0.45">
      <c r="AK141">
        <v>2040</v>
      </c>
      <c r="AL141" t="s">
        <v>167</v>
      </c>
      <c r="AM141">
        <v>0.65269999999999995</v>
      </c>
      <c r="AN141" t="s">
        <v>430</v>
      </c>
    </row>
    <row r="142" spans="37:40" x14ac:dyDescent="0.45">
      <c r="AK142">
        <v>2040</v>
      </c>
      <c r="AL142" t="s">
        <v>169</v>
      </c>
      <c r="AM142">
        <v>0.61629999999999996</v>
      </c>
      <c r="AN142" t="s">
        <v>430</v>
      </c>
    </row>
    <row r="143" spans="37:40" x14ac:dyDescent="0.45">
      <c r="AK143">
        <v>2040</v>
      </c>
      <c r="AL143" t="s">
        <v>171</v>
      </c>
      <c r="AM143">
        <v>0.33826666666666672</v>
      </c>
      <c r="AN143" t="s">
        <v>430</v>
      </c>
    </row>
    <row r="144" spans="37:40" x14ac:dyDescent="0.45">
      <c r="AK144">
        <v>2041</v>
      </c>
      <c r="AL144" t="s">
        <v>151</v>
      </c>
      <c r="AM144">
        <v>0.1925</v>
      </c>
      <c r="AN144" t="s">
        <v>430</v>
      </c>
    </row>
    <row r="145" spans="37:40" x14ac:dyDescent="0.45">
      <c r="AK145">
        <v>2041</v>
      </c>
      <c r="AL145" t="s">
        <v>156</v>
      </c>
      <c r="AM145">
        <v>0.22963333333333333</v>
      </c>
      <c r="AN145" t="s">
        <v>430</v>
      </c>
    </row>
    <row r="146" spans="37:40" x14ac:dyDescent="0.45">
      <c r="AK146">
        <v>2041</v>
      </c>
      <c r="AL146" t="s">
        <v>159</v>
      </c>
      <c r="AM146">
        <v>0.36909999999999998</v>
      </c>
      <c r="AN146" t="s">
        <v>430</v>
      </c>
    </row>
    <row r="147" spans="37:40" x14ac:dyDescent="0.45">
      <c r="AK147">
        <v>2041</v>
      </c>
      <c r="AL147" t="s">
        <v>163</v>
      </c>
      <c r="AM147">
        <v>0.47620000000000001</v>
      </c>
      <c r="AN147" t="s">
        <v>430</v>
      </c>
    </row>
    <row r="148" spans="37:40" x14ac:dyDescent="0.45">
      <c r="AK148">
        <v>2041</v>
      </c>
      <c r="AL148" t="s">
        <v>167</v>
      </c>
      <c r="AM148">
        <v>0.53459999999999996</v>
      </c>
      <c r="AN148" t="s">
        <v>430</v>
      </c>
    </row>
    <row r="149" spans="37:40" x14ac:dyDescent="0.45">
      <c r="AK149">
        <v>2041</v>
      </c>
      <c r="AL149" t="s">
        <v>169</v>
      </c>
      <c r="AM149">
        <v>0.5333</v>
      </c>
      <c r="AN149" t="s">
        <v>430</v>
      </c>
    </row>
    <row r="150" spans="37:40" x14ac:dyDescent="0.45">
      <c r="AK150">
        <v>2041</v>
      </c>
      <c r="AL150" t="s">
        <v>171</v>
      </c>
      <c r="AM150">
        <v>0.27266666666666667</v>
      </c>
      <c r="AN150" t="s">
        <v>430</v>
      </c>
    </row>
    <row r="151" spans="37:40" x14ac:dyDescent="0.45">
      <c r="AK151">
        <v>2042</v>
      </c>
      <c r="AL151" t="s">
        <v>151</v>
      </c>
      <c r="AM151">
        <v>0.19800000000000001</v>
      </c>
      <c r="AN151" t="s">
        <v>430</v>
      </c>
    </row>
    <row r="152" spans="37:40" x14ac:dyDescent="0.45">
      <c r="AK152">
        <v>2042</v>
      </c>
      <c r="AL152" t="s">
        <v>156</v>
      </c>
      <c r="AM152">
        <v>0.23826666666666665</v>
      </c>
      <c r="AN152" t="s">
        <v>430</v>
      </c>
    </row>
    <row r="153" spans="37:40" x14ac:dyDescent="0.45">
      <c r="AK153">
        <v>2042</v>
      </c>
      <c r="AL153" t="s">
        <v>159</v>
      </c>
      <c r="AM153">
        <v>0.36</v>
      </c>
      <c r="AN153" t="s">
        <v>430</v>
      </c>
    </row>
    <row r="154" spans="37:40" x14ac:dyDescent="0.45">
      <c r="AK154">
        <v>2042</v>
      </c>
      <c r="AL154" t="s">
        <v>163</v>
      </c>
      <c r="AM154">
        <v>0.41949999999999998</v>
      </c>
      <c r="AN154" t="s">
        <v>430</v>
      </c>
    </row>
    <row r="155" spans="37:40" x14ac:dyDescent="0.45">
      <c r="AK155">
        <v>2042</v>
      </c>
      <c r="AL155" t="s">
        <v>167</v>
      </c>
      <c r="AM155">
        <v>0.52310000000000001</v>
      </c>
      <c r="AN155" t="s">
        <v>430</v>
      </c>
    </row>
    <row r="156" spans="37:40" x14ac:dyDescent="0.45">
      <c r="AK156">
        <v>2042</v>
      </c>
      <c r="AL156" t="s">
        <v>169</v>
      </c>
      <c r="AM156">
        <v>0.50209999999999999</v>
      </c>
      <c r="AN156" t="s">
        <v>430</v>
      </c>
    </row>
    <row r="157" spans="37:40" x14ac:dyDescent="0.45">
      <c r="AK157">
        <v>2042</v>
      </c>
      <c r="AL157" t="s">
        <v>171</v>
      </c>
      <c r="AM157">
        <v>0.26620000000000005</v>
      </c>
      <c r="AN157" t="s">
        <v>430</v>
      </c>
    </row>
    <row r="158" spans="37:40" x14ac:dyDescent="0.45">
      <c r="AK158">
        <v>2043</v>
      </c>
      <c r="AL158" t="s">
        <v>151</v>
      </c>
      <c r="AM158">
        <v>0.2208</v>
      </c>
      <c r="AN158" t="s">
        <v>430</v>
      </c>
    </row>
    <row r="159" spans="37:40" x14ac:dyDescent="0.45">
      <c r="AK159">
        <v>2043</v>
      </c>
      <c r="AL159" t="s">
        <v>156</v>
      </c>
      <c r="AM159">
        <v>0.24253333333333335</v>
      </c>
      <c r="AN159" t="s">
        <v>430</v>
      </c>
    </row>
    <row r="160" spans="37:40" x14ac:dyDescent="0.45">
      <c r="AK160">
        <v>2043</v>
      </c>
      <c r="AL160" t="s">
        <v>159</v>
      </c>
      <c r="AM160">
        <v>0.33774999999999999</v>
      </c>
      <c r="AN160" t="s">
        <v>430</v>
      </c>
    </row>
    <row r="161" spans="37:40" x14ac:dyDescent="0.45">
      <c r="AK161">
        <v>2043</v>
      </c>
      <c r="AL161" t="s">
        <v>163</v>
      </c>
      <c r="AM161">
        <v>0.46500000000000002</v>
      </c>
      <c r="AN161" t="s">
        <v>430</v>
      </c>
    </row>
    <row r="162" spans="37:40" x14ac:dyDescent="0.45">
      <c r="AK162">
        <v>2043</v>
      </c>
      <c r="AL162" t="s">
        <v>167</v>
      </c>
      <c r="AM162">
        <v>0.58960000000000001</v>
      </c>
      <c r="AN162" t="s">
        <v>430</v>
      </c>
    </row>
    <row r="163" spans="37:40" x14ac:dyDescent="0.45">
      <c r="AK163">
        <v>2043</v>
      </c>
      <c r="AL163" t="s">
        <v>169</v>
      </c>
      <c r="AM163">
        <v>0.51419999999999999</v>
      </c>
      <c r="AN163" t="s">
        <v>430</v>
      </c>
    </row>
    <row r="164" spans="37:40" x14ac:dyDescent="0.45">
      <c r="AK164">
        <v>2043</v>
      </c>
      <c r="AL164" t="s">
        <v>171</v>
      </c>
      <c r="AM164">
        <v>0.29380000000000001</v>
      </c>
      <c r="AN164" t="s">
        <v>430</v>
      </c>
    </row>
    <row r="165" spans="37:40" x14ac:dyDescent="0.45">
      <c r="AK165">
        <v>2044</v>
      </c>
      <c r="AL165" t="s">
        <v>151</v>
      </c>
      <c r="AM165">
        <v>0.21429999999999999</v>
      </c>
      <c r="AN165" t="s">
        <v>430</v>
      </c>
    </row>
    <row r="166" spans="37:40" x14ac:dyDescent="0.45">
      <c r="AK166">
        <v>2044</v>
      </c>
      <c r="AL166" t="s">
        <v>156</v>
      </c>
      <c r="AM166">
        <v>0.2329</v>
      </c>
      <c r="AN166" t="s">
        <v>430</v>
      </c>
    </row>
    <row r="167" spans="37:40" x14ac:dyDescent="0.45">
      <c r="AK167">
        <v>2044</v>
      </c>
      <c r="AL167" t="s">
        <v>159</v>
      </c>
      <c r="AM167">
        <v>0.39085000000000003</v>
      </c>
      <c r="AN167" t="s">
        <v>430</v>
      </c>
    </row>
    <row r="168" spans="37:40" x14ac:dyDescent="0.45">
      <c r="AK168">
        <v>2044</v>
      </c>
      <c r="AL168" t="s">
        <v>163</v>
      </c>
      <c r="AM168">
        <v>0.43090000000000001</v>
      </c>
      <c r="AN168" t="s">
        <v>430</v>
      </c>
    </row>
    <row r="169" spans="37:40" x14ac:dyDescent="0.45">
      <c r="AK169">
        <v>2044</v>
      </c>
      <c r="AL169" t="s">
        <v>167</v>
      </c>
      <c r="AM169">
        <v>0.52339999999999998</v>
      </c>
      <c r="AN169" t="s">
        <v>430</v>
      </c>
    </row>
    <row r="170" spans="37:40" x14ac:dyDescent="0.45">
      <c r="AK170">
        <v>2044</v>
      </c>
      <c r="AL170" t="s">
        <v>169</v>
      </c>
      <c r="AM170">
        <v>0.50490000000000002</v>
      </c>
      <c r="AN170" t="s">
        <v>430</v>
      </c>
    </row>
    <row r="171" spans="37:40" x14ac:dyDescent="0.45">
      <c r="AK171">
        <v>2044</v>
      </c>
      <c r="AL171" t="s">
        <v>171</v>
      </c>
      <c r="AM171">
        <v>0.27829999999999999</v>
      </c>
      <c r="AN171" t="s">
        <v>430</v>
      </c>
    </row>
    <row r="172" spans="37:40" x14ac:dyDescent="0.45">
      <c r="AK172">
        <v>2045</v>
      </c>
      <c r="AL172" t="s">
        <v>151</v>
      </c>
      <c r="AM172">
        <v>0.25879999999999997</v>
      </c>
      <c r="AN172" t="s">
        <v>430</v>
      </c>
    </row>
    <row r="173" spans="37:40" x14ac:dyDescent="0.45">
      <c r="AK173">
        <v>2045</v>
      </c>
      <c r="AL173" t="s">
        <v>156</v>
      </c>
      <c r="AM173">
        <v>0.28136666666666665</v>
      </c>
      <c r="AN173" t="s">
        <v>430</v>
      </c>
    </row>
    <row r="174" spans="37:40" x14ac:dyDescent="0.45">
      <c r="AK174">
        <v>2045</v>
      </c>
      <c r="AL174" t="s">
        <v>159</v>
      </c>
      <c r="AM174">
        <v>0.41265000000000002</v>
      </c>
      <c r="AN174" t="s">
        <v>430</v>
      </c>
    </row>
    <row r="175" spans="37:40" x14ac:dyDescent="0.45">
      <c r="AK175">
        <v>2045</v>
      </c>
      <c r="AL175" t="s">
        <v>163</v>
      </c>
      <c r="AM175">
        <v>0.54279999999999995</v>
      </c>
      <c r="AN175" t="s">
        <v>430</v>
      </c>
    </row>
    <row r="176" spans="37:40" x14ac:dyDescent="0.45">
      <c r="AK176">
        <v>2045</v>
      </c>
      <c r="AL176" t="s">
        <v>167</v>
      </c>
      <c r="AM176">
        <v>0.61919999999999997</v>
      </c>
      <c r="AN176" t="s">
        <v>430</v>
      </c>
    </row>
    <row r="177" spans="37:40" x14ac:dyDescent="0.45">
      <c r="AK177">
        <v>2045</v>
      </c>
      <c r="AL177" t="s">
        <v>169</v>
      </c>
      <c r="AM177">
        <v>0.60170000000000001</v>
      </c>
      <c r="AN177" t="s">
        <v>430</v>
      </c>
    </row>
    <row r="178" spans="37:40" x14ac:dyDescent="0.45">
      <c r="AK178">
        <v>2045</v>
      </c>
      <c r="AL178" t="s">
        <v>171</v>
      </c>
      <c r="AM178">
        <v>0.3390333333333333</v>
      </c>
      <c r="AN178" t="s">
        <v>430</v>
      </c>
    </row>
    <row r="179" spans="37:40" x14ac:dyDescent="0.45">
      <c r="AK179">
        <v>2046</v>
      </c>
      <c r="AL179" t="s">
        <v>151</v>
      </c>
      <c r="AM179">
        <v>0.29070000000000001</v>
      </c>
      <c r="AN179" t="s">
        <v>430</v>
      </c>
    </row>
    <row r="180" spans="37:40" x14ac:dyDescent="0.45">
      <c r="AK180">
        <v>2046</v>
      </c>
      <c r="AL180" t="s">
        <v>156</v>
      </c>
      <c r="AM180">
        <v>0.33149999999999996</v>
      </c>
      <c r="AN180" t="s">
        <v>430</v>
      </c>
    </row>
    <row r="181" spans="37:40" x14ac:dyDescent="0.45">
      <c r="AK181">
        <v>2046</v>
      </c>
      <c r="AL181" t="s">
        <v>159</v>
      </c>
      <c r="AM181">
        <v>0.52100000000000002</v>
      </c>
      <c r="AN181" t="s">
        <v>430</v>
      </c>
    </row>
    <row r="182" spans="37:40" x14ac:dyDescent="0.45">
      <c r="AK182">
        <v>2046</v>
      </c>
      <c r="AL182" t="s">
        <v>163</v>
      </c>
      <c r="AM182">
        <v>0.58489999999999998</v>
      </c>
      <c r="AN182" t="s">
        <v>430</v>
      </c>
    </row>
    <row r="183" spans="37:40" x14ac:dyDescent="0.45">
      <c r="AK183">
        <v>2046</v>
      </c>
      <c r="AL183" t="s">
        <v>167</v>
      </c>
      <c r="AM183">
        <v>0.77249999999999996</v>
      </c>
      <c r="AN183" t="s">
        <v>430</v>
      </c>
    </row>
    <row r="184" spans="37:40" x14ac:dyDescent="0.45">
      <c r="AK184">
        <v>2046</v>
      </c>
      <c r="AL184" t="s">
        <v>169</v>
      </c>
      <c r="AM184">
        <v>0.67989999999999995</v>
      </c>
      <c r="AN184" t="s">
        <v>430</v>
      </c>
    </row>
    <row r="185" spans="37:40" x14ac:dyDescent="0.45">
      <c r="AK185">
        <v>2046</v>
      </c>
      <c r="AL185" t="s">
        <v>171</v>
      </c>
      <c r="AM185">
        <v>0.36393333333333339</v>
      </c>
      <c r="AN185" t="s">
        <v>430</v>
      </c>
    </row>
    <row r="186" spans="37:40" x14ac:dyDescent="0.45">
      <c r="AK186">
        <v>2047</v>
      </c>
      <c r="AL186" t="s">
        <v>151</v>
      </c>
      <c r="AM186">
        <v>0.25740000000000002</v>
      </c>
      <c r="AN186" t="s">
        <v>430</v>
      </c>
    </row>
    <row r="187" spans="37:40" x14ac:dyDescent="0.45">
      <c r="AK187">
        <v>2047</v>
      </c>
      <c r="AL187" t="s">
        <v>156</v>
      </c>
      <c r="AM187">
        <v>0.30326666666666663</v>
      </c>
      <c r="AN187" t="s">
        <v>430</v>
      </c>
    </row>
    <row r="188" spans="37:40" x14ac:dyDescent="0.45">
      <c r="AK188">
        <v>2047</v>
      </c>
      <c r="AL188" t="s">
        <v>159</v>
      </c>
      <c r="AM188">
        <v>0.43409999999999999</v>
      </c>
      <c r="AN188" t="s">
        <v>430</v>
      </c>
    </row>
    <row r="189" spans="37:40" x14ac:dyDescent="0.45">
      <c r="AK189">
        <v>2047</v>
      </c>
      <c r="AL189" t="s">
        <v>163</v>
      </c>
      <c r="AM189">
        <v>0.51149999999999995</v>
      </c>
      <c r="AN189" t="s">
        <v>430</v>
      </c>
    </row>
    <row r="190" spans="37:40" x14ac:dyDescent="0.45">
      <c r="AK190">
        <v>2047</v>
      </c>
      <c r="AL190" t="s">
        <v>167</v>
      </c>
      <c r="AM190">
        <v>0.62080000000000002</v>
      </c>
      <c r="AN190" t="s">
        <v>430</v>
      </c>
    </row>
    <row r="191" spans="37:40" x14ac:dyDescent="0.45">
      <c r="AK191">
        <v>2047</v>
      </c>
      <c r="AL191" t="s">
        <v>169</v>
      </c>
      <c r="AM191">
        <v>0.61750000000000005</v>
      </c>
      <c r="AN191" t="s">
        <v>430</v>
      </c>
    </row>
    <row r="192" spans="37:40" x14ac:dyDescent="0.45">
      <c r="AK192">
        <v>2047</v>
      </c>
      <c r="AL192" t="s">
        <v>171</v>
      </c>
      <c r="AM192">
        <v>0.33393333333333336</v>
      </c>
      <c r="AN192" t="s">
        <v>430</v>
      </c>
    </row>
    <row r="193" spans="37:40" x14ac:dyDescent="0.45">
      <c r="AK193">
        <v>2048</v>
      </c>
      <c r="AL193" t="s">
        <v>151</v>
      </c>
      <c r="AM193">
        <v>0.2341</v>
      </c>
      <c r="AN193" t="s">
        <v>430</v>
      </c>
    </row>
    <row r="194" spans="37:40" x14ac:dyDescent="0.45">
      <c r="AK194">
        <v>2048</v>
      </c>
      <c r="AL194" t="s">
        <v>156</v>
      </c>
      <c r="AM194">
        <v>0.27963333333333334</v>
      </c>
      <c r="AN194" t="s">
        <v>430</v>
      </c>
    </row>
    <row r="195" spans="37:40" x14ac:dyDescent="0.45">
      <c r="AK195">
        <v>2048</v>
      </c>
      <c r="AL195" t="s">
        <v>159</v>
      </c>
      <c r="AM195">
        <v>0.43940000000000001</v>
      </c>
      <c r="AN195" t="s">
        <v>430</v>
      </c>
    </row>
    <row r="196" spans="37:40" x14ac:dyDescent="0.45">
      <c r="AK196">
        <v>2048</v>
      </c>
      <c r="AL196" t="s">
        <v>163</v>
      </c>
      <c r="AM196">
        <v>0.53469999999999995</v>
      </c>
      <c r="AN196" t="s">
        <v>430</v>
      </c>
    </row>
    <row r="197" spans="37:40" x14ac:dyDescent="0.45">
      <c r="AK197">
        <v>2048</v>
      </c>
      <c r="AL197" t="s">
        <v>167</v>
      </c>
      <c r="AM197">
        <v>0.68959999999999999</v>
      </c>
      <c r="AN197" t="s">
        <v>430</v>
      </c>
    </row>
    <row r="198" spans="37:40" x14ac:dyDescent="0.45">
      <c r="AK198">
        <v>2048</v>
      </c>
      <c r="AL198" t="s">
        <v>169</v>
      </c>
      <c r="AM198">
        <v>0.58379999999999999</v>
      </c>
      <c r="AN198" t="s">
        <v>430</v>
      </c>
    </row>
    <row r="199" spans="37:40" x14ac:dyDescent="0.45">
      <c r="AK199">
        <v>2048</v>
      </c>
      <c r="AL199" t="s">
        <v>171</v>
      </c>
      <c r="AM199">
        <v>0.3370333333333333</v>
      </c>
      <c r="AN199" t="s">
        <v>430</v>
      </c>
    </row>
    <row r="200" spans="37:40" x14ac:dyDescent="0.45">
      <c r="AK200">
        <v>2049</v>
      </c>
      <c r="AL200" t="s">
        <v>151</v>
      </c>
      <c r="AM200">
        <v>0.23300000000000001</v>
      </c>
      <c r="AN200" t="s">
        <v>430</v>
      </c>
    </row>
    <row r="201" spans="37:40" x14ac:dyDescent="0.45">
      <c r="AK201">
        <v>2049</v>
      </c>
      <c r="AL201" t="s">
        <v>156</v>
      </c>
      <c r="AM201">
        <v>0.27816666666666662</v>
      </c>
      <c r="AN201" t="s">
        <v>430</v>
      </c>
    </row>
    <row r="202" spans="37:40" x14ac:dyDescent="0.45">
      <c r="AK202">
        <v>2049</v>
      </c>
      <c r="AL202" t="s">
        <v>159</v>
      </c>
      <c r="AM202">
        <v>0.44285000000000002</v>
      </c>
      <c r="AN202" t="s">
        <v>430</v>
      </c>
    </row>
    <row r="203" spans="37:40" x14ac:dyDescent="0.45">
      <c r="AK203">
        <v>2049</v>
      </c>
      <c r="AL203" t="s">
        <v>163</v>
      </c>
      <c r="AM203">
        <v>0.52849999999999997</v>
      </c>
      <c r="AN203" t="s">
        <v>430</v>
      </c>
    </row>
    <row r="204" spans="37:40" x14ac:dyDescent="0.45">
      <c r="AK204">
        <v>2049</v>
      </c>
      <c r="AL204" t="s">
        <v>167</v>
      </c>
      <c r="AM204">
        <v>0.65500000000000003</v>
      </c>
      <c r="AN204" t="s">
        <v>430</v>
      </c>
    </row>
    <row r="205" spans="37:40" x14ac:dyDescent="0.45">
      <c r="AK205">
        <v>2049</v>
      </c>
      <c r="AL205" t="s">
        <v>169</v>
      </c>
      <c r="AM205">
        <v>0.64280000000000004</v>
      </c>
      <c r="AN205" t="s">
        <v>430</v>
      </c>
    </row>
    <row r="206" spans="37:40" x14ac:dyDescent="0.45">
      <c r="AK206">
        <v>2049</v>
      </c>
      <c r="AL206" t="s">
        <v>171</v>
      </c>
      <c r="AM206">
        <v>0.3257666666666667</v>
      </c>
      <c r="AN206" t="s">
        <v>430</v>
      </c>
    </row>
    <row r="207" spans="37:40" x14ac:dyDescent="0.45">
      <c r="AK207">
        <v>2050</v>
      </c>
      <c r="AL207" t="s">
        <v>151</v>
      </c>
      <c r="AM207">
        <v>0.26329999999999998</v>
      </c>
      <c r="AN207" t="s">
        <v>430</v>
      </c>
    </row>
    <row r="208" spans="37:40" x14ac:dyDescent="0.45">
      <c r="AK208">
        <v>2050</v>
      </c>
      <c r="AL208" t="s">
        <v>156</v>
      </c>
      <c r="AM208">
        <v>0.27766666666666667</v>
      </c>
      <c r="AN208" t="s">
        <v>430</v>
      </c>
    </row>
    <row r="209" spans="37:40" x14ac:dyDescent="0.45">
      <c r="AK209">
        <v>2050</v>
      </c>
      <c r="AL209" t="s">
        <v>159</v>
      </c>
      <c r="AM209">
        <v>0.44550000000000001</v>
      </c>
      <c r="AN209" t="s">
        <v>430</v>
      </c>
    </row>
    <row r="210" spans="37:40" x14ac:dyDescent="0.45">
      <c r="AK210">
        <v>2050</v>
      </c>
      <c r="AL210" t="s">
        <v>163</v>
      </c>
      <c r="AM210">
        <v>0.4929</v>
      </c>
      <c r="AN210" t="s">
        <v>430</v>
      </c>
    </row>
    <row r="211" spans="37:40" x14ac:dyDescent="0.45">
      <c r="AK211">
        <v>2050</v>
      </c>
      <c r="AL211" t="s">
        <v>167</v>
      </c>
      <c r="AM211">
        <v>0.67459999999999998</v>
      </c>
      <c r="AN211" t="s">
        <v>430</v>
      </c>
    </row>
    <row r="212" spans="37:40" x14ac:dyDescent="0.45">
      <c r="AK212">
        <v>2050</v>
      </c>
      <c r="AL212" t="s">
        <v>169</v>
      </c>
      <c r="AM212">
        <v>0.63300000000000001</v>
      </c>
      <c r="AN212" t="s">
        <v>430</v>
      </c>
    </row>
    <row r="213" spans="37:40" x14ac:dyDescent="0.45">
      <c r="AK213">
        <v>2050</v>
      </c>
      <c r="AL213" t="s">
        <v>171</v>
      </c>
      <c r="AM213">
        <v>0.32866666666666666</v>
      </c>
      <c r="AN213" t="s">
        <v>430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62D38-4304-4ECC-B603-70015A708069}">
  <dimension ref="A9:AN35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129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122</v>
      </c>
      <c r="K10" t="s">
        <v>248</v>
      </c>
      <c r="L10" t="s">
        <v>30</v>
      </c>
      <c r="N10" t="s">
        <v>13</v>
      </c>
      <c r="O10" t="s">
        <v>122</v>
      </c>
      <c r="P10" t="s">
        <v>248</v>
      </c>
      <c r="Q10" t="s">
        <v>30</v>
      </c>
      <c r="S10" t="s">
        <v>13</v>
      </c>
      <c r="T10" t="s">
        <v>122</v>
      </c>
      <c r="U10" t="s">
        <v>248</v>
      </c>
      <c r="V10" t="s">
        <v>30</v>
      </c>
      <c r="X10" t="s">
        <v>421</v>
      </c>
      <c r="Y10" t="s">
        <v>248</v>
      </c>
      <c r="Z10" t="s">
        <v>122</v>
      </c>
      <c r="AA10" t="s">
        <v>13</v>
      </c>
      <c r="AC10" t="s">
        <v>13</v>
      </c>
      <c r="AD10" t="s">
        <v>122</v>
      </c>
      <c r="AE10" t="s">
        <v>248</v>
      </c>
      <c r="AG10" t="s">
        <v>13</v>
      </c>
      <c r="AH10" t="s">
        <v>122</v>
      </c>
      <c r="AI10" t="s">
        <v>427</v>
      </c>
      <c r="AK10" t="s">
        <v>47</v>
      </c>
      <c r="AL10" t="s">
        <v>122</v>
      </c>
      <c r="AM10" t="s">
        <v>428</v>
      </c>
      <c r="AN10" t="s">
        <v>429</v>
      </c>
    </row>
    <row r="11" spans="1:40" x14ac:dyDescent="0.45">
      <c r="A11" t="str">
        <f>IFERROR(IF(Veda!D5=A10,"ok","x"),"")</f>
        <v>x</v>
      </c>
      <c r="C11" t="s">
        <v>151</v>
      </c>
      <c r="D11" t="s">
        <v>152</v>
      </c>
      <c r="E11" t="s">
        <v>240</v>
      </c>
      <c r="F11" t="s">
        <v>154</v>
      </c>
      <c r="G11" t="s">
        <v>152</v>
      </c>
      <c r="I11" t="s">
        <v>249</v>
      </c>
      <c r="J11" t="s">
        <v>250</v>
      </c>
      <c r="K11">
        <v>0</v>
      </c>
      <c r="L11" t="s">
        <v>251</v>
      </c>
      <c r="N11" t="s">
        <v>419</v>
      </c>
      <c r="O11" t="s">
        <v>250</v>
      </c>
      <c r="P11">
        <v>1.7870835987201485E-2</v>
      </c>
      <c r="Q11" t="s">
        <v>251</v>
      </c>
      <c r="S11" t="s">
        <v>420</v>
      </c>
      <c r="T11" t="s">
        <v>250</v>
      </c>
      <c r="U11">
        <v>1.8804923305469411E-2</v>
      </c>
      <c r="V11" t="s">
        <v>251</v>
      </c>
      <c r="X11">
        <v>2.4771689497716895E-2</v>
      </c>
      <c r="Y11">
        <v>9.7827942553597048E-3</v>
      </c>
      <c r="Z11" t="s">
        <v>250</v>
      </c>
      <c r="AA11" t="s">
        <v>25</v>
      </c>
      <c r="AC11" t="s">
        <v>22</v>
      </c>
      <c r="AD11" t="s">
        <v>250</v>
      </c>
      <c r="AE11">
        <v>1.949452943339923E-2</v>
      </c>
      <c r="AG11" t="s">
        <v>97</v>
      </c>
      <c r="AH11" t="s">
        <v>250</v>
      </c>
      <c r="AI11">
        <v>0.10127753898572567</v>
      </c>
      <c r="AK11">
        <v>2020</v>
      </c>
      <c r="AL11" t="s">
        <v>151</v>
      </c>
      <c r="AM11">
        <v>0.2698110913113228</v>
      </c>
      <c r="AN11" t="s">
        <v>430</v>
      </c>
    </row>
    <row r="12" spans="1:40" x14ac:dyDescent="0.45">
      <c r="C12" t="s">
        <v>156</v>
      </c>
      <c r="E12" t="s">
        <v>241</v>
      </c>
      <c r="G12" t="s">
        <v>152</v>
      </c>
      <c r="I12" t="s">
        <v>249</v>
      </c>
      <c r="J12" t="s">
        <v>252</v>
      </c>
      <c r="K12">
        <v>1.5156644477423446E-3</v>
      </c>
      <c r="L12" t="s">
        <v>251</v>
      </c>
      <c r="N12" t="s">
        <v>419</v>
      </c>
      <c r="O12" t="s">
        <v>252</v>
      </c>
      <c r="P12">
        <v>1.9241151758176208E-3</v>
      </c>
      <c r="Q12" t="s">
        <v>251</v>
      </c>
      <c r="S12" t="s">
        <v>420</v>
      </c>
      <c r="T12" t="s">
        <v>252</v>
      </c>
      <c r="U12">
        <v>2.4994659436263973E-3</v>
      </c>
      <c r="V12" t="s">
        <v>251</v>
      </c>
      <c r="X12">
        <v>3.5388127853881279E-3</v>
      </c>
      <c r="Y12">
        <v>5.9087255218821738E-3</v>
      </c>
      <c r="Z12" t="s">
        <v>252</v>
      </c>
      <c r="AA12" t="s">
        <v>25</v>
      </c>
      <c r="AC12" t="s">
        <v>22</v>
      </c>
      <c r="AD12" t="s">
        <v>252</v>
      </c>
      <c r="AE12">
        <v>3.1657926352740033E-3</v>
      </c>
      <c r="AG12" t="s">
        <v>97</v>
      </c>
      <c r="AH12" t="s">
        <v>252</v>
      </c>
      <c r="AI12">
        <v>2.7713627671200891E-2</v>
      </c>
      <c r="AK12">
        <v>2020</v>
      </c>
      <c r="AL12" t="s">
        <v>156</v>
      </c>
      <c r="AM12">
        <v>0.28091924024938381</v>
      </c>
      <c r="AN12" t="s">
        <v>430</v>
      </c>
    </row>
    <row r="13" spans="1:40" x14ac:dyDescent="0.45">
      <c r="C13" t="s">
        <v>159</v>
      </c>
      <c r="E13" t="s">
        <v>242</v>
      </c>
      <c r="G13" t="s">
        <v>152</v>
      </c>
      <c r="I13" t="s">
        <v>249</v>
      </c>
      <c r="J13" t="s">
        <v>253</v>
      </c>
      <c r="K13">
        <v>6.0907786952883094E-3</v>
      </c>
      <c r="L13" t="s">
        <v>251</v>
      </c>
      <c r="N13" t="s">
        <v>419</v>
      </c>
      <c r="O13" t="s">
        <v>253</v>
      </c>
      <c r="P13">
        <v>1.3264422841106609E-3</v>
      </c>
      <c r="Q13" t="s">
        <v>251</v>
      </c>
      <c r="S13" t="s">
        <v>420</v>
      </c>
      <c r="T13" t="s">
        <v>253</v>
      </c>
      <c r="U13">
        <v>2.4236393429404191E-3</v>
      </c>
      <c r="V13" t="s">
        <v>251</v>
      </c>
      <c r="X13">
        <v>3.5388127853881279E-3</v>
      </c>
      <c r="Y13">
        <v>4.521459529788099E-3</v>
      </c>
      <c r="Z13" t="s">
        <v>253</v>
      </c>
      <c r="AA13" t="s">
        <v>25</v>
      </c>
      <c r="AC13" t="s">
        <v>22</v>
      </c>
      <c r="AD13" t="s">
        <v>253</v>
      </c>
      <c r="AE13">
        <v>3.2675077100406246E-3</v>
      </c>
      <c r="AG13" t="s">
        <v>97</v>
      </c>
      <c r="AH13" t="s">
        <v>253</v>
      </c>
      <c r="AI13">
        <v>5.3468428145687641E-2</v>
      </c>
      <c r="AK13">
        <v>2020</v>
      </c>
      <c r="AL13" t="s">
        <v>159</v>
      </c>
      <c r="AM13">
        <v>0.28179619937607281</v>
      </c>
      <c r="AN13" t="s">
        <v>430</v>
      </c>
    </row>
    <row r="14" spans="1:40" x14ac:dyDescent="0.45">
      <c r="C14" t="s">
        <v>163</v>
      </c>
      <c r="E14" t="s">
        <v>243</v>
      </c>
      <c r="G14" t="s">
        <v>152</v>
      </c>
      <c r="I14" t="s">
        <v>249</v>
      </c>
      <c r="J14" t="s">
        <v>254</v>
      </c>
      <c r="K14">
        <v>8.8262464634354994E-3</v>
      </c>
      <c r="L14" t="s">
        <v>251</v>
      </c>
      <c r="N14" t="s">
        <v>419</v>
      </c>
      <c r="O14" t="s">
        <v>254</v>
      </c>
      <c r="P14">
        <v>1.0431621995471597E-3</v>
      </c>
      <c r="Q14" t="s">
        <v>251</v>
      </c>
      <c r="S14" t="s">
        <v>420</v>
      </c>
      <c r="T14" t="s">
        <v>254</v>
      </c>
      <c r="U14">
        <v>2.3370906629166972E-3</v>
      </c>
      <c r="V14" t="s">
        <v>251</v>
      </c>
      <c r="X14">
        <v>3.5388127853881279E-3</v>
      </c>
      <c r="Y14">
        <v>4.4803553522445696E-3</v>
      </c>
      <c r="Z14" t="s">
        <v>254</v>
      </c>
      <c r="AA14" t="s">
        <v>25</v>
      </c>
      <c r="AC14" t="s">
        <v>22</v>
      </c>
      <c r="AD14" t="s">
        <v>254</v>
      </c>
      <c r="AE14">
        <v>3.312860856965701E-3</v>
      </c>
      <c r="AG14" t="s">
        <v>97</v>
      </c>
      <c r="AH14" t="s">
        <v>254</v>
      </c>
      <c r="AI14">
        <v>5.848083541293625E-2</v>
      </c>
      <c r="AK14">
        <v>2020</v>
      </c>
      <c r="AL14" t="s">
        <v>163</v>
      </c>
      <c r="AM14">
        <v>0.3265308588275096</v>
      </c>
      <c r="AN14" t="s">
        <v>430</v>
      </c>
    </row>
    <row r="15" spans="1:40" x14ac:dyDescent="0.45">
      <c r="C15" t="s">
        <v>167</v>
      </c>
      <c r="E15" t="s">
        <v>244</v>
      </c>
      <c r="G15" t="s">
        <v>152</v>
      </c>
      <c r="I15" t="s">
        <v>249</v>
      </c>
      <c r="J15" t="s">
        <v>255</v>
      </c>
      <c r="K15">
        <v>6.8054972448293893E-2</v>
      </c>
      <c r="L15" t="s">
        <v>251</v>
      </c>
      <c r="N15" t="s">
        <v>419</v>
      </c>
      <c r="O15" t="s">
        <v>255</v>
      </c>
      <c r="P15">
        <v>6.432084773477645E-3</v>
      </c>
      <c r="Q15" t="s">
        <v>251</v>
      </c>
      <c r="S15" t="s">
        <v>420</v>
      </c>
      <c r="T15" t="s">
        <v>255</v>
      </c>
      <c r="U15">
        <v>1.4185336142442046E-2</v>
      </c>
      <c r="V15" t="s">
        <v>251</v>
      </c>
      <c r="X15">
        <v>2.4771689497716895E-2</v>
      </c>
      <c r="Y15">
        <v>3.4650821669194247E-2</v>
      </c>
      <c r="Z15" t="s">
        <v>255</v>
      </c>
      <c r="AA15" t="s">
        <v>25</v>
      </c>
      <c r="AC15" t="s">
        <v>22</v>
      </c>
      <c r="AD15" t="s">
        <v>255</v>
      </c>
      <c r="AE15">
        <v>2.5061802859319558E-2</v>
      </c>
      <c r="AG15" t="s">
        <v>97</v>
      </c>
      <c r="AH15" t="s">
        <v>255</v>
      </c>
      <c r="AI15">
        <v>8.590995507981436E-2</v>
      </c>
      <c r="AK15">
        <v>2020</v>
      </c>
      <c r="AL15" t="s">
        <v>167</v>
      </c>
      <c r="AM15">
        <v>0.43263316916658479</v>
      </c>
      <c r="AN15" t="s">
        <v>430</v>
      </c>
    </row>
    <row r="16" spans="1:40" x14ac:dyDescent="0.45">
      <c r="C16" t="s">
        <v>169</v>
      </c>
      <c r="E16" t="s">
        <v>245</v>
      </c>
      <c r="G16" t="s">
        <v>152</v>
      </c>
      <c r="I16" t="s">
        <v>249</v>
      </c>
      <c r="J16" t="s">
        <v>256</v>
      </c>
      <c r="K16">
        <v>6.3045631172925004E-3</v>
      </c>
      <c r="L16" t="s">
        <v>251</v>
      </c>
      <c r="N16" t="s">
        <v>419</v>
      </c>
      <c r="O16" t="s">
        <v>256</v>
      </c>
      <c r="P16">
        <v>1.1229787319966876E-3</v>
      </c>
      <c r="Q16" t="s">
        <v>251</v>
      </c>
      <c r="S16" t="s">
        <v>420</v>
      </c>
      <c r="T16" t="s">
        <v>256</v>
      </c>
      <c r="U16">
        <v>2.2277816707203545E-3</v>
      </c>
      <c r="V16" t="s">
        <v>251</v>
      </c>
      <c r="X16">
        <v>3.5388127853881279E-3</v>
      </c>
      <c r="Y16">
        <v>6.8849497385409693E-3</v>
      </c>
      <c r="Z16" t="s">
        <v>256</v>
      </c>
      <c r="AA16" t="s">
        <v>25</v>
      </c>
      <c r="AC16" t="s">
        <v>22</v>
      </c>
      <c r="AD16" t="s">
        <v>256</v>
      </c>
      <c r="AE16">
        <v>2.0364327629016658E-3</v>
      </c>
      <c r="AG16" t="s">
        <v>97</v>
      </c>
      <c r="AH16" t="s">
        <v>256</v>
      </c>
      <c r="AI16">
        <v>0.13177806983731877</v>
      </c>
      <c r="AK16">
        <v>2020</v>
      </c>
      <c r="AL16" t="s">
        <v>169</v>
      </c>
      <c r="AM16">
        <v>0.53857957566091541</v>
      </c>
      <c r="AN16" t="s">
        <v>430</v>
      </c>
    </row>
    <row r="17" spans="3:40" x14ac:dyDescent="0.45">
      <c r="C17" t="s">
        <v>171</v>
      </c>
      <c r="E17" t="s">
        <v>246</v>
      </c>
      <c r="G17" t="s">
        <v>152</v>
      </c>
      <c r="I17" t="s">
        <v>249</v>
      </c>
      <c r="J17" t="s">
        <v>257</v>
      </c>
      <c r="K17">
        <v>1.9471601344935659E-3</v>
      </c>
      <c r="L17" t="s">
        <v>251</v>
      </c>
      <c r="N17" t="s">
        <v>419</v>
      </c>
      <c r="O17" t="s">
        <v>257</v>
      </c>
      <c r="P17">
        <v>1.7169265539782872E-3</v>
      </c>
      <c r="Q17" t="s">
        <v>251</v>
      </c>
      <c r="S17" t="s">
        <v>420</v>
      </c>
      <c r="T17" t="s">
        <v>257</v>
      </c>
      <c r="U17">
        <v>2.3637794363564149E-3</v>
      </c>
      <c r="V17" t="s">
        <v>251</v>
      </c>
      <c r="X17">
        <v>3.5388127853881279E-3</v>
      </c>
      <c r="Y17">
        <v>5.3435430806586613E-3</v>
      </c>
      <c r="Z17" t="s">
        <v>257</v>
      </c>
      <c r="AA17" t="s">
        <v>25</v>
      </c>
      <c r="AC17" t="s">
        <v>22</v>
      </c>
      <c r="AD17" t="s">
        <v>257</v>
      </c>
      <c r="AE17">
        <v>9.1182133949866144E-4</v>
      </c>
      <c r="AG17" t="s">
        <v>97</v>
      </c>
      <c r="AH17" t="s">
        <v>257</v>
      </c>
      <c r="AI17">
        <v>2.5642555722991123E-2</v>
      </c>
      <c r="AK17">
        <v>2020</v>
      </c>
      <c r="AL17" t="s">
        <v>171</v>
      </c>
      <c r="AM17">
        <v>0.55540744690304811</v>
      </c>
      <c r="AN17" t="s">
        <v>430</v>
      </c>
    </row>
    <row r="18" spans="3:40" x14ac:dyDescent="0.45">
      <c r="C18" t="s">
        <v>158</v>
      </c>
      <c r="E18" t="s">
        <v>247</v>
      </c>
      <c r="G18" t="s">
        <v>152</v>
      </c>
      <c r="I18" t="s">
        <v>249</v>
      </c>
      <c r="J18" t="s">
        <v>258</v>
      </c>
      <c r="K18">
        <v>0</v>
      </c>
      <c r="L18" t="s">
        <v>251</v>
      </c>
      <c r="N18" t="s">
        <v>419</v>
      </c>
      <c r="O18" t="s">
        <v>258</v>
      </c>
      <c r="P18">
        <v>1.4808898500501662E-2</v>
      </c>
      <c r="Q18" t="s">
        <v>251</v>
      </c>
      <c r="S18" t="s">
        <v>420</v>
      </c>
      <c r="T18" t="s">
        <v>258</v>
      </c>
      <c r="U18">
        <v>1.2894079630715663E-2</v>
      </c>
      <c r="V18" t="s">
        <v>251</v>
      </c>
      <c r="X18">
        <v>1.7694063926940638E-2</v>
      </c>
      <c r="Y18">
        <v>1.3358857701646654E-2</v>
      </c>
      <c r="Z18" t="s">
        <v>258</v>
      </c>
      <c r="AA18" t="s">
        <v>25</v>
      </c>
      <c r="AC18" t="s">
        <v>22</v>
      </c>
      <c r="AD18" t="s">
        <v>258</v>
      </c>
      <c r="AE18">
        <v>4.8624804450542597E-3</v>
      </c>
      <c r="AG18" t="s">
        <v>97</v>
      </c>
      <c r="AH18" t="s">
        <v>258</v>
      </c>
      <c r="AI18">
        <v>0.14420377925344408</v>
      </c>
      <c r="AK18">
        <v>2020</v>
      </c>
      <c r="AL18" t="s">
        <v>158</v>
      </c>
      <c r="AM18">
        <v>0.59107045138840164</v>
      </c>
      <c r="AN18" t="s">
        <v>430</v>
      </c>
    </row>
    <row r="19" spans="3:40" x14ac:dyDescent="0.45">
      <c r="C19" t="s">
        <v>162</v>
      </c>
      <c r="I19" t="s">
        <v>249</v>
      </c>
      <c r="J19" t="s">
        <v>259</v>
      </c>
      <c r="K19">
        <v>0</v>
      </c>
      <c r="L19" t="s">
        <v>251</v>
      </c>
      <c r="N19" t="s">
        <v>419</v>
      </c>
      <c r="O19" t="s">
        <v>259</v>
      </c>
      <c r="P19">
        <v>1.6839964131480336E-2</v>
      </c>
      <c r="Q19" t="s">
        <v>251</v>
      </c>
      <c r="S19" t="s">
        <v>420</v>
      </c>
      <c r="T19" t="s">
        <v>259</v>
      </c>
      <c r="U19">
        <v>1.4357734927052774E-2</v>
      </c>
      <c r="V19" t="s">
        <v>251</v>
      </c>
      <c r="X19">
        <v>2.2374429223744292E-2</v>
      </c>
      <c r="Y19">
        <v>8.8360722306474754E-3</v>
      </c>
      <c r="Z19" t="s">
        <v>259</v>
      </c>
      <c r="AA19" t="s">
        <v>25</v>
      </c>
      <c r="AC19" t="s">
        <v>22</v>
      </c>
      <c r="AD19" t="s">
        <v>259</v>
      </c>
      <c r="AE19">
        <v>1.7740078321897119E-2</v>
      </c>
      <c r="AG19" t="s">
        <v>97</v>
      </c>
      <c r="AH19" t="s">
        <v>259</v>
      </c>
      <c r="AI19">
        <v>0.14633377109330481</v>
      </c>
      <c r="AK19">
        <v>2020</v>
      </c>
      <c r="AL19" t="s">
        <v>162</v>
      </c>
      <c r="AM19">
        <v>0.61228311826397963</v>
      </c>
      <c r="AN19" t="s">
        <v>430</v>
      </c>
    </row>
    <row r="20" spans="3:40" x14ac:dyDescent="0.45">
      <c r="C20" t="s">
        <v>175</v>
      </c>
      <c r="I20" t="s">
        <v>249</v>
      </c>
      <c r="J20" t="s">
        <v>260</v>
      </c>
      <c r="K20">
        <v>1.3744729811050727E-3</v>
      </c>
      <c r="L20" t="s">
        <v>251</v>
      </c>
      <c r="N20" t="s">
        <v>419</v>
      </c>
      <c r="O20" t="s">
        <v>260</v>
      </c>
      <c r="P20">
        <v>1.675421865146762E-3</v>
      </c>
      <c r="Q20" t="s">
        <v>251</v>
      </c>
      <c r="S20" t="s">
        <v>420</v>
      </c>
      <c r="T20" t="s">
        <v>260</v>
      </c>
      <c r="U20">
        <v>2.0874895392113909E-3</v>
      </c>
      <c r="V20" t="s">
        <v>251</v>
      </c>
      <c r="X20">
        <v>3.1963470319634705E-3</v>
      </c>
      <c r="Y20">
        <v>5.3369133746032542E-3</v>
      </c>
      <c r="Z20" t="s">
        <v>260</v>
      </c>
      <c r="AA20" t="s">
        <v>25</v>
      </c>
      <c r="AC20" t="s">
        <v>22</v>
      </c>
      <c r="AD20" t="s">
        <v>260</v>
      </c>
      <c r="AE20">
        <v>3.0869304791650691E-3</v>
      </c>
      <c r="AG20" t="s">
        <v>97</v>
      </c>
      <c r="AH20" t="s">
        <v>260</v>
      </c>
      <c r="AI20">
        <v>5.0572918025461489E-2</v>
      </c>
      <c r="AK20">
        <v>2020</v>
      </c>
      <c r="AL20" t="s">
        <v>175</v>
      </c>
      <c r="AM20">
        <v>0.41918646255735309</v>
      </c>
      <c r="AN20" t="s">
        <v>430</v>
      </c>
    </row>
    <row r="21" spans="3:40" x14ac:dyDescent="0.45">
      <c r="C21" t="s">
        <v>166</v>
      </c>
      <c r="I21" t="s">
        <v>249</v>
      </c>
      <c r="J21" t="s">
        <v>261</v>
      </c>
      <c r="K21">
        <v>5.6351738993605004E-3</v>
      </c>
      <c r="L21" t="s">
        <v>251</v>
      </c>
      <c r="N21" t="s">
        <v>419</v>
      </c>
      <c r="O21" t="s">
        <v>261</v>
      </c>
      <c r="P21">
        <v>1.1556557148236276E-3</v>
      </c>
      <c r="Q21" t="s">
        <v>251</v>
      </c>
      <c r="S21" t="s">
        <v>420</v>
      </c>
      <c r="T21" t="s">
        <v>261</v>
      </c>
      <c r="U21">
        <v>2.0457665836738988E-3</v>
      </c>
      <c r="V21" t="s">
        <v>251</v>
      </c>
      <c r="X21">
        <v>3.1963470319634705E-3</v>
      </c>
      <c r="Y21">
        <v>4.0838989301311864E-3</v>
      </c>
      <c r="Z21" t="s">
        <v>261</v>
      </c>
      <c r="AA21" t="s">
        <v>25</v>
      </c>
      <c r="AC21" t="s">
        <v>22</v>
      </c>
      <c r="AD21" t="s">
        <v>261</v>
      </c>
      <c r="AE21">
        <v>3.1947187109781102E-3</v>
      </c>
      <c r="AG21" t="s">
        <v>97</v>
      </c>
      <c r="AH21" t="s">
        <v>261</v>
      </c>
      <c r="AI21">
        <v>4.3209447839231307E-2</v>
      </c>
      <c r="AK21">
        <v>2020</v>
      </c>
      <c r="AL21" t="s">
        <v>166</v>
      </c>
      <c r="AM21">
        <v>0.28001304915180508</v>
      </c>
      <c r="AN21" t="s">
        <v>430</v>
      </c>
    </row>
    <row r="22" spans="3:40" x14ac:dyDescent="0.45">
      <c r="C22" t="s">
        <v>178</v>
      </c>
      <c r="I22" t="s">
        <v>249</v>
      </c>
      <c r="J22" t="s">
        <v>262</v>
      </c>
      <c r="K22">
        <v>8.0353932514736996E-3</v>
      </c>
      <c r="L22" t="s">
        <v>251</v>
      </c>
      <c r="N22" t="s">
        <v>419</v>
      </c>
      <c r="O22" t="s">
        <v>262</v>
      </c>
      <c r="P22">
        <v>1.0616092047809685E-3</v>
      </c>
      <c r="Q22" t="s">
        <v>251</v>
      </c>
      <c r="S22" t="s">
        <v>420</v>
      </c>
      <c r="T22" t="s">
        <v>262</v>
      </c>
      <c r="U22">
        <v>1.9680906790904224E-3</v>
      </c>
      <c r="V22" t="s">
        <v>251</v>
      </c>
      <c r="X22">
        <v>3.1963470319634705E-3</v>
      </c>
      <c r="Y22">
        <v>4.0467725762209023E-3</v>
      </c>
      <c r="Z22" t="s">
        <v>262</v>
      </c>
      <c r="AA22" t="s">
        <v>25</v>
      </c>
      <c r="AC22" t="s">
        <v>22</v>
      </c>
      <c r="AD22" t="s">
        <v>262</v>
      </c>
      <c r="AE22">
        <v>3.2472558088544453E-3</v>
      </c>
      <c r="AG22" t="s">
        <v>97</v>
      </c>
      <c r="AH22" t="s">
        <v>262</v>
      </c>
      <c r="AI22">
        <v>5.3013612391023646E-2</v>
      </c>
      <c r="AK22">
        <v>2020</v>
      </c>
      <c r="AL22" t="s">
        <v>178</v>
      </c>
      <c r="AM22">
        <v>0.25899526208215817</v>
      </c>
      <c r="AN22" t="s">
        <v>430</v>
      </c>
    </row>
    <row r="23" spans="3:40" x14ac:dyDescent="0.45">
      <c r="I23" t="s">
        <v>249</v>
      </c>
      <c r="J23" t="s">
        <v>263</v>
      </c>
      <c r="K23">
        <v>6.2216285412588598E-2</v>
      </c>
      <c r="L23" t="s">
        <v>251</v>
      </c>
      <c r="N23" t="s">
        <v>419</v>
      </c>
      <c r="O23" t="s">
        <v>263</v>
      </c>
      <c r="P23">
        <v>8.1032721134406665E-3</v>
      </c>
      <c r="Q23" t="s">
        <v>251</v>
      </c>
      <c r="S23" t="s">
        <v>420</v>
      </c>
      <c r="T23" t="s">
        <v>263</v>
      </c>
      <c r="U23">
        <v>1.1931276034789457E-2</v>
      </c>
      <c r="V23" t="s">
        <v>251</v>
      </c>
      <c r="X23">
        <v>2.2374429223744292E-2</v>
      </c>
      <c r="Y23">
        <v>3.1297516346368993E-2</v>
      </c>
      <c r="Z23" t="s">
        <v>263</v>
      </c>
      <c r="AA23" t="s">
        <v>25</v>
      </c>
      <c r="AC23" t="s">
        <v>22</v>
      </c>
      <c r="AD23" t="s">
        <v>263</v>
      </c>
      <c r="AE23">
        <v>2.3621561585166231E-2</v>
      </c>
      <c r="AG23" t="s">
        <v>97</v>
      </c>
      <c r="AH23" t="s">
        <v>263</v>
      </c>
      <c r="AI23">
        <v>0.18724621409254349</v>
      </c>
      <c r="AK23">
        <v>2021</v>
      </c>
      <c r="AL23" t="s">
        <v>151</v>
      </c>
      <c r="AM23">
        <v>0.24537183889815969</v>
      </c>
      <c r="AN23" t="s">
        <v>430</v>
      </c>
    </row>
    <row r="24" spans="3:40" x14ac:dyDescent="0.45">
      <c r="I24" t="s">
        <v>249</v>
      </c>
      <c r="J24" t="s">
        <v>264</v>
      </c>
      <c r="K24">
        <v>5.8968813723748997E-3</v>
      </c>
      <c r="L24" t="s">
        <v>251</v>
      </c>
      <c r="N24" t="s">
        <v>419</v>
      </c>
      <c r="O24" t="s">
        <v>264</v>
      </c>
      <c r="P24">
        <v>1.5021228212447084E-3</v>
      </c>
      <c r="Q24" t="s">
        <v>251</v>
      </c>
      <c r="S24" t="s">
        <v>420</v>
      </c>
      <c r="T24" t="s">
        <v>264</v>
      </c>
      <c r="U24">
        <v>1.8782052620364214E-3</v>
      </c>
      <c r="V24" t="s">
        <v>251</v>
      </c>
      <c r="X24">
        <v>3.1963470319634705E-3</v>
      </c>
      <c r="Y24">
        <v>6.2186642799724884E-3</v>
      </c>
      <c r="Z24" t="s">
        <v>264</v>
      </c>
      <c r="AA24" t="s">
        <v>25</v>
      </c>
      <c r="AC24" t="s">
        <v>22</v>
      </c>
      <c r="AD24" t="s">
        <v>264</v>
      </c>
      <c r="AE24">
        <v>1.550549872097061E-3</v>
      </c>
      <c r="AG24" t="s">
        <v>97</v>
      </c>
      <c r="AH24" t="s">
        <v>264</v>
      </c>
      <c r="AI24">
        <v>3.8164786322408384E-2</v>
      </c>
      <c r="AK24">
        <v>2021</v>
      </c>
      <c r="AL24" t="s">
        <v>156</v>
      </c>
      <c r="AM24">
        <v>0.24748569799873779</v>
      </c>
      <c r="AN24" t="s">
        <v>430</v>
      </c>
    </row>
    <row r="25" spans="3:40" x14ac:dyDescent="0.45">
      <c r="I25" t="s">
        <v>249</v>
      </c>
      <c r="J25" t="s">
        <v>265</v>
      </c>
      <c r="K25">
        <v>2.5564716072675395E-3</v>
      </c>
      <c r="L25" t="s">
        <v>251</v>
      </c>
      <c r="N25" t="s">
        <v>419</v>
      </c>
      <c r="O25" t="s">
        <v>265</v>
      </c>
      <c r="P25">
        <v>1.9679905989127169E-3</v>
      </c>
      <c r="Q25" t="s">
        <v>251</v>
      </c>
      <c r="S25" t="s">
        <v>420</v>
      </c>
      <c r="T25" t="s">
        <v>265</v>
      </c>
      <c r="U25">
        <v>1.9764555667397491E-3</v>
      </c>
      <c r="V25" t="s">
        <v>251</v>
      </c>
      <c r="X25">
        <v>3.1963470319634705E-3</v>
      </c>
      <c r="Y25">
        <v>4.8264260083368555E-3</v>
      </c>
      <c r="Z25" t="s">
        <v>265</v>
      </c>
      <c r="AA25" t="s">
        <v>25</v>
      </c>
      <c r="AC25" t="s">
        <v>22</v>
      </c>
      <c r="AD25" t="s">
        <v>265</v>
      </c>
      <c r="AE25">
        <v>8.6897921041426216E-4</v>
      </c>
      <c r="AG25" t="s">
        <v>97</v>
      </c>
      <c r="AH25" t="s">
        <v>265</v>
      </c>
      <c r="AI25">
        <v>3.9400044323796291E-2</v>
      </c>
      <c r="AK25">
        <v>2021</v>
      </c>
      <c r="AL25" t="s">
        <v>159</v>
      </c>
      <c r="AM25">
        <v>0.25370413787713708</v>
      </c>
      <c r="AN25" t="s">
        <v>430</v>
      </c>
    </row>
    <row r="26" spans="3:40" x14ac:dyDescent="0.45">
      <c r="I26" t="s">
        <v>249</v>
      </c>
      <c r="J26" t="s">
        <v>266</v>
      </c>
      <c r="K26">
        <v>0</v>
      </c>
      <c r="L26" t="s">
        <v>251</v>
      </c>
      <c r="N26" t="s">
        <v>419</v>
      </c>
      <c r="O26" t="s">
        <v>266</v>
      </c>
      <c r="P26">
        <v>1.6202772410428563E-2</v>
      </c>
      <c r="Q26" t="s">
        <v>251</v>
      </c>
      <c r="S26" t="s">
        <v>420</v>
      </c>
      <c r="T26" t="s">
        <v>266</v>
      </c>
      <c r="U26">
        <v>1.0385168473129387E-2</v>
      </c>
      <c r="V26" t="s">
        <v>251</v>
      </c>
      <c r="X26">
        <v>1.5981735159817351E-2</v>
      </c>
      <c r="Y26">
        <v>1.2066065020842141E-2</v>
      </c>
      <c r="Z26" t="s">
        <v>266</v>
      </c>
      <c r="AA26" t="s">
        <v>25</v>
      </c>
      <c r="AC26" t="s">
        <v>22</v>
      </c>
      <c r="AD26" t="s">
        <v>266</v>
      </c>
      <c r="AE26">
        <v>4.1156959296003168E-3</v>
      </c>
      <c r="AG26" t="s">
        <v>97</v>
      </c>
      <c r="AH26" t="s">
        <v>266</v>
      </c>
      <c r="AI26">
        <v>0.15706424323730062</v>
      </c>
      <c r="AK26">
        <v>2021</v>
      </c>
      <c r="AL26" t="s">
        <v>163</v>
      </c>
      <c r="AM26">
        <v>0.25859816635789279</v>
      </c>
      <c r="AN26" t="s">
        <v>430</v>
      </c>
    </row>
    <row r="27" spans="3:40" x14ac:dyDescent="0.45">
      <c r="I27" t="s">
        <v>249</v>
      </c>
      <c r="J27" t="s">
        <v>267</v>
      </c>
      <c r="K27">
        <v>2.9312646605838719E-4</v>
      </c>
      <c r="L27" t="s">
        <v>251</v>
      </c>
      <c r="N27" t="s">
        <v>419</v>
      </c>
      <c r="O27" t="s">
        <v>267</v>
      </c>
      <c r="P27">
        <v>1.9345563279855673E-2</v>
      </c>
      <c r="Q27" t="s">
        <v>251</v>
      </c>
      <c r="S27" t="s">
        <v>420</v>
      </c>
      <c r="T27" t="s">
        <v>267</v>
      </c>
      <c r="U27">
        <v>1.6143224990212101E-2</v>
      </c>
      <c r="V27" t="s">
        <v>251</v>
      </c>
      <c r="X27">
        <v>2.4771689497716895E-2</v>
      </c>
      <c r="Y27">
        <v>9.7827942553597048E-3</v>
      </c>
      <c r="Z27" t="s">
        <v>267</v>
      </c>
      <c r="AA27" t="s">
        <v>25</v>
      </c>
      <c r="AC27" t="s">
        <v>22</v>
      </c>
      <c r="AD27" t="s">
        <v>267</v>
      </c>
      <c r="AE27">
        <v>2.4302320859487976E-2</v>
      </c>
      <c r="AG27" t="s">
        <v>97</v>
      </c>
      <c r="AH27" t="s">
        <v>267</v>
      </c>
      <c r="AI27">
        <v>0.14526265579127196</v>
      </c>
      <c r="AK27">
        <v>2021</v>
      </c>
      <c r="AL27" t="s">
        <v>167</v>
      </c>
      <c r="AM27">
        <v>0.35369172562486489</v>
      </c>
      <c r="AN27" t="s">
        <v>430</v>
      </c>
    </row>
    <row r="28" spans="3:40" x14ac:dyDescent="0.45">
      <c r="I28" t="s">
        <v>249</v>
      </c>
      <c r="J28" t="s">
        <v>268</v>
      </c>
      <c r="K28">
        <v>3.4677654736681939E-3</v>
      </c>
      <c r="L28" t="s">
        <v>251</v>
      </c>
      <c r="N28" t="s">
        <v>419</v>
      </c>
      <c r="O28" t="s">
        <v>268</v>
      </c>
      <c r="P28">
        <v>1.6352365781032144E-3</v>
      </c>
      <c r="Q28" t="s">
        <v>251</v>
      </c>
      <c r="S28" t="s">
        <v>420</v>
      </c>
      <c r="T28" t="s">
        <v>268</v>
      </c>
      <c r="U28">
        <v>2.0041009813787599E-3</v>
      </c>
      <c r="V28" t="s">
        <v>251</v>
      </c>
      <c r="X28">
        <v>3.5388127853881279E-3</v>
      </c>
      <c r="Y28">
        <v>5.9087255218821738E-3</v>
      </c>
      <c r="Z28" t="s">
        <v>268</v>
      </c>
      <c r="AA28" t="s">
        <v>25</v>
      </c>
      <c r="AC28" t="s">
        <v>22</v>
      </c>
      <c r="AD28" t="s">
        <v>268</v>
      </c>
      <c r="AE28">
        <v>4.2282817583791125E-3</v>
      </c>
      <c r="AG28" t="s">
        <v>97</v>
      </c>
      <c r="AH28" t="s">
        <v>268</v>
      </c>
      <c r="AI28">
        <v>4.2218000759207452E-2</v>
      </c>
      <c r="AK28">
        <v>2021</v>
      </c>
      <c r="AL28" t="s">
        <v>169</v>
      </c>
      <c r="AM28">
        <v>0.49671037005367918</v>
      </c>
      <c r="AN28" t="s">
        <v>430</v>
      </c>
    </row>
    <row r="29" spans="3:40" x14ac:dyDescent="0.45">
      <c r="I29" t="s">
        <v>249</v>
      </c>
      <c r="J29" t="s">
        <v>269</v>
      </c>
      <c r="K29">
        <v>7.2857682322527845E-3</v>
      </c>
      <c r="L29" t="s">
        <v>251</v>
      </c>
      <c r="N29" t="s">
        <v>419</v>
      </c>
      <c r="O29" t="s">
        <v>269</v>
      </c>
      <c r="P29">
        <v>1.1202547024485481E-3</v>
      </c>
      <c r="Q29" t="s">
        <v>251</v>
      </c>
      <c r="S29" t="s">
        <v>420</v>
      </c>
      <c r="T29" t="s">
        <v>269</v>
      </c>
      <c r="U29">
        <v>1.8781287612856272E-3</v>
      </c>
      <c r="V29" t="s">
        <v>251</v>
      </c>
      <c r="X29">
        <v>3.5388127853881279E-3</v>
      </c>
      <c r="Y29">
        <v>4.521459529788099E-3</v>
      </c>
      <c r="Z29" t="s">
        <v>269</v>
      </c>
      <c r="AA29" t="s">
        <v>25</v>
      </c>
      <c r="AC29" t="s">
        <v>22</v>
      </c>
      <c r="AD29" t="s">
        <v>269</v>
      </c>
      <c r="AE29">
        <v>4.485965889848227E-3</v>
      </c>
      <c r="AG29" t="s">
        <v>97</v>
      </c>
      <c r="AH29" t="s">
        <v>269</v>
      </c>
      <c r="AI29">
        <v>3.3345104619624921E-2</v>
      </c>
      <c r="AK29">
        <v>2021</v>
      </c>
      <c r="AL29" t="s">
        <v>171</v>
      </c>
      <c r="AM29">
        <v>0.57377934693164512</v>
      </c>
      <c r="AN29" t="s">
        <v>430</v>
      </c>
    </row>
    <row r="30" spans="3:40" x14ac:dyDescent="0.45">
      <c r="I30" t="s">
        <v>249</v>
      </c>
      <c r="J30" t="s">
        <v>270</v>
      </c>
      <c r="K30">
        <v>9.4148614109767995E-3</v>
      </c>
      <c r="L30" t="s">
        <v>251</v>
      </c>
      <c r="N30" t="s">
        <v>419</v>
      </c>
      <c r="O30" t="s">
        <v>270</v>
      </c>
      <c r="P30">
        <v>1.0053230087414301E-3</v>
      </c>
      <c r="Q30" t="s">
        <v>251</v>
      </c>
      <c r="S30" t="s">
        <v>420</v>
      </c>
      <c r="T30" t="s">
        <v>270</v>
      </c>
      <c r="U30">
        <v>1.7552643939331876E-3</v>
      </c>
      <c r="V30" t="s">
        <v>251</v>
      </c>
      <c r="X30">
        <v>3.5388127853881279E-3</v>
      </c>
      <c r="Y30">
        <v>4.4803553522445696E-3</v>
      </c>
      <c r="Z30" t="s">
        <v>270</v>
      </c>
      <c r="AA30" t="s">
        <v>25</v>
      </c>
      <c r="AC30" t="s">
        <v>22</v>
      </c>
      <c r="AD30" t="s">
        <v>270</v>
      </c>
      <c r="AE30">
        <v>4.6045679287228247E-3</v>
      </c>
      <c r="AG30" t="s">
        <v>97</v>
      </c>
      <c r="AH30" t="s">
        <v>270</v>
      </c>
      <c r="AI30">
        <v>2.2564439224357358E-2</v>
      </c>
      <c r="AK30">
        <v>2021</v>
      </c>
      <c r="AL30" t="s">
        <v>158</v>
      </c>
      <c r="AM30">
        <v>0.62492242342329907</v>
      </c>
      <c r="AN30" t="s">
        <v>430</v>
      </c>
    </row>
    <row r="31" spans="3:40" x14ac:dyDescent="0.45">
      <c r="I31" t="s">
        <v>249</v>
      </c>
      <c r="J31" t="s">
        <v>271</v>
      </c>
      <c r="K31">
        <v>7.16507697908111E-2</v>
      </c>
      <c r="L31" t="s">
        <v>251</v>
      </c>
      <c r="N31" t="s">
        <v>419</v>
      </c>
      <c r="O31" t="s">
        <v>271</v>
      </c>
      <c r="P31">
        <v>7.846475582240317E-3</v>
      </c>
      <c r="Q31" t="s">
        <v>251</v>
      </c>
      <c r="S31" t="s">
        <v>420</v>
      </c>
      <c r="T31" t="s">
        <v>271</v>
      </c>
      <c r="U31">
        <v>1.1697585227563988E-2</v>
      </c>
      <c r="V31" t="s">
        <v>251</v>
      </c>
      <c r="X31">
        <v>2.4771689497716895E-2</v>
      </c>
      <c r="Y31">
        <v>3.4650821669194247E-2</v>
      </c>
      <c r="Z31" t="s">
        <v>271</v>
      </c>
      <c r="AA31" t="s">
        <v>25</v>
      </c>
      <c r="AC31" t="s">
        <v>22</v>
      </c>
      <c r="AD31" t="s">
        <v>271</v>
      </c>
      <c r="AE31">
        <v>3.1498985220223361E-2</v>
      </c>
      <c r="AG31" t="s">
        <v>97</v>
      </c>
      <c r="AH31" t="s">
        <v>271</v>
      </c>
      <c r="AI31">
        <v>0.15398274646096599</v>
      </c>
      <c r="AK31">
        <v>2021</v>
      </c>
      <c r="AL31" t="s">
        <v>162</v>
      </c>
      <c r="AM31">
        <v>0.57271626051018953</v>
      </c>
      <c r="AN31" t="s">
        <v>430</v>
      </c>
    </row>
    <row r="32" spans="3:40" x14ac:dyDescent="0.45">
      <c r="I32" t="s">
        <v>249</v>
      </c>
      <c r="J32" t="s">
        <v>272</v>
      </c>
      <c r="K32">
        <v>7.0094705433080004E-3</v>
      </c>
      <c r="L32" t="s">
        <v>251</v>
      </c>
      <c r="N32" t="s">
        <v>419</v>
      </c>
      <c r="O32" t="s">
        <v>272</v>
      </c>
      <c r="P32">
        <v>1.7617574108067997E-3</v>
      </c>
      <c r="Q32" t="s">
        <v>251</v>
      </c>
      <c r="S32" t="s">
        <v>420</v>
      </c>
      <c r="T32" t="s">
        <v>272</v>
      </c>
      <c r="U32">
        <v>2.1600429705377054E-3</v>
      </c>
      <c r="V32" t="s">
        <v>251</v>
      </c>
      <c r="X32">
        <v>3.5388127853881279E-3</v>
      </c>
      <c r="Y32">
        <v>6.8849497385409693E-3</v>
      </c>
      <c r="Z32" t="s">
        <v>272</v>
      </c>
      <c r="AA32" t="s">
        <v>25</v>
      </c>
      <c r="AC32" t="s">
        <v>22</v>
      </c>
      <c r="AD32" t="s">
        <v>272</v>
      </c>
      <c r="AE32">
        <v>1.8909129029720201E-3</v>
      </c>
      <c r="AG32" t="s">
        <v>97</v>
      </c>
      <c r="AH32" t="s">
        <v>272</v>
      </c>
      <c r="AI32">
        <v>9.3662396235574263E-3</v>
      </c>
      <c r="AK32">
        <v>2021</v>
      </c>
      <c r="AL32" t="s">
        <v>175</v>
      </c>
      <c r="AM32">
        <v>0.48298602012623709</v>
      </c>
      <c r="AN32" t="s">
        <v>430</v>
      </c>
    </row>
    <row r="33" spans="9:40" x14ac:dyDescent="0.45">
      <c r="I33" t="s">
        <v>249</v>
      </c>
      <c r="J33" t="s">
        <v>273</v>
      </c>
      <c r="K33">
        <v>3.2517568683463165E-3</v>
      </c>
      <c r="L33" t="s">
        <v>251</v>
      </c>
      <c r="N33" t="s">
        <v>419</v>
      </c>
      <c r="O33" t="s">
        <v>273</v>
      </c>
      <c r="P33">
        <v>2.3440424715298353E-3</v>
      </c>
      <c r="Q33" t="s">
        <v>251</v>
      </c>
      <c r="S33" t="s">
        <v>420</v>
      </c>
      <c r="T33" t="s">
        <v>273</v>
      </c>
      <c r="U33">
        <v>2.2669641357076502E-3</v>
      </c>
      <c r="V33" t="s">
        <v>251</v>
      </c>
      <c r="X33">
        <v>3.5388127853881279E-3</v>
      </c>
      <c r="Y33">
        <v>5.3435430806586613E-3</v>
      </c>
      <c r="Z33" t="s">
        <v>273</v>
      </c>
      <c r="AA33" t="s">
        <v>25</v>
      </c>
      <c r="AC33" t="s">
        <v>22</v>
      </c>
      <c r="AD33" t="s">
        <v>273</v>
      </c>
      <c r="AE33">
        <v>1.3568416337343522E-3</v>
      </c>
      <c r="AG33" t="s">
        <v>97</v>
      </c>
      <c r="AH33" t="s">
        <v>273</v>
      </c>
      <c r="AI33">
        <v>0.20468904606086746</v>
      </c>
      <c r="AK33">
        <v>2021</v>
      </c>
      <c r="AL33" t="s">
        <v>166</v>
      </c>
      <c r="AM33">
        <v>0.3141180941522968</v>
      </c>
      <c r="AN33" t="s">
        <v>430</v>
      </c>
    </row>
    <row r="34" spans="9:40" x14ac:dyDescent="0.45">
      <c r="I34" t="s">
        <v>249</v>
      </c>
      <c r="J34" t="s">
        <v>274</v>
      </c>
      <c r="K34">
        <v>0</v>
      </c>
      <c r="L34" t="s">
        <v>251</v>
      </c>
      <c r="N34" t="s">
        <v>419</v>
      </c>
      <c r="O34" t="s">
        <v>274</v>
      </c>
      <c r="P34">
        <v>1.9002466882048097E-2</v>
      </c>
      <c r="Q34" t="s">
        <v>251</v>
      </c>
      <c r="S34" t="s">
        <v>420</v>
      </c>
      <c r="T34" t="s">
        <v>274</v>
      </c>
      <c r="U34">
        <v>1.1863639741341246E-2</v>
      </c>
      <c r="V34" t="s">
        <v>251</v>
      </c>
      <c r="X34">
        <v>1.7694063926940638E-2</v>
      </c>
      <c r="Y34">
        <v>1.3358857701646654E-2</v>
      </c>
      <c r="Z34" t="s">
        <v>274</v>
      </c>
      <c r="AA34" t="s">
        <v>25</v>
      </c>
      <c r="AC34" t="s">
        <v>22</v>
      </c>
      <c r="AD34" t="s">
        <v>274</v>
      </c>
      <c r="AE34">
        <v>7.0952003803463459E-3</v>
      </c>
      <c r="AG34" t="s">
        <v>97</v>
      </c>
      <c r="AH34" t="s">
        <v>274</v>
      </c>
      <c r="AI34">
        <v>0.24030876524921596</v>
      </c>
      <c r="AK34">
        <v>2021</v>
      </c>
      <c r="AL34" t="s">
        <v>178</v>
      </c>
      <c r="AM34">
        <v>0.2580139476938495</v>
      </c>
      <c r="AN34" t="s">
        <v>430</v>
      </c>
    </row>
    <row r="35" spans="9:40" x14ac:dyDescent="0.45">
      <c r="I35" t="s">
        <v>249</v>
      </c>
      <c r="J35" t="s">
        <v>275</v>
      </c>
      <c r="K35">
        <v>1.0360373361579407E-3</v>
      </c>
      <c r="L35" t="s">
        <v>251</v>
      </c>
      <c r="N35" t="s">
        <v>419</v>
      </c>
      <c r="O35" t="s">
        <v>275</v>
      </c>
      <c r="P35">
        <v>1.9485233150436806E-2</v>
      </c>
      <c r="Q35" t="s">
        <v>251</v>
      </c>
      <c r="S35" t="s">
        <v>420</v>
      </c>
      <c r="T35" t="s">
        <v>275</v>
      </c>
      <c r="U35">
        <v>1.7777663579304985E-2</v>
      </c>
      <c r="V35" t="s">
        <v>251</v>
      </c>
      <c r="X35">
        <v>2.3972602739726026E-2</v>
      </c>
      <c r="Y35">
        <v>9.4672202471222967E-3</v>
      </c>
      <c r="Z35" t="s">
        <v>275</v>
      </c>
      <c r="AA35" t="s">
        <v>25</v>
      </c>
      <c r="AC35" t="s">
        <v>22</v>
      </c>
      <c r="AD35" t="s">
        <v>275</v>
      </c>
      <c r="AE35">
        <v>2.9518305559343878E-2</v>
      </c>
      <c r="AG35" t="s">
        <v>97</v>
      </c>
      <c r="AH35" t="s">
        <v>275</v>
      </c>
      <c r="AI35">
        <v>0.16334421103227581</v>
      </c>
      <c r="AK35">
        <v>2022</v>
      </c>
      <c r="AL35" t="s">
        <v>151</v>
      </c>
      <c r="AM35">
        <v>0.22856863093367569</v>
      </c>
      <c r="AN35" t="s">
        <v>430</v>
      </c>
    </row>
    <row r="36" spans="9:40" x14ac:dyDescent="0.45">
      <c r="I36" t="s">
        <v>249</v>
      </c>
      <c r="J36" t="s">
        <v>276</v>
      </c>
      <c r="K36">
        <v>4.7521279065798E-3</v>
      </c>
      <c r="L36" t="s">
        <v>251</v>
      </c>
      <c r="N36" t="s">
        <v>419</v>
      </c>
      <c r="O36" t="s">
        <v>276</v>
      </c>
      <c r="P36">
        <v>1.3223677969484721E-3</v>
      </c>
      <c r="Q36" t="s">
        <v>251</v>
      </c>
      <c r="S36" t="s">
        <v>420</v>
      </c>
      <c r="T36" t="s">
        <v>276</v>
      </c>
      <c r="U36">
        <v>1.960563960703049E-3</v>
      </c>
      <c r="V36" t="s">
        <v>251</v>
      </c>
      <c r="X36">
        <v>3.4246575342465752E-3</v>
      </c>
      <c r="Y36">
        <v>5.7181214727892006E-3</v>
      </c>
      <c r="Z36" t="s">
        <v>276</v>
      </c>
      <c r="AA36" t="s">
        <v>25</v>
      </c>
      <c r="AC36" t="s">
        <v>22</v>
      </c>
      <c r="AD36" t="s">
        <v>276</v>
      </c>
      <c r="AE36">
        <v>5.1934961842249223E-3</v>
      </c>
      <c r="AG36" t="s">
        <v>97</v>
      </c>
      <c r="AH36" t="s">
        <v>276</v>
      </c>
      <c r="AI36">
        <v>3.5216654126259295E-2</v>
      </c>
      <c r="AK36">
        <v>2022</v>
      </c>
      <c r="AL36" t="s">
        <v>156</v>
      </c>
      <c r="AM36">
        <v>0.25211270446340328</v>
      </c>
      <c r="AN36" t="s">
        <v>430</v>
      </c>
    </row>
    <row r="37" spans="9:40" x14ac:dyDescent="0.45">
      <c r="I37" t="s">
        <v>249</v>
      </c>
      <c r="J37" t="s">
        <v>277</v>
      </c>
      <c r="K37">
        <v>7.4743577824974003E-3</v>
      </c>
      <c r="L37" t="s">
        <v>251</v>
      </c>
      <c r="N37" t="s">
        <v>419</v>
      </c>
      <c r="O37" t="s">
        <v>277</v>
      </c>
      <c r="P37">
        <v>1.1012807675443903E-3</v>
      </c>
      <c r="Q37" t="s">
        <v>251</v>
      </c>
      <c r="S37" t="s">
        <v>420</v>
      </c>
      <c r="T37" t="s">
        <v>277</v>
      </c>
      <c r="U37">
        <v>1.8117095019118666E-3</v>
      </c>
      <c r="V37" t="s">
        <v>251</v>
      </c>
      <c r="X37">
        <v>3.4246575342465752E-3</v>
      </c>
      <c r="Y37">
        <v>4.3756059965691279E-3</v>
      </c>
      <c r="Z37" t="s">
        <v>277</v>
      </c>
      <c r="AA37" t="s">
        <v>25</v>
      </c>
      <c r="AC37" t="s">
        <v>22</v>
      </c>
      <c r="AD37" t="s">
        <v>277</v>
      </c>
      <c r="AE37">
        <v>5.3258221542126722E-3</v>
      </c>
      <c r="AG37" t="s">
        <v>97</v>
      </c>
      <c r="AH37" t="s">
        <v>277</v>
      </c>
      <c r="AI37">
        <v>3.0311797291973974E-2</v>
      </c>
      <c r="AK37">
        <v>2022</v>
      </c>
      <c r="AL37" t="s">
        <v>159</v>
      </c>
      <c r="AM37">
        <v>0.3193698678799306</v>
      </c>
      <c r="AN37" t="s">
        <v>430</v>
      </c>
    </row>
    <row r="38" spans="9:40" x14ac:dyDescent="0.45">
      <c r="I38" t="s">
        <v>249</v>
      </c>
      <c r="J38" t="s">
        <v>278</v>
      </c>
      <c r="K38">
        <v>9.0619381609644001E-3</v>
      </c>
      <c r="L38" t="s">
        <v>251</v>
      </c>
      <c r="N38" t="s">
        <v>419</v>
      </c>
      <c r="O38" t="s">
        <v>278</v>
      </c>
      <c r="P38">
        <v>9.9556642823737593E-4</v>
      </c>
      <c r="Q38" t="s">
        <v>251</v>
      </c>
      <c r="S38" t="s">
        <v>420</v>
      </c>
      <c r="T38" t="s">
        <v>278</v>
      </c>
      <c r="U38">
        <v>1.6715865529542569E-3</v>
      </c>
      <c r="V38" t="s">
        <v>251</v>
      </c>
      <c r="X38">
        <v>3.4246575342465752E-3</v>
      </c>
      <c r="Y38">
        <v>4.3358277602366805E-3</v>
      </c>
      <c r="Z38" t="s">
        <v>278</v>
      </c>
      <c r="AA38" t="s">
        <v>25</v>
      </c>
      <c r="AC38" t="s">
        <v>22</v>
      </c>
      <c r="AD38" t="s">
        <v>278</v>
      </c>
      <c r="AE38">
        <v>5.3672123182696308E-3</v>
      </c>
      <c r="AG38" t="s">
        <v>97</v>
      </c>
      <c r="AH38" t="s">
        <v>278</v>
      </c>
      <c r="AI38">
        <v>2.5632939012395717E-2</v>
      </c>
      <c r="AK38">
        <v>2022</v>
      </c>
      <c r="AL38" t="s">
        <v>163</v>
      </c>
      <c r="AM38">
        <v>0.3594286789966587</v>
      </c>
      <c r="AN38" t="s">
        <v>430</v>
      </c>
    </row>
    <row r="39" spans="9:40" x14ac:dyDescent="0.45">
      <c r="I39" t="s">
        <v>249</v>
      </c>
      <c r="J39" t="s">
        <v>279</v>
      </c>
      <c r="K39">
        <v>6.8036515685839002E-2</v>
      </c>
      <c r="L39" t="s">
        <v>251</v>
      </c>
      <c r="N39" t="s">
        <v>419</v>
      </c>
      <c r="O39" t="s">
        <v>279</v>
      </c>
      <c r="P39">
        <v>9.4407612288413979E-3</v>
      </c>
      <c r="Q39" t="s">
        <v>251</v>
      </c>
      <c r="S39" t="s">
        <v>420</v>
      </c>
      <c r="T39" t="s">
        <v>279</v>
      </c>
      <c r="U39">
        <v>1.4296790910960555E-2</v>
      </c>
      <c r="V39" t="s">
        <v>251</v>
      </c>
      <c r="X39">
        <v>2.3972602739726026E-2</v>
      </c>
      <c r="Y39">
        <v>3.3533053228252493E-2</v>
      </c>
      <c r="Z39" t="s">
        <v>279</v>
      </c>
      <c r="AA39" t="s">
        <v>25</v>
      </c>
      <c r="AC39" t="s">
        <v>22</v>
      </c>
      <c r="AD39" t="s">
        <v>279</v>
      </c>
      <c r="AE39">
        <v>3.6374035294971817E-2</v>
      </c>
      <c r="AG39" t="s">
        <v>97</v>
      </c>
      <c r="AH39" t="s">
        <v>279</v>
      </c>
      <c r="AI39">
        <v>0.12107479110399866</v>
      </c>
      <c r="AK39">
        <v>2022</v>
      </c>
      <c r="AL39" t="s">
        <v>167</v>
      </c>
      <c r="AM39">
        <v>0.3851224877375633</v>
      </c>
      <c r="AN39" t="s">
        <v>430</v>
      </c>
    </row>
    <row r="40" spans="9:40" x14ac:dyDescent="0.45">
      <c r="I40" t="s">
        <v>249</v>
      </c>
      <c r="J40" t="s">
        <v>280</v>
      </c>
      <c r="K40">
        <v>6.2620054594643999E-3</v>
      </c>
      <c r="L40" t="s">
        <v>251</v>
      </c>
      <c r="N40" t="s">
        <v>419</v>
      </c>
      <c r="O40" t="s">
        <v>280</v>
      </c>
      <c r="P40">
        <v>2.7097780121235144E-3</v>
      </c>
      <c r="Q40" t="s">
        <v>251</v>
      </c>
      <c r="S40" t="s">
        <v>420</v>
      </c>
      <c r="T40" t="s">
        <v>280</v>
      </c>
      <c r="U40">
        <v>2.9540873951373016E-3</v>
      </c>
      <c r="V40" t="s">
        <v>251</v>
      </c>
      <c r="X40">
        <v>3.4246575342465752E-3</v>
      </c>
      <c r="Y40">
        <v>6.662854585684809E-3</v>
      </c>
      <c r="Z40" t="s">
        <v>280</v>
      </c>
      <c r="AA40" t="s">
        <v>25</v>
      </c>
      <c r="AC40" t="s">
        <v>22</v>
      </c>
      <c r="AD40" t="s">
        <v>280</v>
      </c>
      <c r="AE40">
        <v>2.7678320259506982E-3</v>
      </c>
      <c r="AG40" t="s">
        <v>97</v>
      </c>
      <c r="AH40" t="s">
        <v>280</v>
      </c>
      <c r="AI40">
        <v>8.6761717202879396E-2</v>
      </c>
      <c r="AK40">
        <v>2022</v>
      </c>
      <c r="AL40" t="s">
        <v>169</v>
      </c>
      <c r="AM40">
        <v>0.43060849922349292</v>
      </c>
      <c r="AN40" t="s">
        <v>430</v>
      </c>
    </row>
    <row r="41" spans="9:40" x14ac:dyDescent="0.45">
      <c r="I41" t="s">
        <v>249</v>
      </c>
      <c r="J41" t="s">
        <v>281</v>
      </c>
      <c r="K41">
        <v>3.5888896639685057E-3</v>
      </c>
      <c r="L41" t="s">
        <v>251</v>
      </c>
      <c r="N41" t="s">
        <v>419</v>
      </c>
      <c r="O41" t="s">
        <v>281</v>
      </c>
      <c r="P41">
        <v>3.2681817578805012E-3</v>
      </c>
      <c r="Q41" t="s">
        <v>251</v>
      </c>
      <c r="S41" t="s">
        <v>420</v>
      </c>
      <c r="T41" t="s">
        <v>281</v>
      </c>
      <c r="U41">
        <v>3.0913498080904936E-3</v>
      </c>
      <c r="V41" t="s">
        <v>251</v>
      </c>
      <c r="X41">
        <v>3.4246575342465752E-3</v>
      </c>
      <c r="Y41">
        <v>5.1711707232180593E-3</v>
      </c>
      <c r="Z41" t="s">
        <v>281</v>
      </c>
      <c r="AA41" t="s">
        <v>25</v>
      </c>
      <c r="AC41" t="s">
        <v>22</v>
      </c>
      <c r="AD41" t="s">
        <v>281</v>
      </c>
      <c r="AE41">
        <v>3.3043699929870768E-3</v>
      </c>
      <c r="AG41" t="s">
        <v>97</v>
      </c>
      <c r="AH41" t="s">
        <v>281</v>
      </c>
      <c r="AI41">
        <v>0.11709209908661999</v>
      </c>
      <c r="AK41">
        <v>2022</v>
      </c>
      <c r="AL41" t="s">
        <v>171</v>
      </c>
      <c r="AM41">
        <v>0.58949643171063837</v>
      </c>
      <c r="AN41" t="s">
        <v>430</v>
      </c>
    </row>
    <row r="42" spans="9:40" x14ac:dyDescent="0.45">
      <c r="I42" t="s">
        <v>249</v>
      </c>
      <c r="J42" t="s">
        <v>282</v>
      </c>
      <c r="K42">
        <v>2.4148579671858214E-4</v>
      </c>
      <c r="L42" t="s">
        <v>251</v>
      </c>
      <c r="N42" t="s">
        <v>419</v>
      </c>
      <c r="O42" t="s">
        <v>282</v>
      </c>
      <c r="P42">
        <v>2.094799313478261E-2</v>
      </c>
      <c r="Q42" t="s">
        <v>251</v>
      </c>
      <c r="S42" t="s">
        <v>420</v>
      </c>
      <c r="T42" t="s">
        <v>282</v>
      </c>
      <c r="U42">
        <v>1.53525731100944E-2</v>
      </c>
      <c r="V42" t="s">
        <v>251</v>
      </c>
      <c r="X42">
        <v>1.7123287671232876E-2</v>
      </c>
      <c r="Y42">
        <v>1.2927926808045149E-2</v>
      </c>
      <c r="Z42" t="s">
        <v>282</v>
      </c>
      <c r="AA42" t="s">
        <v>25</v>
      </c>
      <c r="AC42" t="s">
        <v>22</v>
      </c>
      <c r="AD42" t="s">
        <v>282</v>
      </c>
      <c r="AE42">
        <v>1.3764633323452066E-2</v>
      </c>
      <c r="AG42" t="s">
        <v>97</v>
      </c>
      <c r="AH42" t="s">
        <v>282</v>
      </c>
      <c r="AI42">
        <v>0.17218577644945188</v>
      </c>
      <c r="AK42">
        <v>2022</v>
      </c>
      <c r="AL42" t="s">
        <v>158</v>
      </c>
      <c r="AM42">
        <v>0.70961593638562115</v>
      </c>
      <c r="AN42" t="s">
        <v>430</v>
      </c>
    </row>
    <row r="43" spans="9:40" x14ac:dyDescent="0.45">
      <c r="I43" t="s">
        <v>249</v>
      </c>
      <c r="J43" t="s">
        <v>283</v>
      </c>
      <c r="K43">
        <v>1.7670272179208782E-3</v>
      </c>
      <c r="L43" t="s">
        <v>251</v>
      </c>
      <c r="N43" t="s">
        <v>419</v>
      </c>
      <c r="O43" t="s">
        <v>283</v>
      </c>
      <c r="P43">
        <v>3.7236251817725795E-2</v>
      </c>
      <c r="Q43" t="s">
        <v>251</v>
      </c>
      <c r="S43" t="s">
        <v>420</v>
      </c>
      <c r="T43" t="s">
        <v>283</v>
      </c>
      <c r="U43">
        <v>2.9348632349428468E-2</v>
      </c>
      <c r="V43" t="s">
        <v>251</v>
      </c>
      <c r="X43">
        <v>2.4771689497716895E-2</v>
      </c>
      <c r="Y43">
        <v>9.7827942553597048E-3</v>
      </c>
      <c r="Z43" t="s">
        <v>283</v>
      </c>
      <c r="AA43" t="s">
        <v>25</v>
      </c>
      <c r="AC43" t="s">
        <v>22</v>
      </c>
      <c r="AD43" t="s">
        <v>283</v>
      </c>
      <c r="AE43">
        <v>3.3825157257624083E-2</v>
      </c>
      <c r="AG43" t="s">
        <v>97</v>
      </c>
      <c r="AH43" t="s">
        <v>283</v>
      </c>
      <c r="AI43">
        <v>0.1040152179592515</v>
      </c>
      <c r="AK43">
        <v>2022</v>
      </c>
      <c r="AL43" t="s">
        <v>162</v>
      </c>
      <c r="AM43">
        <v>0.69297378700174128</v>
      </c>
      <c r="AN43" t="s">
        <v>430</v>
      </c>
    </row>
    <row r="44" spans="9:40" x14ac:dyDescent="0.45">
      <c r="I44" t="s">
        <v>249</v>
      </c>
      <c r="J44" t="s">
        <v>284</v>
      </c>
      <c r="K44">
        <v>5.2458382221451999E-3</v>
      </c>
      <c r="L44" t="s">
        <v>251</v>
      </c>
      <c r="N44" t="s">
        <v>419</v>
      </c>
      <c r="O44" t="s">
        <v>284</v>
      </c>
      <c r="P44">
        <v>4.2387441648916542E-3</v>
      </c>
      <c r="Q44" t="s">
        <v>251</v>
      </c>
      <c r="S44" t="s">
        <v>420</v>
      </c>
      <c r="T44" t="s">
        <v>284</v>
      </c>
      <c r="U44">
        <v>3.4891517956613686E-3</v>
      </c>
      <c r="V44" t="s">
        <v>251</v>
      </c>
      <c r="X44">
        <v>3.5388127853881279E-3</v>
      </c>
      <c r="Y44">
        <v>5.9087255218821738E-3</v>
      </c>
      <c r="Z44" t="s">
        <v>284</v>
      </c>
      <c r="AA44" t="s">
        <v>25</v>
      </c>
      <c r="AC44" t="s">
        <v>22</v>
      </c>
      <c r="AD44" t="s">
        <v>284</v>
      </c>
      <c r="AE44">
        <v>5.5871952887510202E-3</v>
      </c>
      <c r="AG44" t="s">
        <v>97</v>
      </c>
      <c r="AH44" t="s">
        <v>284</v>
      </c>
      <c r="AI44">
        <v>1.4636729188804765E-2</v>
      </c>
      <c r="AK44">
        <v>2022</v>
      </c>
      <c r="AL44" t="s">
        <v>175</v>
      </c>
      <c r="AM44">
        <v>0.49755662126035521</v>
      </c>
      <c r="AN44" t="s">
        <v>430</v>
      </c>
    </row>
    <row r="45" spans="9:40" x14ac:dyDescent="0.45">
      <c r="I45" t="s">
        <v>249</v>
      </c>
      <c r="J45" t="s">
        <v>285</v>
      </c>
      <c r="K45">
        <v>7.5897915349617999E-3</v>
      </c>
      <c r="L45" t="s">
        <v>251</v>
      </c>
      <c r="N45" t="s">
        <v>419</v>
      </c>
      <c r="O45" t="s">
        <v>285</v>
      </c>
      <c r="P45">
        <v>4.0921748354808231E-3</v>
      </c>
      <c r="Q45" t="s">
        <v>251</v>
      </c>
      <c r="S45" t="s">
        <v>420</v>
      </c>
      <c r="T45" t="s">
        <v>285</v>
      </c>
      <c r="U45">
        <v>3.3611029397469078E-3</v>
      </c>
      <c r="V45" t="s">
        <v>251</v>
      </c>
      <c r="X45">
        <v>3.5388127853881279E-3</v>
      </c>
      <c r="Y45">
        <v>4.521459529788099E-3</v>
      </c>
      <c r="Z45" t="s">
        <v>285</v>
      </c>
      <c r="AA45" t="s">
        <v>25</v>
      </c>
      <c r="AC45" t="s">
        <v>22</v>
      </c>
      <c r="AD45" t="s">
        <v>285</v>
      </c>
      <c r="AE45">
        <v>5.6468327773550814E-3</v>
      </c>
      <c r="AG45" t="s">
        <v>97</v>
      </c>
      <c r="AH45" t="s">
        <v>285</v>
      </c>
      <c r="AI45">
        <v>2.0453277369397727E-2</v>
      </c>
      <c r="AK45">
        <v>2022</v>
      </c>
      <c r="AL45" t="s">
        <v>166</v>
      </c>
      <c r="AM45">
        <v>0.32030919102075389</v>
      </c>
      <c r="AN45" t="s">
        <v>430</v>
      </c>
    </row>
    <row r="46" spans="9:40" x14ac:dyDescent="0.45">
      <c r="I46" t="s">
        <v>249</v>
      </c>
      <c r="J46" t="s">
        <v>286</v>
      </c>
      <c r="K46">
        <v>9.0460724211776991E-3</v>
      </c>
      <c r="L46" t="s">
        <v>251</v>
      </c>
      <c r="N46" t="s">
        <v>419</v>
      </c>
      <c r="O46" t="s">
        <v>286</v>
      </c>
      <c r="P46">
        <v>3.8324308091180056E-3</v>
      </c>
      <c r="Q46" t="s">
        <v>251</v>
      </c>
      <c r="S46" t="s">
        <v>420</v>
      </c>
      <c r="T46" t="s">
        <v>286</v>
      </c>
      <c r="U46">
        <v>3.2647690971758453E-3</v>
      </c>
      <c r="V46" t="s">
        <v>251</v>
      </c>
      <c r="X46">
        <v>3.5388127853881279E-3</v>
      </c>
      <c r="Y46">
        <v>4.4803553522445696E-3</v>
      </c>
      <c r="Z46" t="s">
        <v>286</v>
      </c>
      <c r="AA46" t="s">
        <v>25</v>
      </c>
      <c r="AC46" t="s">
        <v>22</v>
      </c>
      <c r="AD46" t="s">
        <v>286</v>
      </c>
      <c r="AE46">
        <v>5.6501261642986165E-3</v>
      </c>
      <c r="AG46" t="s">
        <v>97</v>
      </c>
      <c r="AH46" t="s">
        <v>286</v>
      </c>
      <c r="AI46">
        <v>2.0099445039484021E-2</v>
      </c>
      <c r="AK46">
        <v>2022</v>
      </c>
      <c r="AL46" t="s">
        <v>178</v>
      </c>
      <c r="AM46">
        <v>0.26614155656660882</v>
      </c>
      <c r="AN46" t="s">
        <v>430</v>
      </c>
    </row>
    <row r="47" spans="9:40" x14ac:dyDescent="0.45">
      <c r="I47" t="s">
        <v>249</v>
      </c>
      <c r="J47" t="s">
        <v>287</v>
      </c>
      <c r="K47">
        <v>6.9126430957336601E-2</v>
      </c>
      <c r="L47" t="s">
        <v>251</v>
      </c>
      <c r="N47" t="s">
        <v>419</v>
      </c>
      <c r="O47" t="s">
        <v>287</v>
      </c>
      <c r="P47">
        <v>2.6125279419162487E-2</v>
      </c>
      <c r="Q47" t="s">
        <v>251</v>
      </c>
      <c r="S47" t="s">
        <v>420</v>
      </c>
      <c r="T47" t="s">
        <v>287</v>
      </c>
      <c r="U47">
        <v>2.5254302203101108E-2</v>
      </c>
      <c r="V47" t="s">
        <v>251</v>
      </c>
      <c r="X47">
        <v>2.4771689497716895E-2</v>
      </c>
      <c r="Y47">
        <v>3.4650821669194247E-2</v>
      </c>
      <c r="Z47" t="s">
        <v>287</v>
      </c>
      <c r="AA47" t="s">
        <v>25</v>
      </c>
      <c r="AC47" t="s">
        <v>22</v>
      </c>
      <c r="AD47" t="s">
        <v>287</v>
      </c>
      <c r="AE47">
        <v>3.9399790668033244E-2</v>
      </c>
      <c r="AG47" t="s">
        <v>97</v>
      </c>
      <c r="AH47" t="s">
        <v>287</v>
      </c>
      <c r="AI47">
        <v>0.10001642084856233</v>
      </c>
      <c r="AK47">
        <v>2025</v>
      </c>
      <c r="AL47" t="s">
        <v>151</v>
      </c>
      <c r="AM47">
        <v>0.2868</v>
      </c>
      <c r="AN47" t="s">
        <v>430</v>
      </c>
    </row>
    <row r="48" spans="9:40" x14ac:dyDescent="0.45">
      <c r="I48" t="s">
        <v>249</v>
      </c>
      <c r="J48" t="s">
        <v>288</v>
      </c>
      <c r="K48">
        <v>6.5701923297423002E-3</v>
      </c>
      <c r="L48" t="s">
        <v>251</v>
      </c>
      <c r="N48" t="s">
        <v>419</v>
      </c>
      <c r="O48" t="s">
        <v>288</v>
      </c>
      <c r="P48">
        <v>4.8149886541700802E-3</v>
      </c>
      <c r="Q48" t="s">
        <v>251</v>
      </c>
      <c r="S48" t="s">
        <v>420</v>
      </c>
      <c r="T48" t="s">
        <v>288</v>
      </c>
      <c r="U48">
        <v>4.2979088187685942E-3</v>
      </c>
      <c r="V48" t="s">
        <v>251</v>
      </c>
      <c r="X48">
        <v>3.5388127853881279E-3</v>
      </c>
      <c r="Y48">
        <v>6.8849497385409693E-3</v>
      </c>
      <c r="Z48" t="s">
        <v>288</v>
      </c>
      <c r="AA48" t="s">
        <v>25</v>
      </c>
      <c r="AC48" t="s">
        <v>22</v>
      </c>
      <c r="AD48" t="s">
        <v>288</v>
      </c>
      <c r="AE48">
        <v>3.3592112224946164E-3</v>
      </c>
      <c r="AG48" t="s">
        <v>97</v>
      </c>
      <c r="AH48" t="s">
        <v>288</v>
      </c>
      <c r="AI48">
        <v>6.6396748992021193E-2</v>
      </c>
      <c r="AK48">
        <v>2025</v>
      </c>
      <c r="AL48" t="s">
        <v>156</v>
      </c>
      <c r="AM48">
        <v>0.30309999999999998</v>
      </c>
      <c r="AN48" t="s">
        <v>430</v>
      </c>
    </row>
    <row r="49" spans="9:40" x14ac:dyDescent="0.45">
      <c r="I49" t="s">
        <v>249</v>
      </c>
      <c r="J49" t="s">
        <v>289</v>
      </c>
      <c r="K49">
        <v>4.1435965591736E-3</v>
      </c>
      <c r="L49" t="s">
        <v>251</v>
      </c>
      <c r="N49" t="s">
        <v>419</v>
      </c>
      <c r="O49" t="s">
        <v>289</v>
      </c>
      <c r="P49">
        <v>5.3617249337066892E-3</v>
      </c>
      <c r="Q49" t="s">
        <v>251</v>
      </c>
      <c r="S49" t="s">
        <v>420</v>
      </c>
      <c r="T49" t="s">
        <v>289</v>
      </c>
      <c r="U49">
        <v>4.4146090696289371E-3</v>
      </c>
      <c r="V49" t="s">
        <v>251</v>
      </c>
      <c r="X49">
        <v>3.5388127853881279E-3</v>
      </c>
      <c r="Y49">
        <v>5.3435430806586613E-3</v>
      </c>
      <c r="Z49" t="s">
        <v>289</v>
      </c>
      <c r="AA49" t="s">
        <v>25</v>
      </c>
      <c r="AC49" t="s">
        <v>22</v>
      </c>
      <c r="AD49" t="s">
        <v>289</v>
      </c>
      <c r="AE49">
        <v>4.2578200946471779E-3</v>
      </c>
      <c r="AG49" t="s">
        <v>97</v>
      </c>
      <c r="AH49" t="s">
        <v>289</v>
      </c>
      <c r="AI49">
        <v>1.1548995400689321E-2</v>
      </c>
      <c r="AK49">
        <v>2025</v>
      </c>
      <c r="AL49" t="s">
        <v>159</v>
      </c>
      <c r="AM49">
        <v>0.30990000000000001</v>
      </c>
      <c r="AN49" t="s">
        <v>430</v>
      </c>
    </row>
    <row r="50" spans="9:40" x14ac:dyDescent="0.45">
      <c r="I50" t="s">
        <v>249</v>
      </c>
      <c r="J50" t="s">
        <v>290</v>
      </c>
      <c r="K50">
        <v>1.3839106225692888E-3</v>
      </c>
      <c r="L50" t="s">
        <v>251</v>
      </c>
      <c r="N50" t="s">
        <v>419</v>
      </c>
      <c r="O50" t="s">
        <v>290</v>
      </c>
      <c r="P50">
        <v>3.2494265535174399E-2</v>
      </c>
      <c r="Q50" t="s">
        <v>251</v>
      </c>
      <c r="S50" t="s">
        <v>420</v>
      </c>
      <c r="T50" t="s">
        <v>290</v>
      </c>
      <c r="U50">
        <v>2.2685903009714705E-2</v>
      </c>
      <c r="V50" t="s">
        <v>251</v>
      </c>
      <c r="X50">
        <v>1.7694063926940638E-2</v>
      </c>
      <c r="Y50">
        <v>1.3358857701646654E-2</v>
      </c>
      <c r="Z50" t="s">
        <v>290</v>
      </c>
      <c r="AA50" t="s">
        <v>25</v>
      </c>
      <c r="AC50" t="s">
        <v>22</v>
      </c>
      <c r="AD50" t="s">
        <v>290</v>
      </c>
      <c r="AE50">
        <v>1.8839022245917787E-2</v>
      </c>
      <c r="AG50" t="s">
        <v>97</v>
      </c>
      <c r="AH50" t="s">
        <v>290</v>
      </c>
      <c r="AI50">
        <v>5.7926789216266483E-2</v>
      </c>
      <c r="AK50">
        <v>2025</v>
      </c>
      <c r="AL50" t="s">
        <v>163</v>
      </c>
      <c r="AM50">
        <v>0.3392</v>
      </c>
      <c r="AN50" t="s">
        <v>430</v>
      </c>
    </row>
    <row r="51" spans="9:40" x14ac:dyDescent="0.45">
      <c r="I51" t="s">
        <v>249</v>
      </c>
      <c r="J51" t="s">
        <v>291</v>
      </c>
      <c r="K51">
        <v>1.0436857710503405E-3</v>
      </c>
      <c r="L51" t="s">
        <v>251</v>
      </c>
      <c r="N51" t="s">
        <v>419</v>
      </c>
      <c r="O51" t="s">
        <v>291</v>
      </c>
      <c r="P51">
        <v>3.944773700764715E-2</v>
      </c>
      <c r="Q51" t="s">
        <v>251</v>
      </c>
      <c r="S51" t="s">
        <v>420</v>
      </c>
      <c r="T51" t="s">
        <v>291</v>
      </c>
      <c r="U51">
        <v>3.9975692726160098E-2</v>
      </c>
      <c r="V51" t="s">
        <v>251</v>
      </c>
      <c r="X51">
        <v>2.3972602739726026E-2</v>
      </c>
      <c r="Y51">
        <v>9.4672202471222967E-3</v>
      </c>
      <c r="Z51" t="s">
        <v>291</v>
      </c>
      <c r="AA51" t="s">
        <v>25</v>
      </c>
      <c r="AC51" t="s">
        <v>22</v>
      </c>
      <c r="AD51" t="s">
        <v>291</v>
      </c>
      <c r="AE51">
        <v>3.1367388069247076E-2</v>
      </c>
      <c r="AG51" t="s">
        <v>97</v>
      </c>
      <c r="AH51" t="s">
        <v>291</v>
      </c>
      <c r="AI51">
        <v>0.12654517842613111</v>
      </c>
      <c r="AK51">
        <v>2025</v>
      </c>
      <c r="AL51" t="s">
        <v>167</v>
      </c>
      <c r="AM51">
        <v>0.43769999999999998</v>
      </c>
      <c r="AN51" t="s">
        <v>430</v>
      </c>
    </row>
    <row r="52" spans="9:40" x14ac:dyDescent="0.45">
      <c r="I52" t="s">
        <v>249</v>
      </c>
      <c r="J52" t="s">
        <v>292</v>
      </c>
      <c r="K52">
        <v>3.1266623424225292E-3</v>
      </c>
      <c r="L52" t="s">
        <v>251</v>
      </c>
      <c r="N52" t="s">
        <v>419</v>
      </c>
      <c r="O52" t="s">
        <v>292</v>
      </c>
      <c r="P52">
        <v>5.278470963195548E-3</v>
      </c>
      <c r="Q52" t="s">
        <v>251</v>
      </c>
      <c r="S52" t="s">
        <v>420</v>
      </c>
      <c r="T52" t="s">
        <v>292</v>
      </c>
      <c r="U52">
        <v>5.1765481631041842E-3</v>
      </c>
      <c r="V52" t="s">
        <v>251</v>
      </c>
      <c r="X52">
        <v>3.4246575342465752E-3</v>
      </c>
      <c r="Y52">
        <v>5.7181214727892006E-3</v>
      </c>
      <c r="Z52" t="s">
        <v>292</v>
      </c>
      <c r="AA52" t="s">
        <v>25</v>
      </c>
      <c r="AC52" t="s">
        <v>22</v>
      </c>
      <c r="AD52" t="s">
        <v>292</v>
      </c>
      <c r="AE52">
        <v>5.0324410226670127E-3</v>
      </c>
      <c r="AG52" t="s">
        <v>97</v>
      </c>
      <c r="AH52" t="s">
        <v>292</v>
      </c>
      <c r="AI52">
        <v>5.4623288193452524E-2</v>
      </c>
      <c r="AK52">
        <v>2025</v>
      </c>
      <c r="AL52" t="s">
        <v>169</v>
      </c>
      <c r="AM52">
        <v>0.49469999999999997</v>
      </c>
      <c r="AN52" t="s">
        <v>430</v>
      </c>
    </row>
    <row r="53" spans="9:40" x14ac:dyDescent="0.45">
      <c r="I53" t="s">
        <v>249</v>
      </c>
      <c r="J53" t="s">
        <v>293</v>
      </c>
      <c r="K53">
        <v>5.0750441322154997E-3</v>
      </c>
      <c r="L53" t="s">
        <v>251</v>
      </c>
      <c r="N53" t="s">
        <v>419</v>
      </c>
      <c r="O53" t="s">
        <v>293</v>
      </c>
      <c r="P53">
        <v>6.1018272305427643E-3</v>
      </c>
      <c r="Q53" t="s">
        <v>251</v>
      </c>
      <c r="S53" t="s">
        <v>420</v>
      </c>
      <c r="T53" t="s">
        <v>293</v>
      </c>
      <c r="U53">
        <v>5.1174221310656444E-3</v>
      </c>
      <c r="V53" t="s">
        <v>251</v>
      </c>
      <c r="X53">
        <v>3.4246575342465752E-3</v>
      </c>
      <c r="Y53">
        <v>4.3756059965691279E-3</v>
      </c>
      <c r="Z53" t="s">
        <v>293</v>
      </c>
      <c r="AA53" t="s">
        <v>25</v>
      </c>
      <c r="AC53" t="s">
        <v>22</v>
      </c>
      <c r="AD53" t="s">
        <v>293</v>
      </c>
      <c r="AE53">
        <v>5.0825125368809503E-3</v>
      </c>
      <c r="AG53" t="s">
        <v>97</v>
      </c>
      <c r="AH53" t="s">
        <v>293</v>
      </c>
      <c r="AI53">
        <v>4.8634603784541763E-2</v>
      </c>
      <c r="AK53">
        <v>2025</v>
      </c>
      <c r="AL53" t="s">
        <v>171</v>
      </c>
      <c r="AM53">
        <v>0.67</v>
      </c>
      <c r="AN53" t="s">
        <v>430</v>
      </c>
    </row>
    <row r="54" spans="9:40" x14ac:dyDescent="0.45">
      <c r="I54" t="s">
        <v>249</v>
      </c>
      <c r="J54" t="s">
        <v>294</v>
      </c>
      <c r="K54">
        <v>6.5019753804751003E-3</v>
      </c>
      <c r="L54" t="s">
        <v>251</v>
      </c>
      <c r="N54" t="s">
        <v>419</v>
      </c>
      <c r="O54" t="s">
        <v>294</v>
      </c>
      <c r="P54">
        <v>6.3253143755274271E-3</v>
      </c>
      <c r="Q54" t="s">
        <v>251</v>
      </c>
      <c r="S54" t="s">
        <v>420</v>
      </c>
      <c r="T54" t="s">
        <v>294</v>
      </c>
      <c r="U54">
        <v>5.1175180867328723E-3</v>
      </c>
      <c r="V54" t="s">
        <v>251</v>
      </c>
      <c r="X54">
        <v>3.4246575342465752E-3</v>
      </c>
      <c r="Y54">
        <v>4.3358277602366805E-3</v>
      </c>
      <c r="Z54" t="s">
        <v>294</v>
      </c>
      <c r="AA54" t="s">
        <v>25</v>
      </c>
      <c r="AC54" t="s">
        <v>22</v>
      </c>
      <c r="AD54" t="s">
        <v>294</v>
      </c>
      <c r="AE54">
        <v>5.0888608855968742E-3</v>
      </c>
      <c r="AG54" t="s">
        <v>97</v>
      </c>
      <c r="AH54" t="s">
        <v>294</v>
      </c>
      <c r="AI54">
        <v>4.7880179351180274E-2</v>
      </c>
      <c r="AK54">
        <v>2025</v>
      </c>
      <c r="AL54" t="s">
        <v>158</v>
      </c>
      <c r="AM54">
        <v>0.70209999999999995</v>
      </c>
      <c r="AN54" t="s">
        <v>430</v>
      </c>
    </row>
    <row r="55" spans="9:40" x14ac:dyDescent="0.45">
      <c r="I55" t="s">
        <v>249</v>
      </c>
      <c r="J55" t="s">
        <v>295</v>
      </c>
      <c r="K55">
        <v>5.2408395071258398E-2</v>
      </c>
      <c r="L55" t="s">
        <v>251</v>
      </c>
      <c r="N55" t="s">
        <v>419</v>
      </c>
      <c r="O55" t="s">
        <v>295</v>
      </c>
      <c r="P55">
        <v>4.4149492272705773E-2</v>
      </c>
      <c r="Q55" t="s">
        <v>251</v>
      </c>
      <c r="S55" t="s">
        <v>420</v>
      </c>
      <c r="T55" t="s">
        <v>295</v>
      </c>
      <c r="U55">
        <v>3.8365477548783382E-2</v>
      </c>
      <c r="V55" t="s">
        <v>251</v>
      </c>
      <c r="X55">
        <v>2.3972602739726026E-2</v>
      </c>
      <c r="Y55">
        <v>3.3533053228252493E-2</v>
      </c>
      <c r="Z55" t="s">
        <v>295</v>
      </c>
      <c r="AA55" t="s">
        <v>25</v>
      </c>
      <c r="AC55" t="s">
        <v>22</v>
      </c>
      <c r="AD55" t="s">
        <v>295</v>
      </c>
      <c r="AE55">
        <v>3.6083706461427875E-2</v>
      </c>
      <c r="AG55" t="s">
        <v>97</v>
      </c>
      <c r="AH55" t="s">
        <v>295</v>
      </c>
      <c r="AI55">
        <v>0.12780921466955442</v>
      </c>
      <c r="AK55">
        <v>2025</v>
      </c>
      <c r="AL55" t="s">
        <v>162</v>
      </c>
      <c r="AM55">
        <v>0.76329999999999998</v>
      </c>
      <c r="AN55" t="s">
        <v>430</v>
      </c>
    </row>
    <row r="56" spans="9:40" x14ac:dyDescent="0.45">
      <c r="I56" t="s">
        <v>249</v>
      </c>
      <c r="J56" t="s">
        <v>296</v>
      </c>
      <c r="K56">
        <v>4.2724821694190831E-3</v>
      </c>
      <c r="L56" t="s">
        <v>251</v>
      </c>
      <c r="N56" t="s">
        <v>419</v>
      </c>
      <c r="O56" t="s">
        <v>296</v>
      </c>
      <c r="P56">
        <v>6.3009483613797098E-3</v>
      </c>
      <c r="Q56" t="s">
        <v>251</v>
      </c>
      <c r="S56" t="s">
        <v>420</v>
      </c>
      <c r="T56" t="s">
        <v>296</v>
      </c>
      <c r="U56">
        <v>5.8747546722316092E-3</v>
      </c>
      <c r="V56" t="s">
        <v>251</v>
      </c>
      <c r="X56">
        <v>3.4246575342465752E-3</v>
      </c>
      <c r="Y56">
        <v>6.662854585684809E-3</v>
      </c>
      <c r="Z56" t="s">
        <v>296</v>
      </c>
      <c r="AA56" t="s">
        <v>25</v>
      </c>
      <c r="AC56" t="s">
        <v>22</v>
      </c>
      <c r="AD56" t="s">
        <v>296</v>
      </c>
      <c r="AE56">
        <v>3.1423811851982193E-3</v>
      </c>
      <c r="AG56" t="s">
        <v>97</v>
      </c>
      <c r="AH56" t="s">
        <v>296</v>
      </c>
      <c r="AI56">
        <v>8.9423036891613572E-2</v>
      </c>
      <c r="AK56">
        <v>2025</v>
      </c>
      <c r="AL56" t="s">
        <v>175</v>
      </c>
      <c r="AM56">
        <v>0.5343</v>
      </c>
      <c r="AN56" t="s">
        <v>430</v>
      </c>
    </row>
    <row r="57" spans="9:40" x14ac:dyDescent="0.45">
      <c r="I57" t="s">
        <v>249</v>
      </c>
      <c r="J57" t="s">
        <v>297</v>
      </c>
      <c r="K57">
        <v>2.380249128749159E-3</v>
      </c>
      <c r="L57" t="s">
        <v>251</v>
      </c>
      <c r="N57" t="s">
        <v>419</v>
      </c>
      <c r="O57" t="s">
        <v>297</v>
      </c>
      <c r="P57">
        <v>6.4942321030568998E-3</v>
      </c>
      <c r="Q57" t="s">
        <v>251</v>
      </c>
      <c r="S57" t="s">
        <v>420</v>
      </c>
      <c r="T57" t="s">
        <v>297</v>
      </c>
      <c r="U57">
        <v>6.0119750941272799E-3</v>
      </c>
      <c r="V57" t="s">
        <v>251</v>
      </c>
      <c r="X57">
        <v>3.4246575342465752E-3</v>
      </c>
      <c r="Y57">
        <v>5.1711707232180593E-3</v>
      </c>
      <c r="Z57" t="s">
        <v>297</v>
      </c>
      <c r="AA57" t="s">
        <v>25</v>
      </c>
      <c r="AC57" t="s">
        <v>22</v>
      </c>
      <c r="AD57" t="s">
        <v>297</v>
      </c>
      <c r="AE57">
        <v>3.8905794267177396E-3</v>
      </c>
      <c r="AG57" t="s">
        <v>97</v>
      </c>
      <c r="AH57" t="s">
        <v>297</v>
      </c>
      <c r="AI57">
        <v>1.6280183193151831E-2</v>
      </c>
      <c r="AK57">
        <v>2025</v>
      </c>
      <c r="AL57" t="s">
        <v>166</v>
      </c>
      <c r="AM57">
        <v>0.37019999999999997</v>
      </c>
      <c r="AN57" t="s">
        <v>430</v>
      </c>
    </row>
    <row r="58" spans="9:40" x14ac:dyDescent="0.45">
      <c r="I58" t="s">
        <v>249</v>
      </c>
      <c r="J58" t="s">
        <v>298</v>
      </c>
      <c r="K58">
        <v>6.5942701400987245E-4</v>
      </c>
      <c r="L58" t="s">
        <v>251</v>
      </c>
      <c r="N58" t="s">
        <v>419</v>
      </c>
      <c r="O58" t="s">
        <v>298</v>
      </c>
      <c r="P58">
        <v>3.4052871775288797E-2</v>
      </c>
      <c r="Q58" t="s">
        <v>251</v>
      </c>
      <c r="S58" t="s">
        <v>420</v>
      </c>
      <c r="T58" t="s">
        <v>298</v>
      </c>
      <c r="U58">
        <v>3.0989048617552705E-2</v>
      </c>
      <c r="V58" t="s">
        <v>251</v>
      </c>
      <c r="X58">
        <v>1.7123287671232876E-2</v>
      </c>
      <c r="Y58">
        <v>1.2927926808045149E-2</v>
      </c>
      <c r="Z58" t="s">
        <v>298</v>
      </c>
      <c r="AA58" t="s">
        <v>25</v>
      </c>
      <c r="AC58" t="s">
        <v>22</v>
      </c>
      <c r="AD58" t="s">
        <v>298</v>
      </c>
      <c r="AE58">
        <v>1.7665221966811109E-2</v>
      </c>
      <c r="AG58" t="s">
        <v>97</v>
      </c>
      <c r="AH58" t="s">
        <v>298</v>
      </c>
      <c r="AI58">
        <v>5.6224292849093915E-2</v>
      </c>
      <c r="AK58">
        <v>2025</v>
      </c>
      <c r="AL58" t="s">
        <v>178</v>
      </c>
      <c r="AM58">
        <v>0.314</v>
      </c>
      <c r="AN58" t="s">
        <v>430</v>
      </c>
    </row>
    <row r="59" spans="9:40" x14ac:dyDescent="0.45">
      <c r="I59" t="s">
        <v>249</v>
      </c>
      <c r="J59" t="s">
        <v>299</v>
      </c>
      <c r="K59">
        <v>3.9949852694818087E-4</v>
      </c>
      <c r="L59" t="s">
        <v>251</v>
      </c>
      <c r="N59" t="s">
        <v>419</v>
      </c>
      <c r="O59" t="s">
        <v>299</v>
      </c>
      <c r="P59">
        <v>5.21461902063994E-2</v>
      </c>
      <c r="Q59" t="s">
        <v>251</v>
      </c>
      <c r="S59" t="s">
        <v>420</v>
      </c>
      <c r="T59" t="s">
        <v>299</v>
      </c>
      <c r="U59">
        <v>5.8266126603190097E-2</v>
      </c>
      <c r="V59" t="s">
        <v>251</v>
      </c>
      <c r="X59">
        <v>2.4771689497716895E-2</v>
      </c>
      <c r="Y59">
        <v>9.7827942553597048E-3</v>
      </c>
      <c r="Z59" t="s">
        <v>299</v>
      </c>
      <c r="AA59" t="s">
        <v>25</v>
      </c>
      <c r="AC59" t="s">
        <v>22</v>
      </c>
      <c r="AD59" t="s">
        <v>299</v>
      </c>
      <c r="AE59">
        <v>3.1290129919684682E-2</v>
      </c>
      <c r="AG59" t="s">
        <v>97</v>
      </c>
      <c r="AH59" t="s">
        <v>299</v>
      </c>
      <c r="AI59">
        <v>9.0557243741560711E-2</v>
      </c>
      <c r="AK59">
        <v>2026</v>
      </c>
      <c r="AL59" t="s">
        <v>151</v>
      </c>
      <c r="AM59">
        <v>0.25640000000000002</v>
      </c>
      <c r="AN59" t="s">
        <v>430</v>
      </c>
    </row>
    <row r="60" spans="9:40" x14ac:dyDescent="0.45">
      <c r="I60" t="s">
        <v>249</v>
      </c>
      <c r="J60" t="s">
        <v>300</v>
      </c>
      <c r="K60">
        <v>1.5950621698403843E-3</v>
      </c>
      <c r="L60" t="s">
        <v>251</v>
      </c>
      <c r="N60" t="s">
        <v>419</v>
      </c>
      <c r="O60" t="s">
        <v>300</v>
      </c>
      <c r="P60">
        <v>6.9797535869503E-3</v>
      </c>
      <c r="Q60" t="s">
        <v>251</v>
      </c>
      <c r="S60" t="s">
        <v>420</v>
      </c>
      <c r="T60" t="s">
        <v>300</v>
      </c>
      <c r="U60">
        <v>7.9219619050836E-3</v>
      </c>
      <c r="V60" t="s">
        <v>251</v>
      </c>
      <c r="X60">
        <v>3.5388127853881279E-3</v>
      </c>
      <c r="Y60">
        <v>5.9087255218821738E-3</v>
      </c>
      <c r="Z60" t="s">
        <v>300</v>
      </c>
      <c r="AA60" t="s">
        <v>25</v>
      </c>
      <c r="AC60" t="s">
        <v>22</v>
      </c>
      <c r="AD60" t="s">
        <v>300</v>
      </c>
      <c r="AE60">
        <v>4.878510750396468E-3</v>
      </c>
      <c r="AG60" t="s">
        <v>97</v>
      </c>
      <c r="AH60" t="s">
        <v>300</v>
      </c>
      <c r="AI60">
        <v>3.8525592846895274E-2</v>
      </c>
      <c r="AK60">
        <v>2026</v>
      </c>
      <c r="AL60" t="s">
        <v>156</v>
      </c>
      <c r="AM60">
        <v>0.2974</v>
      </c>
      <c r="AN60" t="s">
        <v>430</v>
      </c>
    </row>
    <row r="61" spans="9:40" x14ac:dyDescent="0.45">
      <c r="I61" t="s">
        <v>249</v>
      </c>
      <c r="J61" t="s">
        <v>301</v>
      </c>
      <c r="K61">
        <v>3.0283477756202618E-3</v>
      </c>
      <c r="L61" t="s">
        <v>251</v>
      </c>
      <c r="N61" t="s">
        <v>419</v>
      </c>
      <c r="O61" t="s">
        <v>301</v>
      </c>
      <c r="P61">
        <v>7.7421033792447001E-3</v>
      </c>
      <c r="Q61" t="s">
        <v>251</v>
      </c>
      <c r="S61" t="s">
        <v>420</v>
      </c>
      <c r="T61" t="s">
        <v>301</v>
      </c>
      <c r="U61">
        <v>7.8743154094812005E-3</v>
      </c>
      <c r="V61" t="s">
        <v>251</v>
      </c>
      <c r="X61">
        <v>3.5388127853881279E-3</v>
      </c>
      <c r="Y61">
        <v>4.521459529788099E-3</v>
      </c>
      <c r="Z61" t="s">
        <v>301</v>
      </c>
      <c r="AA61" t="s">
        <v>25</v>
      </c>
      <c r="AC61" t="s">
        <v>22</v>
      </c>
      <c r="AD61" t="s">
        <v>301</v>
      </c>
      <c r="AE61">
        <v>4.9283984321186322E-3</v>
      </c>
      <c r="AG61" t="s">
        <v>97</v>
      </c>
      <c r="AH61" t="s">
        <v>301</v>
      </c>
      <c r="AI61">
        <v>6.5790488331782804E-2</v>
      </c>
      <c r="AK61">
        <v>2026</v>
      </c>
      <c r="AL61" t="s">
        <v>159</v>
      </c>
      <c r="AM61">
        <v>0.30530000000000002</v>
      </c>
      <c r="AN61" t="s">
        <v>430</v>
      </c>
    </row>
    <row r="62" spans="9:40" x14ac:dyDescent="0.45">
      <c r="I62" t="s">
        <v>249</v>
      </c>
      <c r="J62" t="s">
        <v>302</v>
      </c>
      <c r="K62">
        <v>4.2983747799500358E-3</v>
      </c>
      <c r="L62" t="s">
        <v>251</v>
      </c>
      <c r="N62" t="s">
        <v>419</v>
      </c>
      <c r="O62" t="s">
        <v>302</v>
      </c>
      <c r="P62">
        <v>8.1553262393319007E-3</v>
      </c>
      <c r="Q62" t="s">
        <v>251</v>
      </c>
      <c r="S62" t="s">
        <v>420</v>
      </c>
      <c r="T62" t="s">
        <v>302</v>
      </c>
      <c r="U62">
        <v>7.8451054959140995E-3</v>
      </c>
      <c r="V62" t="s">
        <v>251</v>
      </c>
      <c r="X62">
        <v>3.5388127853881279E-3</v>
      </c>
      <c r="Y62">
        <v>4.4803553522445696E-3</v>
      </c>
      <c r="Z62" t="s">
        <v>302</v>
      </c>
      <c r="AA62" t="s">
        <v>25</v>
      </c>
      <c r="AC62" t="s">
        <v>22</v>
      </c>
      <c r="AD62" t="s">
        <v>302</v>
      </c>
      <c r="AE62">
        <v>4.937018504778355E-3</v>
      </c>
      <c r="AG62" t="s">
        <v>97</v>
      </c>
      <c r="AH62" t="s">
        <v>302</v>
      </c>
      <c r="AI62">
        <v>5.5477041993539533E-2</v>
      </c>
      <c r="AK62">
        <v>2026</v>
      </c>
      <c r="AL62" t="s">
        <v>163</v>
      </c>
      <c r="AM62">
        <v>0.34670000000000001</v>
      </c>
      <c r="AN62" t="s">
        <v>430</v>
      </c>
    </row>
    <row r="63" spans="9:40" x14ac:dyDescent="0.45">
      <c r="I63" t="s">
        <v>249</v>
      </c>
      <c r="J63" t="s">
        <v>303</v>
      </c>
      <c r="K63">
        <v>3.8843648177558546E-2</v>
      </c>
      <c r="L63" t="s">
        <v>251</v>
      </c>
      <c r="N63" t="s">
        <v>419</v>
      </c>
      <c r="O63" t="s">
        <v>303</v>
      </c>
      <c r="P63">
        <v>5.84657992409887E-2</v>
      </c>
      <c r="Q63" t="s">
        <v>251</v>
      </c>
      <c r="S63" t="s">
        <v>420</v>
      </c>
      <c r="T63" t="s">
        <v>303</v>
      </c>
      <c r="U63">
        <v>5.5983631985480599E-2</v>
      </c>
      <c r="V63" t="s">
        <v>251</v>
      </c>
      <c r="X63">
        <v>2.4771689497716895E-2</v>
      </c>
      <c r="Y63">
        <v>3.4650821669194247E-2</v>
      </c>
      <c r="Z63" t="s">
        <v>303</v>
      </c>
      <c r="AA63" t="s">
        <v>25</v>
      </c>
      <c r="AC63" t="s">
        <v>22</v>
      </c>
      <c r="AD63" t="s">
        <v>303</v>
      </c>
      <c r="AE63">
        <v>3.5605578723758191E-2</v>
      </c>
      <c r="AG63" t="s">
        <v>97</v>
      </c>
      <c r="AH63" t="s">
        <v>303</v>
      </c>
      <c r="AI63">
        <v>0.11764578777160528</v>
      </c>
      <c r="AK63">
        <v>2026</v>
      </c>
      <c r="AL63" t="s">
        <v>167</v>
      </c>
      <c r="AM63">
        <v>0.41049999999999998</v>
      </c>
      <c r="AN63" t="s">
        <v>430</v>
      </c>
    </row>
    <row r="64" spans="9:40" x14ac:dyDescent="0.45">
      <c r="I64" t="s">
        <v>249</v>
      </c>
      <c r="J64" t="s">
        <v>304</v>
      </c>
      <c r="K64">
        <v>2.7779154947420817E-3</v>
      </c>
      <c r="L64" t="s">
        <v>251</v>
      </c>
      <c r="N64" t="s">
        <v>419</v>
      </c>
      <c r="O64" t="s">
        <v>304</v>
      </c>
      <c r="P64">
        <v>8.3100494361197999E-3</v>
      </c>
      <c r="Q64" t="s">
        <v>251</v>
      </c>
      <c r="S64" t="s">
        <v>420</v>
      </c>
      <c r="T64" t="s">
        <v>304</v>
      </c>
      <c r="U64">
        <v>8.3495263949457006E-3</v>
      </c>
      <c r="V64" t="s">
        <v>251</v>
      </c>
      <c r="X64">
        <v>3.5388127853881279E-3</v>
      </c>
      <c r="Y64">
        <v>6.8849497385409693E-3</v>
      </c>
      <c r="Z64" t="s">
        <v>304</v>
      </c>
      <c r="AA64" t="s">
        <v>25</v>
      </c>
      <c r="AC64" t="s">
        <v>22</v>
      </c>
      <c r="AD64" t="s">
        <v>304</v>
      </c>
      <c r="AE64">
        <v>3.0673261932617898E-3</v>
      </c>
      <c r="AG64" t="s">
        <v>97</v>
      </c>
      <c r="AH64" t="s">
        <v>304</v>
      </c>
      <c r="AI64">
        <v>4.169317729613109E-2</v>
      </c>
      <c r="AK64">
        <v>2026</v>
      </c>
      <c r="AL64" t="s">
        <v>169</v>
      </c>
      <c r="AM64">
        <v>0.50549999999999995</v>
      </c>
      <c r="AN64" t="s">
        <v>430</v>
      </c>
    </row>
    <row r="65" spans="9:40" x14ac:dyDescent="0.45">
      <c r="I65" t="s">
        <v>249</v>
      </c>
      <c r="J65" t="s">
        <v>305</v>
      </c>
      <c r="K65">
        <v>1.4128730063523956E-3</v>
      </c>
      <c r="L65" t="s">
        <v>251</v>
      </c>
      <c r="N65" t="s">
        <v>419</v>
      </c>
      <c r="O65" t="s">
        <v>305</v>
      </c>
      <c r="P65">
        <v>8.4304595037270995E-3</v>
      </c>
      <c r="Q65" t="s">
        <v>251</v>
      </c>
      <c r="S65" t="s">
        <v>420</v>
      </c>
      <c r="T65" t="s">
        <v>305</v>
      </c>
      <c r="U65">
        <v>8.4649161656644E-3</v>
      </c>
      <c r="V65" t="s">
        <v>251</v>
      </c>
      <c r="X65">
        <v>3.5388127853881279E-3</v>
      </c>
      <c r="Y65">
        <v>5.3435430806586613E-3</v>
      </c>
      <c r="Z65" t="s">
        <v>305</v>
      </c>
      <c r="AA65" t="s">
        <v>25</v>
      </c>
      <c r="AC65" t="s">
        <v>22</v>
      </c>
      <c r="AD65" t="s">
        <v>305</v>
      </c>
      <c r="AE65">
        <v>3.7456547182714863E-3</v>
      </c>
      <c r="AG65" t="s">
        <v>97</v>
      </c>
      <c r="AH65" t="s">
        <v>305</v>
      </c>
      <c r="AI65">
        <v>1.8929036410713973E-2</v>
      </c>
      <c r="AK65">
        <v>2026</v>
      </c>
      <c r="AL65" t="s">
        <v>171</v>
      </c>
      <c r="AM65">
        <v>0.57340000000000002</v>
      </c>
      <c r="AN65" t="s">
        <v>430</v>
      </c>
    </row>
    <row r="66" spans="9:40" x14ac:dyDescent="0.45">
      <c r="I66" t="s">
        <v>249</v>
      </c>
      <c r="J66" t="s">
        <v>306</v>
      </c>
      <c r="K66">
        <v>3.1655616640138384E-4</v>
      </c>
      <c r="L66" t="s">
        <v>251</v>
      </c>
      <c r="N66" t="s">
        <v>419</v>
      </c>
      <c r="O66" t="s">
        <v>306</v>
      </c>
      <c r="P66">
        <v>4.2188424357887597E-2</v>
      </c>
      <c r="Q66" t="s">
        <v>251</v>
      </c>
      <c r="S66" t="s">
        <v>420</v>
      </c>
      <c r="T66" t="s">
        <v>306</v>
      </c>
      <c r="U66">
        <v>4.2296696757634797E-2</v>
      </c>
      <c r="V66" t="s">
        <v>251</v>
      </c>
      <c r="X66">
        <v>1.7694063926940638E-2</v>
      </c>
      <c r="Y66">
        <v>1.3358857701646654E-2</v>
      </c>
      <c r="Z66" t="s">
        <v>306</v>
      </c>
      <c r="AA66" t="s">
        <v>25</v>
      </c>
      <c r="AC66" t="s">
        <v>22</v>
      </c>
      <c r="AD66" t="s">
        <v>306</v>
      </c>
      <c r="AE66">
        <v>1.7309067814546067E-2</v>
      </c>
      <c r="AG66" t="s">
        <v>97</v>
      </c>
      <c r="AH66" t="s">
        <v>306</v>
      </c>
      <c r="AI66">
        <v>7.3955067275157216E-2</v>
      </c>
      <c r="AK66">
        <v>2026</v>
      </c>
      <c r="AL66" t="s">
        <v>158</v>
      </c>
      <c r="AM66">
        <v>0.76170000000000004</v>
      </c>
      <c r="AN66" t="s">
        <v>430</v>
      </c>
    </row>
    <row r="67" spans="9:40" x14ac:dyDescent="0.45">
      <c r="I67" t="s">
        <v>249</v>
      </c>
      <c r="J67" t="s">
        <v>307</v>
      </c>
      <c r="K67">
        <v>2.9265094728030523E-4</v>
      </c>
      <c r="L67" t="s">
        <v>251</v>
      </c>
      <c r="N67" t="s">
        <v>419</v>
      </c>
      <c r="O67" t="s">
        <v>307</v>
      </c>
      <c r="P67">
        <v>3.4380791921025153E-2</v>
      </c>
      <c r="Q67" t="s">
        <v>251</v>
      </c>
      <c r="S67" t="s">
        <v>420</v>
      </c>
      <c r="T67" t="s">
        <v>307</v>
      </c>
      <c r="U67">
        <v>3.9571025385561329E-2</v>
      </c>
      <c r="V67" t="s">
        <v>251</v>
      </c>
      <c r="X67">
        <v>2.4771689497716895E-2</v>
      </c>
      <c r="Y67">
        <v>9.7827942553597048E-3</v>
      </c>
      <c r="Z67" t="s">
        <v>307</v>
      </c>
      <c r="AA67" t="s">
        <v>25</v>
      </c>
      <c r="AC67" t="s">
        <v>22</v>
      </c>
      <c r="AD67" t="s">
        <v>307</v>
      </c>
      <c r="AE67">
        <v>2.7867658588525919E-2</v>
      </c>
      <c r="AG67" t="s">
        <v>97</v>
      </c>
      <c r="AH67" t="s">
        <v>307</v>
      </c>
      <c r="AI67">
        <v>0.12775358316000784</v>
      </c>
      <c r="AK67">
        <v>2026</v>
      </c>
      <c r="AL67" t="s">
        <v>162</v>
      </c>
      <c r="AM67">
        <v>0.75239999999999996</v>
      </c>
      <c r="AN67" t="s">
        <v>430</v>
      </c>
    </row>
    <row r="68" spans="9:40" x14ac:dyDescent="0.45">
      <c r="I68" t="s">
        <v>249</v>
      </c>
      <c r="J68" t="s">
        <v>308</v>
      </c>
      <c r="K68">
        <v>1.5657403140266696E-3</v>
      </c>
      <c r="L68" t="s">
        <v>251</v>
      </c>
      <c r="N68" t="s">
        <v>419</v>
      </c>
      <c r="O68" t="s">
        <v>308</v>
      </c>
      <c r="P68">
        <v>4.6046608837676355E-3</v>
      </c>
      <c r="Q68" t="s">
        <v>251</v>
      </c>
      <c r="S68" t="s">
        <v>420</v>
      </c>
      <c r="T68" t="s">
        <v>308</v>
      </c>
      <c r="U68">
        <v>5.2072790586172139E-3</v>
      </c>
      <c r="V68" t="s">
        <v>251</v>
      </c>
      <c r="X68">
        <v>3.5388127853881279E-3</v>
      </c>
      <c r="Y68">
        <v>5.9087255218821738E-3</v>
      </c>
      <c r="Z68" t="s">
        <v>308</v>
      </c>
      <c r="AA68" t="s">
        <v>25</v>
      </c>
      <c r="AC68" t="s">
        <v>22</v>
      </c>
      <c r="AD68" t="s">
        <v>308</v>
      </c>
      <c r="AE68">
        <v>4.6167324071120178E-3</v>
      </c>
      <c r="AG68" t="s">
        <v>97</v>
      </c>
      <c r="AH68" t="s">
        <v>308</v>
      </c>
      <c r="AI68">
        <v>4.2486498981736176E-2</v>
      </c>
      <c r="AK68">
        <v>2026</v>
      </c>
      <c r="AL68" t="s">
        <v>175</v>
      </c>
      <c r="AM68">
        <v>0.48809999999999998</v>
      </c>
      <c r="AN68" t="s">
        <v>430</v>
      </c>
    </row>
    <row r="69" spans="9:40" x14ac:dyDescent="0.45">
      <c r="I69" t="s">
        <v>249</v>
      </c>
      <c r="J69" t="s">
        <v>309</v>
      </c>
      <c r="K69">
        <v>3.2378214071182676E-3</v>
      </c>
      <c r="L69" t="s">
        <v>251</v>
      </c>
      <c r="N69" t="s">
        <v>419</v>
      </c>
      <c r="O69" t="s">
        <v>309</v>
      </c>
      <c r="P69">
        <v>5.3973161121403023E-3</v>
      </c>
      <c r="Q69" t="s">
        <v>251</v>
      </c>
      <c r="S69" t="s">
        <v>420</v>
      </c>
      <c r="T69" t="s">
        <v>309</v>
      </c>
      <c r="U69">
        <v>5.1383838360571678E-3</v>
      </c>
      <c r="V69" t="s">
        <v>251</v>
      </c>
      <c r="X69">
        <v>3.5388127853881279E-3</v>
      </c>
      <c r="Y69">
        <v>4.521459529788099E-3</v>
      </c>
      <c r="Z69" t="s">
        <v>309</v>
      </c>
      <c r="AA69" t="s">
        <v>25</v>
      </c>
      <c r="AC69" t="s">
        <v>22</v>
      </c>
      <c r="AD69" t="s">
        <v>309</v>
      </c>
      <c r="AE69">
        <v>4.6557895697279189E-3</v>
      </c>
      <c r="AG69" t="s">
        <v>97</v>
      </c>
      <c r="AH69" t="s">
        <v>309</v>
      </c>
      <c r="AI69">
        <v>3.982810663240377E-2</v>
      </c>
      <c r="AK69">
        <v>2026</v>
      </c>
      <c r="AL69" t="s">
        <v>166</v>
      </c>
      <c r="AM69">
        <v>0.35849999999999999</v>
      </c>
      <c r="AN69" t="s">
        <v>430</v>
      </c>
    </row>
    <row r="70" spans="9:40" x14ac:dyDescent="0.45">
      <c r="I70" t="s">
        <v>249</v>
      </c>
      <c r="J70" t="s">
        <v>310</v>
      </c>
      <c r="K70">
        <v>4.6837572514513183E-3</v>
      </c>
      <c r="L70" t="s">
        <v>251</v>
      </c>
      <c r="N70" t="s">
        <v>419</v>
      </c>
      <c r="O70" t="s">
        <v>310</v>
      </c>
      <c r="P70">
        <v>5.4359637364010697E-3</v>
      </c>
      <c r="Q70" t="s">
        <v>251</v>
      </c>
      <c r="S70" t="s">
        <v>420</v>
      </c>
      <c r="T70" t="s">
        <v>310</v>
      </c>
      <c r="U70">
        <v>5.0784438137611281E-3</v>
      </c>
      <c r="V70" t="s">
        <v>251</v>
      </c>
      <c r="X70">
        <v>3.5388127853881279E-3</v>
      </c>
      <c r="Y70">
        <v>4.4803553522445696E-3</v>
      </c>
      <c r="Z70" t="s">
        <v>310</v>
      </c>
      <c r="AA70" t="s">
        <v>25</v>
      </c>
      <c r="AC70" t="s">
        <v>22</v>
      </c>
      <c r="AD70" t="s">
        <v>310</v>
      </c>
      <c r="AE70">
        <v>4.6523468885183361E-3</v>
      </c>
      <c r="AG70" t="s">
        <v>97</v>
      </c>
      <c r="AH70" t="s">
        <v>310</v>
      </c>
      <c r="AI70">
        <v>4.0242423516440473E-2</v>
      </c>
      <c r="AK70">
        <v>2026</v>
      </c>
      <c r="AL70" t="s">
        <v>178</v>
      </c>
      <c r="AM70">
        <v>0.28820000000000001</v>
      </c>
      <c r="AN70" t="s">
        <v>430</v>
      </c>
    </row>
    <row r="71" spans="9:40" x14ac:dyDescent="0.45">
      <c r="I71" t="s">
        <v>249</v>
      </c>
      <c r="J71" t="s">
        <v>311</v>
      </c>
      <c r="K71">
        <v>4.1186799322347728E-2</v>
      </c>
      <c r="L71" t="s">
        <v>251</v>
      </c>
      <c r="N71" t="s">
        <v>419</v>
      </c>
      <c r="O71" t="s">
        <v>311</v>
      </c>
      <c r="P71">
        <v>3.8920355041065093E-2</v>
      </c>
      <c r="Q71" t="s">
        <v>251</v>
      </c>
      <c r="S71" t="s">
        <v>420</v>
      </c>
      <c r="T71" t="s">
        <v>311</v>
      </c>
      <c r="U71">
        <v>3.6417690817375399E-2</v>
      </c>
      <c r="V71" t="s">
        <v>251</v>
      </c>
      <c r="X71">
        <v>2.4771689497716895E-2</v>
      </c>
      <c r="Y71">
        <v>3.4650821669194247E-2</v>
      </c>
      <c r="Z71" t="s">
        <v>311</v>
      </c>
      <c r="AA71" t="s">
        <v>25</v>
      </c>
      <c r="AC71" t="s">
        <v>22</v>
      </c>
      <c r="AD71" t="s">
        <v>311</v>
      </c>
      <c r="AE71">
        <v>3.4066991572480936E-2</v>
      </c>
      <c r="AG71" t="s">
        <v>97</v>
      </c>
      <c r="AH71" t="s">
        <v>311</v>
      </c>
      <c r="AI71">
        <v>0.14944411949121883</v>
      </c>
      <c r="AK71">
        <v>2027</v>
      </c>
      <c r="AL71" t="s">
        <v>151</v>
      </c>
      <c r="AM71">
        <v>0.30059999999999998</v>
      </c>
      <c r="AN71" t="s">
        <v>430</v>
      </c>
    </row>
    <row r="72" spans="9:40" x14ac:dyDescent="0.45">
      <c r="I72" t="s">
        <v>249</v>
      </c>
      <c r="J72" t="s">
        <v>312</v>
      </c>
      <c r="K72">
        <v>3.0373466690530974E-3</v>
      </c>
      <c r="L72" t="s">
        <v>251</v>
      </c>
      <c r="N72" t="s">
        <v>419</v>
      </c>
      <c r="O72" t="s">
        <v>312</v>
      </c>
      <c r="P72">
        <v>5.3004420014127985E-3</v>
      </c>
      <c r="Q72" t="s">
        <v>251</v>
      </c>
      <c r="S72" t="s">
        <v>420</v>
      </c>
      <c r="T72" t="s">
        <v>312</v>
      </c>
      <c r="U72">
        <v>5.2902137229079811E-3</v>
      </c>
      <c r="V72" t="s">
        <v>251</v>
      </c>
      <c r="X72">
        <v>3.5388127853881279E-3</v>
      </c>
      <c r="Y72">
        <v>6.8849497385409693E-3</v>
      </c>
      <c r="Z72" t="s">
        <v>312</v>
      </c>
      <c r="AA72" t="s">
        <v>25</v>
      </c>
      <c r="AC72" t="s">
        <v>22</v>
      </c>
      <c r="AD72" t="s">
        <v>312</v>
      </c>
      <c r="AE72">
        <v>2.6800682476377721E-3</v>
      </c>
      <c r="AG72" t="s">
        <v>97</v>
      </c>
      <c r="AH72" t="s">
        <v>312</v>
      </c>
      <c r="AI72">
        <v>3.7143697841996781E-2</v>
      </c>
      <c r="AK72">
        <v>2027</v>
      </c>
      <c r="AL72" t="s">
        <v>156</v>
      </c>
      <c r="AM72">
        <v>0.2923</v>
      </c>
      <c r="AN72" t="s">
        <v>430</v>
      </c>
    </row>
    <row r="73" spans="9:40" x14ac:dyDescent="0.45">
      <c r="I73" t="s">
        <v>249</v>
      </c>
      <c r="J73" t="s">
        <v>313</v>
      </c>
      <c r="K73">
        <v>1.3841012654518725E-3</v>
      </c>
      <c r="L73" t="s">
        <v>251</v>
      </c>
      <c r="N73" t="s">
        <v>419</v>
      </c>
      <c r="O73" t="s">
        <v>313</v>
      </c>
      <c r="P73">
        <v>5.3786304431929447E-3</v>
      </c>
      <c r="Q73" t="s">
        <v>251</v>
      </c>
      <c r="S73" t="s">
        <v>420</v>
      </c>
      <c r="T73" t="s">
        <v>313</v>
      </c>
      <c r="U73">
        <v>5.334976031101309E-3</v>
      </c>
      <c r="V73" t="s">
        <v>251</v>
      </c>
      <c r="X73">
        <v>3.5388127853881279E-3</v>
      </c>
      <c r="Y73">
        <v>5.3435430806586613E-3</v>
      </c>
      <c r="Z73" t="s">
        <v>313</v>
      </c>
      <c r="AA73" t="s">
        <v>25</v>
      </c>
      <c r="AC73" t="s">
        <v>22</v>
      </c>
      <c r="AD73" t="s">
        <v>313</v>
      </c>
      <c r="AE73">
        <v>1.7413203865086287E-3</v>
      </c>
      <c r="AG73" t="s">
        <v>97</v>
      </c>
      <c r="AH73" t="s">
        <v>313</v>
      </c>
      <c r="AI73">
        <v>4.123341282076165E-2</v>
      </c>
      <c r="AK73">
        <v>2027</v>
      </c>
      <c r="AL73" t="s">
        <v>159</v>
      </c>
      <c r="AM73">
        <v>0.33539999999999998</v>
      </c>
      <c r="AN73" t="s">
        <v>430</v>
      </c>
    </row>
    <row r="74" spans="9:40" x14ac:dyDescent="0.45">
      <c r="I74" t="s">
        <v>249</v>
      </c>
      <c r="J74" t="s">
        <v>314</v>
      </c>
      <c r="K74">
        <v>1.8663862342043286E-4</v>
      </c>
      <c r="L74" t="s">
        <v>251</v>
      </c>
      <c r="N74" t="s">
        <v>419</v>
      </c>
      <c r="O74" t="s">
        <v>314</v>
      </c>
      <c r="P74">
        <v>2.6659009404087886E-2</v>
      </c>
      <c r="Q74" t="s">
        <v>251</v>
      </c>
      <c r="S74" t="s">
        <v>420</v>
      </c>
      <c r="T74" t="s">
        <v>314</v>
      </c>
      <c r="U74">
        <v>2.6876378134086457E-2</v>
      </c>
      <c r="V74" t="s">
        <v>251</v>
      </c>
      <c r="X74">
        <v>1.7694063926940638E-2</v>
      </c>
      <c r="Y74">
        <v>1.3358857701646654E-2</v>
      </c>
      <c r="Z74" t="s">
        <v>314</v>
      </c>
      <c r="AA74" t="s">
        <v>25</v>
      </c>
      <c r="AC74" t="s">
        <v>22</v>
      </c>
      <c r="AD74" t="s">
        <v>314</v>
      </c>
      <c r="AE74">
        <v>9.097681604861239E-3</v>
      </c>
      <c r="AG74" t="s">
        <v>97</v>
      </c>
      <c r="AH74" t="s">
        <v>314</v>
      </c>
      <c r="AI74">
        <v>0.17022533477813839</v>
      </c>
      <c r="AK74">
        <v>2027</v>
      </c>
      <c r="AL74" t="s">
        <v>163</v>
      </c>
      <c r="AM74">
        <v>0.32800000000000001</v>
      </c>
      <c r="AN74" t="s">
        <v>430</v>
      </c>
    </row>
    <row r="75" spans="9:40" x14ac:dyDescent="0.45">
      <c r="I75" t="s">
        <v>249</v>
      </c>
      <c r="J75" t="s">
        <v>339</v>
      </c>
      <c r="K75">
        <v>4.8036425087640667E-4</v>
      </c>
      <c r="L75" t="s">
        <v>251</v>
      </c>
      <c r="N75" t="s">
        <v>419</v>
      </c>
      <c r="O75" t="s">
        <v>339</v>
      </c>
      <c r="P75">
        <v>2.2218056232612447E-2</v>
      </c>
      <c r="Q75" t="s">
        <v>251</v>
      </c>
      <c r="S75" t="s">
        <v>420</v>
      </c>
      <c r="T75" t="s">
        <v>339</v>
      </c>
      <c r="U75">
        <v>2.1333212003720476E-2</v>
      </c>
      <c r="V75" t="s">
        <v>251</v>
      </c>
      <c r="X75">
        <v>2.3972602739726026E-2</v>
      </c>
      <c r="Y75">
        <v>9.4672202471222967E-3</v>
      </c>
      <c r="Z75" t="s">
        <v>339</v>
      </c>
      <c r="AA75" t="s">
        <v>25</v>
      </c>
      <c r="AC75" t="s">
        <v>22</v>
      </c>
      <c r="AD75" t="s">
        <v>339</v>
      </c>
      <c r="AE75">
        <v>2.479801325847876E-2</v>
      </c>
      <c r="AG75" t="s">
        <v>97</v>
      </c>
      <c r="AH75" t="s">
        <v>339</v>
      </c>
      <c r="AI75">
        <v>0.11873084055346217</v>
      </c>
      <c r="AK75">
        <v>2027</v>
      </c>
      <c r="AL75" t="s">
        <v>167</v>
      </c>
      <c r="AM75">
        <v>0.43840000000000001</v>
      </c>
      <c r="AN75" t="s">
        <v>430</v>
      </c>
    </row>
    <row r="76" spans="9:40" x14ac:dyDescent="0.45">
      <c r="I76" t="s">
        <v>249</v>
      </c>
      <c r="J76" t="s">
        <v>340</v>
      </c>
      <c r="K76">
        <v>2.6737579325745247E-3</v>
      </c>
      <c r="L76" t="s">
        <v>251</v>
      </c>
      <c r="N76" t="s">
        <v>419</v>
      </c>
      <c r="O76" t="s">
        <v>340</v>
      </c>
      <c r="P76">
        <v>2.7657812640603397E-3</v>
      </c>
      <c r="Q76" t="s">
        <v>251</v>
      </c>
      <c r="S76" t="s">
        <v>420</v>
      </c>
      <c r="T76" t="s">
        <v>340</v>
      </c>
      <c r="U76">
        <v>2.8122559328442984E-3</v>
      </c>
      <c r="V76" t="s">
        <v>251</v>
      </c>
      <c r="X76">
        <v>3.4246575342465752E-3</v>
      </c>
      <c r="Y76">
        <v>5.7181214727892006E-3</v>
      </c>
      <c r="Z76" t="s">
        <v>340</v>
      </c>
      <c r="AA76" t="s">
        <v>25</v>
      </c>
      <c r="AC76" t="s">
        <v>22</v>
      </c>
      <c r="AD76" t="s">
        <v>340</v>
      </c>
      <c r="AE76">
        <v>4.0903914423662405E-3</v>
      </c>
      <c r="AG76" t="s">
        <v>97</v>
      </c>
      <c r="AH76" t="s">
        <v>340</v>
      </c>
      <c r="AI76">
        <v>5.9529546434148539E-2</v>
      </c>
      <c r="AK76">
        <v>2027</v>
      </c>
      <c r="AL76" t="s">
        <v>169</v>
      </c>
      <c r="AM76">
        <v>0.49719999999999998</v>
      </c>
      <c r="AN76" t="s">
        <v>430</v>
      </c>
    </row>
    <row r="77" spans="9:40" x14ac:dyDescent="0.45">
      <c r="I77" t="s">
        <v>249</v>
      </c>
      <c r="J77" t="s">
        <v>341</v>
      </c>
      <c r="K77">
        <v>5.0872602575584595E-3</v>
      </c>
      <c r="L77" t="s">
        <v>251</v>
      </c>
      <c r="N77" t="s">
        <v>419</v>
      </c>
      <c r="O77" t="s">
        <v>341</v>
      </c>
      <c r="P77">
        <v>2.9609691843650704E-3</v>
      </c>
      <c r="Q77" t="s">
        <v>251</v>
      </c>
      <c r="S77" t="s">
        <v>420</v>
      </c>
      <c r="T77" t="s">
        <v>341</v>
      </c>
      <c r="U77">
        <v>2.7468828959333635E-3</v>
      </c>
      <c r="V77" t="s">
        <v>251</v>
      </c>
      <c r="X77">
        <v>3.4246575342465752E-3</v>
      </c>
      <c r="Y77">
        <v>4.3756059965691279E-3</v>
      </c>
      <c r="Z77" t="s">
        <v>341</v>
      </c>
      <c r="AA77" t="s">
        <v>25</v>
      </c>
      <c r="AC77" t="s">
        <v>22</v>
      </c>
      <c r="AD77" t="s">
        <v>341</v>
      </c>
      <c r="AE77">
        <v>4.1577220422169573E-3</v>
      </c>
      <c r="AG77" t="s">
        <v>97</v>
      </c>
      <c r="AH77" t="s">
        <v>341</v>
      </c>
      <c r="AI77">
        <v>6.0284732903687965E-2</v>
      </c>
      <c r="AK77">
        <v>2027</v>
      </c>
      <c r="AL77" t="s">
        <v>171</v>
      </c>
      <c r="AM77">
        <v>0.58409999999999995</v>
      </c>
      <c r="AN77" t="s">
        <v>430</v>
      </c>
    </row>
    <row r="78" spans="9:40" x14ac:dyDescent="0.45">
      <c r="I78" t="s">
        <v>249</v>
      </c>
      <c r="J78" t="s">
        <v>342</v>
      </c>
      <c r="K78">
        <v>6.7634266830591001E-3</v>
      </c>
      <c r="L78" t="s">
        <v>251</v>
      </c>
      <c r="N78" t="s">
        <v>419</v>
      </c>
      <c r="O78" t="s">
        <v>342</v>
      </c>
      <c r="P78">
        <v>2.9475488100523055E-3</v>
      </c>
      <c r="Q78" t="s">
        <v>251</v>
      </c>
      <c r="S78" t="s">
        <v>420</v>
      </c>
      <c r="T78" t="s">
        <v>342</v>
      </c>
      <c r="U78">
        <v>2.7031950431327689E-3</v>
      </c>
      <c r="V78" t="s">
        <v>251</v>
      </c>
      <c r="X78">
        <v>3.4246575342465752E-3</v>
      </c>
      <c r="Y78">
        <v>4.3358277602366805E-3</v>
      </c>
      <c r="Z78" t="s">
        <v>342</v>
      </c>
      <c r="AA78" t="s">
        <v>25</v>
      </c>
      <c r="AC78" t="s">
        <v>22</v>
      </c>
      <c r="AD78" t="s">
        <v>342</v>
      </c>
      <c r="AE78">
        <v>4.1645427847299245E-3</v>
      </c>
      <c r="AG78" t="s">
        <v>97</v>
      </c>
      <c r="AH78" t="s">
        <v>342</v>
      </c>
      <c r="AI78">
        <v>5.7452323734495492E-2</v>
      </c>
      <c r="AK78">
        <v>2027</v>
      </c>
      <c r="AL78" t="s">
        <v>158</v>
      </c>
      <c r="AM78">
        <v>0.70130000000000003</v>
      </c>
      <c r="AN78" t="s">
        <v>430</v>
      </c>
    </row>
    <row r="79" spans="9:40" x14ac:dyDescent="0.45">
      <c r="I79" t="s">
        <v>249</v>
      </c>
      <c r="J79" t="s">
        <v>343</v>
      </c>
      <c r="K79">
        <v>5.2055495216302698E-2</v>
      </c>
      <c r="L79" t="s">
        <v>251</v>
      </c>
      <c r="N79" t="s">
        <v>419</v>
      </c>
      <c r="O79" t="s">
        <v>343</v>
      </c>
      <c r="P79">
        <v>2.1354717532064284E-2</v>
      </c>
      <c r="Q79" t="s">
        <v>251</v>
      </c>
      <c r="S79" t="s">
        <v>420</v>
      </c>
      <c r="T79" t="s">
        <v>343</v>
      </c>
      <c r="U79">
        <v>2.1485763777733306E-2</v>
      </c>
      <c r="V79" t="s">
        <v>251</v>
      </c>
      <c r="X79">
        <v>2.3972602739726026E-2</v>
      </c>
      <c r="Y79">
        <v>3.3533053228252493E-2</v>
      </c>
      <c r="Z79" t="s">
        <v>343</v>
      </c>
      <c r="AA79" t="s">
        <v>25</v>
      </c>
      <c r="AC79" t="s">
        <v>22</v>
      </c>
      <c r="AD79" t="s">
        <v>343</v>
      </c>
      <c r="AE79">
        <v>3.0052416038899462E-2</v>
      </c>
      <c r="AG79" t="s">
        <v>97</v>
      </c>
      <c r="AH79" t="s">
        <v>343</v>
      </c>
      <c r="AI79">
        <v>0.13831363842302236</v>
      </c>
      <c r="AK79">
        <v>2027</v>
      </c>
      <c r="AL79" t="s">
        <v>162</v>
      </c>
      <c r="AM79">
        <v>0.6401</v>
      </c>
      <c r="AN79" t="s">
        <v>430</v>
      </c>
    </row>
    <row r="80" spans="9:40" x14ac:dyDescent="0.45">
      <c r="I80" t="s">
        <v>249</v>
      </c>
      <c r="J80" t="s">
        <v>344</v>
      </c>
      <c r="K80">
        <v>3.8015886530664736E-3</v>
      </c>
      <c r="L80" t="s">
        <v>251</v>
      </c>
      <c r="N80" t="s">
        <v>419</v>
      </c>
      <c r="O80" t="s">
        <v>344</v>
      </c>
      <c r="P80">
        <v>3.2853587354604373E-3</v>
      </c>
      <c r="Q80" t="s">
        <v>251</v>
      </c>
      <c r="S80" t="s">
        <v>420</v>
      </c>
      <c r="T80" t="s">
        <v>344</v>
      </c>
      <c r="U80">
        <v>3.5179091356963214E-3</v>
      </c>
      <c r="V80" t="s">
        <v>251</v>
      </c>
      <c r="X80">
        <v>3.4246575342465752E-3</v>
      </c>
      <c r="Y80">
        <v>6.662854585684809E-3</v>
      </c>
      <c r="Z80" t="s">
        <v>344</v>
      </c>
      <c r="AA80" t="s">
        <v>25</v>
      </c>
      <c r="AC80" t="s">
        <v>22</v>
      </c>
      <c r="AD80" t="s">
        <v>344</v>
      </c>
      <c r="AE80">
        <v>2.0473205801080424E-3</v>
      </c>
      <c r="AG80" t="s">
        <v>97</v>
      </c>
      <c r="AH80" t="s">
        <v>344</v>
      </c>
      <c r="AI80">
        <v>6.0476550817863295E-2</v>
      </c>
      <c r="AK80">
        <v>2027</v>
      </c>
      <c r="AL80" t="s">
        <v>175</v>
      </c>
      <c r="AM80">
        <v>0.47910000000000003</v>
      </c>
      <c r="AN80" t="s">
        <v>430</v>
      </c>
    </row>
    <row r="81" spans="9:40" x14ac:dyDescent="0.45">
      <c r="I81" t="s">
        <v>249</v>
      </c>
      <c r="J81" t="s">
        <v>345</v>
      </c>
      <c r="K81">
        <v>1.460444015450549E-3</v>
      </c>
      <c r="L81" t="s">
        <v>251</v>
      </c>
      <c r="N81" t="s">
        <v>419</v>
      </c>
      <c r="O81" t="s">
        <v>345</v>
      </c>
      <c r="P81">
        <v>3.5280298980588662E-3</v>
      </c>
      <c r="Q81" t="s">
        <v>251</v>
      </c>
      <c r="S81" t="s">
        <v>420</v>
      </c>
      <c r="T81" t="s">
        <v>345</v>
      </c>
      <c r="U81">
        <v>3.4983633838829727E-3</v>
      </c>
      <c r="V81" t="s">
        <v>251</v>
      </c>
      <c r="X81">
        <v>3.4246575342465752E-3</v>
      </c>
      <c r="Y81">
        <v>5.1711707232180593E-3</v>
      </c>
      <c r="Z81" t="s">
        <v>345</v>
      </c>
      <c r="AA81" t="s">
        <v>25</v>
      </c>
      <c r="AC81" t="s">
        <v>22</v>
      </c>
      <c r="AD81" t="s">
        <v>345</v>
      </c>
      <c r="AE81">
        <v>1.7386513426476894E-3</v>
      </c>
      <c r="AG81" t="s">
        <v>97</v>
      </c>
      <c r="AH81" t="s">
        <v>345</v>
      </c>
      <c r="AI81">
        <v>4.5942355101804999E-2</v>
      </c>
      <c r="AK81">
        <v>2027</v>
      </c>
      <c r="AL81" t="s">
        <v>166</v>
      </c>
      <c r="AM81">
        <v>0.3034</v>
      </c>
      <c r="AN81" t="s">
        <v>430</v>
      </c>
    </row>
    <row r="82" spans="9:40" x14ac:dyDescent="0.45">
      <c r="I82" t="s">
        <v>249</v>
      </c>
      <c r="J82" t="s">
        <v>346</v>
      </c>
      <c r="K82">
        <v>0</v>
      </c>
      <c r="L82" t="s">
        <v>251</v>
      </c>
      <c r="N82" t="s">
        <v>419</v>
      </c>
      <c r="O82" t="s">
        <v>346</v>
      </c>
      <c r="P82">
        <v>1.8521877865411613E-2</v>
      </c>
      <c r="Q82" t="s">
        <v>251</v>
      </c>
      <c r="S82" t="s">
        <v>420</v>
      </c>
      <c r="T82" t="s">
        <v>346</v>
      </c>
      <c r="U82">
        <v>1.6294644862876205E-2</v>
      </c>
      <c r="V82" t="s">
        <v>251</v>
      </c>
      <c r="X82">
        <v>1.7123287671232876E-2</v>
      </c>
      <c r="Y82">
        <v>1.2927926808045149E-2</v>
      </c>
      <c r="Z82" t="s">
        <v>346</v>
      </c>
      <c r="AA82" t="s">
        <v>25</v>
      </c>
      <c r="AC82" t="s">
        <v>22</v>
      </c>
      <c r="AD82" t="s">
        <v>346</v>
      </c>
      <c r="AE82">
        <v>8.3144303120993128E-3</v>
      </c>
      <c r="AG82" t="s">
        <v>97</v>
      </c>
      <c r="AH82" t="s">
        <v>346</v>
      </c>
      <c r="AI82">
        <v>0.13771850336164992</v>
      </c>
      <c r="AK82">
        <v>2027</v>
      </c>
      <c r="AL82" t="s">
        <v>178</v>
      </c>
      <c r="AM82">
        <v>0.30459999999999998</v>
      </c>
      <c r="AN82" t="s">
        <v>430</v>
      </c>
    </row>
    <row r="83" spans="9:40" x14ac:dyDescent="0.45">
      <c r="I83" t="s">
        <v>249</v>
      </c>
      <c r="J83" t="s">
        <v>371</v>
      </c>
      <c r="K83">
        <v>6.3403489372097896E-4</v>
      </c>
      <c r="L83" t="s">
        <v>251</v>
      </c>
      <c r="N83" t="s">
        <v>419</v>
      </c>
      <c r="O83" t="s">
        <v>371</v>
      </c>
      <c r="P83">
        <v>1.2435653056473135E-2</v>
      </c>
      <c r="Q83" t="s">
        <v>251</v>
      </c>
      <c r="S83" t="s">
        <v>420</v>
      </c>
      <c r="T83" t="s">
        <v>371</v>
      </c>
      <c r="U83">
        <v>1.5488070688631525E-2</v>
      </c>
      <c r="V83" t="s">
        <v>251</v>
      </c>
      <c r="X83">
        <v>2.4771689497716895E-2</v>
      </c>
      <c r="Y83">
        <v>9.7827942553597048E-3</v>
      </c>
      <c r="Z83" t="s">
        <v>371</v>
      </c>
      <c r="AA83" t="s">
        <v>25</v>
      </c>
      <c r="AC83" t="s">
        <v>22</v>
      </c>
      <c r="AD83" t="s">
        <v>371</v>
      </c>
      <c r="AE83">
        <v>2.3934028632773042E-2</v>
      </c>
      <c r="AG83" t="s">
        <v>97</v>
      </c>
      <c r="AH83" t="s">
        <v>371</v>
      </c>
      <c r="AI83">
        <v>0.13679072694273109</v>
      </c>
      <c r="AK83">
        <v>2028</v>
      </c>
      <c r="AL83" t="s">
        <v>151</v>
      </c>
      <c r="AM83">
        <v>0.25540000000000002</v>
      </c>
      <c r="AN83" t="s">
        <v>430</v>
      </c>
    </row>
    <row r="84" spans="9:40" x14ac:dyDescent="0.45">
      <c r="I84" t="s">
        <v>249</v>
      </c>
      <c r="J84" t="s">
        <v>372</v>
      </c>
      <c r="K84">
        <v>3.8263330103221272E-3</v>
      </c>
      <c r="L84" t="s">
        <v>251</v>
      </c>
      <c r="N84" t="s">
        <v>419</v>
      </c>
      <c r="O84" t="s">
        <v>372</v>
      </c>
      <c r="P84">
        <v>1.3649581269337327E-3</v>
      </c>
      <c r="Q84" t="s">
        <v>251</v>
      </c>
      <c r="S84" t="s">
        <v>420</v>
      </c>
      <c r="T84" t="s">
        <v>372</v>
      </c>
      <c r="U84">
        <v>1.995264486450884E-3</v>
      </c>
      <c r="V84" t="s">
        <v>251</v>
      </c>
      <c r="X84">
        <v>3.5388127853881279E-3</v>
      </c>
      <c r="Y84">
        <v>5.9087255218821738E-3</v>
      </c>
      <c r="Z84" t="s">
        <v>372</v>
      </c>
      <c r="AA84" t="s">
        <v>25</v>
      </c>
      <c r="AC84" t="s">
        <v>22</v>
      </c>
      <c r="AD84" t="s">
        <v>372</v>
      </c>
      <c r="AE84">
        <v>3.9657988848695565E-3</v>
      </c>
      <c r="AG84" t="s">
        <v>97</v>
      </c>
      <c r="AH84" t="s">
        <v>372</v>
      </c>
      <c r="AI84">
        <v>5.6729088378576265E-2</v>
      </c>
      <c r="AK84">
        <v>2028</v>
      </c>
      <c r="AL84" t="s">
        <v>156</v>
      </c>
      <c r="AM84">
        <v>0.25409999999999999</v>
      </c>
      <c r="AN84" t="s">
        <v>430</v>
      </c>
    </row>
    <row r="85" spans="9:40" x14ac:dyDescent="0.45">
      <c r="I85" t="s">
        <v>249</v>
      </c>
      <c r="J85" t="s">
        <v>373</v>
      </c>
      <c r="K85">
        <v>6.7150870858792002E-3</v>
      </c>
      <c r="L85" t="s">
        <v>251</v>
      </c>
      <c r="N85" t="s">
        <v>419</v>
      </c>
      <c r="O85" t="s">
        <v>373</v>
      </c>
      <c r="P85">
        <v>1.3225329764351757E-3</v>
      </c>
      <c r="Q85" t="s">
        <v>251</v>
      </c>
      <c r="S85" t="s">
        <v>420</v>
      </c>
      <c r="T85" t="s">
        <v>373</v>
      </c>
      <c r="U85">
        <v>1.9162130597774412E-3</v>
      </c>
      <c r="V85" t="s">
        <v>251</v>
      </c>
      <c r="X85">
        <v>3.5388127853881279E-3</v>
      </c>
      <c r="Y85">
        <v>4.521459529788099E-3</v>
      </c>
      <c r="Z85" t="s">
        <v>373</v>
      </c>
      <c r="AA85" t="s">
        <v>25</v>
      </c>
      <c r="AC85" t="s">
        <v>22</v>
      </c>
      <c r="AD85" t="s">
        <v>373</v>
      </c>
      <c r="AE85">
        <v>4.0884697495620825E-3</v>
      </c>
      <c r="AG85" t="s">
        <v>97</v>
      </c>
      <c r="AH85" t="s">
        <v>373</v>
      </c>
      <c r="AI85">
        <v>5.4226425435626613E-2</v>
      </c>
      <c r="AK85">
        <v>2028</v>
      </c>
      <c r="AL85" t="s">
        <v>159</v>
      </c>
      <c r="AM85">
        <v>0.24859999999999999</v>
      </c>
      <c r="AN85" t="s">
        <v>430</v>
      </c>
    </row>
    <row r="86" spans="9:40" x14ac:dyDescent="0.45">
      <c r="I86" t="s">
        <v>249</v>
      </c>
      <c r="J86" t="s">
        <v>374</v>
      </c>
      <c r="K86">
        <v>8.6003159860488006E-3</v>
      </c>
      <c r="L86" t="s">
        <v>251</v>
      </c>
      <c r="N86" t="s">
        <v>419</v>
      </c>
      <c r="O86" t="s">
        <v>374</v>
      </c>
      <c r="P86">
        <v>1.2776880862943592E-3</v>
      </c>
      <c r="Q86" t="s">
        <v>251</v>
      </c>
      <c r="S86" t="s">
        <v>420</v>
      </c>
      <c r="T86" t="s">
        <v>374</v>
      </c>
      <c r="U86">
        <v>1.8593174914847584E-3</v>
      </c>
      <c r="V86" t="s">
        <v>251</v>
      </c>
      <c r="X86">
        <v>3.5388127853881279E-3</v>
      </c>
      <c r="Y86">
        <v>4.4803553522445696E-3</v>
      </c>
      <c r="Z86" t="s">
        <v>374</v>
      </c>
      <c r="AA86" t="s">
        <v>25</v>
      </c>
      <c r="AC86" t="s">
        <v>22</v>
      </c>
      <c r="AD86" t="s">
        <v>374</v>
      </c>
      <c r="AE86">
        <v>4.1133094186778258E-3</v>
      </c>
      <c r="AG86" t="s">
        <v>97</v>
      </c>
      <c r="AH86" t="s">
        <v>374</v>
      </c>
      <c r="AI86">
        <v>5.6011285725877658E-2</v>
      </c>
      <c r="AK86">
        <v>2028</v>
      </c>
      <c r="AL86" t="s">
        <v>163</v>
      </c>
      <c r="AM86">
        <v>0.33439999999999998</v>
      </c>
      <c r="AN86" t="s">
        <v>430</v>
      </c>
    </row>
    <row r="87" spans="9:40" x14ac:dyDescent="0.45">
      <c r="I87" t="s">
        <v>249</v>
      </c>
      <c r="J87" t="s">
        <v>375</v>
      </c>
      <c r="K87">
        <v>6.1191362657387602E-2</v>
      </c>
      <c r="L87" t="s">
        <v>251</v>
      </c>
      <c r="N87" t="s">
        <v>419</v>
      </c>
      <c r="O87" t="s">
        <v>375</v>
      </c>
      <c r="P87">
        <v>9.5770533182397716E-3</v>
      </c>
      <c r="Q87" t="s">
        <v>251</v>
      </c>
      <c r="S87" t="s">
        <v>420</v>
      </c>
      <c r="T87" t="s">
        <v>375</v>
      </c>
      <c r="U87">
        <v>1.3953211337061788E-2</v>
      </c>
      <c r="V87" t="s">
        <v>251</v>
      </c>
      <c r="X87">
        <v>2.4771689497716895E-2</v>
      </c>
      <c r="Y87">
        <v>3.4650821669194247E-2</v>
      </c>
      <c r="Z87" t="s">
        <v>375</v>
      </c>
      <c r="AA87" t="s">
        <v>25</v>
      </c>
      <c r="AC87" t="s">
        <v>22</v>
      </c>
      <c r="AD87" t="s">
        <v>375</v>
      </c>
      <c r="AE87">
        <v>3.0280118994388212E-2</v>
      </c>
      <c r="AG87" t="s">
        <v>97</v>
      </c>
      <c r="AH87" t="s">
        <v>375</v>
      </c>
      <c r="AI87">
        <v>0.17824252174205646</v>
      </c>
      <c r="AK87">
        <v>2028</v>
      </c>
      <c r="AL87" t="s">
        <v>167</v>
      </c>
      <c r="AM87">
        <v>0.39839999999999998</v>
      </c>
      <c r="AN87" t="s">
        <v>430</v>
      </c>
    </row>
    <row r="88" spans="9:40" x14ac:dyDescent="0.45">
      <c r="I88" t="s">
        <v>249</v>
      </c>
      <c r="J88" t="s">
        <v>376</v>
      </c>
      <c r="K88">
        <v>4.3842810569849856E-3</v>
      </c>
      <c r="L88" t="s">
        <v>251</v>
      </c>
      <c r="N88" t="s">
        <v>419</v>
      </c>
      <c r="O88" t="s">
        <v>376</v>
      </c>
      <c r="P88">
        <v>1.6358779065967408E-3</v>
      </c>
      <c r="Q88" t="s">
        <v>251</v>
      </c>
      <c r="S88" t="s">
        <v>420</v>
      </c>
      <c r="T88" t="s">
        <v>376</v>
      </c>
      <c r="U88">
        <v>2.2921375853948737E-3</v>
      </c>
      <c r="V88" t="s">
        <v>251</v>
      </c>
      <c r="X88">
        <v>3.5388127853881279E-3</v>
      </c>
      <c r="Y88">
        <v>6.8849497385409693E-3</v>
      </c>
      <c r="Z88" t="s">
        <v>376</v>
      </c>
      <c r="AA88" t="s">
        <v>25</v>
      </c>
      <c r="AC88" t="s">
        <v>22</v>
      </c>
      <c r="AD88" t="s">
        <v>376</v>
      </c>
      <c r="AE88">
        <v>1.7822153789899473E-3</v>
      </c>
      <c r="AG88" t="s">
        <v>97</v>
      </c>
      <c r="AH88" t="s">
        <v>376</v>
      </c>
      <c r="AI88">
        <v>7.3099190615680376E-2</v>
      </c>
      <c r="AK88">
        <v>2028</v>
      </c>
      <c r="AL88" t="s">
        <v>169</v>
      </c>
      <c r="AM88">
        <v>0.5161</v>
      </c>
      <c r="AN88" t="s">
        <v>430</v>
      </c>
    </row>
    <row r="89" spans="9:40" x14ac:dyDescent="0.45">
      <c r="I89" t="s">
        <v>249</v>
      </c>
      <c r="J89" t="s">
        <v>377</v>
      </c>
      <c r="K89">
        <v>1.0263553428467634E-3</v>
      </c>
      <c r="L89" t="s">
        <v>251</v>
      </c>
      <c r="N89" t="s">
        <v>419</v>
      </c>
      <c r="O89" t="s">
        <v>377</v>
      </c>
      <c r="P89">
        <v>1.8979731676521288E-3</v>
      </c>
      <c r="Q89" t="s">
        <v>251</v>
      </c>
      <c r="S89" t="s">
        <v>420</v>
      </c>
      <c r="T89" t="s">
        <v>377</v>
      </c>
      <c r="U89">
        <v>2.3093357354052341E-3</v>
      </c>
      <c r="V89" t="s">
        <v>251</v>
      </c>
      <c r="X89">
        <v>3.5388127853881279E-3</v>
      </c>
      <c r="Y89">
        <v>5.3435430806586613E-3</v>
      </c>
      <c r="Z89" t="s">
        <v>377</v>
      </c>
      <c r="AA89" t="s">
        <v>25</v>
      </c>
      <c r="AC89" t="s">
        <v>22</v>
      </c>
      <c r="AD89" t="s">
        <v>377</v>
      </c>
      <c r="AE89">
        <v>1.1503686209911866E-3</v>
      </c>
      <c r="AG89" t="s">
        <v>97</v>
      </c>
      <c r="AH89" t="s">
        <v>377</v>
      </c>
      <c r="AI89">
        <v>3.5983219578911374E-2</v>
      </c>
      <c r="AK89">
        <v>2028</v>
      </c>
      <c r="AL89" t="s">
        <v>171</v>
      </c>
      <c r="AM89">
        <v>0.59350000000000003</v>
      </c>
      <c r="AN89" t="s">
        <v>430</v>
      </c>
    </row>
    <row r="90" spans="9:40" x14ac:dyDescent="0.45">
      <c r="I90" t="s">
        <v>249</v>
      </c>
      <c r="J90" t="s">
        <v>378</v>
      </c>
      <c r="K90">
        <v>0</v>
      </c>
      <c r="L90" t="s">
        <v>251</v>
      </c>
      <c r="N90" t="s">
        <v>419</v>
      </c>
      <c r="O90" t="s">
        <v>378</v>
      </c>
      <c r="P90">
        <v>1.0784711380233942E-2</v>
      </c>
      <c r="Q90" t="s">
        <v>251</v>
      </c>
      <c r="S90" t="s">
        <v>420</v>
      </c>
      <c r="T90" t="s">
        <v>378</v>
      </c>
      <c r="U90">
        <v>1.1047602570597012E-2</v>
      </c>
      <c r="V90" t="s">
        <v>251</v>
      </c>
      <c r="X90">
        <v>1.7694063926940638E-2</v>
      </c>
      <c r="Y90">
        <v>1.3358857701646654E-2</v>
      </c>
      <c r="Z90" t="s">
        <v>378</v>
      </c>
      <c r="AA90" t="s">
        <v>25</v>
      </c>
      <c r="AC90" t="s">
        <v>22</v>
      </c>
      <c r="AD90" t="s">
        <v>378</v>
      </c>
      <c r="AE90">
        <v>6.4498617610390784E-3</v>
      </c>
      <c r="AG90" t="s">
        <v>97</v>
      </c>
      <c r="AH90" t="s">
        <v>378</v>
      </c>
      <c r="AI90">
        <v>0.17538812015677752</v>
      </c>
      <c r="AK90">
        <v>2028</v>
      </c>
      <c r="AL90" t="s">
        <v>158</v>
      </c>
      <c r="AM90">
        <v>0.58140000000000003</v>
      </c>
      <c r="AN90" t="s">
        <v>430</v>
      </c>
    </row>
    <row r="91" spans="9:40" x14ac:dyDescent="0.45">
      <c r="I91" t="s">
        <v>249</v>
      </c>
      <c r="J91" t="s">
        <v>379</v>
      </c>
      <c r="K91">
        <v>1.9482941716715063E-5</v>
      </c>
      <c r="L91" t="s">
        <v>251</v>
      </c>
      <c r="N91" t="s">
        <v>419</v>
      </c>
      <c r="O91" t="s">
        <v>379</v>
      </c>
      <c r="P91">
        <v>1.3153699780610236E-2</v>
      </c>
      <c r="Q91" t="s">
        <v>251</v>
      </c>
      <c r="S91" t="s">
        <v>420</v>
      </c>
      <c r="T91" t="s">
        <v>379</v>
      </c>
      <c r="U91">
        <v>1.3586976600322679E-2</v>
      </c>
      <c r="V91" t="s">
        <v>251</v>
      </c>
      <c r="X91">
        <v>2.3972602739726026E-2</v>
      </c>
      <c r="Y91">
        <v>9.4672202471222967E-3</v>
      </c>
      <c r="Z91" t="s">
        <v>379</v>
      </c>
      <c r="AA91" t="s">
        <v>25</v>
      </c>
      <c r="AC91" t="s">
        <v>22</v>
      </c>
      <c r="AD91" t="s">
        <v>379</v>
      </c>
      <c r="AE91">
        <v>1.9893003489543905E-2</v>
      </c>
      <c r="AG91" t="s">
        <v>97</v>
      </c>
      <c r="AH91" t="s">
        <v>379</v>
      </c>
      <c r="AI91">
        <v>0.12071448710066535</v>
      </c>
      <c r="AK91">
        <v>2028</v>
      </c>
      <c r="AL91" t="s">
        <v>162</v>
      </c>
      <c r="AM91">
        <v>0.67200000000000004</v>
      </c>
      <c r="AN91" t="s">
        <v>430</v>
      </c>
    </row>
    <row r="92" spans="9:40" x14ac:dyDescent="0.45">
      <c r="I92" t="s">
        <v>249</v>
      </c>
      <c r="J92" t="s">
        <v>380</v>
      </c>
      <c r="K92">
        <v>2.6033399125763301E-3</v>
      </c>
      <c r="L92" t="s">
        <v>251</v>
      </c>
      <c r="N92" t="s">
        <v>419</v>
      </c>
      <c r="O92" t="s">
        <v>380</v>
      </c>
      <c r="P92">
        <v>1.5945234636038359E-3</v>
      </c>
      <c r="Q92" t="s">
        <v>251</v>
      </c>
      <c r="S92" t="s">
        <v>420</v>
      </c>
      <c r="T92" t="s">
        <v>380</v>
      </c>
      <c r="U92">
        <v>2.1899527058046996E-3</v>
      </c>
      <c r="V92" t="s">
        <v>251</v>
      </c>
      <c r="X92">
        <v>3.4246575342465752E-3</v>
      </c>
      <c r="Y92">
        <v>5.7181214727892006E-3</v>
      </c>
      <c r="Z92" t="s">
        <v>380</v>
      </c>
      <c r="AA92" t="s">
        <v>25</v>
      </c>
      <c r="AC92" t="s">
        <v>22</v>
      </c>
      <c r="AD92" t="s">
        <v>380</v>
      </c>
      <c r="AE92">
        <v>3.4633448415919798E-3</v>
      </c>
      <c r="AG92" t="s">
        <v>97</v>
      </c>
      <c r="AH92" t="s">
        <v>380</v>
      </c>
      <c r="AI92">
        <v>2.4424973822853469E-2</v>
      </c>
      <c r="AK92">
        <v>2028</v>
      </c>
      <c r="AL92" t="s">
        <v>175</v>
      </c>
      <c r="AM92">
        <v>0.48330000000000001</v>
      </c>
      <c r="AN92" t="s">
        <v>430</v>
      </c>
    </row>
    <row r="93" spans="9:40" x14ac:dyDescent="0.45">
      <c r="I93" t="s">
        <v>249</v>
      </c>
      <c r="J93" t="s">
        <v>381</v>
      </c>
      <c r="K93">
        <v>6.8886166088816996E-3</v>
      </c>
      <c r="L93" t="s">
        <v>251</v>
      </c>
      <c r="N93" t="s">
        <v>419</v>
      </c>
      <c r="O93" t="s">
        <v>381</v>
      </c>
      <c r="P93">
        <v>1.2286945357890488E-3</v>
      </c>
      <c r="Q93" t="s">
        <v>251</v>
      </c>
      <c r="S93" t="s">
        <v>420</v>
      </c>
      <c r="T93" t="s">
        <v>381</v>
      </c>
      <c r="U93">
        <v>2.2081893103214167E-3</v>
      </c>
      <c r="V93" t="s">
        <v>251</v>
      </c>
      <c r="X93">
        <v>3.4246575342465752E-3</v>
      </c>
      <c r="Y93">
        <v>4.3756059965691279E-3</v>
      </c>
      <c r="Z93" t="s">
        <v>381</v>
      </c>
      <c r="AA93" t="s">
        <v>25</v>
      </c>
      <c r="AC93" t="s">
        <v>22</v>
      </c>
      <c r="AD93" t="s">
        <v>381</v>
      </c>
      <c r="AE93">
        <v>3.4988779910473927E-3</v>
      </c>
      <c r="AG93" t="s">
        <v>97</v>
      </c>
      <c r="AH93" t="s">
        <v>381</v>
      </c>
      <c r="AI93">
        <v>3.5086542729831249E-2</v>
      </c>
      <c r="AK93">
        <v>2028</v>
      </c>
      <c r="AL93" t="s">
        <v>166</v>
      </c>
      <c r="AM93">
        <v>0.26340000000000002</v>
      </c>
      <c r="AN93" t="s">
        <v>430</v>
      </c>
    </row>
    <row r="94" spans="9:40" x14ac:dyDescent="0.45">
      <c r="I94" t="s">
        <v>249</v>
      </c>
      <c r="J94" t="s">
        <v>382</v>
      </c>
      <c r="K94">
        <v>8.9099181820073009E-3</v>
      </c>
      <c r="L94" t="s">
        <v>251</v>
      </c>
      <c r="N94" t="s">
        <v>419</v>
      </c>
      <c r="O94" t="s">
        <v>382</v>
      </c>
      <c r="P94">
        <v>1.2278248675456694E-3</v>
      </c>
      <c r="Q94" t="s">
        <v>251</v>
      </c>
      <c r="S94" t="s">
        <v>420</v>
      </c>
      <c r="T94" t="s">
        <v>382</v>
      </c>
      <c r="U94">
        <v>2.1791779415469034E-3</v>
      </c>
      <c r="V94" t="s">
        <v>251</v>
      </c>
      <c r="X94">
        <v>3.4246575342465752E-3</v>
      </c>
      <c r="Y94">
        <v>4.3358277602366805E-3</v>
      </c>
      <c r="Z94" t="s">
        <v>382</v>
      </c>
      <c r="AA94" t="s">
        <v>25</v>
      </c>
      <c r="AC94" t="s">
        <v>22</v>
      </c>
      <c r="AD94" t="s">
        <v>382</v>
      </c>
      <c r="AE94">
        <v>3.5052252256270017E-3</v>
      </c>
      <c r="AG94" t="s">
        <v>97</v>
      </c>
      <c r="AH94" t="s">
        <v>382</v>
      </c>
      <c r="AI94">
        <v>4.0467275831858718E-2</v>
      </c>
      <c r="AK94">
        <v>2028</v>
      </c>
      <c r="AL94" t="s">
        <v>178</v>
      </c>
      <c r="AM94">
        <v>0.23949999999999999</v>
      </c>
      <c r="AN94" t="s">
        <v>430</v>
      </c>
    </row>
    <row r="95" spans="9:40" x14ac:dyDescent="0.45">
      <c r="I95" t="s">
        <v>249</v>
      </c>
      <c r="J95" t="s">
        <v>383</v>
      </c>
      <c r="K95">
        <v>6.2473075400478098E-2</v>
      </c>
      <c r="L95" t="s">
        <v>251</v>
      </c>
      <c r="N95" t="s">
        <v>419</v>
      </c>
      <c r="O95" t="s">
        <v>383</v>
      </c>
      <c r="P95">
        <v>7.0774065848758453E-3</v>
      </c>
      <c r="Q95" t="s">
        <v>251</v>
      </c>
      <c r="S95" t="s">
        <v>420</v>
      </c>
      <c r="T95" t="s">
        <v>383</v>
      </c>
      <c r="U95">
        <v>1.1090112327354915E-2</v>
      </c>
      <c r="V95" t="s">
        <v>251</v>
      </c>
      <c r="X95">
        <v>2.3972602739726026E-2</v>
      </c>
      <c r="Y95">
        <v>3.3533053228252493E-2</v>
      </c>
      <c r="Z95" t="s">
        <v>383</v>
      </c>
      <c r="AA95" t="s">
        <v>25</v>
      </c>
      <c r="AC95" t="s">
        <v>22</v>
      </c>
      <c r="AD95" t="s">
        <v>383</v>
      </c>
      <c r="AE95">
        <v>2.5131362707046166E-2</v>
      </c>
      <c r="AG95" t="s">
        <v>97</v>
      </c>
      <c r="AH95" t="s">
        <v>383</v>
      </c>
      <c r="AI95">
        <v>0.17804101251486038</v>
      </c>
      <c r="AK95">
        <v>2029</v>
      </c>
      <c r="AL95" t="s">
        <v>151</v>
      </c>
      <c r="AM95">
        <v>0.2417</v>
      </c>
      <c r="AN95" t="s">
        <v>430</v>
      </c>
    </row>
    <row r="96" spans="9:40" x14ac:dyDescent="0.45">
      <c r="I96" t="s">
        <v>249</v>
      </c>
      <c r="J96" t="s">
        <v>384</v>
      </c>
      <c r="K96">
        <v>3.770368738009022E-3</v>
      </c>
      <c r="L96" t="s">
        <v>251</v>
      </c>
      <c r="N96" t="s">
        <v>419</v>
      </c>
      <c r="O96" t="s">
        <v>384</v>
      </c>
      <c r="P96">
        <v>1.1287268352343767E-3</v>
      </c>
      <c r="Q96" t="s">
        <v>251</v>
      </c>
      <c r="S96" t="s">
        <v>420</v>
      </c>
      <c r="T96" t="s">
        <v>384</v>
      </c>
      <c r="U96">
        <v>1.3284374603490527E-3</v>
      </c>
      <c r="V96" t="s">
        <v>251</v>
      </c>
      <c r="X96">
        <v>3.4246575342465752E-3</v>
      </c>
      <c r="Y96">
        <v>6.662854585684809E-3</v>
      </c>
      <c r="Z96" t="s">
        <v>384</v>
      </c>
      <c r="AA96" t="s">
        <v>25</v>
      </c>
      <c r="AC96" t="s">
        <v>22</v>
      </c>
      <c r="AD96" t="s">
        <v>384</v>
      </c>
      <c r="AE96">
        <v>1.7141318886387327E-3</v>
      </c>
      <c r="AG96" t="s">
        <v>97</v>
      </c>
      <c r="AH96" t="s">
        <v>384</v>
      </c>
      <c r="AI96">
        <v>3.1627555184013056E-2</v>
      </c>
      <c r="AK96">
        <v>2029</v>
      </c>
      <c r="AL96" t="s">
        <v>156</v>
      </c>
      <c r="AM96">
        <v>0.26079999999999998</v>
      </c>
      <c r="AN96" t="s">
        <v>430</v>
      </c>
    </row>
    <row r="97" spans="9:40" x14ac:dyDescent="0.45">
      <c r="I97" t="s">
        <v>249</v>
      </c>
      <c r="J97" t="s">
        <v>385</v>
      </c>
      <c r="K97">
        <v>5.4434138824243538E-6</v>
      </c>
      <c r="L97" t="s">
        <v>251</v>
      </c>
      <c r="N97" t="s">
        <v>419</v>
      </c>
      <c r="O97" t="s">
        <v>385</v>
      </c>
      <c r="P97">
        <v>1.6062734813735286E-3</v>
      </c>
      <c r="Q97" t="s">
        <v>251</v>
      </c>
      <c r="S97" t="s">
        <v>420</v>
      </c>
      <c r="T97" t="s">
        <v>385</v>
      </c>
      <c r="U97">
        <v>1.3904729415381214E-3</v>
      </c>
      <c r="V97" t="s">
        <v>251</v>
      </c>
      <c r="X97">
        <v>3.4246575342465752E-3</v>
      </c>
      <c r="Y97">
        <v>5.1711707232180593E-3</v>
      </c>
      <c r="Z97" t="s">
        <v>385</v>
      </c>
      <c r="AA97" t="s">
        <v>25</v>
      </c>
      <c r="AC97" t="s">
        <v>22</v>
      </c>
      <c r="AD97" t="s">
        <v>385</v>
      </c>
      <c r="AE97">
        <v>9.7962972482451994E-4</v>
      </c>
      <c r="AG97" t="s">
        <v>97</v>
      </c>
      <c r="AH97" t="s">
        <v>385</v>
      </c>
      <c r="AI97">
        <v>2.5760892893481158E-2</v>
      </c>
      <c r="AK97">
        <v>2029</v>
      </c>
      <c r="AL97" t="s">
        <v>159</v>
      </c>
      <c r="AM97">
        <v>0.27239999999999998</v>
      </c>
      <c r="AN97" t="s">
        <v>430</v>
      </c>
    </row>
    <row r="98" spans="9:40" x14ac:dyDescent="0.45">
      <c r="I98" t="s">
        <v>249</v>
      </c>
      <c r="J98" t="s">
        <v>386</v>
      </c>
      <c r="K98">
        <v>0</v>
      </c>
      <c r="L98" t="s">
        <v>251</v>
      </c>
      <c r="N98" t="s">
        <v>419</v>
      </c>
      <c r="O98" t="s">
        <v>386</v>
      </c>
      <c r="P98">
        <v>1.14434305219419E-2</v>
      </c>
      <c r="Q98" t="s">
        <v>251</v>
      </c>
      <c r="S98" t="s">
        <v>420</v>
      </c>
      <c r="T98" t="s">
        <v>386</v>
      </c>
      <c r="U98">
        <v>8.037961113677607E-3</v>
      </c>
      <c r="V98" t="s">
        <v>251</v>
      </c>
      <c r="X98">
        <v>1.7123287671232876E-2</v>
      </c>
      <c r="Y98">
        <v>1.2927926808045149E-2</v>
      </c>
      <c r="Z98" t="s">
        <v>386</v>
      </c>
      <c r="AA98" t="s">
        <v>25</v>
      </c>
      <c r="AC98" t="s">
        <v>22</v>
      </c>
      <c r="AD98" t="s">
        <v>386</v>
      </c>
      <c r="AE98">
        <v>4.8136781512206767E-3</v>
      </c>
      <c r="AG98" t="s">
        <v>97</v>
      </c>
      <c r="AH98" t="s">
        <v>386</v>
      </c>
      <c r="AI98">
        <v>0.15741855227331314</v>
      </c>
      <c r="AK98">
        <v>2029</v>
      </c>
      <c r="AL98" t="s">
        <v>163</v>
      </c>
      <c r="AM98">
        <v>0.2833</v>
      </c>
      <c r="AN98" t="s">
        <v>430</v>
      </c>
    </row>
    <row r="99" spans="9:40" x14ac:dyDescent="0.45">
      <c r="I99" t="s">
        <v>249</v>
      </c>
      <c r="J99" t="s">
        <v>411</v>
      </c>
      <c r="K99">
        <v>0</v>
      </c>
      <c r="L99" t="s">
        <v>251</v>
      </c>
      <c r="N99" t="s">
        <v>419</v>
      </c>
      <c r="O99" t="s">
        <v>411</v>
      </c>
      <c r="P99">
        <v>1.7735101237087186E-2</v>
      </c>
      <c r="Q99" t="s">
        <v>251</v>
      </c>
      <c r="S99" t="s">
        <v>420</v>
      </c>
      <c r="T99" t="s">
        <v>411</v>
      </c>
      <c r="U99">
        <v>1.9042613608245312E-2</v>
      </c>
      <c r="V99" t="s">
        <v>251</v>
      </c>
      <c r="X99">
        <v>2.4771689497716895E-2</v>
      </c>
      <c r="Y99">
        <v>9.7827942553597048E-3</v>
      </c>
      <c r="Z99" t="s">
        <v>411</v>
      </c>
      <c r="AA99" t="s">
        <v>25</v>
      </c>
      <c r="AC99" t="s">
        <v>22</v>
      </c>
      <c r="AD99" t="s">
        <v>411</v>
      </c>
      <c r="AE99">
        <v>1.9478113082872076E-2</v>
      </c>
      <c r="AG99" t="s">
        <v>97</v>
      </c>
      <c r="AH99" t="s">
        <v>411</v>
      </c>
      <c r="AI99">
        <v>0.14355804807208594</v>
      </c>
      <c r="AK99">
        <v>2029</v>
      </c>
      <c r="AL99" t="s">
        <v>167</v>
      </c>
      <c r="AM99">
        <v>0.36370000000000002</v>
      </c>
      <c r="AN99" t="s">
        <v>430</v>
      </c>
    </row>
    <row r="100" spans="9:40" x14ac:dyDescent="0.45">
      <c r="I100" t="s">
        <v>249</v>
      </c>
      <c r="J100" t="s">
        <v>412</v>
      </c>
      <c r="K100">
        <v>1.6154898979569435E-3</v>
      </c>
      <c r="L100" t="s">
        <v>251</v>
      </c>
      <c r="N100" t="s">
        <v>419</v>
      </c>
      <c r="O100" t="s">
        <v>412</v>
      </c>
      <c r="P100">
        <v>2.1091163348133345E-3</v>
      </c>
      <c r="Q100" t="s">
        <v>251</v>
      </c>
      <c r="S100" t="s">
        <v>420</v>
      </c>
      <c r="T100" t="s">
        <v>412</v>
      </c>
      <c r="U100">
        <v>2.8319565126200888E-3</v>
      </c>
      <c r="V100" t="s">
        <v>251</v>
      </c>
      <c r="X100">
        <v>3.5388127853881279E-3</v>
      </c>
      <c r="Y100">
        <v>5.9087255218821738E-3</v>
      </c>
      <c r="Z100" t="s">
        <v>412</v>
      </c>
      <c r="AA100" t="s">
        <v>25</v>
      </c>
      <c r="AC100" t="s">
        <v>22</v>
      </c>
      <c r="AD100" t="s">
        <v>412</v>
      </c>
      <c r="AE100">
        <v>3.3359779761860673E-3</v>
      </c>
      <c r="AG100" t="s">
        <v>97</v>
      </c>
      <c r="AH100" t="s">
        <v>412</v>
      </c>
      <c r="AI100">
        <v>5.3950509689007609E-2</v>
      </c>
      <c r="AK100">
        <v>2029</v>
      </c>
      <c r="AL100" t="s">
        <v>169</v>
      </c>
      <c r="AM100">
        <v>0.43809999999999999</v>
      </c>
      <c r="AN100" t="s">
        <v>430</v>
      </c>
    </row>
    <row r="101" spans="9:40" x14ac:dyDescent="0.45">
      <c r="I101" t="s">
        <v>249</v>
      </c>
      <c r="J101" t="s">
        <v>413</v>
      </c>
      <c r="K101">
        <v>6.4351954201609003E-3</v>
      </c>
      <c r="L101" t="s">
        <v>251</v>
      </c>
      <c r="N101" t="s">
        <v>419</v>
      </c>
      <c r="O101" t="s">
        <v>413</v>
      </c>
      <c r="P101">
        <v>1.5760119165755596E-3</v>
      </c>
      <c r="Q101" t="s">
        <v>251</v>
      </c>
      <c r="S101" t="s">
        <v>420</v>
      </c>
      <c r="T101" t="s">
        <v>413</v>
      </c>
      <c r="U101">
        <v>2.813179783114835E-3</v>
      </c>
      <c r="V101" t="s">
        <v>251</v>
      </c>
      <c r="X101">
        <v>3.5388127853881279E-3</v>
      </c>
      <c r="Y101">
        <v>4.521459529788099E-3</v>
      </c>
      <c r="Z101" t="s">
        <v>413</v>
      </c>
      <c r="AA101" t="s">
        <v>25</v>
      </c>
      <c r="AC101" t="s">
        <v>22</v>
      </c>
      <c r="AD101" t="s">
        <v>413</v>
      </c>
      <c r="AE101">
        <v>3.4423111459733102E-3</v>
      </c>
      <c r="AG101" t="s">
        <v>97</v>
      </c>
      <c r="AH101" t="s">
        <v>413</v>
      </c>
      <c r="AI101">
        <v>4.4327068300555439E-2</v>
      </c>
      <c r="AK101">
        <v>2029</v>
      </c>
      <c r="AL101" t="s">
        <v>171</v>
      </c>
      <c r="AM101">
        <v>0.60219999999999996</v>
      </c>
      <c r="AN101" t="s">
        <v>430</v>
      </c>
    </row>
    <row r="102" spans="9:40" x14ac:dyDescent="0.45">
      <c r="I102" t="s">
        <v>249</v>
      </c>
      <c r="J102" t="s">
        <v>414</v>
      </c>
      <c r="K102">
        <v>8.9729054957335998E-3</v>
      </c>
      <c r="L102" t="s">
        <v>251</v>
      </c>
      <c r="N102" t="s">
        <v>419</v>
      </c>
      <c r="O102" t="s">
        <v>414</v>
      </c>
      <c r="P102">
        <v>1.5050852864421545E-3</v>
      </c>
      <c r="Q102" t="s">
        <v>251</v>
      </c>
      <c r="S102" t="s">
        <v>420</v>
      </c>
      <c r="T102" t="s">
        <v>414</v>
      </c>
      <c r="U102">
        <v>2.7724472396623155E-3</v>
      </c>
      <c r="V102" t="s">
        <v>251</v>
      </c>
      <c r="X102">
        <v>3.5388127853881279E-3</v>
      </c>
      <c r="Y102">
        <v>4.4803553522445696E-3</v>
      </c>
      <c r="Z102" t="s">
        <v>414</v>
      </c>
      <c r="AA102" t="s">
        <v>25</v>
      </c>
      <c r="AC102" t="s">
        <v>22</v>
      </c>
      <c r="AD102" t="s">
        <v>414</v>
      </c>
      <c r="AE102">
        <v>3.4828434250686571E-3</v>
      </c>
      <c r="AG102" t="s">
        <v>97</v>
      </c>
      <c r="AH102" t="s">
        <v>414</v>
      </c>
      <c r="AI102">
        <v>3.9833092462189912E-2</v>
      </c>
      <c r="AK102">
        <v>2029</v>
      </c>
      <c r="AL102" t="s">
        <v>158</v>
      </c>
      <c r="AM102">
        <v>0.62319999999999998</v>
      </c>
      <c r="AN102" t="s">
        <v>430</v>
      </c>
    </row>
    <row r="103" spans="9:40" x14ac:dyDescent="0.45">
      <c r="I103" t="s">
        <v>249</v>
      </c>
      <c r="J103" t="s">
        <v>415</v>
      </c>
      <c r="K103">
        <v>6.5275103843921906E-2</v>
      </c>
      <c r="L103" t="s">
        <v>251</v>
      </c>
      <c r="N103" t="s">
        <v>419</v>
      </c>
      <c r="O103" t="s">
        <v>415</v>
      </c>
      <c r="P103">
        <v>9.2336310891315606E-3</v>
      </c>
      <c r="Q103" t="s">
        <v>251</v>
      </c>
      <c r="S103" t="s">
        <v>420</v>
      </c>
      <c r="T103" t="s">
        <v>415</v>
      </c>
      <c r="U103">
        <v>1.5945517424689779E-2</v>
      </c>
      <c r="V103" t="s">
        <v>251</v>
      </c>
      <c r="X103">
        <v>2.4771689497716895E-2</v>
      </c>
      <c r="Y103">
        <v>3.4650821669194247E-2</v>
      </c>
      <c r="Z103" t="s">
        <v>415</v>
      </c>
      <c r="AA103" t="s">
        <v>25</v>
      </c>
      <c r="AC103" t="s">
        <v>22</v>
      </c>
      <c r="AD103" t="s">
        <v>415</v>
      </c>
      <c r="AE103">
        <v>2.521487226725368E-2</v>
      </c>
      <c r="AG103" t="s">
        <v>97</v>
      </c>
      <c r="AH103" t="s">
        <v>415</v>
      </c>
      <c r="AI103">
        <v>0.12757569100527655</v>
      </c>
      <c r="AK103">
        <v>2029</v>
      </c>
      <c r="AL103" t="s">
        <v>162</v>
      </c>
      <c r="AM103">
        <v>0.56759999999999999</v>
      </c>
      <c r="AN103" t="s">
        <v>430</v>
      </c>
    </row>
    <row r="104" spans="9:40" x14ac:dyDescent="0.45">
      <c r="I104" t="s">
        <v>249</v>
      </c>
      <c r="J104" t="s">
        <v>416</v>
      </c>
      <c r="K104">
        <v>4.4126755720041997E-3</v>
      </c>
      <c r="L104" t="s">
        <v>251</v>
      </c>
      <c r="N104" t="s">
        <v>419</v>
      </c>
      <c r="O104" t="s">
        <v>416</v>
      </c>
      <c r="P104">
        <v>1.415502718704622E-3</v>
      </c>
      <c r="Q104" t="s">
        <v>251</v>
      </c>
      <c r="S104" t="s">
        <v>420</v>
      </c>
      <c r="T104" t="s">
        <v>416</v>
      </c>
      <c r="U104">
        <v>2.1843778148423437E-3</v>
      </c>
      <c r="V104" t="s">
        <v>251</v>
      </c>
      <c r="X104">
        <v>3.5388127853881279E-3</v>
      </c>
      <c r="Y104">
        <v>6.8849497385409693E-3</v>
      </c>
      <c r="Z104" t="s">
        <v>416</v>
      </c>
      <c r="AA104" t="s">
        <v>25</v>
      </c>
      <c r="AC104" t="s">
        <v>22</v>
      </c>
      <c r="AD104" t="s">
        <v>416</v>
      </c>
      <c r="AE104">
        <v>1.784427289069619E-3</v>
      </c>
      <c r="AG104" t="s">
        <v>97</v>
      </c>
      <c r="AH104" t="s">
        <v>416</v>
      </c>
      <c r="AI104">
        <v>7.7669055708102785E-3</v>
      </c>
      <c r="AK104">
        <v>2029</v>
      </c>
      <c r="AL104" t="s">
        <v>175</v>
      </c>
      <c r="AM104">
        <v>0.42130000000000001</v>
      </c>
      <c r="AN104" t="s">
        <v>430</v>
      </c>
    </row>
    <row r="105" spans="9:40" x14ac:dyDescent="0.45">
      <c r="I105" t="s">
        <v>249</v>
      </c>
      <c r="J105" t="s">
        <v>417</v>
      </c>
      <c r="K105">
        <v>4.942434988509928E-5</v>
      </c>
      <c r="L105" t="s">
        <v>251</v>
      </c>
      <c r="N105" t="s">
        <v>419</v>
      </c>
      <c r="O105" t="s">
        <v>417</v>
      </c>
      <c r="P105">
        <v>1.9914673929772148E-3</v>
      </c>
      <c r="Q105" t="s">
        <v>251</v>
      </c>
      <c r="S105" t="s">
        <v>420</v>
      </c>
      <c r="T105" t="s">
        <v>417</v>
      </c>
      <c r="U105">
        <v>2.3204971359952224E-3</v>
      </c>
      <c r="V105" t="s">
        <v>251</v>
      </c>
      <c r="X105">
        <v>3.5388127853881279E-3</v>
      </c>
      <c r="Y105">
        <v>5.3435430806586613E-3</v>
      </c>
      <c r="Z105" t="s">
        <v>417</v>
      </c>
      <c r="AA105" t="s">
        <v>25</v>
      </c>
      <c r="AC105" t="s">
        <v>22</v>
      </c>
      <c r="AD105" t="s">
        <v>417</v>
      </c>
      <c r="AE105">
        <v>9.384691566973987E-4</v>
      </c>
      <c r="AG105" t="s">
        <v>97</v>
      </c>
      <c r="AH105" t="s">
        <v>417</v>
      </c>
      <c r="AI105">
        <v>1.8056274068608102E-2</v>
      </c>
      <c r="AK105">
        <v>2029</v>
      </c>
      <c r="AL105" t="s">
        <v>166</v>
      </c>
      <c r="AM105">
        <v>0.26490000000000002</v>
      </c>
      <c r="AN105" t="s">
        <v>430</v>
      </c>
    </row>
    <row r="106" spans="9:40" x14ac:dyDescent="0.45">
      <c r="I106" t="s">
        <v>249</v>
      </c>
      <c r="J106" t="s">
        <v>418</v>
      </c>
      <c r="K106">
        <v>0</v>
      </c>
      <c r="L106" t="s">
        <v>251</v>
      </c>
      <c r="N106" t="s">
        <v>419</v>
      </c>
      <c r="O106" t="s">
        <v>418</v>
      </c>
      <c r="P106">
        <v>1.5166151400172592E-2</v>
      </c>
      <c r="Q106" t="s">
        <v>251</v>
      </c>
      <c r="S106" t="s">
        <v>420</v>
      </c>
      <c r="T106" t="s">
        <v>418</v>
      </c>
      <c r="U106">
        <v>1.3111703027212691E-2</v>
      </c>
      <c r="V106" t="s">
        <v>251</v>
      </c>
      <c r="X106">
        <v>1.7694063926940638E-2</v>
      </c>
      <c r="Y106">
        <v>1.3358857701646654E-2</v>
      </c>
      <c r="Z106" t="s">
        <v>418</v>
      </c>
      <c r="AA106" t="s">
        <v>25</v>
      </c>
      <c r="AC106" t="s">
        <v>22</v>
      </c>
      <c r="AD106" t="s">
        <v>418</v>
      </c>
      <c r="AE106">
        <v>4.5197694108912835E-3</v>
      </c>
      <c r="AG106" t="s">
        <v>97</v>
      </c>
      <c r="AH106" t="s">
        <v>418</v>
      </c>
      <c r="AI106">
        <v>0.13031366973009884</v>
      </c>
      <c r="AK106">
        <v>2029</v>
      </c>
      <c r="AL106" t="s">
        <v>178</v>
      </c>
      <c r="AM106">
        <v>0.2467</v>
      </c>
      <c r="AN106" t="s">
        <v>430</v>
      </c>
    </row>
    <row r="107" spans="9:40" x14ac:dyDescent="0.45">
      <c r="AC107" t="s">
        <v>19</v>
      </c>
      <c r="AD107" t="s">
        <v>250</v>
      </c>
      <c r="AE107">
        <v>2.4807105468120417E-2</v>
      </c>
      <c r="AK107">
        <v>2030</v>
      </c>
      <c r="AL107" t="s">
        <v>151</v>
      </c>
      <c r="AM107">
        <v>0.23350000000000001</v>
      </c>
      <c r="AN107" t="s">
        <v>430</v>
      </c>
    </row>
    <row r="108" spans="9:40" x14ac:dyDescent="0.45">
      <c r="AC108" t="s">
        <v>19</v>
      </c>
      <c r="AD108" t="s">
        <v>252</v>
      </c>
      <c r="AE108">
        <v>3.5619570919209883E-3</v>
      </c>
      <c r="AK108">
        <v>2030</v>
      </c>
      <c r="AL108" t="s">
        <v>156</v>
      </c>
      <c r="AM108">
        <v>0.26919999999999999</v>
      </c>
      <c r="AN108" t="s">
        <v>430</v>
      </c>
    </row>
    <row r="109" spans="9:40" x14ac:dyDescent="0.45">
      <c r="AC109" t="s">
        <v>19</v>
      </c>
      <c r="AD109" t="s">
        <v>253</v>
      </c>
      <c r="AE109">
        <v>3.5667869659552921E-3</v>
      </c>
      <c r="AK109">
        <v>2030</v>
      </c>
      <c r="AL109" t="s">
        <v>159</v>
      </c>
      <c r="AM109">
        <v>0.29170000000000001</v>
      </c>
      <c r="AN109" t="s">
        <v>430</v>
      </c>
    </row>
    <row r="110" spans="9:40" x14ac:dyDescent="0.45">
      <c r="AC110" t="s">
        <v>19</v>
      </c>
      <c r="AD110" t="s">
        <v>254</v>
      </c>
      <c r="AE110">
        <v>3.5689405305789229E-3</v>
      </c>
      <c r="AK110">
        <v>2030</v>
      </c>
      <c r="AL110" t="s">
        <v>163</v>
      </c>
      <c r="AM110">
        <v>0.32640000000000002</v>
      </c>
      <c r="AN110" t="s">
        <v>430</v>
      </c>
    </row>
    <row r="111" spans="9:40" x14ac:dyDescent="0.45">
      <c r="AC111" t="s">
        <v>19</v>
      </c>
      <c r="AD111" t="s">
        <v>255</v>
      </c>
      <c r="AE111">
        <v>2.5071463818378881E-2</v>
      </c>
      <c r="AK111">
        <v>2030</v>
      </c>
      <c r="AL111" t="s">
        <v>167</v>
      </c>
      <c r="AM111">
        <v>0.37280000000000002</v>
      </c>
      <c r="AN111" t="s">
        <v>430</v>
      </c>
    </row>
    <row r="112" spans="9:40" x14ac:dyDescent="0.45">
      <c r="AC112" t="s">
        <v>19</v>
      </c>
      <c r="AD112" t="s">
        <v>256</v>
      </c>
      <c r="AE112">
        <v>3.5083301744215831E-3</v>
      </c>
      <c r="AK112">
        <v>2030</v>
      </c>
      <c r="AL112" t="s">
        <v>169</v>
      </c>
      <c r="AM112">
        <v>0.42849999999999999</v>
      </c>
      <c r="AN112" t="s">
        <v>430</v>
      </c>
    </row>
    <row r="113" spans="29:40" x14ac:dyDescent="0.45">
      <c r="AC113" t="s">
        <v>19</v>
      </c>
      <c r="AD113" t="s">
        <v>257</v>
      </c>
      <c r="AE113">
        <v>3.45492873392677E-3</v>
      </c>
      <c r="AK113">
        <v>2030</v>
      </c>
      <c r="AL113" t="s">
        <v>171</v>
      </c>
      <c r="AM113">
        <v>0.55489999999999995</v>
      </c>
      <c r="AN113" t="s">
        <v>430</v>
      </c>
    </row>
    <row r="114" spans="29:40" x14ac:dyDescent="0.45">
      <c r="AC114" t="s">
        <v>19</v>
      </c>
      <c r="AD114" t="s">
        <v>258</v>
      </c>
      <c r="AE114">
        <v>1.7289049174318342E-2</v>
      </c>
      <c r="AK114">
        <v>2030</v>
      </c>
      <c r="AL114" t="s">
        <v>158</v>
      </c>
      <c r="AM114">
        <v>0.69620000000000004</v>
      </c>
      <c r="AN114" t="s">
        <v>430</v>
      </c>
    </row>
    <row r="115" spans="29:40" x14ac:dyDescent="0.45">
      <c r="AC115" t="s">
        <v>19</v>
      </c>
      <c r="AD115" t="s">
        <v>259</v>
      </c>
      <c r="AE115">
        <v>2.2396102892648883E-2</v>
      </c>
      <c r="AK115">
        <v>2030</v>
      </c>
      <c r="AL115" t="s">
        <v>162</v>
      </c>
      <c r="AM115">
        <v>0.57189999999999996</v>
      </c>
      <c r="AN115" t="s">
        <v>430</v>
      </c>
    </row>
    <row r="116" spans="29:40" x14ac:dyDescent="0.45">
      <c r="AC116" t="s">
        <v>19</v>
      </c>
      <c r="AD116" t="s">
        <v>260</v>
      </c>
      <c r="AE116">
        <v>3.2256847155674282E-3</v>
      </c>
      <c r="AK116">
        <v>2030</v>
      </c>
      <c r="AL116" t="s">
        <v>175</v>
      </c>
      <c r="AM116">
        <v>0.4728</v>
      </c>
      <c r="AN116" t="s">
        <v>430</v>
      </c>
    </row>
    <row r="117" spans="29:40" x14ac:dyDescent="0.45">
      <c r="AC117" t="s">
        <v>19</v>
      </c>
      <c r="AD117" t="s">
        <v>261</v>
      </c>
      <c r="AE117">
        <v>3.2308029695060085E-3</v>
      </c>
      <c r="AK117">
        <v>2030</v>
      </c>
      <c r="AL117" t="s">
        <v>166</v>
      </c>
      <c r="AM117">
        <v>0.2646</v>
      </c>
      <c r="AN117" t="s">
        <v>430</v>
      </c>
    </row>
    <row r="118" spans="29:40" x14ac:dyDescent="0.45">
      <c r="AC118" t="s">
        <v>19</v>
      </c>
      <c r="AD118" t="s">
        <v>262</v>
      </c>
      <c r="AE118">
        <v>3.2332976593585478E-3</v>
      </c>
      <c r="AK118">
        <v>2030</v>
      </c>
      <c r="AL118" t="s">
        <v>178</v>
      </c>
      <c r="AM118">
        <v>0.26090000000000002</v>
      </c>
      <c r="AN118" t="s">
        <v>430</v>
      </c>
    </row>
    <row r="119" spans="29:40" x14ac:dyDescent="0.45">
      <c r="AC119" t="s">
        <v>19</v>
      </c>
      <c r="AD119" t="s">
        <v>263</v>
      </c>
      <c r="AE119">
        <v>2.2675381292253185E-2</v>
      </c>
      <c r="AK119">
        <v>2031</v>
      </c>
      <c r="AL119" t="s">
        <v>151</v>
      </c>
      <c r="AM119">
        <v>0.23710000000000001</v>
      </c>
      <c r="AN119" t="s">
        <v>430</v>
      </c>
    </row>
    <row r="120" spans="29:40" x14ac:dyDescent="0.45">
      <c r="AC120" t="s">
        <v>19</v>
      </c>
      <c r="AD120" t="s">
        <v>264</v>
      </c>
      <c r="AE120">
        <v>3.1527306837495182E-3</v>
      </c>
      <c r="AK120">
        <v>2031</v>
      </c>
      <c r="AL120" t="s">
        <v>156</v>
      </c>
      <c r="AM120">
        <v>0.28249999999999997</v>
      </c>
      <c r="AN120" t="s">
        <v>430</v>
      </c>
    </row>
    <row r="121" spans="29:40" x14ac:dyDescent="0.45">
      <c r="AC121" t="s">
        <v>19</v>
      </c>
      <c r="AD121" t="s">
        <v>265</v>
      </c>
      <c r="AE121">
        <v>3.1203667450810579E-3</v>
      </c>
      <c r="AK121">
        <v>2031</v>
      </c>
      <c r="AL121" t="s">
        <v>159</v>
      </c>
      <c r="AM121">
        <v>0.28789999999999999</v>
      </c>
      <c r="AN121" t="s">
        <v>430</v>
      </c>
    </row>
    <row r="122" spans="29:40" x14ac:dyDescent="0.45">
      <c r="AC122" t="s">
        <v>19</v>
      </c>
      <c r="AD122" t="s">
        <v>266</v>
      </c>
      <c r="AE122">
        <v>1.5590950306966856E-2</v>
      </c>
      <c r="AK122">
        <v>2031</v>
      </c>
      <c r="AL122" t="s">
        <v>163</v>
      </c>
      <c r="AM122">
        <v>0.30680000000000002</v>
      </c>
      <c r="AN122" t="s">
        <v>430</v>
      </c>
    </row>
    <row r="123" spans="29:40" x14ac:dyDescent="0.45">
      <c r="AC123" t="s">
        <v>19</v>
      </c>
      <c r="AD123" t="s">
        <v>267</v>
      </c>
      <c r="AE123">
        <v>2.4817941741787808E-2</v>
      </c>
      <c r="AK123">
        <v>2031</v>
      </c>
      <c r="AL123" t="s">
        <v>167</v>
      </c>
      <c r="AM123">
        <v>0.41089999999999999</v>
      </c>
      <c r="AN123" t="s">
        <v>430</v>
      </c>
    </row>
    <row r="124" spans="29:40" x14ac:dyDescent="0.45">
      <c r="AC124" t="s">
        <v>19</v>
      </c>
      <c r="AD124" t="s">
        <v>268</v>
      </c>
      <c r="AE124">
        <v>3.5813431856435533E-3</v>
      </c>
      <c r="AK124">
        <v>2031</v>
      </c>
      <c r="AL124" t="s">
        <v>169</v>
      </c>
      <c r="AM124">
        <v>0.4637</v>
      </c>
      <c r="AN124" t="s">
        <v>430</v>
      </c>
    </row>
    <row r="125" spans="29:40" x14ac:dyDescent="0.45">
      <c r="AC125" t="s">
        <v>19</v>
      </c>
      <c r="AD125" t="s">
        <v>269</v>
      </c>
      <c r="AE125">
        <v>3.5935791486853184E-3</v>
      </c>
      <c r="AK125">
        <v>2031</v>
      </c>
      <c r="AL125" t="s">
        <v>171</v>
      </c>
      <c r="AM125">
        <v>0.54390000000000005</v>
      </c>
      <c r="AN125" t="s">
        <v>430</v>
      </c>
    </row>
    <row r="126" spans="29:40" x14ac:dyDescent="0.45">
      <c r="AC126" t="s">
        <v>19</v>
      </c>
      <c r="AD126" t="s">
        <v>270</v>
      </c>
      <c r="AE126">
        <v>3.5992108892045106E-3</v>
      </c>
      <c r="AK126">
        <v>2031</v>
      </c>
      <c r="AL126" t="s">
        <v>158</v>
      </c>
      <c r="AM126">
        <v>0.67930000000000001</v>
      </c>
      <c r="AN126" t="s">
        <v>430</v>
      </c>
    </row>
    <row r="127" spans="29:40" x14ac:dyDescent="0.45">
      <c r="AC127" t="s">
        <v>19</v>
      </c>
      <c r="AD127" t="s">
        <v>271</v>
      </c>
      <c r="AE127">
        <v>2.5159670658659424E-2</v>
      </c>
      <c r="AK127">
        <v>2031</v>
      </c>
      <c r="AL127" t="s">
        <v>162</v>
      </c>
      <c r="AM127">
        <v>0.55269999999999997</v>
      </c>
      <c r="AN127" t="s">
        <v>430</v>
      </c>
    </row>
    <row r="128" spans="29:40" x14ac:dyDescent="0.45">
      <c r="AC128" t="s">
        <v>19</v>
      </c>
      <c r="AD128" t="s">
        <v>272</v>
      </c>
      <c r="AE128">
        <v>3.4703547488830963E-3</v>
      </c>
      <c r="AK128">
        <v>2031</v>
      </c>
      <c r="AL128" t="s">
        <v>175</v>
      </c>
      <c r="AM128">
        <v>0.4325</v>
      </c>
      <c r="AN128" t="s">
        <v>430</v>
      </c>
    </row>
    <row r="129" spans="29:40" x14ac:dyDescent="0.45">
      <c r="AC129" t="s">
        <v>19</v>
      </c>
      <c r="AD129" t="s">
        <v>273</v>
      </c>
      <c r="AE129">
        <v>3.4449947227347894E-3</v>
      </c>
      <c r="AK129">
        <v>2031</v>
      </c>
      <c r="AL129" t="s">
        <v>166</v>
      </c>
      <c r="AM129">
        <v>0.28139999999999998</v>
      </c>
      <c r="AN129" t="s">
        <v>430</v>
      </c>
    </row>
    <row r="130" spans="29:40" x14ac:dyDescent="0.45">
      <c r="AC130" t="s">
        <v>19</v>
      </c>
      <c r="AD130" t="s">
        <v>274</v>
      </c>
      <c r="AE130">
        <v>1.7239740876161678E-2</v>
      </c>
      <c r="AK130">
        <v>2031</v>
      </c>
      <c r="AL130" t="s">
        <v>178</v>
      </c>
      <c r="AM130">
        <v>0.24030000000000001</v>
      </c>
      <c r="AN130" t="s">
        <v>430</v>
      </c>
    </row>
    <row r="131" spans="29:40" x14ac:dyDescent="0.45">
      <c r="AC131" t="s">
        <v>19</v>
      </c>
      <c r="AD131" t="s">
        <v>275</v>
      </c>
      <c r="AE131">
        <v>2.3992482297509075E-2</v>
      </c>
      <c r="AK131">
        <v>2032</v>
      </c>
      <c r="AL131" t="s">
        <v>151</v>
      </c>
      <c r="AM131">
        <v>0.22370000000000001</v>
      </c>
      <c r="AN131" t="s">
        <v>430</v>
      </c>
    </row>
    <row r="132" spans="29:40" x14ac:dyDescent="0.45">
      <c r="AC132" t="s">
        <v>19</v>
      </c>
      <c r="AD132" t="s">
        <v>276</v>
      </c>
      <c r="AE132">
        <v>3.4738704666897762E-3</v>
      </c>
      <c r="AK132">
        <v>2032</v>
      </c>
      <c r="AL132" t="s">
        <v>156</v>
      </c>
      <c r="AM132">
        <v>0.27400000000000002</v>
      </c>
      <c r="AN132" t="s">
        <v>430</v>
      </c>
    </row>
    <row r="133" spans="29:40" x14ac:dyDescent="0.45">
      <c r="AC133" t="s">
        <v>19</v>
      </c>
      <c r="AD133" t="s">
        <v>277</v>
      </c>
      <c r="AE133">
        <v>3.4801538791335491E-3</v>
      </c>
      <c r="AK133">
        <v>2032</v>
      </c>
      <c r="AL133" t="s">
        <v>159</v>
      </c>
      <c r="AM133">
        <v>0.26619999999999999</v>
      </c>
      <c r="AN133" t="s">
        <v>430</v>
      </c>
    </row>
    <row r="134" spans="29:40" x14ac:dyDescent="0.45">
      <c r="AC134" t="s">
        <v>19</v>
      </c>
      <c r="AD134" t="s">
        <v>278</v>
      </c>
      <c r="AE134">
        <v>3.4821192640984906E-3</v>
      </c>
      <c r="AK134">
        <v>2032</v>
      </c>
      <c r="AL134" t="s">
        <v>163</v>
      </c>
      <c r="AM134">
        <v>0.30599999999999999</v>
      </c>
      <c r="AN134" t="s">
        <v>430</v>
      </c>
    </row>
    <row r="135" spans="29:40" x14ac:dyDescent="0.45">
      <c r="AC135" t="s">
        <v>19</v>
      </c>
      <c r="AD135" t="s">
        <v>279</v>
      </c>
      <c r="AE135">
        <v>2.431802215590554E-2</v>
      </c>
      <c r="AK135">
        <v>2032</v>
      </c>
      <c r="AL135" t="s">
        <v>167</v>
      </c>
      <c r="AM135">
        <v>0.41270000000000001</v>
      </c>
      <c r="AN135" t="s">
        <v>430</v>
      </c>
    </row>
    <row r="136" spans="29:40" x14ac:dyDescent="0.45">
      <c r="AC136" t="s">
        <v>19</v>
      </c>
      <c r="AD136" t="s">
        <v>280</v>
      </c>
      <c r="AE136">
        <v>3.3586893850175658E-3</v>
      </c>
      <c r="AK136">
        <v>2032</v>
      </c>
      <c r="AL136" t="s">
        <v>169</v>
      </c>
      <c r="AM136">
        <v>0.51</v>
      </c>
      <c r="AN136" t="s">
        <v>430</v>
      </c>
    </row>
    <row r="137" spans="29:40" x14ac:dyDescent="0.45">
      <c r="AC137" t="s">
        <v>19</v>
      </c>
      <c r="AD137" t="s">
        <v>281</v>
      </c>
      <c r="AE137">
        <v>3.384166540703218E-3</v>
      </c>
      <c r="AK137">
        <v>2032</v>
      </c>
      <c r="AL137" t="s">
        <v>171</v>
      </c>
      <c r="AM137">
        <v>0.51129999999999998</v>
      </c>
      <c r="AN137" t="s">
        <v>430</v>
      </c>
    </row>
    <row r="138" spans="29:40" x14ac:dyDescent="0.45">
      <c r="AC138" t="s">
        <v>19</v>
      </c>
      <c r="AD138" t="s">
        <v>282</v>
      </c>
      <c r="AE138">
        <v>1.6789908068262124E-2</v>
      </c>
      <c r="AK138">
        <v>2032</v>
      </c>
      <c r="AL138" t="s">
        <v>158</v>
      </c>
      <c r="AM138">
        <v>0.61519999999999997</v>
      </c>
      <c r="AN138" t="s">
        <v>430</v>
      </c>
    </row>
    <row r="139" spans="29:40" x14ac:dyDescent="0.45">
      <c r="AC139" t="s">
        <v>19</v>
      </c>
      <c r="AD139" t="s">
        <v>283</v>
      </c>
      <c r="AE139">
        <v>2.4805099440951852E-2</v>
      </c>
      <c r="AK139">
        <v>2032</v>
      </c>
      <c r="AL139" t="s">
        <v>162</v>
      </c>
      <c r="AM139">
        <v>0.57240000000000002</v>
      </c>
      <c r="AN139" t="s">
        <v>430</v>
      </c>
    </row>
    <row r="140" spans="29:40" x14ac:dyDescent="0.45">
      <c r="AC140" t="s">
        <v>19</v>
      </c>
      <c r="AD140" t="s">
        <v>284</v>
      </c>
      <c r="AE140">
        <v>3.5794377402909392E-3</v>
      </c>
      <c r="AK140">
        <v>2032</v>
      </c>
      <c r="AL140" t="s">
        <v>175</v>
      </c>
      <c r="AM140">
        <v>0.41599999999999998</v>
      </c>
      <c r="AN140" t="s">
        <v>430</v>
      </c>
    </row>
    <row r="141" spans="29:40" x14ac:dyDescent="0.45">
      <c r="AC141" t="s">
        <v>19</v>
      </c>
      <c r="AD141" t="s">
        <v>285</v>
      </c>
      <c r="AE141">
        <v>3.5822695875696313E-3</v>
      </c>
      <c r="AK141">
        <v>2032</v>
      </c>
      <c r="AL141" t="s">
        <v>166</v>
      </c>
      <c r="AM141">
        <v>0.27539999999999998</v>
      </c>
      <c r="AN141" t="s">
        <v>430</v>
      </c>
    </row>
    <row r="142" spans="29:40" x14ac:dyDescent="0.45">
      <c r="AC142" t="s">
        <v>19</v>
      </c>
      <c r="AD142" t="s">
        <v>286</v>
      </c>
      <c r="AE142">
        <v>3.582425971902239E-3</v>
      </c>
      <c r="AK142">
        <v>2032</v>
      </c>
      <c r="AL142" t="s">
        <v>178</v>
      </c>
      <c r="AM142">
        <v>0.2432</v>
      </c>
      <c r="AN142" t="s">
        <v>430</v>
      </c>
    </row>
    <row r="143" spans="29:40" x14ac:dyDescent="0.45">
      <c r="AC143" t="s">
        <v>19</v>
      </c>
      <c r="AD143" t="s">
        <v>287</v>
      </c>
      <c r="AE143">
        <v>2.506980727527703E-2</v>
      </c>
      <c r="AK143">
        <v>2033</v>
      </c>
      <c r="AL143" t="s">
        <v>151</v>
      </c>
      <c r="AM143">
        <v>0.26369999999999999</v>
      </c>
      <c r="AN143" t="s">
        <v>430</v>
      </c>
    </row>
    <row r="144" spans="29:40" x14ac:dyDescent="0.45">
      <c r="AC144" t="s">
        <v>19</v>
      </c>
      <c r="AD144" t="s">
        <v>288</v>
      </c>
      <c r="AE144">
        <v>3.4736433689537133E-3</v>
      </c>
      <c r="AK144">
        <v>2033</v>
      </c>
      <c r="AL144" t="s">
        <v>156</v>
      </c>
      <c r="AM144">
        <v>0.28339999999999999</v>
      </c>
      <c r="AN144" t="s">
        <v>430</v>
      </c>
    </row>
    <row r="145" spans="29:40" x14ac:dyDescent="0.45">
      <c r="AC145" t="s">
        <v>19</v>
      </c>
      <c r="AD145" t="s">
        <v>289</v>
      </c>
      <c r="AE145">
        <v>3.5163132255955397E-3</v>
      </c>
      <c r="AK145">
        <v>2033</v>
      </c>
      <c r="AL145" t="s">
        <v>159</v>
      </c>
      <c r="AM145">
        <v>0.26419999999999999</v>
      </c>
      <c r="AN145" t="s">
        <v>430</v>
      </c>
    </row>
    <row r="146" spans="29:40" x14ac:dyDescent="0.45">
      <c r="AC146" t="s">
        <v>19</v>
      </c>
      <c r="AD146" t="s">
        <v>290</v>
      </c>
      <c r="AE146">
        <v>1.7465225760148372E-2</v>
      </c>
      <c r="AK146">
        <v>2033</v>
      </c>
      <c r="AL146" t="s">
        <v>163</v>
      </c>
      <c r="AM146">
        <v>0.30669999999999997</v>
      </c>
      <c r="AN146" t="s">
        <v>430</v>
      </c>
    </row>
    <row r="147" spans="29:40" x14ac:dyDescent="0.45">
      <c r="AC147" t="s">
        <v>19</v>
      </c>
      <c r="AD147" t="s">
        <v>291</v>
      </c>
      <c r="AE147">
        <v>2.4008373861375724E-2</v>
      </c>
      <c r="AK147">
        <v>2033</v>
      </c>
      <c r="AL147" t="s">
        <v>167</v>
      </c>
      <c r="AM147">
        <v>0.41010000000000002</v>
      </c>
      <c r="AN147" t="s">
        <v>430</v>
      </c>
    </row>
    <row r="148" spans="29:40" x14ac:dyDescent="0.45">
      <c r="AC148" t="s">
        <v>19</v>
      </c>
      <c r="AD148" t="s">
        <v>292</v>
      </c>
      <c r="AE148">
        <v>3.4559498795923922E-3</v>
      </c>
      <c r="AK148">
        <v>2033</v>
      </c>
      <c r="AL148" t="s">
        <v>169</v>
      </c>
      <c r="AM148">
        <v>0.51259999999999994</v>
      </c>
      <c r="AN148" t="s">
        <v>430</v>
      </c>
    </row>
    <row r="149" spans="29:40" x14ac:dyDescent="0.45">
      <c r="AC149" t="s">
        <v>19</v>
      </c>
      <c r="AD149" t="s">
        <v>293</v>
      </c>
      <c r="AE149">
        <v>3.4583274928116229E-3</v>
      </c>
      <c r="AK149">
        <v>2033</v>
      </c>
      <c r="AL149" t="s">
        <v>171</v>
      </c>
      <c r="AM149">
        <v>0.50719999999999998</v>
      </c>
      <c r="AN149" t="s">
        <v>430</v>
      </c>
    </row>
    <row r="150" spans="29:40" x14ac:dyDescent="0.45">
      <c r="AC150" t="s">
        <v>19</v>
      </c>
      <c r="AD150" t="s">
        <v>294</v>
      </c>
      <c r="AE150">
        <v>3.4586289400129751E-3</v>
      </c>
      <c r="AK150">
        <v>2033</v>
      </c>
      <c r="AL150" t="s">
        <v>158</v>
      </c>
      <c r="AM150">
        <v>0.70079999999999998</v>
      </c>
      <c r="AN150" t="s">
        <v>430</v>
      </c>
    </row>
    <row r="151" spans="29:40" x14ac:dyDescent="0.45">
      <c r="AC151" t="s">
        <v>19</v>
      </c>
      <c r="AD151" t="s">
        <v>295</v>
      </c>
      <c r="AE151">
        <v>2.4232325166451862E-2</v>
      </c>
      <c r="AK151">
        <v>2033</v>
      </c>
      <c r="AL151" t="s">
        <v>162</v>
      </c>
      <c r="AM151">
        <v>0.58540000000000003</v>
      </c>
      <c r="AN151" t="s">
        <v>430</v>
      </c>
    </row>
    <row r="152" spans="29:40" x14ac:dyDescent="0.45">
      <c r="AC152" t="s">
        <v>19</v>
      </c>
      <c r="AD152" t="s">
        <v>296</v>
      </c>
      <c r="AE152">
        <v>3.3662016200230443E-3</v>
      </c>
      <c r="AK152">
        <v>2033</v>
      </c>
      <c r="AL152" t="s">
        <v>175</v>
      </c>
      <c r="AM152">
        <v>0.44950000000000001</v>
      </c>
      <c r="AN152" t="s">
        <v>430</v>
      </c>
    </row>
    <row r="153" spans="29:40" x14ac:dyDescent="0.45">
      <c r="AC153" t="s">
        <v>19</v>
      </c>
      <c r="AD153" t="s">
        <v>297</v>
      </c>
      <c r="AE153">
        <v>3.4017293258967124E-3</v>
      </c>
      <c r="AK153">
        <v>2033</v>
      </c>
      <c r="AL153" t="s">
        <v>166</v>
      </c>
      <c r="AM153">
        <v>0.31309999999999999</v>
      </c>
      <c r="AN153" t="s">
        <v>430</v>
      </c>
    </row>
    <row r="154" spans="29:40" x14ac:dyDescent="0.45">
      <c r="AC154" t="s">
        <v>19</v>
      </c>
      <c r="AD154" t="s">
        <v>298</v>
      </c>
      <c r="AE154">
        <v>1.6923760039274597E-2</v>
      </c>
      <c r="AK154">
        <v>2033</v>
      </c>
      <c r="AL154" t="s">
        <v>178</v>
      </c>
      <c r="AM154">
        <v>0.24959999999999999</v>
      </c>
      <c r="AN154" t="s">
        <v>430</v>
      </c>
    </row>
    <row r="155" spans="29:40" x14ac:dyDescent="0.45">
      <c r="AC155" t="s">
        <v>19</v>
      </c>
      <c r="AD155" t="s">
        <v>299</v>
      </c>
      <c r="AE155">
        <v>2.4820133261090005E-2</v>
      </c>
      <c r="AK155">
        <v>2034</v>
      </c>
      <c r="AL155" t="s">
        <v>151</v>
      </c>
      <c r="AM155">
        <v>0.23400000000000001</v>
      </c>
      <c r="AN155" t="s">
        <v>430</v>
      </c>
    </row>
    <row r="156" spans="29:40" x14ac:dyDescent="0.45">
      <c r="AC156" t="s">
        <v>19</v>
      </c>
      <c r="AD156" t="s">
        <v>300</v>
      </c>
      <c r="AE156">
        <v>3.5651303084484587E-3</v>
      </c>
      <c r="AK156">
        <v>2034</v>
      </c>
      <c r="AL156" t="s">
        <v>156</v>
      </c>
      <c r="AM156">
        <v>0.28210000000000002</v>
      </c>
      <c r="AN156" t="s">
        <v>430</v>
      </c>
    </row>
    <row r="157" spans="29:40" x14ac:dyDescent="0.45">
      <c r="AC157" t="s">
        <v>19</v>
      </c>
      <c r="AD157" t="s">
        <v>301</v>
      </c>
      <c r="AE157">
        <v>3.5674991925016271E-3</v>
      </c>
      <c r="AK157">
        <v>2034</v>
      </c>
      <c r="AL157" t="s">
        <v>159</v>
      </c>
      <c r="AM157">
        <v>0.27650000000000002</v>
      </c>
      <c r="AN157" t="s">
        <v>430</v>
      </c>
    </row>
    <row r="158" spans="29:40" x14ac:dyDescent="0.45">
      <c r="AC158" t="s">
        <v>19</v>
      </c>
      <c r="AD158" t="s">
        <v>302</v>
      </c>
      <c r="AE158">
        <v>3.5679085110338947E-3</v>
      </c>
      <c r="AK158">
        <v>2034</v>
      </c>
      <c r="AL158" t="s">
        <v>163</v>
      </c>
      <c r="AM158">
        <v>0.31869999999999998</v>
      </c>
      <c r="AN158" t="s">
        <v>430</v>
      </c>
    </row>
    <row r="159" spans="29:40" x14ac:dyDescent="0.45">
      <c r="AC159" t="s">
        <v>19</v>
      </c>
      <c r="AD159" t="s">
        <v>303</v>
      </c>
      <c r="AE159">
        <v>2.5025049535034486E-2</v>
      </c>
      <c r="AK159">
        <v>2034</v>
      </c>
      <c r="AL159" t="s">
        <v>167</v>
      </c>
      <c r="AM159">
        <v>0.37459999999999999</v>
      </c>
      <c r="AN159" t="s">
        <v>430</v>
      </c>
    </row>
    <row r="160" spans="29:40" x14ac:dyDescent="0.45">
      <c r="AC160" t="s">
        <v>19</v>
      </c>
      <c r="AD160" t="s">
        <v>304</v>
      </c>
      <c r="AE160">
        <v>3.479127390160216E-3</v>
      </c>
      <c r="AK160">
        <v>2034</v>
      </c>
      <c r="AL160" t="s">
        <v>169</v>
      </c>
      <c r="AM160">
        <v>0.47089999999999999</v>
      </c>
      <c r="AN160" t="s">
        <v>430</v>
      </c>
    </row>
    <row r="161" spans="29:40" x14ac:dyDescent="0.45">
      <c r="AC161" t="s">
        <v>19</v>
      </c>
      <c r="AD161" t="s">
        <v>305</v>
      </c>
      <c r="AE161">
        <v>3.5113373780817588E-3</v>
      </c>
      <c r="AK161">
        <v>2034</v>
      </c>
      <c r="AL161" t="s">
        <v>171</v>
      </c>
      <c r="AM161">
        <v>0.56269999999999998</v>
      </c>
      <c r="AN161" t="s">
        <v>430</v>
      </c>
    </row>
    <row r="162" spans="29:40" x14ac:dyDescent="0.45">
      <c r="AC162" t="s">
        <v>19</v>
      </c>
      <c r="AD162" t="s">
        <v>306</v>
      </c>
      <c r="AE162">
        <v>1.7489296829039009E-2</v>
      </c>
      <c r="AK162">
        <v>2034</v>
      </c>
      <c r="AL162" t="s">
        <v>158</v>
      </c>
      <c r="AM162">
        <v>0.65029999999999999</v>
      </c>
      <c r="AN162" t="s">
        <v>430</v>
      </c>
    </row>
    <row r="163" spans="29:40" x14ac:dyDescent="0.45">
      <c r="AC163" t="s">
        <v>19</v>
      </c>
      <c r="AD163" t="s">
        <v>307</v>
      </c>
      <c r="AE163">
        <v>2.4862960977425762E-2</v>
      </c>
      <c r="AK163">
        <v>2034</v>
      </c>
      <c r="AL163" t="s">
        <v>162</v>
      </c>
      <c r="AM163">
        <v>0.62109999999999999</v>
      </c>
      <c r="AN163" t="s">
        <v>430</v>
      </c>
    </row>
    <row r="164" spans="29:40" x14ac:dyDescent="0.45">
      <c r="AC164" t="s">
        <v>19</v>
      </c>
      <c r="AD164" t="s">
        <v>308</v>
      </c>
      <c r="AE164">
        <v>3.5820344397071236E-3</v>
      </c>
      <c r="AK164">
        <v>2034</v>
      </c>
      <c r="AL164" t="s">
        <v>175</v>
      </c>
      <c r="AM164">
        <v>0.40689999999999998</v>
      </c>
      <c r="AN164" t="s">
        <v>430</v>
      </c>
    </row>
    <row r="165" spans="29:40" x14ac:dyDescent="0.45">
      <c r="AC165" t="s">
        <v>19</v>
      </c>
      <c r="AD165" t="s">
        <v>309</v>
      </c>
      <c r="AE165">
        <v>3.5838890436191294E-3</v>
      </c>
      <c r="AK165">
        <v>2034</v>
      </c>
      <c r="AL165" t="s">
        <v>166</v>
      </c>
      <c r="AM165">
        <v>0.28749999999999998</v>
      </c>
      <c r="AN165" t="s">
        <v>430</v>
      </c>
    </row>
    <row r="166" spans="29:40" x14ac:dyDescent="0.45">
      <c r="AC166" t="s">
        <v>19</v>
      </c>
      <c r="AD166" t="s">
        <v>310</v>
      </c>
      <c r="AE166">
        <v>3.5837255701455981E-3</v>
      </c>
      <c r="AK166">
        <v>2034</v>
      </c>
      <c r="AL166" t="s">
        <v>178</v>
      </c>
      <c r="AM166">
        <v>0.27529999999999999</v>
      </c>
      <c r="AN166" t="s">
        <v>430</v>
      </c>
    </row>
    <row r="167" spans="29:40" x14ac:dyDescent="0.45">
      <c r="AC167" t="s">
        <v>19</v>
      </c>
      <c r="AD167" t="s">
        <v>311</v>
      </c>
      <c r="AE167">
        <v>2.5157332263863935E-2</v>
      </c>
      <c r="AK167">
        <v>2035</v>
      </c>
      <c r="AL167" t="s">
        <v>151</v>
      </c>
      <c r="AM167">
        <v>0.26050000000000001</v>
      </c>
      <c r="AN167" t="s">
        <v>430</v>
      </c>
    </row>
    <row r="168" spans="29:40" x14ac:dyDescent="0.45">
      <c r="AC168" t="s">
        <v>19</v>
      </c>
      <c r="AD168" t="s">
        <v>312</v>
      </c>
      <c r="AE168">
        <v>3.4900732042808841E-3</v>
      </c>
      <c r="AK168">
        <v>2035</v>
      </c>
      <c r="AL168" t="s">
        <v>156</v>
      </c>
      <c r="AM168">
        <v>0.2777</v>
      </c>
      <c r="AN168" t="s">
        <v>430</v>
      </c>
    </row>
    <row r="169" spans="29:40" x14ac:dyDescent="0.45">
      <c r="AC169" t="s">
        <v>19</v>
      </c>
      <c r="AD169" t="s">
        <v>313</v>
      </c>
      <c r="AE169">
        <v>3.4454973739073765E-3</v>
      </c>
      <c r="AK169">
        <v>2035</v>
      </c>
      <c r="AL169" t="s">
        <v>159</v>
      </c>
      <c r="AM169">
        <v>0.2737</v>
      </c>
      <c r="AN169" t="s">
        <v>430</v>
      </c>
    </row>
    <row r="170" spans="29:40" x14ac:dyDescent="0.45">
      <c r="AC170" t="s">
        <v>19</v>
      </c>
      <c r="AD170" t="s">
        <v>314</v>
      </c>
      <c r="AE170">
        <v>1.7246057032897694E-2</v>
      </c>
      <c r="AK170">
        <v>2035</v>
      </c>
      <c r="AL170" t="s">
        <v>163</v>
      </c>
      <c r="AM170">
        <v>0.29349999999999998</v>
      </c>
      <c r="AN170" t="s">
        <v>430</v>
      </c>
    </row>
    <row r="171" spans="29:40" x14ac:dyDescent="0.45">
      <c r="AC171" t="s">
        <v>19</v>
      </c>
      <c r="AD171" t="s">
        <v>339</v>
      </c>
      <c r="AE171">
        <v>2.4047245922384015E-2</v>
      </c>
      <c r="AK171">
        <v>2035</v>
      </c>
      <c r="AL171" t="s">
        <v>167</v>
      </c>
      <c r="AM171">
        <v>0.37319999999999998</v>
      </c>
      <c r="AN171" t="s">
        <v>430</v>
      </c>
    </row>
    <row r="172" spans="29:40" x14ac:dyDescent="0.45">
      <c r="AC172" t="s">
        <v>19</v>
      </c>
      <c r="AD172" t="s">
        <v>340</v>
      </c>
      <c r="AE172">
        <v>3.4613336324393596E-3</v>
      </c>
      <c r="AK172">
        <v>2035</v>
      </c>
      <c r="AL172" t="s">
        <v>169</v>
      </c>
      <c r="AM172">
        <v>0.48170000000000002</v>
      </c>
      <c r="AN172" t="s">
        <v>430</v>
      </c>
    </row>
    <row r="173" spans="29:40" x14ac:dyDescent="0.45">
      <c r="AC173" t="s">
        <v>19</v>
      </c>
      <c r="AD173" t="s">
        <v>341</v>
      </c>
      <c r="AE173">
        <v>3.4645307820917511E-3</v>
      </c>
      <c r="AK173">
        <v>2035</v>
      </c>
      <c r="AL173" t="s">
        <v>171</v>
      </c>
      <c r="AM173">
        <v>0.50290000000000001</v>
      </c>
      <c r="AN173" t="s">
        <v>430</v>
      </c>
    </row>
    <row r="174" spans="29:40" x14ac:dyDescent="0.45">
      <c r="AC174" t="s">
        <v>19</v>
      </c>
      <c r="AD174" t="s">
        <v>342</v>
      </c>
      <c r="AE174">
        <v>3.4648546606046815E-3</v>
      </c>
      <c r="AK174">
        <v>2035</v>
      </c>
      <c r="AL174" t="s">
        <v>158</v>
      </c>
      <c r="AM174">
        <v>0.66069999999999995</v>
      </c>
      <c r="AN174" t="s">
        <v>430</v>
      </c>
    </row>
    <row r="175" spans="29:40" x14ac:dyDescent="0.45">
      <c r="AC175" t="s">
        <v>19</v>
      </c>
      <c r="AD175" t="s">
        <v>343</v>
      </c>
      <c r="AE175">
        <v>2.4296747813948808E-2</v>
      </c>
      <c r="AK175">
        <v>2035</v>
      </c>
      <c r="AL175" t="s">
        <v>162</v>
      </c>
      <c r="AM175">
        <v>0.60460000000000003</v>
      </c>
      <c r="AN175" t="s">
        <v>430</v>
      </c>
    </row>
    <row r="176" spans="29:40" x14ac:dyDescent="0.45">
      <c r="AC176" t="s">
        <v>19</v>
      </c>
      <c r="AD176" t="s">
        <v>344</v>
      </c>
      <c r="AE176">
        <v>3.3643197440800989E-3</v>
      </c>
      <c r="AK176">
        <v>2035</v>
      </c>
      <c r="AL176" t="s">
        <v>175</v>
      </c>
      <c r="AM176">
        <v>0.42499999999999999</v>
      </c>
      <c r="AN176" t="s">
        <v>430</v>
      </c>
    </row>
    <row r="177" spans="29:40" x14ac:dyDescent="0.45">
      <c r="AC177" t="s">
        <v>19</v>
      </c>
      <c r="AD177" t="s">
        <v>345</v>
      </c>
      <c r="AE177">
        <v>3.3496627865089753E-3</v>
      </c>
      <c r="AK177">
        <v>2035</v>
      </c>
      <c r="AL177" t="s">
        <v>166</v>
      </c>
      <c r="AM177">
        <v>0.27539999999999998</v>
      </c>
      <c r="AN177" t="s">
        <v>430</v>
      </c>
    </row>
    <row r="178" spans="29:40" x14ac:dyDescent="0.45">
      <c r="AC178" t="s">
        <v>19</v>
      </c>
      <c r="AD178" t="s">
        <v>346</v>
      </c>
      <c r="AE178">
        <v>1.673032560778015E-2</v>
      </c>
      <c r="AK178">
        <v>2035</v>
      </c>
      <c r="AL178" t="s">
        <v>178</v>
      </c>
      <c r="AM178">
        <v>0.23300000000000001</v>
      </c>
      <c r="AN178" t="s">
        <v>430</v>
      </c>
    </row>
    <row r="179" spans="29:40" x14ac:dyDescent="0.45">
      <c r="AC179" t="s">
        <v>19</v>
      </c>
      <c r="AD179" t="s">
        <v>371</v>
      </c>
      <c r="AE179">
        <v>2.4846814757333059E-2</v>
      </c>
      <c r="AK179">
        <v>2036</v>
      </c>
      <c r="AL179" t="s">
        <v>151</v>
      </c>
      <c r="AM179">
        <v>0.22989999999999999</v>
      </c>
      <c r="AN179" t="s">
        <v>430</v>
      </c>
    </row>
    <row r="180" spans="29:40" x14ac:dyDescent="0.45">
      <c r="AC180" t="s">
        <v>19</v>
      </c>
      <c r="AD180" t="s">
        <v>372</v>
      </c>
      <c r="AE180">
        <v>3.5755023763067648E-3</v>
      </c>
      <c r="AK180">
        <v>2036</v>
      </c>
      <c r="AL180" t="s">
        <v>156</v>
      </c>
      <c r="AM180">
        <v>0.27160000000000001</v>
      </c>
      <c r="AN180" t="s">
        <v>430</v>
      </c>
    </row>
    <row r="181" spans="29:40" x14ac:dyDescent="0.45">
      <c r="AC181" t="s">
        <v>19</v>
      </c>
      <c r="AD181" t="s">
        <v>373</v>
      </c>
      <c r="AE181">
        <v>3.5813273223681366E-3</v>
      </c>
      <c r="AK181">
        <v>2036</v>
      </c>
      <c r="AL181" t="s">
        <v>159</v>
      </c>
      <c r="AM181">
        <v>0.24759999999999999</v>
      </c>
      <c r="AN181" t="s">
        <v>430</v>
      </c>
    </row>
    <row r="182" spans="29:40" x14ac:dyDescent="0.45">
      <c r="AC182" t="s">
        <v>19</v>
      </c>
      <c r="AD182" t="s">
        <v>374</v>
      </c>
      <c r="AE182">
        <v>3.5825068178672857E-3</v>
      </c>
      <c r="AK182">
        <v>2036</v>
      </c>
      <c r="AL182" t="s">
        <v>163</v>
      </c>
      <c r="AM182">
        <v>0.28820000000000001</v>
      </c>
      <c r="AN182" t="s">
        <v>430</v>
      </c>
    </row>
    <row r="183" spans="29:40" x14ac:dyDescent="0.45">
      <c r="AC183" t="s">
        <v>19</v>
      </c>
      <c r="AD183" t="s">
        <v>375</v>
      </c>
      <c r="AE183">
        <v>2.5148154722202914E-2</v>
      </c>
      <c r="AK183">
        <v>2036</v>
      </c>
      <c r="AL183" t="s">
        <v>167</v>
      </c>
      <c r="AM183">
        <v>0.37619999999999998</v>
      </c>
      <c r="AN183" t="s">
        <v>430</v>
      </c>
    </row>
    <row r="184" spans="29:40" x14ac:dyDescent="0.45">
      <c r="AC184" t="s">
        <v>19</v>
      </c>
      <c r="AD184" t="s">
        <v>376</v>
      </c>
      <c r="AE184">
        <v>3.4718163366417561E-3</v>
      </c>
      <c r="AK184">
        <v>2036</v>
      </c>
      <c r="AL184" t="s">
        <v>169</v>
      </c>
      <c r="AM184">
        <v>0.44330000000000003</v>
      </c>
      <c r="AN184" t="s">
        <v>430</v>
      </c>
    </row>
    <row r="185" spans="29:40" x14ac:dyDescent="0.45">
      <c r="AC185" t="s">
        <v>19</v>
      </c>
      <c r="AD185" t="s">
        <v>377</v>
      </c>
      <c r="AE185">
        <v>3.4418135051330631E-3</v>
      </c>
      <c r="AK185">
        <v>2036</v>
      </c>
      <c r="AL185" t="s">
        <v>171</v>
      </c>
      <c r="AM185">
        <v>0.56479999999999997</v>
      </c>
      <c r="AN185" t="s">
        <v>430</v>
      </c>
    </row>
    <row r="186" spans="29:40" x14ac:dyDescent="0.45">
      <c r="AC186" t="s">
        <v>19</v>
      </c>
      <c r="AD186" t="s">
        <v>378</v>
      </c>
      <c r="AE186">
        <v>1.7242212486628189E-2</v>
      </c>
      <c r="AK186">
        <v>2036</v>
      </c>
      <c r="AL186" t="s">
        <v>158</v>
      </c>
      <c r="AM186">
        <v>0.6623</v>
      </c>
      <c r="AN186" t="s">
        <v>430</v>
      </c>
    </row>
    <row r="187" spans="29:40" x14ac:dyDescent="0.45">
      <c r="AC187" t="s">
        <v>19</v>
      </c>
      <c r="AD187" t="s">
        <v>379</v>
      </c>
      <c r="AE187">
        <v>2.4019439855612758E-2</v>
      </c>
      <c r="AK187">
        <v>2036</v>
      </c>
      <c r="AL187" t="s">
        <v>162</v>
      </c>
      <c r="AM187">
        <v>0.56359999999999999</v>
      </c>
      <c r="AN187" t="s">
        <v>430</v>
      </c>
    </row>
    <row r="188" spans="29:40" x14ac:dyDescent="0.45">
      <c r="AC188" t="s">
        <v>19</v>
      </c>
      <c r="AD188" t="s">
        <v>380</v>
      </c>
      <c r="AE188">
        <v>3.4608594654614547E-3</v>
      </c>
      <c r="AK188">
        <v>2036</v>
      </c>
      <c r="AL188" t="s">
        <v>175</v>
      </c>
      <c r="AM188">
        <v>0.48159999999999997</v>
      </c>
      <c r="AN188" t="s">
        <v>430</v>
      </c>
    </row>
    <row r="189" spans="29:40" x14ac:dyDescent="0.45">
      <c r="AC189" t="s">
        <v>19</v>
      </c>
      <c r="AD189" t="s">
        <v>381</v>
      </c>
      <c r="AE189">
        <v>3.4625467339052473E-3</v>
      </c>
      <c r="AK189">
        <v>2036</v>
      </c>
      <c r="AL189" t="s">
        <v>166</v>
      </c>
      <c r="AM189">
        <v>0.26840000000000003</v>
      </c>
      <c r="AN189" t="s">
        <v>430</v>
      </c>
    </row>
    <row r="190" spans="29:40" x14ac:dyDescent="0.45">
      <c r="AC190" t="s">
        <v>19</v>
      </c>
      <c r="AD190" t="s">
        <v>382</v>
      </c>
      <c r="AE190">
        <v>3.4628481282025633E-3</v>
      </c>
      <c r="AK190">
        <v>2036</v>
      </c>
      <c r="AL190" t="s">
        <v>178</v>
      </c>
      <c r="AM190">
        <v>0.23630000000000001</v>
      </c>
      <c r="AN190" t="s">
        <v>430</v>
      </c>
    </row>
    <row r="191" spans="29:40" x14ac:dyDescent="0.45">
      <c r="AC191" t="s">
        <v>19</v>
      </c>
      <c r="AD191" t="s">
        <v>383</v>
      </c>
      <c r="AE191">
        <v>2.4268179929048471E-2</v>
      </c>
      <c r="AK191">
        <v>2037</v>
      </c>
      <c r="AL191" t="s">
        <v>151</v>
      </c>
      <c r="AM191">
        <v>0.25280000000000002</v>
      </c>
      <c r="AN191" t="s">
        <v>430</v>
      </c>
    </row>
    <row r="192" spans="29:40" x14ac:dyDescent="0.45">
      <c r="AC192" t="s">
        <v>19</v>
      </c>
      <c r="AD192" t="s">
        <v>384</v>
      </c>
      <c r="AE192">
        <v>3.3777992284088777E-3</v>
      </c>
      <c r="AK192">
        <v>2037</v>
      </c>
      <c r="AL192" t="s">
        <v>156</v>
      </c>
      <c r="AM192">
        <v>0.27289999999999998</v>
      </c>
      <c r="AN192" t="s">
        <v>430</v>
      </c>
    </row>
    <row r="193" spans="29:40" x14ac:dyDescent="0.45">
      <c r="AC193" t="s">
        <v>19</v>
      </c>
      <c r="AD193" t="s">
        <v>385</v>
      </c>
      <c r="AE193">
        <v>3.342921871858872E-3</v>
      </c>
      <c r="AK193">
        <v>2037</v>
      </c>
      <c r="AL193" t="s">
        <v>159</v>
      </c>
      <c r="AM193">
        <v>0.28689999999999999</v>
      </c>
      <c r="AN193" t="s">
        <v>430</v>
      </c>
    </row>
    <row r="194" spans="29:40" x14ac:dyDescent="0.45">
      <c r="AC194" t="s">
        <v>19</v>
      </c>
      <c r="AD194" t="s">
        <v>386</v>
      </c>
      <c r="AE194">
        <v>1.671059833394074E-2</v>
      </c>
      <c r="AK194">
        <v>2037</v>
      </c>
      <c r="AL194" t="s">
        <v>163</v>
      </c>
      <c r="AM194">
        <v>0.33589999999999998</v>
      </c>
      <c r="AN194" t="s">
        <v>430</v>
      </c>
    </row>
    <row r="195" spans="29:40" x14ac:dyDescent="0.45">
      <c r="AC195" t="s">
        <v>19</v>
      </c>
      <c r="AD195" t="s">
        <v>411</v>
      </c>
      <c r="AE195">
        <v>2.4805278682473533E-2</v>
      </c>
      <c r="AK195">
        <v>2037</v>
      </c>
      <c r="AL195" t="s">
        <v>167</v>
      </c>
      <c r="AM195">
        <v>0.35089999999999999</v>
      </c>
      <c r="AN195" t="s">
        <v>430</v>
      </c>
    </row>
    <row r="196" spans="29:40" x14ac:dyDescent="0.45">
      <c r="AC196" t="s">
        <v>19</v>
      </c>
      <c r="AD196" t="s">
        <v>412</v>
      </c>
      <c r="AE196">
        <v>3.5698886224987637E-3</v>
      </c>
      <c r="AK196">
        <v>2037</v>
      </c>
      <c r="AL196" t="s">
        <v>169</v>
      </c>
      <c r="AM196">
        <v>0.48730000000000001</v>
      </c>
      <c r="AN196" t="s">
        <v>430</v>
      </c>
    </row>
    <row r="197" spans="29:40" x14ac:dyDescent="0.45">
      <c r="AC197" t="s">
        <v>19</v>
      </c>
      <c r="AD197" t="s">
        <v>413</v>
      </c>
      <c r="AE197">
        <v>3.5749377837653602E-3</v>
      </c>
      <c r="AK197">
        <v>2037</v>
      </c>
      <c r="AL197" t="s">
        <v>171</v>
      </c>
      <c r="AM197">
        <v>0.49869999999999998</v>
      </c>
      <c r="AN197" t="s">
        <v>430</v>
      </c>
    </row>
    <row r="198" spans="29:40" x14ac:dyDescent="0.45">
      <c r="AC198" t="s">
        <v>19</v>
      </c>
      <c r="AD198" t="s">
        <v>414</v>
      </c>
      <c r="AE198">
        <v>3.5768624326220112E-3</v>
      </c>
      <c r="AK198">
        <v>2037</v>
      </c>
      <c r="AL198" t="s">
        <v>158</v>
      </c>
      <c r="AM198">
        <v>0.6482</v>
      </c>
      <c r="AN198" t="s">
        <v>430</v>
      </c>
    </row>
    <row r="199" spans="29:40" x14ac:dyDescent="0.45">
      <c r="AC199" t="s">
        <v>19</v>
      </c>
      <c r="AD199" t="s">
        <v>415</v>
      </c>
      <c r="AE199">
        <v>2.5077684953513202E-2</v>
      </c>
      <c r="AK199">
        <v>2037</v>
      </c>
      <c r="AL199" t="s">
        <v>162</v>
      </c>
      <c r="AM199">
        <v>0.5504</v>
      </c>
      <c r="AN199" t="s">
        <v>430</v>
      </c>
    </row>
    <row r="200" spans="29:40" x14ac:dyDescent="0.45">
      <c r="AC200" t="s">
        <v>19</v>
      </c>
      <c r="AD200" t="s">
        <v>416</v>
      </c>
      <c r="AE200">
        <v>3.4962142493165835E-3</v>
      </c>
      <c r="AK200">
        <v>2037</v>
      </c>
      <c r="AL200" t="s">
        <v>175</v>
      </c>
      <c r="AM200">
        <v>0.46239999999999998</v>
      </c>
      <c r="AN200" t="s">
        <v>430</v>
      </c>
    </row>
    <row r="201" spans="29:40" x14ac:dyDescent="0.45">
      <c r="AC201" t="s">
        <v>19</v>
      </c>
      <c r="AD201" t="s">
        <v>417</v>
      </c>
      <c r="AE201">
        <v>3.4560444787390446E-3</v>
      </c>
      <c r="AK201">
        <v>2037</v>
      </c>
      <c r="AL201" t="s">
        <v>166</v>
      </c>
      <c r="AM201">
        <v>0.31819999999999998</v>
      </c>
      <c r="AN201" t="s">
        <v>430</v>
      </c>
    </row>
    <row r="202" spans="29:40" x14ac:dyDescent="0.45">
      <c r="AC202" t="s">
        <v>19</v>
      </c>
      <c r="AD202" t="s">
        <v>418</v>
      </c>
      <c r="AE202">
        <v>1.7272027717116094E-2</v>
      </c>
      <c r="AK202">
        <v>2037</v>
      </c>
      <c r="AL202" t="s">
        <v>178</v>
      </c>
      <c r="AM202">
        <v>0.24579999999999999</v>
      </c>
      <c r="AN202" t="s">
        <v>430</v>
      </c>
    </row>
    <row r="203" spans="29:40" x14ac:dyDescent="0.45">
      <c r="AK203">
        <v>2038</v>
      </c>
      <c r="AL203" t="s">
        <v>151</v>
      </c>
      <c r="AM203">
        <v>0.25800000000000001</v>
      </c>
      <c r="AN203" t="s">
        <v>430</v>
      </c>
    </row>
    <row r="204" spans="29:40" x14ac:dyDescent="0.45">
      <c r="AK204">
        <v>2038</v>
      </c>
      <c r="AL204" t="s">
        <v>156</v>
      </c>
      <c r="AM204">
        <v>0.2656</v>
      </c>
      <c r="AN204" t="s">
        <v>430</v>
      </c>
    </row>
    <row r="205" spans="29:40" x14ac:dyDescent="0.45">
      <c r="AK205">
        <v>2038</v>
      </c>
      <c r="AL205" t="s">
        <v>159</v>
      </c>
      <c r="AM205">
        <v>0.29360000000000003</v>
      </c>
      <c r="AN205" t="s">
        <v>430</v>
      </c>
    </row>
    <row r="206" spans="29:40" x14ac:dyDescent="0.45">
      <c r="AK206">
        <v>2038</v>
      </c>
      <c r="AL206" t="s">
        <v>163</v>
      </c>
      <c r="AM206">
        <v>0.32190000000000002</v>
      </c>
      <c r="AN206" t="s">
        <v>430</v>
      </c>
    </row>
    <row r="207" spans="29:40" x14ac:dyDescent="0.45">
      <c r="AK207">
        <v>2038</v>
      </c>
      <c r="AL207" t="s">
        <v>167</v>
      </c>
      <c r="AM207">
        <v>0.37019999999999997</v>
      </c>
      <c r="AN207" t="s">
        <v>430</v>
      </c>
    </row>
    <row r="208" spans="29:40" x14ac:dyDescent="0.45">
      <c r="AK208">
        <v>2038</v>
      </c>
      <c r="AL208" t="s">
        <v>169</v>
      </c>
      <c r="AM208">
        <v>0.50539999999999996</v>
      </c>
      <c r="AN208" t="s">
        <v>430</v>
      </c>
    </row>
    <row r="209" spans="37:40" x14ac:dyDescent="0.45">
      <c r="AK209">
        <v>2038</v>
      </c>
      <c r="AL209" t="s">
        <v>171</v>
      </c>
      <c r="AM209">
        <v>0.6018</v>
      </c>
      <c r="AN209" t="s">
        <v>430</v>
      </c>
    </row>
    <row r="210" spans="37:40" x14ac:dyDescent="0.45">
      <c r="AK210">
        <v>2038</v>
      </c>
      <c r="AL210" t="s">
        <v>158</v>
      </c>
      <c r="AM210">
        <v>0.68220000000000003</v>
      </c>
      <c r="AN210" t="s">
        <v>430</v>
      </c>
    </row>
    <row r="211" spans="37:40" x14ac:dyDescent="0.45">
      <c r="AK211">
        <v>2038</v>
      </c>
      <c r="AL211" t="s">
        <v>162</v>
      </c>
      <c r="AM211">
        <v>0.6694</v>
      </c>
      <c r="AN211" t="s">
        <v>430</v>
      </c>
    </row>
    <row r="212" spans="37:40" x14ac:dyDescent="0.45">
      <c r="AK212">
        <v>2038</v>
      </c>
      <c r="AL212" t="s">
        <v>175</v>
      </c>
      <c r="AM212">
        <v>0.47549999999999998</v>
      </c>
      <c r="AN212" t="s">
        <v>430</v>
      </c>
    </row>
    <row r="213" spans="37:40" x14ac:dyDescent="0.45">
      <c r="AK213">
        <v>2038</v>
      </c>
      <c r="AL213" t="s">
        <v>166</v>
      </c>
      <c r="AM213">
        <v>0.2802</v>
      </c>
      <c r="AN213" t="s">
        <v>430</v>
      </c>
    </row>
    <row r="214" spans="37:40" x14ac:dyDescent="0.45">
      <c r="AK214">
        <v>2038</v>
      </c>
      <c r="AL214" t="s">
        <v>178</v>
      </c>
      <c r="AM214">
        <v>0.23430000000000001</v>
      </c>
      <c r="AN214" t="s">
        <v>430</v>
      </c>
    </row>
    <row r="215" spans="37:40" x14ac:dyDescent="0.45">
      <c r="AK215">
        <v>2039</v>
      </c>
      <c r="AL215" t="s">
        <v>151</v>
      </c>
      <c r="AM215">
        <v>0.26140000000000002</v>
      </c>
      <c r="AN215" t="s">
        <v>430</v>
      </c>
    </row>
    <row r="216" spans="37:40" x14ac:dyDescent="0.45">
      <c r="AK216">
        <v>2039</v>
      </c>
      <c r="AL216" t="s">
        <v>156</v>
      </c>
      <c r="AM216">
        <v>0.27189999999999998</v>
      </c>
      <c r="AN216" t="s">
        <v>430</v>
      </c>
    </row>
    <row r="217" spans="37:40" x14ac:dyDescent="0.45">
      <c r="AK217">
        <v>2039</v>
      </c>
      <c r="AL217" t="s">
        <v>159</v>
      </c>
      <c r="AM217">
        <v>0.26619999999999999</v>
      </c>
      <c r="AN217" t="s">
        <v>430</v>
      </c>
    </row>
    <row r="218" spans="37:40" x14ac:dyDescent="0.45">
      <c r="AK218">
        <v>2039</v>
      </c>
      <c r="AL218" t="s">
        <v>163</v>
      </c>
      <c r="AM218">
        <v>0.29189999999999999</v>
      </c>
      <c r="AN218" t="s">
        <v>430</v>
      </c>
    </row>
    <row r="219" spans="37:40" x14ac:dyDescent="0.45">
      <c r="AK219">
        <v>2039</v>
      </c>
      <c r="AL219" t="s">
        <v>167</v>
      </c>
      <c r="AM219">
        <v>0.41860000000000003</v>
      </c>
      <c r="AN219" t="s">
        <v>430</v>
      </c>
    </row>
    <row r="220" spans="37:40" x14ac:dyDescent="0.45">
      <c r="AK220">
        <v>2039</v>
      </c>
      <c r="AL220" t="s">
        <v>169</v>
      </c>
      <c r="AM220">
        <v>0.44879999999999998</v>
      </c>
      <c r="AN220" t="s">
        <v>430</v>
      </c>
    </row>
    <row r="221" spans="37:40" x14ac:dyDescent="0.45">
      <c r="AK221">
        <v>2039</v>
      </c>
      <c r="AL221" t="s">
        <v>171</v>
      </c>
      <c r="AM221">
        <v>0.50519999999999998</v>
      </c>
      <c r="AN221" t="s">
        <v>430</v>
      </c>
    </row>
    <row r="222" spans="37:40" x14ac:dyDescent="0.45">
      <c r="AK222">
        <v>2039</v>
      </c>
      <c r="AL222" t="s">
        <v>158</v>
      </c>
      <c r="AM222">
        <v>0.62219999999999998</v>
      </c>
      <c r="AN222" t="s">
        <v>430</v>
      </c>
    </row>
    <row r="223" spans="37:40" x14ac:dyDescent="0.45">
      <c r="AK223">
        <v>2039</v>
      </c>
      <c r="AL223" t="s">
        <v>162</v>
      </c>
      <c r="AM223">
        <v>0.55089999999999995</v>
      </c>
      <c r="AN223" t="s">
        <v>430</v>
      </c>
    </row>
    <row r="224" spans="37:40" x14ac:dyDescent="0.45">
      <c r="AK224">
        <v>2039</v>
      </c>
      <c r="AL224" t="s">
        <v>175</v>
      </c>
      <c r="AM224">
        <v>0.43419999999999997</v>
      </c>
      <c r="AN224" t="s">
        <v>430</v>
      </c>
    </row>
    <row r="225" spans="37:40" x14ac:dyDescent="0.45">
      <c r="AK225">
        <v>2039</v>
      </c>
      <c r="AL225" t="s">
        <v>166</v>
      </c>
      <c r="AM225">
        <v>0.30220000000000002</v>
      </c>
      <c r="AN225" t="s">
        <v>430</v>
      </c>
    </row>
    <row r="226" spans="37:40" x14ac:dyDescent="0.45">
      <c r="AK226">
        <v>2039</v>
      </c>
      <c r="AL226" t="s">
        <v>178</v>
      </c>
      <c r="AM226">
        <v>0.24940000000000001</v>
      </c>
      <c r="AN226" t="s">
        <v>430</v>
      </c>
    </row>
    <row r="227" spans="37:40" x14ac:dyDescent="0.45">
      <c r="AK227">
        <v>2040</v>
      </c>
      <c r="AL227" t="s">
        <v>151</v>
      </c>
      <c r="AM227">
        <v>0.25440000000000002</v>
      </c>
      <c r="AN227" t="s">
        <v>430</v>
      </c>
    </row>
    <row r="228" spans="37:40" x14ac:dyDescent="0.45">
      <c r="AK228">
        <v>2040</v>
      </c>
      <c r="AL228" t="s">
        <v>156</v>
      </c>
      <c r="AM228">
        <v>0.2412</v>
      </c>
      <c r="AN228" t="s">
        <v>430</v>
      </c>
    </row>
    <row r="229" spans="37:40" x14ac:dyDescent="0.45">
      <c r="AK229">
        <v>2040</v>
      </c>
      <c r="AL229" t="s">
        <v>159</v>
      </c>
      <c r="AM229">
        <v>0.27050000000000002</v>
      </c>
      <c r="AN229" t="s">
        <v>430</v>
      </c>
    </row>
    <row r="230" spans="37:40" x14ac:dyDescent="0.45">
      <c r="AK230">
        <v>2040</v>
      </c>
      <c r="AL230" t="s">
        <v>163</v>
      </c>
      <c r="AM230">
        <v>0.28489999999999999</v>
      </c>
      <c r="AN230" t="s">
        <v>430</v>
      </c>
    </row>
    <row r="231" spans="37:40" x14ac:dyDescent="0.45">
      <c r="AK231">
        <v>2040</v>
      </c>
      <c r="AL231" t="s">
        <v>167</v>
      </c>
      <c r="AM231">
        <v>0.3493</v>
      </c>
      <c r="AN231" t="s">
        <v>430</v>
      </c>
    </row>
    <row r="232" spans="37:40" x14ac:dyDescent="0.45">
      <c r="AK232">
        <v>2040</v>
      </c>
      <c r="AL232" t="s">
        <v>169</v>
      </c>
      <c r="AM232">
        <v>0.45989999999999998</v>
      </c>
      <c r="AN232" t="s">
        <v>430</v>
      </c>
    </row>
    <row r="233" spans="37:40" x14ac:dyDescent="0.45">
      <c r="AK233">
        <v>2040</v>
      </c>
      <c r="AL233" t="s">
        <v>171</v>
      </c>
      <c r="AM233">
        <v>0.56399999999999995</v>
      </c>
      <c r="AN233" t="s">
        <v>430</v>
      </c>
    </row>
    <row r="234" spans="37:40" x14ac:dyDescent="0.45">
      <c r="AK234">
        <v>2040</v>
      </c>
      <c r="AL234" t="s">
        <v>158</v>
      </c>
      <c r="AM234">
        <v>0.65269999999999995</v>
      </c>
      <c r="AN234" t="s">
        <v>430</v>
      </c>
    </row>
    <row r="235" spans="37:40" x14ac:dyDescent="0.45">
      <c r="AK235">
        <v>2040</v>
      </c>
      <c r="AL235" t="s">
        <v>162</v>
      </c>
      <c r="AM235">
        <v>0.61629999999999996</v>
      </c>
      <c r="AN235" t="s">
        <v>430</v>
      </c>
    </row>
    <row r="236" spans="37:40" x14ac:dyDescent="0.45">
      <c r="AK236">
        <v>2040</v>
      </c>
      <c r="AL236" t="s">
        <v>175</v>
      </c>
      <c r="AM236">
        <v>0.45469999999999999</v>
      </c>
      <c r="AN236" t="s">
        <v>430</v>
      </c>
    </row>
    <row r="237" spans="37:40" x14ac:dyDescent="0.45">
      <c r="AK237">
        <v>2040</v>
      </c>
      <c r="AL237" t="s">
        <v>166</v>
      </c>
      <c r="AM237">
        <v>0.29720000000000002</v>
      </c>
      <c r="AN237" t="s">
        <v>430</v>
      </c>
    </row>
    <row r="238" spans="37:40" x14ac:dyDescent="0.45">
      <c r="AK238">
        <v>2040</v>
      </c>
      <c r="AL238" t="s">
        <v>178</v>
      </c>
      <c r="AM238">
        <v>0.26290000000000002</v>
      </c>
      <c r="AN238" t="s">
        <v>430</v>
      </c>
    </row>
    <row r="239" spans="37:40" x14ac:dyDescent="0.45">
      <c r="AK239">
        <v>2041</v>
      </c>
      <c r="AL239" t="s">
        <v>151</v>
      </c>
      <c r="AM239">
        <v>0.1925</v>
      </c>
      <c r="AN239" t="s">
        <v>430</v>
      </c>
    </row>
    <row r="240" spans="37:40" x14ac:dyDescent="0.45">
      <c r="AK240">
        <v>2041</v>
      </c>
      <c r="AL240" t="s">
        <v>156</v>
      </c>
      <c r="AM240">
        <v>0.21129999999999999</v>
      </c>
      <c r="AN240" t="s">
        <v>430</v>
      </c>
    </row>
    <row r="241" spans="37:40" x14ac:dyDescent="0.45">
      <c r="AK241">
        <v>2041</v>
      </c>
      <c r="AL241" t="s">
        <v>159</v>
      </c>
      <c r="AM241">
        <v>0.2382</v>
      </c>
      <c r="AN241" t="s">
        <v>430</v>
      </c>
    </row>
    <row r="242" spans="37:40" x14ac:dyDescent="0.45">
      <c r="AK242">
        <v>2041</v>
      </c>
      <c r="AL242" t="s">
        <v>163</v>
      </c>
      <c r="AM242">
        <v>0.2394</v>
      </c>
      <c r="AN242" t="s">
        <v>430</v>
      </c>
    </row>
    <row r="243" spans="37:40" x14ac:dyDescent="0.45">
      <c r="AK243">
        <v>2041</v>
      </c>
      <c r="AL243" t="s">
        <v>167</v>
      </c>
      <c r="AM243">
        <v>0.34799999999999998</v>
      </c>
      <c r="AN243" t="s">
        <v>430</v>
      </c>
    </row>
    <row r="244" spans="37:40" x14ac:dyDescent="0.45">
      <c r="AK244">
        <v>2041</v>
      </c>
      <c r="AL244" t="s">
        <v>169</v>
      </c>
      <c r="AM244">
        <v>0.39019999999999999</v>
      </c>
      <c r="AN244" t="s">
        <v>430</v>
      </c>
    </row>
    <row r="245" spans="37:40" x14ac:dyDescent="0.45">
      <c r="AK245">
        <v>2041</v>
      </c>
      <c r="AL245" t="s">
        <v>171</v>
      </c>
      <c r="AM245">
        <v>0.47620000000000001</v>
      </c>
      <c r="AN245" t="s">
        <v>430</v>
      </c>
    </row>
    <row r="246" spans="37:40" x14ac:dyDescent="0.45">
      <c r="AK246">
        <v>2041</v>
      </c>
      <c r="AL246" t="s">
        <v>158</v>
      </c>
      <c r="AM246">
        <v>0.53459999999999996</v>
      </c>
      <c r="AN246" t="s">
        <v>430</v>
      </c>
    </row>
    <row r="247" spans="37:40" x14ac:dyDescent="0.45">
      <c r="AK247">
        <v>2041</v>
      </c>
      <c r="AL247" t="s">
        <v>162</v>
      </c>
      <c r="AM247">
        <v>0.5333</v>
      </c>
      <c r="AN247" t="s">
        <v>430</v>
      </c>
    </row>
    <row r="248" spans="37:40" x14ac:dyDescent="0.45">
      <c r="AK248">
        <v>2041</v>
      </c>
      <c r="AL248" t="s">
        <v>175</v>
      </c>
      <c r="AM248">
        <v>0.35160000000000002</v>
      </c>
      <c r="AN248" t="s">
        <v>430</v>
      </c>
    </row>
    <row r="249" spans="37:40" x14ac:dyDescent="0.45">
      <c r="AK249">
        <v>2041</v>
      </c>
      <c r="AL249" t="s">
        <v>166</v>
      </c>
      <c r="AM249">
        <v>0.2631</v>
      </c>
      <c r="AN249" t="s">
        <v>430</v>
      </c>
    </row>
    <row r="250" spans="37:40" x14ac:dyDescent="0.45">
      <c r="AK250">
        <v>2041</v>
      </c>
      <c r="AL250" t="s">
        <v>178</v>
      </c>
      <c r="AM250">
        <v>0.20330000000000001</v>
      </c>
      <c r="AN250" t="s">
        <v>430</v>
      </c>
    </row>
    <row r="251" spans="37:40" x14ac:dyDescent="0.45">
      <c r="AK251">
        <v>2042</v>
      </c>
      <c r="AL251" t="s">
        <v>151</v>
      </c>
      <c r="AM251">
        <v>0.19800000000000001</v>
      </c>
      <c r="AN251" t="s">
        <v>430</v>
      </c>
    </row>
    <row r="252" spans="37:40" x14ac:dyDescent="0.45">
      <c r="AK252">
        <v>2042</v>
      </c>
      <c r="AL252" t="s">
        <v>156</v>
      </c>
      <c r="AM252">
        <v>0.21360000000000001</v>
      </c>
      <c r="AN252" t="s">
        <v>430</v>
      </c>
    </row>
    <row r="253" spans="37:40" x14ac:dyDescent="0.45">
      <c r="AK253">
        <v>2042</v>
      </c>
      <c r="AL253" t="s">
        <v>159</v>
      </c>
      <c r="AM253">
        <v>0.2429</v>
      </c>
      <c r="AN253" t="s">
        <v>430</v>
      </c>
    </row>
    <row r="254" spans="37:40" x14ac:dyDescent="0.45">
      <c r="AK254">
        <v>2042</v>
      </c>
      <c r="AL254" t="s">
        <v>163</v>
      </c>
      <c r="AM254">
        <v>0.25829999999999997</v>
      </c>
      <c r="AN254" t="s">
        <v>430</v>
      </c>
    </row>
    <row r="255" spans="37:40" x14ac:dyDescent="0.45">
      <c r="AK255">
        <v>2042</v>
      </c>
      <c r="AL255" t="s">
        <v>167</v>
      </c>
      <c r="AM255">
        <v>0.30969999999999998</v>
      </c>
      <c r="AN255" t="s">
        <v>430</v>
      </c>
    </row>
    <row r="256" spans="37:40" x14ac:dyDescent="0.45">
      <c r="AK256">
        <v>2042</v>
      </c>
      <c r="AL256" t="s">
        <v>169</v>
      </c>
      <c r="AM256">
        <v>0.4103</v>
      </c>
      <c r="AN256" t="s">
        <v>430</v>
      </c>
    </row>
    <row r="257" spans="37:40" x14ac:dyDescent="0.45">
      <c r="AK257">
        <v>2042</v>
      </c>
      <c r="AL257" t="s">
        <v>171</v>
      </c>
      <c r="AM257">
        <v>0.41949999999999998</v>
      </c>
      <c r="AN257" t="s">
        <v>430</v>
      </c>
    </row>
    <row r="258" spans="37:40" x14ac:dyDescent="0.45">
      <c r="AK258">
        <v>2042</v>
      </c>
      <c r="AL258" t="s">
        <v>158</v>
      </c>
      <c r="AM258">
        <v>0.52310000000000001</v>
      </c>
      <c r="AN258" t="s">
        <v>430</v>
      </c>
    </row>
    <row r="259" spans="37:40" x14ac:dyDescent="0.45">
      <c r="AK259">
        <v>2042</v>
      </c>
      <c r="AL259" t="s">
        <v>162</v>
      </c>
      <c r="AM259">
        <v>0.50209999999999999</v>
      </c>
      <c r="AN259" t="s">
        <v>430</v>
      </c>
    </row>
    <row r="260" spans="37:40" x14ac:dyDescent="0.45">
      <c r="AK260">
        <v>2042</v>
      </c>
      <c r="AL260" t="s">
        <v>175</v>
      </c>
      <c r="AM260">
        <v>0.35870000000000002</v>
      </c>
      <c r="AN260" t="s">
        <v>430</v>
      </c>
    </row>
    <row r="261" spans="37:40" x14ac:dyDescent="0.45">
      <c r="AK261">
        <v>2042</v>
      </c>
      <c r="AL261" t="s">
        <v>166</v>
      </c>
      <c r="AM261">
        <v>0.24540000000000001</v>
      </c>
      <c r="AN261" t="s">
        <v>430</v>
      </c>
    </row>
    <row r="262" spans="37:40" x14ac:dyDescent="0.45">
      <c r="AK262">
        <v>2042</v>
      </c>
      <c r="AL262" t="s">
        <v>178</v>
      </c>
      <c r="AM262">
        <v>0.19450000000000001</v>
      </c>
      <c r="AN262" t="s">
        <v>430</v>
      </c>
    </row>
    <row r="263" spans="37:40" x14ac:dyDescent="0.45">
      <c r="AK263">
        <v>2043</v>
      </c>
      <c r="AL263" t="s">
        <v>151</v>
      </c>
      <c r="AM263">
        <v>0.2208</v>
      </c>
      <c r="AN263" t="s">
        <v>430</v>
      </c>
    </row>
    <row r="264" spans="37:40" x14ac:dyDescent="0.45">
      <c r="AK264">
        <v>2043</v>
      </c>
      <c r="AL264" t="s">
        <v>156</v>
      </c>
      <c r="AM264">
        <v>0.2298</v>
      </c>
      <c r="AN264" t="s">
        <v>430</v>
      </c>
    </row>
    <row r="265" spans="37:40" x14ac:dyDescent="0.45">
      <c r="AK265">
        <v>2043</v>
      </c>
      <c r="AL265" t="s">
        <v>159</v>
      </c>
      <c r="AM265">
        <v>0.2472</v>
      </c>
      <c r="AN265" t="s">
        <v>430</v>
      </c>
    </row>
    <row r="266" spans="37:40" x14ac:dyDescent="0.45">
      <c r="AK266">
        <v>2043</v>
      </c>
      <c r="AL266" t="s">
        <v>163</v>
      </c>
      <c r="AM266">
        <v>0.25059999999999999</v>
      </c>
      <c r="AN266" t="s">
        <v>430</v>
      </c>
    </row>
    <row r="267" spans="37:40" x14ac:dyDescent="0.45">
      <c r="AK267">
        <v>2043</v>
      </c>
      <c r="AL267" t="s">
        <v>167</v>
      </c>
      <c r="AM267">
        <v>0.31540000000000001</v>
      </c>
      <c r="AN267" t="s">
        <v>430</v>
      </c>
    </row>
    <row r="268" spans="37:40" x14ac:dyDescent="0.45">
      <c r="AK268">
        <v>2043</v>
      </c>
      <c r="AL268" t="s">
        <v>169</v>
      </c>
      <c r="AM268">
        <v>0.36009999999999998</v>
      </c>
      <c r="AN268" t="s">
        <v>430</v>
      </c>
    </row>
    <row r="269" spans="37:40" x14ac:dyDescent="0.45">
      <c r="AK269">
        <v>2043</v>
      </c>
      <c r="AL269" t="s">
        <v>171</v>
      </c>
      <c r="AM269">
        <v>0.46500000000000002</v>
      </c>
      <c r="AN269" t="s">
        <v>430</v>
      </c>
    </row>
    <row r="270" spans="37:40" x14ac:dyDescent="0.45">
      <c r="AK270">
        <v>2043</v>
      </c>
      <c r="AL270" t="s">
        <v>158</v>
      </c>
      <c r="AM270">
        <v>0.58960000000000001</v>
      </c>
      <c r="AN270" t="s">
        <v>430</v>
      </c>
    </row>
    <row r="271" spans="37:40" x14ac:dyDescent="0.45">
      <c r="AK271">
        <v>2043</v>
      </c>
      <c r="AL271" t="s">
        <v>162</v>
      </c>
      <c r="AM271">
        <v>0.51419999999999999</v>
      </c>
      <c r="AN271" t="s">
        <v>430</v>
      </c>
    </row>
    <row r="272" spans="37:40" x14ac:dyDescent="0.45">
      <c r="AK272">
        <v>2043</v>
      </c>
      <c r="AL272" t="s">
        <v>175</v>
      </c>
      <c r="AM272">
        <v>0.39229999999999998</v>
      </c>
      <c r="AN272" t="s">
        <v>430</v>
      </c>
    </row>
    <row r="273" spans="37:40" x14ac:dyDescent="0.45">
      <c r="AK273">
        <v>2043</v>
      </c>
      <c r="AL273" t="s">
        <v>166</v>
      </c>
      <c r="AM273">
        <v>0.26550000000000001</v>
      </c>
      <c r="AN273" t="s">
        <v>430</v>
      </c>
    </row>
    <row r="274" spans="37:40" x14ac:dyDescent="0.45">
      <c r="AK274">
        <v>2043</v>
      </c>
      <c r="AL274" t="s">
        <v>178</v>
      </c>
      <c r="AM274">
        <v>0.22359999999999999</v>
      </c>
      <c r="AN274" t="s">
        <v>430</v>
      </c>
    </row>
    <row r="275" spans="37:40" x14ac:dyDescent="0.45">
      <c r="AK275">
        <v>2044</v>
      </c>
      <c r="AL275" t="s">
        <v>151</v>
      </c>
      <c r="AM275">
        <v>0.21429999999999999</v>
      </c>
      <c r="AN275" t="s">
        <v>430</v>
      </c>
    </row>
    <row r="276" spans="37:40" x14ac:dyDescent="0.45">
      <c r="AK276">
        <v>2044</v>
      </c>
      <c r="AL276" t="s">
        <v>156</v>
      </c>
      <c r="AM276">
        <v>0.1986</v>
      </c>
      <c r="AN276" t="s">
        <v>430</v>
      </c>
    </row>
    <row r="277" spans="37:40" x14ac:dyDescent="0.45">
      <c r="AK277">
        <v>2044</v>
      </c>
      <c r="AL277" t="s">
        <v>159</v>
      </c>
      <c r="AM277">
        <v>0.21909999999999999</v>
      </c>
      <c r="AN277" t="s">
        <v>430</v>
      </c>
    </row>
    <row r="278" spans="37:40" x14ac:dyDescent="0.45">
      <c r="AK278">
        <v>2044</v>
      </c>
      <c r="AL278" t="s">
        <v>163</v>
      </c>
      <c r="AM278">
        <v>0.28100000000000003</v>
      </c>
      <c r="AN278" t="s">
        <v>430</v>
      </c>
    </row>
    <row r="279" spans="37:40" x14ac:dyDescent="0.45">
      <c r="AK279">
        <v>2044</v>
      </c>
      <c r="AL279" t="s">
        <v>167</v>
      </c>
      <c r="AM279">
        <v>0.3448</v>
      </c>
      <c r="AN279" t="s">
        <v>430</v>
      </c>
    </row>
    <row r="280" spans="37:40" x14ac:dyDescent="0.45">
      <c r="AK280">
        <v>2044</v>
      </c>
      <c r="AL280" t="s">
        <v>169</v>
      </c>
      <c r="AM280">
        <v>0.43690000000000001</v>
      </c>
      <c r="AN280" t="s">
        <v>430</v>
      </c>
    </row>
    <row r="281" spans="37:40" x14ac:dyDescent="0.45">
      <c r="AK281">
        <v>2044</v>
      </c>
      <c r="AL281" t="s">
        <v>171</v>
      </c>
      <c r="AM281">
        <v>0.43090000000000001</v>
      </c>
      <c r="AN281" t="s">
        <v>430</v>
      </c>
    </row>
    <row r="282" spans="37:40" x14ac:dyDescent="0.45">
      <c r="AK282">
        <v>2044</v>
      </c>
      <c r="AL282" t="s">
        <v>158</v>
      </c>
      <c r="AM282">
        <v>0.52339999999999998</v>
      </c>
      <c r="AN282" t="s">
        <v>430</v>
      </c>
    </row>
    <row r="283" spans="37:40" x14ac:dyDescent="0.45">
      <c r="AK283">
        <v>2044</v>
      </c>
      <c r="AL283" t="s">
        <v>162</v>
      </c>
      <c r="AM283">
        <v>0.50490000000000002</v>
      </c>
      <c r="AN283" t="s">
        <v>430</v>
      </c>
    </row>
    <row r="284" spans="37:40" x14ac:dyDescent="0.45">
      <c r="AK284">
        <v>2044</v>
      </c>
      <c r="AL284" t="s">
        <v>175</v>
      </c>
      <c r="AM284">
        <v>0.37859999999999999</v>
      </c>
      <c r="AN284" t="s">
        <v>430</v>
      </c>
    </row>
    <row r="285" spans="37:40" x14ac:dyDescent="0.45">
      <c r="AK285">
        <v>2044</v>
      </c>
      <c r="AL285" t="s">
        <v>166</v>
      </c>
      <c r="AM285">
        <v>0.2319</v>
      </c>
      <c r="AN285" t="s">
        <v>430</v>
      </c>
    </row>
    <row r="286" spans="37:40" x14ac:dyDescent="0.45">
      <c r="AK286">
        <v>2044</v>
      </c>
      <c r="AL286" t="s">
        <v>178</v>
      </c>
      <c r="AM286">
        <v>0.22439999999999999</v>
      </c>
      <c r="AN286" t="s">
        <v>430</v>
      </c>
    </row>
    <row r="287" spans="37:40" x14ac:dyDescent="0.45">
      <c r="AK287">
        <v>2045</v>
      </c>
      <c r="AL287" t="s">
        <v>151</v>
      </c>
      <c r="AM287">
        <v>0.25879999999999997</v>
      </c>
      <c r="AN287" t="s">
        <v>430</v>
      </c>
    </row>
    <row r="288" spans="37:40" x14ac:dyDescent="0.45">
      <c r="AK288">
        <v>2045</v>
      </c>
      <c r="AL288" t="s">
        <v>156</v>
      </c>
      <c r="AM288">
        <v>0.28189999999999998</v>
      </c>
      <c r="AN288" t="s">
        <v>430</v>
      </c>
    </row>
    <row r="289" spans="37:40" x14ac:dyDescent="0.45">
      <c r="AK289">
        <v>2045</v>
      </c>
      <c r="AL289" t="s">
        <v>159</v>
      </c>
      <c r="AM289">
        <v>0.24890000000000001</v>
      </c>
      <c r="AN289" t="s">
        <v>430</v>
      </c>
    </row>
    <row r="290" spans="37:40" x14ac:dyDescent="0.45">
      <c r="AK290">
        <v>2045</v>
      </c>
      <c r="AL290" t="s">
        <v>163</v>
      </c>
      <c r="AM290">
        <v>0.31330000000000002</v>
      </c>
      <c r="AN290" t="s">
        <v>430</v>
      </c>
    </row>
    <row r="291" spans="37:40" x14ac:dyDescent="0.45">
      <c r="AK291">
        <v>2045</v>
      </c>
      <c r="AL291" t="s">
        <v>167</v>
      </c>
      <c r="AM291">
        <v>0.36870000000000003</v>
      </c>
      <c r="AN291" t="s">
        <v>430</v>
      </c>
    </row>
    <row r="292" spans="37:40" x14ac:dyDescent="0.45">
      <c r="AK292">
        <v>2045</v>
      </c>
      <c r="AL292" t="s">
        <v>169</v>
      </c>
      <c r="AM292">
        <v>0.45660000000000001</v>
      </c>
      <c r="AN292" t="s">
        <v>430</v>
      </c>
    </row>
    <row r="293" spans="37:40" x14ac:dyDescent="0.45">
      <c r="AK293">
        <v>2045</v>
      </c>
      <c r="AL293" t="s">
        <v>171</v>
      </c>
      <c r="AM293">
        <v>0.54279999999999995</v>
      </c>
      <c r="AN293" t="s">
        <v>430</v>
      </c>
    </row>
    <row r="294" spans="37:40" x14ac:dyDescent="0.45">
      <c r="AK294">
        <v>2045</v>
      </c>
      <c r="AL294" t="s">
        <v>158</v>
      </c>
      <c r="AM294">
        <v>0.61919999999999997</v>
      </c>
      <c r="AN294" t="s">
        <v>430</v>
      </c>
    </row>
    <row r="295" spans="37:40" x14ac:dyDescent="0.45">
      <c r="AK295">
        <v>2045</v>
      </c>
      <c r="AL295" t="s">
        <v>162</v>
      </c>
      <c r="AM295">
        <v>0.60170000000000001</v>
      </c>
      <c r="AN295" t="s">
        <v>430</v>
      </c>
    </row>
    <row r="296" spans="37:40" x14ac:dyDescent="0.45">
      <c r="AK296">
        <v>2045</v>
      </c>
      <c r="AL296" t="s">
        <v>175</v>
      </c>
      <c r="AM296">
        <v>0.46889999999999998</v>
      </c>
      <c r="AN296" t="s">
        <v>430</v>
      </c>
    </row>
    <row r="297" spans="37:40" x14ac:dyDescent="0.45">
      <c r="AK297">
        <v>2045</v>
      </c>
      <c r="AL297" t="s">
        <v>166</v>
      </c>
      <c r="AM297">
        <v>0.29749999999999999</v>
      </c>
      <c r="AN297" t="s">
        <v>430</v>
      </c>
    </row>
    <row r="298" spans="37:40" x14ac:dyDescent="0.45">
      <c r="AK298">
        <v>2045</v>
      </c>
      <c r="AL298" t="s">
        <v>178</v>
      </c>
      <c r="AM298">
        <v>0.25069999999999998</v>
      </c>
      <c r="AN298" t="s">
        <v>430</v>
      </c>
    </row>
    <row r="299" spans="37:40" x14ac:dyDescent="0.45">
      <c r="AK299">
        <v>2046</v>
      </c>
      <c r="AL299" t="s">
        <v>151</v>
      </c>
      <c r="AM299">
        <v>0.29070000000000001</v>
      </c>
      <c r="AN299" t="s">
        <v>430</v>
      </c>
    </row>
    <row r="300" spans="37:40" x14ac:dyDescent="0.45">
      <c r="AK300">
        <v>2046</v>
      </c>
      <c r="AL300" t="s">
        <v>156</v>
      </c>
      <c r="AM300">
        <v>0.31330000000000002</v>
      </c>
      <c r="AN300" t="s">
        <v>430</v>
      </c>
    </row>
    <row r="301" spans="37:40" x14ac:dyDescent="0.45">
      <c r="AK301">
        <v>2046</v>
      </c>
      <c r="AL301" t="s">
        <v>159</v>
      </c>
      <c r="AM301">
        <v>0.33829999999999999</v>
      </c>
      <c r="AN301" t="s">
        <v>430</v>
      </c>
    </row>
    <row r="302" spans="37:40" x14ac:dyDescent="0.45">
      <c r="AK302">
        <v>2046</v>
      </c>
      <c r="AL302" t="s">
        <v>163</v>
      </c>
      <c r="AM302">
        <v>0.34289999999999998</v>
      </c>
      <c r="AN302" t="s">
        <v>430</v>
      </c>
    </row>
    <row r="303" spans="37:40" x14ac:dyDescent="0.45">
      <c r="AK303">
        <v>2046</v>
      </c>
      <c r="AL303" t="s">
        <v>167</v>
      </c>
      <c r="AM303">
        <v>0.45979999999999999</v>
      </c>
      <c r="AN303" t="s">
        <v>430</v>
      </c>
    </row>
    <row r="304" spans="37:40" x14ac:dyDescent="0.45">
      <c r="AK304">
        <v>2046</v>
      </c>
      <c r="AL304" t="s">
        <v>169</v>
      </c>
      <c r="AM304">
        <v>0.58220000000000005</v>
      </c>
      <c r="AN304" t="s">
        <v>430</v>
      </c>
    </row>
    <row r="305" spans="37:40" x14ac:dyDescent="0.45">
      <c r="AK305">
        <v>2046</v>
      </c>
      <c r="AL305" t="s">
        <v>171</v>
      </c>
      <c r="AM305">
        <v>0.58489999999999998</v>
      </c>
      <c r="AN305" t="s">
        <v>430</v>
      </c>
    </row>
    <row r="306" spans="37:40" x14ac:dyDescent="0.45">
      <c r="AK306">
        <v>2046</v>
      </c>
      <c r="AL306" t="s">
        <v>158</v>
      </c>
      <c r="AM306">
        <v>0.77249999999999996</v>
      </c>
      <c r="AN306" t="s">
        <v>430</v>
      </c>
    </row>
    <row r="307" spans="37:40" x14ac:dyDescent="0.45">
      <c r="AK307">
        <v>2046</v>
      </c>
      <c r="AL307" t="s">
        <v>162</v>
      </c>
      <c r="AM307">
        <v>0.67989999999999995</v>
      </c>
      <c r="AN307" t="s">
        <v>430</v>
      </c>
    </row>
    <row r="308" spans="37:40" x14ac:dyDescent="0.45">
      <c r="AK308">
        <v>2046</v>
      </c>
      <c r="AL308" t="s">
        <v>175</v>
      </c>
      <c r="AM308">
        <v>0.45319999999999999</v>
      </c>
      <c r="AN308" t="s">
        <v>430</v>
      </c>
    </row>
    <row r="309" spans="37:40" x14ac:dyDescent="0.45">
      <c r="AK309">
        <v>2046</v>
      </c>
      <c r="AL309" t="s">
        <v>166</v>
      </c>
      <c r="AM309">
        <v>0.36359999999999998</v>
      </c>
      <c r="AN309" t="s">
        <v>430</v>
      </c>
    </row>
    <row r="310" spans="37:40" x14ac:dyDescent="0.45">
      <c r="AK310">
        <v>2046</v>
      </c>
      <c r="AL310" t="s">
        <v>178</v>
      </c>
      <c r="AM310">
        <v>0.27500000000000002</v>
      </c>
      <c r="AN310" t="s">
        <v>430</v>
      </c>
    </row>
    <row r="311" spans="37:40" x14ac:dyDescent="0.45">
      <c r="AK311">
        <v>2047</v>
      </c>
      <c r="AL311" t="s">
        <v>151</v>
      </c>
      <c r="AM311">
        <v>0.25740000000000002</v>
      </c>
      <c r="AN311" t="s">
        <v>430</v>
      </c>
    </row>
    <row r="312" spans="37:40" x14ac:dyDescent="0.45">
      <c r="AK312">
        <v>2047</v>
      </c>
      <c r="AL312" t="s">
        <v>156</v>
      </c>
      <c r="AM312">
        <v>0.27950000000000003</v>
      </c>
      <c r="AN312" t="s">
        <v>430</v>
      </c>
    </row>
    <row r="313" spans="37:40" x14ac:dyDescent="0.45">
      <c r="AK313">
        <v>2047</v>
      </c>
      <c r="AL313" t="s">
        <v>159</v>
      </c>
      <c r="AM313">
        <v>0.2944</v>
      </c>
      <c r="AN313" t="s">
        <v>430</v>
      </c>
    </row>
    <row r="314" spans="37:40" x14ac:dyDescent="0.45">
      <c r="AK314">
        <v>2047</v>
      </c>
      <c r="AL314" t="s">
        <v>163</v>
      </c>
      <c r="AM314">
        <v>0.33589999999999998</v>
      </c>
      <c r="AN314" t="s">
        <v>430</v>
      </c>
    </row>
    <row r="315" spans="37:40" x14ac:dyDescent="0.45">
      <c r="AK315">
        <v>2047</v>
      </c>
      <c r="AL315" t="s">
        <v>167</v>
      </c>
      <c r="AM315">
        <v>0.36180000000000001</v>
      </c>
      <c r="AN315" t="s">
        <v>430</v>
      </c>
    </row>
    <row r="316" spans="37:40" x14ac:dyDescent="0.45">
      <c r="AK316">
        <v>2047</v>
      </c>
      <c r="AL316" t="s">
        <v>169</v>
      </c>
      <c r="AM316">
        <v>0.50639999999999996</v>
      </c>
      <c r="AN316" t="s">
        <v>430</v>
      </c>
    </row>
    <row r="317" spans="37:40" x14ac:dyDescent="0.45">
      <c r="AK317">
        <v>2047</v>
      </c>
      <c r="AL317" t="s">
        <v>171</v>
      </c>
      <c r="AM317">
        <v>0.51149999999999995</v>
      </c>
      <c r="AN317" t="s">
        <v>430</v>
      </c>
    </row>
    <row r="318" spans="37:40" x14ac:dyDescent="0.45">
      <c r="AK318">
        <v>2047</v>
      </c>
      <c r="AL318" t="s">
        <v>158</v>
      </c>
      <c r="AM318">
        <v>0.62080000000000002</v>
      </c>
      <c r="AN318" t="s">
        <v>430</v>
      </c>
    </row>
    <row r="319" spans="37:40" x14ac:dyDescent="0.45">
      <c r="AK319">
        <v>2047</v>
      </c>
      <c r="AL319" t="s">
        <v>162</v>
      </c>
      <c r="AM319">
        <v>0.61750000000000005</v>
      </c>
      <c r="AN319" t="s">
        <v>430</v>
      </c>
    </row>
    <row r="320" spans="37:40" x14ac:dyDescent="0.45">
      <c r="AK320">
        <v>2047</v>
      </c>
      <c r="AL320" t="s">
        <v>175</v>
      </c>
      <c r="AM320">
        <v>0.44309999999999999</v>
      </c>
      <c r="AN320" t="s">
        <v>430</v>
      </c>
    </row>
    <row r="321" spans="37:40" x14ac:dyDescent="0.45">
      <c r="AK321">
        <v>2047</v>
      </c>
      <c r="AL321" t="s">
        <v>166</v>
      </c>
      <c r="AM321">
        <v>0.31790000000000002</v>
      </c>
      <c r="AN321" t="s">
        <v>430</v>
      </c>
    </row>
    <row r="322" spans="37:40" x14ac:dyDescent="0.45">
      <c r="AK322">
        <v>2047</v>
      </c>
      <c r="AL322" t="s">
        <v>178</v>
      </c>
      <c r="AM322">
        <v>0.24079999999999999</v>
      </c>
      <c r="AN322" t="s">
        <v>430</v>
      </c>
    </row>
    <row r="323" spans="37:40" x14ac:dyDescent="0.45">
      <c r="AK323">
        <v>2048</v>
      </c>
      <c r="AL323" t="s">
        <v>151</v>
      </c>
      <c r="AM323">
        <v>0.2341</v>
      </c>
      <c r="AN323" t="s">
        <v>430</v>
      </c>
    </row>
    <row r="324" spans="37:40" x14ac:dyDescent="0.45">
      <c r="AK324">
        <v>2048</v>
      </c>
      <c r="AL324" t="s">
        <v>156</v>
      </c>
      <c r="AM324">
        <v>0.2361</v>
      </c>
      <c r="AN324" t="s">
        <v>430</v>
      </c>
    </row>
    <row r="325" spans="37:40" x14ac:dyDescent="0.45">
      <c r="AK325">
        <v>2048</v>
      </c>
      <c r="AL325" t="s">
        <v>159</v>
      </c>
      <c r="AM325">
        <v>0.2873</v>
      </c>
      <c r="AN325" t="s">
        <v>430</v>
      </c>
    </row>
    <row r="326" spans="37:40" x14ac:dyDescent="0.45">
      <c r="AK326">
        <v>2048</v>
      </c>
      <c r="AL326" t="s">
        <v>163</v>
      </c>
      <c r="AM326">
        <v>0.3155</v>
      </c>
      <c r="AN326" t="s">
        <v>430</v>
      </c>
    </row>
    <row r="327" spans="37:40" x14ac:dyDescent="0.45">
      <c r="AK327">
        <v>2048</v>
      </c>
      <c r="AL327" t="s">
        <v>167</v>
      </c>
      <c r="AM327">
        <v>0.41060000000000002</v>
      </c>
      <c r="AN327" t="s">
        <v>430</v>
      </c>
    </row>
    <row r="328" spans="37:40" x14ac:dyDescent="0.45">
      <c r="AK328">
        <v>2048</v>
      </c>
      <c r="AL328" t="s">
        <v>169</v>
      </c>
      <c r="AM328">
        <v>0.46820000000000001</v>
      </c>
      <c r="AN328" t="s">
        <v>430</v>
      </c>
    </row>
    <row r="329" spans="37:40" x14ac:dyDescent="0.45">
      <c r="AK329">
        <v>2048</v>
      </c>
      <c r="AL329" t="s">
        <v>171</v>
      </c>
      <c r="AM329">
        <v>0.53469999999999995</v>
      </c>
      <c r="AN329" t="s">
        <v>430</v>
      </c>
    </row>
    <row r="330" spans="37:40" x14ac:dyDescent="0.45">
      <c r="AK330">
        <v>2048</v>
      </c>
      <c r="AL330" t="s">
        <v>158</v>
      </c>
      <c r="AM330">
        <v>0.68959999999999999</v>
      </c>
      <c r="AN330" t="s">
        <v>430</v>
      </c>
    </row>
    <row r="331" spans="37:40" x14ac:dyDescent="0.45">
      <c r="AK331">
        <v>2048</v>
      </c>
      <c r="AL331" t="s">
        <v>162</v>
      </c>
      <c r="AM331">
        <v>0.58379999999999999</v>
      </c>
      <c r="AN331" t="s">
        <v>430</v>
      </c>
    </row>
    <row r="332" spans="37:40" x14ac:dyDescent="0.45">
      <c r="AK332">
        <v>2048</v>
      </c>
      <c r="AL332" t="s">
        <v>175</v>
      </c>
      <c r="AM332">
        <v>0.4778</v>
      </c>
      <c r="AN332" t="s">
        <v>430</v>
      </c>
    </row>
    <row r="333" spans="37:40" x14ac:dyDescent="0.45">
      <c r="AK333">
        <v>2048</v>
      </c>
      <c r="AL333" t="s">
        <v>166</v>
      </c>
      <c r="AM333">
        <v>0.28249999999999997</v>
      </c>
      <c r="AN333" t="s">
        <v>430</v>
      </c>
    </row>
    <row r="334" spans="37:40" x14ac:dyDescent="0.45">
      <c r="AK334">
        <v>2048</v>
      </c>
      <c r="AL334" t="s">
        <v>178</v>
      </c>
      <c r="AM334">
        <v>0.25080000000000002</v>
      </c>
      <c r="AN334" t="s">
        <v>430</v>
      </c>
    </row>
    <row r="335" spans="37:40" x14ac:dyDescent="0.45">
      <c r="AK335">
        <v>2049</v>
      </c>
      <c r="AL335" t="s">
        <v>151</v>
      </c>
      <c r="AM335">
        <v>0.23300000000000001</v>
      </c>
      <c r="AN335" t="s">
        <v>430</v>
      </c>
    </row>
    <row r="336" spans="37:40" x14ac:dyDescent="0.45">
      <c r="AK336">
        <v>2049</v>
      </c>
      <c r="AL336" t="s">
        <v>156</v>
      </c>
      <c r="AM336">
        <v>0.25209999999999999</v>
      </c>
      <c r="AN336" t="s">
        <v>430</v>
      </c>
    </row>
    <row r="337" spans="37:40" x14ac:dyDescent="0.45">
      <c r="AK337">
        <v>2049</v>
      </c>
      <c r="AL337" t="s">
        <v>159</v>
      </c>
      <c r="AM337">
        <v>0.27529999999999999</v>
      </c>
      <c r="AN337" t="s">
        <v>430</v>
      </c>
    </row>
    <row r="338" spans="37:40" x14ac:dyDescent="0.45">
      <c r="AK338">
        <v>2049</v>
      </c>
      <c r="AL338" t="s">
        <v>163</v>
      </c>
      <c r="AM338">
        <v>0.30709999999999998</v>
      </c>
      <c r="AN338" t="s">
        <v>430</v>
      </c>
    </row>
    <row r="339" spans="37:40" x14ac:dyDescent="0.45">
      <c r="AK339">
        <v>2049</v>
      </c>
      <c r="AL339" t="s">
        <v>167</v>
      </c>
      <c r="AM339">
        <v>0.41820000000000002</v>
      </c>
      <c r="AN339" t="s">
        <v>430</v>
      </c>
    </row>
    <row r="340" spans="37:40" x14ac:dyDescent="0.45">
      <c r="AK340">
        <v>2049</v>
      </c>
      <c r="AL340" t="s">
        <v>169</v>
      </c>
      <c r="AM340">
        <v>0.46750000000000003</v>
      </c>
      <c r="AN340" t="s">
        <v>430</v>
      </c>
    </row>
    <row r="341" spans="37:40" x14ac:dyDescent="0.45">
      <c r="AK341">
        <v>2049</v>
      </c>
      <c r="AL341" t="s">
        <v>171</v>
      </c>
      <c r="AM341">
        <v>0.52849999999999997</v>
      </c>
      <c r="AN341" t="s">
        <v>430</v>
      </c>
    </row>
    <row r="342" spans="37:40" x14ac:dyDescent="0.45">
      <c r="AK342">
        <v>2049</v>
      </c>
      <c r="AL342" t="s">
        <v>158</v>
      </c>
      <c r="AM342">
        <v>0.65500000000000003</v>
      </c>
      <c r="AN342" t="s">
        <v>430</v>
      </c>
    </row>
    <row r="343" spans="37:40" x14ac:dyDescent="0.45">
      <c r="AK343">
        <v>2049</v>
      </c>
      <c r="AL343" t="s">
        <v>162</v>
      </c>
      <c r="AM343">
        <v>0.64280000000000004</v>
      </c>
      <c r="AN343" t="s">
        <v>430</v>
      </c>
    </row>
    <row r="344" spans="37:40" x14ac:dyDescent="0.45">
      <c r="AK344">
        <v>2049</v>
      </c>
      <c r="AL344" t="s">
        <v>175</v>
      </c>
      <c r="AM344">
        <v>0.45379999999999998</v>
      </c>
      <c r="AN344" t="s">
        <v>430</v>
      </c>
    </row>
    <row r="345" spans="37:40" x14ac:dyDescent="0.45">
      <c r="AK345">
        <v>2049</v>
      </c>
      <c r="AL345" t="s">
        <v>166</v>
      </c>
      <c r="AM345">
        <v>0.29730000000000001</v>
      </c>
      <c r="AN345" t="s">
        <v>430</v>
      </c>
    </row>
    <row r="346" spans="37:40" x14ac:dyDescent="0.45">
      <c r="AK346">
        <v>2049</v>
      </c>
      <c r="AL346" t="s">
        <v>178</v>
      </c>
      <c r="AM346">
        <v>0.22620000000000001</v>
      </c>
      <c r="AN346" t="s">
        <v>430</v>
      </c>
    </row>
    <row r="347" spans="37:40" x14ac:dyDescent="0.45">
      <c r="AK347">
        <v>2050</v>
      </c>
      <c r="AL347" t="s">
        <v>151</v>
      </c>
      <c r="AM347">
        <v>0.26329999999999998</v>
      </c>
      <c r="AN347" t="s">
        <v>430</v>
      </c>
    </row>
    <row r="348" spans="37:40" x14ac:dyDescent="0.45">
      <c r="AK348">
        <v>2050</v>
      </c>
      <c r="AL348" t="s">
        <v>156</v>
      </c>
      <c r="AM348">
        <v>0.2621</v>
      </c>
      <c r="AN348" t="s">
        <v>430</v>
      </c>
    </row>
    <row r="349" spans="37:40" x14ac:dyDescent="0.45">
      <c r="AK349">
        <v>2050</v>
      </c>
      <c r="AL349" t="s">
        <v>159</v>
      </c>
      <c r="AM349">
        <v>0.25269999999999998</v>
      </c>
      <c r="AN349" t="s">
        <v>430</v>
      </c>
    </row>
    <row r="350" spans="37:40" x14ac:dyDescent="0.45">
      <c r="AK350">
        <v>2050</v>
      </c>
      <c r="AL350" t="s">
        <v>163</v>
      </c>
      <c r="AM350">
        <v>0.31819999999999998</v>
      </c>
      <c r="AN350" t="s">
        <v>430</v>
      </c>
    </row>
    <row r="351" spans="37:40" x14ac:dyDescent="0.45">
      <c r="AK351">
        <v>2050</v>
      </c>
      <c r="AL351" t="s">
        <v>167</v>
      </c>
      <c r="AM351">
        <v>0.41739999999999999</v>
      </c>
      <c r="AN351" t="s">
        <v>430</v>
      </c>
    </row>
    <row r="352" spans="37:40" x14ac:dyDescent="0.45">
      <c r="AK352">
        <v>2050</v>
      </c>
      <c r="AL352" t="s">
        <v>169</v>
      </c>
      <c r="AM352">
        <v>0.47360000000000002</v>
      </c>
      <c r="AN352" t="s">
        <v>430</v>
      </c>
    </row>
    <row r="353" spans="37:40" x14ac:dyDescent="0.45">
      <c r="AK353">
        <v>2050</v>
      </c>
      <c r="AL353" t="s">
        <v>171</v>
      </c>
      <c r="AM353">
        <v>0.4929</v>
      </c>
      <c r="AN353" t="s">
        <v>430</v>
      </c>
    </row>
    <row r="354" spans="37:40" x14ac:dyDescent="0.45">
      <c r="AK354">
        <v>2050</v>
      </c>
      <c r="AL354" t="s">
        <v>158</v>
      </c>
      <c r="AM354">
        <v>0.67459999999999998</v>
      </c>
      <c r="AN354" t="s">
        <v>430</v>
      </c>
    </row>
    <row r="355" spans="37:40" x14ac:dyDescent="0.45">
      <c r="AK355">
        <v>2050</v>
      </c>
      <c r="AL355" t="s">
        <v>162</v>
      </c>
      <c r="AM355">
        <v>0.63300000000000001</v>
      </c>
      <c r="AN355" t="s">
        <v>430</v>
      </c>
    </row>
    <row r="356" spans="37:40" x14ac:dyDescent="0.45">
      <c r="AK356">
        <v>2050</v>
      </c>
      <c r="AL356" t="s">
        <v>175</v>
      </c>
      <c r="AM356">
        <v>0.48020000000000002</v>
      </c>
      <c r="AN356" t="s">
        <v>430</v>
      </c>
    </row>
    <row r="357" spans="37:40" x14ac:dyDescent="0.45">
      <c r="AK357">
        <v>2050</v>
      </c>
      <c r="AL357" t="s">
        <v>166</v>
      </c>
      <c r="AM357">
        <v>0.26769999999999999</v>
      </c>
      <c r="AN357" t="s">
        <v>430</v>
      </c>
    </row>
    <row r="358" spans="37:40" x14ac:dyDescent="0.45">
      <c r="AK358">
        <v>2050</v>
      </c>
      <c r="AL358" t="s">
        <v>178</v>
      </c>
      <c r="AM358">
        <v>0.23810000000000001</v>
      </c>
      <c r="AN358" t="s">
        <v>430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882DC-CDB6-4531-8BEF-02393CB11E64}">
  <dimension ref="A9:AN35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130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122</v>
      </c>
      <c r="K10" t="s">
        <v>248</v>
      </c>
      <c r="L10" t="s">
        <v>30</v>
      </c>
      <c r="N10" t="s">
        <v>13</v>
      </c>
      <c r="O10" t="s">
        <v>122</v>
      </c>
      <c r="P10" t="s">
        <v>248</v>
      </c>
      <c r="Q10" t="s">
        <v>30</v>
      </c>
      <c r="S10" t="s">
        <v>13</v>
      </c>
      <c r="T10" t="s">
        <v>122</v>
      </c>
      <c r="U10" t="s">
        <v>248</v>
      </c>
      <c r="V10" t="s">
        <v>30</v>
      </c>
      <c r="X10" t="s">
        <v>421</v>
      </c>
      <c r="Y10" t="s">
        <v>248</v>
      </c>
      <c r="Z10" t="s">
        <v>122</v>
      </c>
      <c r="AA10" t="s">
        <v>13</v>
      </c>
      <c r="AC10" t="s">
        <v>13</v>
      </c>
      <c r="AD10" t="s">
        <v>122</v>
      </c>
      <c r="AE10" t="s">
        <v>248</v>
      </c>
      <c r="AG10" t="s">
        <v>13</v>
      </c>
      <c r="AH10" t="s">
        <v>122</v>
      </c>
      <c r="AI10" t="s">
        <v>427</v>
      </c>
      <c r="AK10" t="s">
        <v>47</v>
      </c>
      <c r="AL10" t="s">
        <v>122</v>
      </c>
      <c r="AM10" t="s">
        <v>428</v>
      </c>
      <c r="AN10" t="s">
        <v>429</v>
      </c>
    </row>
    <row r="11" spans="1:40" x14ac:dyDescent="0.45">
      <c r="A11" t="str">
        <f>IFERROR(IF(Veda!D5=A10,"ok","x"),"")</f>
        <v>x</v>
      </c>
      <c r="C11" t="s">
        <v>151</v>
      </c>
      <c r="D11" t="s">
        <v>152</v>
      </c>
      <c r="E11" t="s">
        <v>240</v>
      </c>
      <c r="F11" t="s">
        <v>154</v>
      </c>
      <c r="G11" t="s">
        <v>152</v>
      </c>
      <c r="I11" t="s">
        <v>249</v>
      </c>
      <c r="J11" t="s">
        <v>250</v>
      </c>
      <c r="K11">
        <v>0</v>
      </c>
      <c r="L11" t="s">
        <v>251</v>
      </c>
      <c r="N11" t="s">
        <v>419</v>
      </c>
      <c r="O11" t="s">
        <v>250</v>
      </c>
      <c r="P11">
        <v>1.7870835987201485E-2</v>
      </c>
      <c r="Q11" t="s">
        <v>251</v>
      </c>
      <c r="S11" t="s">
        <v>420</v>
      </c>
      <c r="T11" t="s">
        <v>250</v>
      </c>
      <c r="U11">
        <v>1.8804923305469411E-2</v>
      </c>
      <c r="V11" t="s">
        <v>251</v>
      </c>
      <c r="X11">
        <v>2.4771689497716895E-2</v>
      </c>
      <c r="Y11">
        <v>9.7827942553597048E-3</v>
      </c>
      <c r="Z11" t="s">
        <v>250</v>
      </c>
      <c r="AA11" t="s">
        <v>25</v>
      </c>
      <c r="AC11" t="s">
        <v>22</v>
      </c>
      <c r="AD11" t="s">
        <v>250</v>
      </c>
      <c r="AE11">
        <v>1.949452943339923E-2</v>
      </c>
      <c r="AG11" t="s">
        <v>97</v>
      </c>
      <c r="AH11" t="s">
        <v>250</v>
      </c>
      <c r="AI11">
        <v>0.10127753898572567</v>
      </c>
      <c r="AK11">
        <v>2020</v>
      </c>
      <c r="AL11" t="s">
        <v>151</v>
      </c>
      <c r="AM11">
        <v>0.2698110913113228</v>
      </c>
      <c r="AN11" t="s">
        <v>430</v>
      </c>
    </row>
    <row r="12" spans="1:40" x14ac:dyDescent="0.45">
      <c r="C12" t="s">
        <v>156</v>
      </c>
      <c r="E12" t="s">
        <v>241</v>
      </c>
      <c r="G12" t="s">
        <v>152</v>
      </c>
      <c r="I12" t="s">
        <v>249</v>
      </c>
      <c r="J12" t="s">
        <v>252</v>
      </c>
      <c r="K12">
        <v>1.5156644477423446E-3</v>
      </c>
      <c r="L12" t="s">
        <v>251</v>
      </c>
      <c r="N12" t="s">
        <v>419</v>
      </c>
      <c r="O12" t="s">
        <v>252</v>
      </c>
      <c r="P12">
        <v>1.9241151758176208E-3</v>
      </c>
      <c r="Q12" t="s">
        <v>251</v>
      </c>
      <c r="S12" t="s">
        <v>420</v>
      </c>
      <c r="T12" t="s">
        <v>252</v>
      </c>
      <c r="U12">
        <v>2.4994659436263973E-3</v>
      </c>
      <c r="V12" t="s">
        <v>251</v>
      </c>
      <c r="X12">
        <v>3.5388127853881279E-3</v>
      </c>
      <c r="Y12">
        <v>5.9087255218821738E-3</v>
      </c>
      <c r="Z12" t="s">
        <v>252</v>
      </c>
      <c r="AA12" t="s">
        <v>25</v>
      </c>
      <c r="AC12" t="s">
        <v>22</v>
      </c>
      <c r="AD12" t="s">
        <v>252</v>
      </c>
      <c r="AE12">
        <v>3.1657926352740033E-3</v>
      </c>
      <c r="AG12" t="s">
        <v>97</v>
      </c>
      <c r="AH12" t="s">
        <v>252</v>
      </c>
      <c r="AI12">
        <v>2.7713627671200891E-2</v>
      </c>
      <c r="AK12">
        <v>2020</v>
      </c>
      <c r="AL12" t="s">
        <v>156</v>
      </c>
      <c r="AM12">
        <v>0.28091924024938381</v>
      </c>
      <c r="AN12" t="s">
        <v>430</v>
      </c>
    </row>
    <row r="13" spans="1:40" x14ac:dyDescent="0.45">
      <c r="C13" t="s">
        <v>159</v>
      </c>
      <c r="E13" t="s">
        <v>242</v>
      </c>
      <c r="G13" t="s">
        <v>152</v>
      </c>
      <c r="I13" t="s">
        <v>249</v>
      </c>
      <c r="J13" t="s">
        <v>253</v>
      </c>
      <c r="K13">
        <v>6.0907786952883094E-3</v>
      </c>
      <c r="L13" t="s">
        <v>251</v>
      </c>
      <c r="N13" t="s">
        <v>419</v>
      </c>
      <c r="O13" t="s">
        <v>253</v>
      </c>
      <c r="P13">
        <v>1.3264422841106609E-3</v>
      </c>
      <c r="Q13" t="s">
        <v>251</v>
      </c>
      <c r="S13" t="s">
        <v>420</v>
      </c>
      <c r="T13" t="s">
        <v>253</v>
      </c>
      <c r="U13">
        <v>2.4236393429404191E-3</v>
      </c>
      <c r="V13" t="s">
        <v>251</v>
      </c>
      <c r="X13">
        <v>3.5388127853881279E-3</v>
      </c>
      <c r="Y13">
        <v>4.521459529788099E-3</v>
      </c>
      <c r="Z13" t="s">
        <v>253</v>
      </c>
      <c r="AA13" t="s">
        <v>25</v>
      </c>
      <c r="AC13" t="s">
        <v>22</v>
      </c>
      <c r="AD13" t="s">
        <v>253</v>
      </c>
      <c r="AE13">
        <v>3.2675077100406246E-3</v>
      </c>
      <c r="AG13" t="s">
        <v>97</v>
      </c>
      <c r="AH13" t="s">
        <v>253</v>
      </c>
      <c r="AI13">
        <v>5.3468428145687641E-2</v>
      </c>
      <c r="AK13">
        <v>2020</v>
      </c>
      <c r="AL13" t="s">
        <v>159</v>
      </c>
      <c r="AM13">
        <v>0.28179619937607281</v>
      </c>
      <c r="AN13" t="s">
        <v>430</v>
      </c>
    </row>
    <row r="14" spans="1:40" x14ac:dyDescent="0.45">
      <c r="C14" t="s">
        <v>163</v>
      </c>
      <c r="E14" t="s">
        <v>243</v>
      </c>
      <c r="G14" t="s">
        <v>152</v>
      </c>
      <c r="I14" t="s">
        <v>249</v>
      </c>
      <c r="J14" t="s">
        <v>254</v>
      </c>
      <c r="K14">
        <v>8.8262464634354994E-3</v>
      </c>
      <c r="L14" t="s">
        <v>251</v>
      </c>
      <c r="N14" t="s">
        <v>419</v>
      </c>
      <c r="O14" t="s">
        <v>254</v>
      </c>
      <c r="P14">
        <v>1.0431621995471597E-3</v>
      </c>
      <c r="Q14" t="s">
        <v>251</v>
      </c>
      <c r="S14" t="s">
        <v>420</v>
      </c>
      <c r="T14" t="s">
        <v>254</v>
      </c>
      <c r="U14">
        <v>2.3370906629166972E-3</v>
      </c>
      <c r="V14" t="s">
        <v>251</v>
      </c>
      <c r="X14">
        <v>3.5388127853881279E-3</v>
      </c>
      <c r="Y14">
        <v>4.4803553522445696E-3</v>
      </c>
      <c r="Z14" t="s">
        <v>254</v>
      </c>
      <c r="AA14" t="s">
        <v>25</v>
      </c>
      <c r="AC14" t="s">
        <v>22</v>
      </c>
      <c r="AD14" t="s">
        <v>254</v>
      </c>
      <c r="AE14">
        <v>3.312860856965701E-3</v>
      </c>
      <c r="AG14" t="s">
        <v>97</v>
      </c>
      <c r="AH14" t="s">
        <v>254</v>
      </c>
      <c r="AI14">
        <v>5.848083541293625E-2</v>
      </c>
      <c r="AK14">
        <v>2020</v>
      </c>
      <c r="AL14" t="s">
        <v>163</v>
      </c>
      <c r="AM14">
        <v>0.3265308588275096</v>
      </c>
      <c r="AN14" t="s">
        <v>430</v>
      </c>
    </row>
    <row r="15" spans="1:40" x14ac:dyDescent="0.45">
      <c r="C15" t="s">
        <v>167</v>
      </c>
      <c r="E15" t="s">
        <v>244</v>
      </c>
      <c r="G15" t="s">
        <v>152</v>
      </c>
      <c r="I15" t="s">
        <v>249</v>
      </c>
      <c r="J15" t="s">
        <v>255</v>
      </c>
      <c r="K15">
        <v>6.8054972448293893E-2</v>
      </c>
      <c r="L15" t="s">
        <v>251</v>
      </c>
      <c r="N15" t="s">
        <v>419</v>
      </c>
      <c r="O15" t="s">
        <v>255</v>
      </c>
      <c r="P15">
        <v>6.432084773477645E-3</v>
      </c>
      <c r="Q15" t="s">
        <v>251</v>
      </c>
      <c r="S15" t="s">
        <v>420</v>
      </c>
      <c r="T15" t="s">
        <v>255</v>
      </c>
      <c r="U15">
        <v>1.4185336142442046E-2</v>
      </c>
      <c r="V15" t="s">
        <v>251</v>
      </c>
      <c r="X15">
        <v>2.4771689497716895E-2</v>
      </c>
      <c r="Y15">
        <v>3.4650821669194247E-2</v>
      </c>
      <c r="Z15" t="s">
        <v>255</v>
      </c>
      <c r="AA15" t="s">
        <v>25</v>
      </c>
      <c r="AC15" t="s">
        <v>22</v>
      </c>
      <c r="AD15" t="s">
        <v>255</v>
      </c>
      <c r="AE15">
        <v>2.5061802859319558E-2</v>
      </c>
      <c r="AG15" t="s">
        <v>97</v>
      </c>
      <c r="AH15" t="s">
        <v>255</v>
      </c>
      <c r="AI15">
        <v>8.590995507981436E-2</v>
      </c>
      <c r="AK15">
        <v>2020</v>
      </c>
      <c r="AL15" t="s">
        <v>167</v>
      </c>
      <c r="AM15">
        <v>0.43263316916658479</v>
      </c>
      <c r="AN15" t="s">
        <v>430</v>
      </c>
    </row>
    <row r="16" spans="1:40" x14ac:dyDescent="0.45">
      <c r="C16" t="s">
        <v>169</v>
      </c>
      <c r="E16" t="s">
        <v>245</v>
      </c>
      <c r="G16" t="s">
        <v>152</v>
      </c>
      <c r="I16" t="s">
        <v>249</v>
      </c>
      <c r="J16" t="s">
        <v>256</v>
      </c>
      <c r="K16">
        <v>6.3045631172925004E-3</v>
      </c>
      <c r="L16" t="s">
        <v>251</v>
      </c>
      <c r="N16" t="s">
        <v>419</v>
      </c>
      <c r="O16" t="s">
        <v>256</v>
      </c>
      <c r="P16">
        <v>1.1229787319966876E-3</v>
      </c>
      <c r="Q16" t="s">
        <v>251</v>
      </c>
      <c r="S16" t="s">
        <v>420</v>
      </c>
      <c r="T16" t="s">
        <v>256</v>
      </c>
      <c r="U16">
        <v>2.2277816707203545E-3</v>
      </c>
      <c r="V16" t="s">
        <v>251</v>
      </c>
      <c r="X16">
        <v>3.5388127853881279E-3</v>
      </c>
      <c r="Y16">
        <v>6.8849497385409693E-3</v>
      </c>
      <c r="Z16" t="s">
        <v>256</v>
      </c>
      <c r="AA16" t="s">
        <v>25</v>
      </c>
      <c r="AC16" t="s">
        <v>22</v>
      </c>
      <c r="AD16" t="s">
        <v>256</v>
      </c>
      <c r="AE16">
        <v>2.0364327629016658E-3</v>
      </c>
      <c r="AG16" t="s">
        <v>97</v>
      </c>
      <c r="AH16" t="s">
        <v>256</v>
      </c>
      <c r="AI16">
        <v>0.13177806983731877</v>
      </c>
      <c r="AK16">
        <v>2020</v>
      </c>
      <c r="AL16" t="s">
        <v>169</v>
      </c>
      <c r="AM16">
        <v>0.53857957566091541</v>
      </c>
      <c r="AN16" t="s">
        <v>430</v>
      </c>
    </row>
    <row r="17" spans="3:40" x14ac:dyDescent="0.45">
      <c r="C17" t="s">
        <v>171</v>
      </c>
      <c r="E17" t="s">
        <v>246</v>
      </c>
      <c r="G17" t="s">
        <v>152</v>
      </c>
      <c r="I17" t="s">
        <v>249</v>
      </c>
      <c r="J17" t="s">
        <v>257</v>
      </c>
      <c r="K17">
        <v>1.9471601344935659E-3</v>
      </c>
      <c r="L17" t="s">
        <v>251</v>
      </c>
      <c r="N17" t="s">
        <v>419</v>
      </c>
      <c r="O17" t="s">
        <v>257</v>
      </c>
      <c r="P17">
        <v>1.7169265539782872E-3</v>
      </c>
      <c r="Q17" t="s">
        <v>251</v>
      </c>
      <c r="S17" t="s">
        <v>420</v>
      </c>
      <c r="T17" t="s">
        <v>257</v>
      </c>
      <c r="U17">
        <v>2.3637794363564149E-3</v>
      </c>
      <c r="V17" t="s">
        <v>251</v>
      </c>
      <c r="X17">
        <v>3.5388127853881279E-3</v>
      </c>
      <c r="Y17">
        <v>5.3435430806586613E-3</v>
      </c>
      <c r="Z17" t="s">
        <v>257</v>
      </c>
      <c r="AA17" t="s">
        <v>25</v>
      </c>
      <c r="AC17" t="s">
        <v>22</v>
      </c>
      <c r="AD17" t="s">
        <v>257</v>
      </c>
      <c r="AE17">
        <v>9.1182133949866144E-4</v>
      </c>
      <c r="AG17" t="s">
        <v>97</v>
      </c>
      <c r="AH17" t="s">
        <v>257</v>
      </c>
      <c r="AI17">
        <v>2.5642555722991123E-2</v>
      </c>
      <c r="AK17">
        <v>2020</v>
      </c>
      <c r="AL17" t="s">
        <v>171</v>
      </c>
      <c r="AM17">
        <v>0.55540744690304811</v>
      </c>
      <c r="AN17" t="s">
        <v>430</v>
      </c>
    </row>
    <row r="18" spans="3:40" x14ac:dyDescent="0.45">
      <c r="C18" t="s">
        <v>158</v>
      </c>
      <c r="E18" t="s">
        <v>247</v>
      </c>
      <c r="G18" t="s">
        <v>152</v>
      </c>
      <c r="I18" t="s">
        <v>249</v>
      </c>
      <c r="J18" t="s">
        <v>258</v>
      </c>
      <c r="K18">
        <v>0</v>
      </c>
      <c r="L18" t="s">
        <v>251</v>
      </c>
      <c r="N18" t="s">
        <v>419</v>
      </c>
      <c r="O18" t="s">
        <v>258</v>
      </c>
      <c r="P18">
        <v>1.4808898500501662E-2</v>
      </c>
      <c r="Q18" t="s">
        <v>251</v>
      </c>
      <c r="S18" t="s">
        <v>420</v>
      </c>
      <c r="T18" t="s">
        <v>258</v>
      </c>
      <c r="U18">
        <v>1.2894079630715663E-2</v>
      </c>
      <c r="V18" t="s">
        <v>251</v>
      </c>
      <c r="X18">
        <v>1.7694063926940638E-2</v>
      </c>
      <c r="Y18">
        <v>1.3358857701646654E-2</v>
      </c>
      <c r="Z18" t="s">
        <v>258</v>
      </c>
      <c r="AA18" t="s">
        <v>25</v>
      </c>
      <c r="AC18" t="s">
        <v>22</v>
      </c>
      <c r="AD18" t="s">
        <v>258</v>
      </c>
      <c r="AE18">
        <v>4.8624804450542597E-3</v>
      </c>
      <c r="AG18" t="s">
        <v>97</v>
      </c>
      <c r="AH18" t="s">
        <v>258</v>
      </c>
      <c r="AI18">
        <v>0.14420377925344408</v>
      </c>
      <c r="AK18">
        <v>2020</v>
      </c>
      <c r="AL18" t="s">
        <v>158</v>
      </c>
      <c r="AM18">
        <v>0.59107045138840164</v>
      </c>
      <c r="AN18" t="s">
        <v>430</v>
      </c>
    </row>
    <row r="19" spans="3:40" x14ac:dyDescent="0.45">
      <c r="C19" t="s">
        <v>162</v>
      </c>
      <c r="I19" t="s">
        <v>249</v>
      </c>
      <c r="J19" t="s">
        <v>259</v>
      </c>
      <c r="K19">
        <v>0</v>
      </c>
      <c r="L19" t="s">
        <v>251</v>
      </c>
      <c r="N19" t="s">
        <v>419</v>
      </c>
      <c r="O19" t="s">
        <v>259</v>
      </c>
      <c r="P19">
        <v>1.6839964131480336E-2</v>
      </c>
      <c r="Q19" t="s">
        <v>251</v>
      </c>
      <c r="S19" t="s">
        <v>420</v>
      </c>
      <c r="T19" t="s">
        <v>259</v>
      </c>
      <c r="U19">
        <v>1.4357734927052774E-2</v>
      </c>
      <c r="V19" t="s">
        <v>251</v>
      </c>
      <c r="X19">
        <v>2.2374429223744292E-2</v>
      </c>
      <c r="Y19">
        <v>8.8360722306474754E-3</v>
      </c>
      <c r="Z19" t="s">
        <v>259</v>
      </c>
      <c r="AA19" t="s">
        <v>25</v>
      </c>
      <c r="AC19" t="s">
        <v>22</v>
      </c>
      <c r="AD19" t="s">
        <v>259</v>
      </c>
      <c r="AE19">
        <v>1.7740078321897119E-2</v>
      </c>
      <c r="AG19" t="s">
        <v>97</v>
      </c>
      <c r="AH19" t="s">
        <v>259</v>
      </c>
      <c r="AI19">
        <v>0.14633377109330481</v>
      </c>
      <c r="AK19">
        <v>2020</v>
      </c>
      <c r="AL19" t="s">
        <v>162</v>
      </c>
      <c r="AM19">
        <v>0.61228311826397963</v>
      </c>
      <c r="AN19" t="s">
        <v>430</v>
      </c>
    </row>
    <row r="20" spans="3:40" x14ac:dyDescent="0.45">
      <c r="C20" t="s">
        <v>175</v>
      </c>
      <c r="I20" t="s">
        <v>249</v>
      </c>
      <c r="J20" t="s">
        <v>260</v>
      </c>
      <c r="K20">
        <v>1.3744729811050727E-3</v>
      </c>
      <c r="L20" t="s">
        <v>251</v>
      </c>
      <c r="N20" t="s">
        <v>419</v>
      </c>
      <c r="O20" t="s">
        <v>260</v>
      </c>
      <c r="P20">
        <v>1.675421865146762E-3</v>
      </c>
      <c r="Q20" t="s">
        <v>251</v>
      </c>
      <c r="S20" t="s">
        <v>420</v>
      </c>
      <c r="T20" t="s">
        <v>260</v>
      </c>
      <c r="U20">
        <v>2.0874895392113909E-3</v>
      </c>
      <c r="V20" t="s">
        <v>251</v>
      </c>
      <c r="X20">
        <v>3.1963470319634705E-3</v>
      </c>
      <c r="Y20">
        <v>5.3369133746032542E-3</v>
      </c>
      <c r="Z20" t="s">
        <v>260</v>
      </c>
      <c r="AA20" t="s">
        <v>25</v>
      </c>
      <c r="AC20" t="s">
        <v>22</v>
      </c>
      <c r="AD20" t="s">
        <v>260</v>
      </c>
      <c r="AE20">
        <v>3.0869304791650691E-3</v>
      </c>
      <c r="AG20" t="s">
        <v>97</v>
      </c>
      <c r="AH20" t="s">
        <v>260</v>
      </c>
      <c r="AI20">
        <v>5.0572918025461489E-2</v>
      </c>
      <c r="AK20">
        <v>2020</v>
      </c>
      <c r="AL20" t="s">
        <v>175</v>
      </c>
      <c r="AM20">
        <v>0.41918646255735309</v>
      </c>
      <c r="AN20" t="s">
        <v>430</v>
      </c>
    </row>
    <row r="21" spans="3:40" x14ac:dyDescent="0.45">
      <c r="C21" t="s">
        <v>166</v>
      </c>
      <c r="I21" t="s">
        <v>249</v>
      </c>
      <c r="J21" t="s">
        <v>261</v>
      </c>
      <c r="K21">
        <v>5.6351738993605004E-3</v>
      </c>
      <c r="L21" t="s">
        <v>251</v>
      </c>
      <c r="N21" t="s">
        <v>419</v>
      </c>
      <c r="O21" t="s">
        <v>261</v>
      </c>
      <c r="P21">
        <v>1.1556557148236276E-3</v>
      </c>
      <c r="Q21" t="s">
        <v>251</v>
      </c>
      <c r="S21" t="s">
        <v>420</v>
      </c>
      <c r="T21" t="s">
        <v>261</v>
      </c>
      <c r="U21">
        <v>2.0457665836738988E-3</v>
      </c>
      <c r="V21" t="s">
        <v>251</v>
      </c>
      <c r="X21">
        <v>3.1963470319634705E-3</v>
      </c>
      <c r="Y21">
        <v>4.0838989301311864E-3</v>
      </c>
      <c r="Z21" t="s">
        <v>261</v>
      </c>
      <c r="AA21" t="s">
        <v>25</v>
      </c>
      <c r="AC21" t="s">
        <v>22</v>
      </c>
      <c r="AD21" t="s">
        <v>261</v>
      </c>
      <c r="AE21">
        <v>3.1947187109781102E-3</v>
      </c>
      <c r="AG21" t="s">
        <v>97</v>
      </c>
      <c r="AH21" t="s">
        <v>261</v>
      </c>
      <c r="AI21">
        <v>4.3209447839231307E-2</v>
      </c>
      <c r="AK21">
        <v>2020</v>
      </c>
      <c r="AL21" t="s">
        <v>166</v>
      </c>
      <c r="AM21">
        <v>0.28001304915180508</v>
      </c>
      <c r="AN21" t="s">
        <v>430</v>
      </c>
    </row>
    <row r="22" spans="3:40" x14ac:dyDescent="0.45">
      <c r="C22" t="s">
        <v>178</v>
      </c>
      <c r="I22" t="s">
        <v>249</v>
      </c>
      <c r="J22" t="s">
        <v>262</v>
      </c>
      <c r="K22">
        <v>8.0353932514736996E-3</v>
      </c>
      <c r="L22" t="s">
        <v>251</v>
      </c>
      <c r="N22" t="s">
        <v>419</v>
      </c>
      <c r="O22" t="s">
        <v>262</v>
      </c>
      <c r="P22">
        <v>1.0616092047809685E-3</v>
      </c>
      <c r="Q22" t="s">
        <v>251</v>
      </c>
      <c r="S22" t="s">
        <v>420</v>
      </c>
      <c r="T22" t="s">
        <v>262</v>
      </c>
      <c r="U22">
        <v>1.9680906790904224E-3</v>
      </c>
      <c r="V22" t="s">
        <v>251</v>
      </c>
      <c r="X22">
        <v>3.1963470319634705E-3</v>
      </c>
      <c r="Y22">
        <v>4.0467725762209023E-3</v>
      </c>
      <c r="Z22" t="s">
        <v>262</v>
      </c>
      <c r="AA22" t="s">
        <v>25</v>
      </c>
      <c r="AC22" t="s">
        <v>22</v>
      </c>
      <c r="AD22" t="s">
        <v>262</v>
      </c>
      <c r="AE22">
        <v>3.2472558088544453E-3</v>
      </c>
      <c r="AG22" t="s">
        <v>97</v>
      </c>
      <c r="AH22" t="s">
        <v>262</v>
      </c>
      <c r="AI22">
        <v>5.3013612391023646E-2</v>
      </c>
      <c r="AK22">
        <v>2020</v>
      </c>
      <c r="AL22" t="s">
        <v>178</v>
      </c>
      <c r="AM22">
        <v>0.25899526208215817</v>
      </c>
      <c r="AN22" t="s">
        <v>430</v>
      </c>
    </row>
    <row r="23" spans="3:40" x14ac:dyDescent="0.45">
      <c r="I23" t="s">
        <v>249</v>
      </c>
      <c r="J23" t="s">
        <v>263</v>
      </c>
      <c r="K23">
        <v>6.2216285412588598E-2</v>
      </c>
      <c r="L23" t="s">
        <v>251</v>
      </c>
      <c r="N23" t="s">
        <v>419</v>
      </c>
      <c r="O23" t="s">
        <v>263</v>
      </c>
      <c r="P23">
        <v>8.1032721134406665E-3</v>
      </c>
      <c r="Q23" t="s">
        <v>251</v>
      </c>
      <c r="S23" t="s">
        <v>420</v>
      </c>
      <c r="T23" t="s">
        <v>263</v>
      </c>
      <c r="U23">
        <v>1.1931276034789457E-2</v>
      </c>
      <c r="V23" t="s">
        <v>251</v>
      </c>
      <c r="X23">
        <v>2.2374429223744292E-2</v>
      </c>
      <c r="Y23">
        <v>3.1297516346368993E-2</v>
      </c>
      <c r="Z23" t="s">
        <v>263</v>
      </c>
      <c r="AA23" t="s">
        <v>25</v>
      </c>
      <c r="AC23" t="s">
        <v>22</v>
      </c>
      <c r="AD23" t="s">
        <v>263</v>
      </c>
      <c r="AE23">
        <v>2.3621561585166231E-2</v>
      </c>
      <c r="AG23" t="s">
        <v>97</v>
      </c>
      <c r="AH23" t="s">
        <v>263</v>
      </c>
      <c r="AI23">
        <v>0.18724621409254349</v>
      </c>
      <c r="AK23">
        <v>2021</v>
      </c>
      <c r="AL23" t="s">
        <v>151</v>
      </c>
      <c r="AM23">
        <v>0.24537183889815969</v>
      </c>
      <c r="AN23" t="s">
        <v>430</v>
      </c>
    </row>
    <row r="24" spans="3:40" x14ac:dyDescent="0.45">
      <c r="I24" t="s">
        <v>249</v>
      </c>
      <c r="J24" t="s">
        <v>264</v>
      </c>
      <c r="K24">
        <v>5.8968813723748997E-3</v>
      </c>
      <c r="L24" t="s">
        <v>251</v>
      </c>
      <c r="N24" t="s">
        <v>419</v>
      </c>
      <c r="O24" t="s">
        <v>264</v>
      </c>
      <c r="P24">
        <v>1.5021228212447084E-3</v>
      </c>
      <c r="Q24" t="s">
        <v>251</v>
      </c>
      <c r="S24" t="s">
        <v>420</v>
      </c>
      <c r="T24" t="s">
        <v>264</v>
      </c>
      <c r="U24">
        <v>1.8782052620364214E-3</v>
      </c>
      <c r="V24" t="s">
        <v>251</v>
      </c>
      <c r="X24">
        <v>3.1963470319634705E-3</v>
      </c>
      <c r="Y24">
        <v>6.2186642799724884E-3</v>
      </c>
      <c r="Z24" t="s">
        <v>264</v>
      </c>
      <c r="AA24" t="s">
        <v>25</v>
      </c>
      <c r="AC24" t="s">
        <v>22</v>
      </c>
      <c r="AD24" t="s">
        <v>264</v>
      </c>
      <c r="AE24">
        <v>1.550549872097061E-3</v>
      </c>
      <c r="AG24" t="s">
        <v>97</v>
      </c>
      <c r="AH24" t="s">
        <v>264</v>
      </c>
      <c r="AI24">
        <v>3.8164786322408384E-2</v>
      </c>
      <c r="AK24">
        <v>2021</v>
      </c>
      <c r="AL24" t="s">
        <v>156</v>
      </c>
      <c r="AM24">
        <v>0.24748569799873779</v>
      </c>
      <c r="AN24" t="s">
        <v>430</v>
      </c>
    </row>
    <row r="25" spans="3:40" x14ac:dyDescent="0.45">
      <c r="I25" t="s">
        <v>249</v>
      </c>
      <c r="J25" t="s">
        <v>265</v>
      </c>
      <c r="K25">
        <v>2.5564716072675395E-3</v>
      </c>
      <c r="L25" t="s">
        <v>251</v>
      </c>
      <c r="N25" t="s">
        <v>419</v>
      </c>
      <c r="O25" t="s">
        <v>265</v>
      </c>
      <c r="P25">
        <v>1.9679905989127169E-3</v>
      </c>
      <c r="Q25" t="s">
        <v>251</v>
      </c>
      <c r="S25" t="s">
        <v>420</v>
      </c>
      <c r="T25" t="s">
        <v>265</v>
      </c>
      <c r="U25">
        <v>1.9764555667397491E-3</v>
      </c>
      <c r="V25" t="s">
        <v>251</v>
      </c>
      <c r="X25">
        <v>3.1963470319634705E-3</v>
      </c>
      <c r="Y25">
        <v>4.8264260083368555E-3</v>
      </c>
      <c r="Z25" t="s">
        <v>265</v>
      </c>
      <c r="AA25" t="s">
        <v>25</v>
      </c>
      <c r="AC25" t="s">
        <v>22</v>
      </c>
      <c r="AD25" t="s">
        <v>265</v>
      </c>
      <c r="AE25">
        <v>8.6897921041426216E-4</v>
      </c>
      <c r="AG25" t="s">
        <v>97</v>
      </c>
      <c r="AH25" t="s">
        <v>265</v>
      </c>
      <c r="AI25">
        <v>3.9400044323796291E-2</v>
      </c>
      <c r="AK25">
        <v>2021</v>
      </c>
      <c r="AL25" t="s">
        <v>159</v>
      </c>
      <c r="AM25">
        <v>0.25370413787713708</v>
      </c>
      <c r="AN25" t="s">
        <v>430</v>
      </c>
    </row>
    <row r="26" spans="3:40" x14ac:dyDescent="0.45">
      <c r="I26" t="s">
        <v>249</v>
      </c>
      <c r="J26" t="s">
        <v>266</v>
      </c>
      <c r="K26">
        <v>0</v>
      </c>
      <c r="L26" t="s">
        <v>251</v>
      </c>
      <c r="N26" t="s">
        <v>419</v>
      </c>
      <c r="O26" t="s">
        <v>266</v>
      </c>
      <c r="P26">
        <v>1.6202772410428563E-2</v>
      </c>
      <c r="Q26" t="s">
        <v>251</v>
      </c>
      <c r="S26" t="s">
        <v>420</v>
      </c>
      <c r="T26" t="s">
        <v>266</v>
      </c>
      <c r="U26">
        <v>1.0385168473129387E-2</v>
      </c>
      <c r="V26" t="s">
        <v>251</v>
      </c>
      <c r="X26">
        <v>1.5981735159817351E-2</v>
      </c>
      <c r="Y26">
        <v>1.2066065020842141E-2</v>
      </c>
      <c r="Z26" t="s">
        <v>266</v>
      </c>
      <c r="AA26" t="s">
        <v>25</v>
      </c>
      <c r="AC26" t="s">
        <v>22</v>
      </c>
      <c r="AD26" t="s">
        <v>266</v>
      </c>
      <c r="AE26">
        <v>4.1156959296003168E-3</v>
      </c>
      <c r="AG26" t="s">
        <v>97</v>
      </c>
      <c r="AH26" t="s">
        <v>266</v>
      </c>
      <c r="AI26">
        <v>0.15706424323730062</v>
      </c>
      <c r="AK26">
        <v>2021</v>
      </c>
      <c r="AL26" t="s">
        <v>163</v>
      </c>
      <c r="AM26">
        <v>0.25859816635789279</v>
      </c>
      <c r="AN26" t="s">
        <v>430</v>
      </c>
    </row>
    <row r="27" spans="3:40" x14ac:dyDescent="0.45">
      <c r="I27" t="s">
        <v>249</v>
      </c>
      <c r="J27" t="s">
        <v>267</v>
      </c>
      <c r="K27">
        <v>2.9312646605838719E-4</v>
      </c>
      <c r="L27" t="s">
        <v>251</v>
      </c>
      <c r="N27" t="s">
        <v>419</v>
      </c>
      <c r="O27" t="s">
        <v>267</v>
      </c>
      <c r="P27">
        <v>1.9345563279855673E-2</v>
      </c>
      <c r="Q27" t="s">
        <v>251</v>
      </c>
      <c r="S27" t="s">
        <v>420</v>
      </c>
      <c r="T27" t="s">
        <v>267</v>
      </c>
      <c r="U27">
        <v>1.6143224990212101E-2</v>
      </c>
      <c r="V27" t="s">
        <v>251</v>
      </c>
      <c r="X27">
        <v>2.4771689497716895E-2</v>
      </c>
      <c r="Y27">
        <v>9.7827942553597048E-3</v>
      </c>
      <c r="Z27" t="s">
        <v>267</v>
      </c>
      <c r="AA27" t="s">
        <v>25</v>
      </c>
      <c r="AC27" t="s">
        <v>22</v>
      </c>
      <c r="AD27" t="s">
        <v>267</v>
      </c>
      <c r="AE27">
        <v>2.4302320859487976E-2</v>
      </c>
      <c r="AG27" t="s">
        <v>97</v>
      </c>
      <c r="AH27" t="s">
        <v>267</v>
      </c>
      <c r="AI27">
        <v>0.14526265579127196</v>
      </c>
      <c r="AK27">
        <v>2021</v>
      </c>
      <c r="AL27" t="s">
        <v>167</v>
      </c>
      <c r="AM27">
        <v>0.35369172562486489</v>
      </c>
      <c r="AN27" t="s">
        <v>430</v>
      </c>
    </row>
    <row r="28" spans="3:40" x14ac:dyDescent="0.45">
      <c r="I28" t="s">
        <v>249</v>
      </c>
      <c r="J28" t="s">
        <v>268</v>
      </c>
      <c r="K28">
        <v>3.4677654736681939E-3</v>
      </c>
      <c r="L28" t="s">
        <v>251</v>
      </c>
      <c r="N28" t="s">
        <v>419</v>
      </c>
      <c r="O28" t="s">
        <v>268</v>
      </c>
      <c r="P28">
        <v>1.6352365781032144E-3</v>
      </c>
      <c r="Q28" t="s">
        <v>251</v>
      </c>
      <c r="S28" t="s">
        <v>420</v>
      </c>
      <c r="T28" t="s">
        <v>268</v>
      </c>
      <c r="U28">
        <v>2.0041009813787599E-3</v>
      </c>
      <c r="V28" t="s">
        <v>251</v>
      </c>
      <c r="X28">
        <v>3.5388127853881279E-3</v>
      </c>
      <c r="Y28">
        <v>5.9087255218821738E-3</v>
      </c>
      <c r="Z28" t="s">
        <v>268</v>
      </c>
      <c r="AA28" t="s">
        <v>25</v>
      </c>
      <c r="AC28" t="s">
        <v>22</v>
      </c>
      <c r="AD28" t="s">
        <v>268</v>
      </c>
      <c r="AE28">
        <v>4.2282817583791125E-3</v>
      </c>
      <c r="AG28" t="s">
        <v>97</v>
      </c>
      <c r="AH28" t="s">
        <v>268</v>
      </c>
      <c r="AI28">
        <v>4.2218000759207452E-2</v>
      </c>
      <c r="AK28">
        <v>2021</v>
      </c>
      <c r="AL28" t="s">
        <v>169</v>
      </c>
      <c r="AM28">
        <v>0.49671037005367918</v>
      </c>
      <c r="AN28" t="s">
        <v>430</v>
      </c>
    </row>
    <row r="29" spans="3:40" x14ac:dyDescent="0.45">
      <c r="I29" t="s">
        <v>249</v>
      </c>
      <c r="J29" t="s">
        <v>269</v>
      </c>
      <c r="K29">
        <v>7.2857682322527845E-3</v>
      </c>
      <c r="L29" t="s">
        <v>251</v>
      </c>
      <c r="N29" t="s">
        <v>419</v>
      </c>
      <c r="O29" t="s">
        <v>269</v>
      </c>
      <c r="P29">
        <v>1.1202547024485481E-3</v>
      </c>
      <c r="Q29" t="s">
        <v>251</v>
      </c>
      <c r="S29" t="s">
        <v>420</v>
      </c>
      <c r="T29" t="s">
        <v>269</v>
      </c>
      <c r="U29">
        <v>1.8781287612856272E-3</v>
      </c>
      <c r="V29" t="s">
        <v>251</v>
      </c>
      <c r="X29">
        <v>3.5388127853881279E-3</v>
      </c>
      <c r="Y29">
        <v>4.521459529788099E-3</v>
      </c>
      <c r="Z29" t="s">
        <v>269</v>
      </c>
      <c r="AA29" t="s">
        <v>25</v>
      </c>
      <c r="AC29" t="s">
        <v>22</v>
      </c>
      <c r="AD29" t="s">
        <v>269</v>
      </c>
      <c r="AE29">
        <v>4.485965889848227E-3</v>
      </c>
      <c r="AG29" t="s">
        <v>97</v>
      </c>
      <c r="AH29" t="s">
        <v>269</v>
      </c>
      <c r="AI29">
        <v>3.3345104619624921E-2</v>
      </c>
      <c r="AK29">
        <v>2021</v>
      </c>
      <c r="AL29" t="s">
        <v>171</v>
      </c>
      <c r="AM29">
        <v>0.57377934693164512</v>
      </c>
      <c r="AN29" t="s">
        <v>430</v>
      </c>
    </row>
    <row r="30" spans="3:40" x14ac:dyDescent="0.45">
      <c r="I30" t="s">
        <v>249</v>
      </c>
      <c r="J30" t="s">
        <v>270</v>
      </c>
      <c r="K30">
        <v>9.4148614109767995E-3</v>
      </c>
      <c r="L30" t="s">
        <v>251</v>
      </c>
      <c r="N30" t="s">
        <v>419</v>
      </c>
      <c r="O30" t="s">
        <v>270</v>
      </c>
      <c r="P30">
        <v>1.0053230087414301E-3</v>
      </c>
      <c r="Q30" t="s">
        <v>251</v>
      </c>
      <c r="S30" t="s">
        <v>420</v>
      </c>
      <c r="T30" t="s">
        <v>270</v>
      </c>
      <c r="U30">
        <v>1.7552643939331876E-3</v>
      </c>
      <c r="V30" t="s">
        <v>251</v>
      </c>
      <c r="X30">
        <v>3.5388127853881279E-3</v>
      </c>
      <c r="Y30">
        <v>4.4803553522445696E-3</v>
      </c>
      <c r="Z30" t="s">
        <v>270</v>
      </c>
      <c r="AA30" t="s">
        <v>25</v>
      </c>
      <c r="AC30" t="s">
        <v>22</v>
      </c>
      <c r="AD30" t="s">
        <v>270</v>
      </c>
      <c r="AE30">
        <v>4.6045679287228247E-3</v>
      </c>
      <c r="AG30" t="s">
        <v>97</v>
      </c>
      <c r="AH30" t="s">
        <v>270</v>
      </c>
      <c r="AI30">
        <v>2.2564439224357358E-2</v>
      </c>
      <c r="AK30">
        <v>2021</v>
      </c>
      <c r="AL30" t="s">
        <v>158</v>
      </c>
      <c r="AM30">
        <v>0.62492242342329907</v>
      </c>
      <c r="AN30" t="s">
        <v>430</v>
      </c>
    </row>
    <row r="31" spans="3:40" x14ac:dyDescent="0.45">
      <c r="I31" t="s">
        <v>249</v>
      </c>
      <c r="J31" t="s">
        <v>271</v>
      </c>
      <c r="K31">
        <v>7.16507697908111E-2</v>
      </c>
      <c r="L31" t="s">
        <v>251</v>
      </c>
      <c r="N31" t="s">
        <v>419</v>
      </c>
      <c r="O31" t="s">
        <v>271</v>
      </c>
      <c r="P31">
        <v>7.846475582240317E-3</v>
      </c>
      <c r="Q31" t="s">
        <v>251</v>
      </c>
      <c r="S31" t="s">
        <v>420</v>
      </c>
      <c r="T31" t="s">
        <v>271</v>
      </c>
      <c r="U31">
        <v>1.1697585227563988E-2</v>
      </c>
      <c r="V31" t="s">
        <v>251</v>
      </c>
      <c r="X31">
        <v>2.4771689497716895E-2</v>
      </c>
      <c r="Y31">
        <v>3.4650821669194247E-2</v>
      </c>
      <c r="Z31" t="s">
        <v>271</v>
      </c>
      <c r="AA31" t="s">
        <v>25</v>
      </c>
      <c r="AC31" t="s">
        <v>22</v>
      </c>
      <c r="AD31" t="s">
        <v>271</v>
      </c>
      <c r="AE31">
        <v>3.1498985220223361E-2</v>
      </c>
      <c r="AG31" t="s">
        <v>97</v>
      </c>
      <c r="AH31" t="s">
        <v>271</v>
      </c>
      <c r="AI31">
        <v>0.15398274646096599</v>
      </c>
      <c r="AK31">
        <v>2021</v>
      </c>
      <c r="AL31" t="s">
        <v>162</v>
      </c>
      <c r="AM31">
        <v>0.57271626051018953</v>
      </c>
      <c r="AN31" t="s">
        <v>430</v>
      </c>
    </row>
    <row r="32" spans="3:40" x14ac:dyDescent="0.45">
      <c r="I32" t="s">
        <v>249</v>
      </c>
      <c r="J32" t="s">
        <v>272</v>
      </c>
      <c r="K32">
        <v>7.0094705433080004E-3</v>
      </c>
      <c r="L32" t="s">
        <v>251</v>
      </c>
      <c r="N32" t="s">
        <v>419</v>
      </c>
      <c r="O32" t="s">
        <v>272</v>
      </c>
      <c r="P32">
        <v>1.7617574108067997E-3</v>
      </c>
      <c r="Q32" t="s">
        <v>251</v>
      </c>
      <c r="S32" t="s">
        <v>420</v>
      </c>
      <c r="T32" t="s">
        <v>272</v>
      </c>
      <c r="U32">
        <v>2.1600429705377054E-3</v>
      </c>
      <c r="V32" t="s">
        <v>251</v>
      </c>
      <c r="X32">
        <v>3.5388127853881279E-3</v>
      </c>
      <c r="Y32">
        <v>6.8849497385409693E-3</v>
      </c>
      <c r="Z32" t="s">
        <v>272</v>
      </c>
      <c r="AA32" t="s">
        <v>25</v>
      </c>
      <c r="AC32" t="s">
        <v>22</v>
      </c>
      <c r="AD32" t="s">
        <v>272</v>
      </c>
      <c r="AE32">
        <v>1.8909129029720201E-3</v>
      </c>
      <c r="AG32" t="s">
        <v>97</v>
      </c>
      <c r="AH32" t="s">
        <v>272</v>
      </c>
      <c r="AI32">
        <v>9.3662396235574263E-3</v>
      </c>
      <c r="AK32">
        <v>2021</v>
      </c>
      <c r="AL32" t="s">
        <v>175</v>
      </c>
      <c r="AM32">
        <v>0.48298602012623709</v>
      </c>
      <c r="AN32" t="s">
        <v>430</v>
      </c>
    </row>
    <row r="33" spans="9:40" x14ac:dyDescent="0.45">
      <c r="I33" t="s">
        <v>249</v>
      </c>
      <c r="J33" t="s">
        <v>273</v>
      </c>
      <c r="K33">
        <v>3.2517568683463165E-3</v>
      </c>
      <c r="L33" t="s">
        <v>251</v>
      </c>
      <c r="N33" t="s">
        <v>419</v>
      </c>
      <c r="O33" t="s">
        <v>273</v>
      </c>
      <c r="P33">
        <v>2.3440424715298353E-3</v>
      </c>
      <c r="Q33" t="s">
        <v>251</v>
      </c>
      <c r="S33" t="s">
        <v>420</v>
      </c>
      <c r="T33" t="s">
        <v>273</v>
      </c>
      <c r="U33">
        <v>2.2669641357076502E-3</v>
      </c>
      <c r="V33" t="s">
        <v>251</v>
      </c>
      <c r="X33">
        <v>3.5388127853881279E-3</v>
      </c>
      <c r="Y33">
        <v>5.3435430806586613E-3</v>
      </c>
      <c r="Z33" t="s">
        <v>273</v>
      </c>
      <c r="AA33" t="s">
        <v>25</v>
      </c>
      <c r="AC33" t="s">
        <v>22</v>
      </c>
      <c r="AD33" t="s">
        <v>273</v>
      </c>
      <c r="AE33">
        <v>1.3568416337343522E-3</v>
      </c>
      <c r="AG33" t="s">
        <v>97</v>
      </c>
      <c r="AH33" t="s">
        <v>273</v>
      </c>
      <c r="AI33">
        <v>0.20468904606086746</v>
      </c>
      <c r="AK33">
        <v>2021</v>
      </c>
      <c r="AL33" t="s">
        <v>166</v>
      </c>
      <c r="AM33">
        <v>0.3141180941522968</v>
      </c>
      <c r="AN33" t="s">
        <v>430</v>
      </c>
    </row>
    <row r="34" spans="9:40" x14ac:dyDescent="0.45">
      <c r="I34" t="s">
        <v>249</v>
      </c>
      <c r="J34" t="s">
        <v>274</v>
      </c>
      <c r="K34">
        <v>0</v>
      </c>
      <c r="L34" t="s">
        <v>251</v>
      </c>
      <c r="N34" t="s">
        <v>419</v>
      </c>
      <c r="O34" t="s">
        <v>274</v>
      </c>
      <c r="P34">
        <v>1.9002466882048097E-2</v>
      </c>
      <c r="Q34" t="s">
        <v>251</v>
      </c>
      <c r="S34" t="s">
        <v>420</v>
      </c>
      <c r="T34" t="s">
        <v>274</v>
      </c>
      <c r="U34">
        <v>1.1863639741341246E-2</v>
      </c>
      <c r="V34" t="s">
        <v>251</v>
      </c>
      <c r="X34">
        <v>1.7694063926940638E-2</v>
      </c>
      <c r="Y34">
        <v>1.3358857701646654E-2</v>
      </c>
      <c r="Z34" t="s">
        <v>274</v>
      </c>
      <c r="AA34" t="s">
        <v>25</v>
      </c>
      <c r="AC34" t="s">
        <v>22</v>
      </c>
      <c r="AD34" t="s">
        <v>274</v>
      </c>
      <c r="AE34">
        <v>7.0952003803463459E-3</v>
      </c>
      <c r="AG34" t="s">
        <v>97</v>
      </c>
      <c r="AH34" t="s">
        <v>274</v>
      </c>
      <c r="AI34">
        <v>0.24030876524921596</v>
      </c>
      <c r="AK34">
        <v>2021</v>
      </c>
      <c r="AL34" t="s">
        <v>178</v>
      </c>
      <c r="AM34">
        <v>0.2580139476938495</v>
      </c>
      <c r="AN34" t="s">
        <v>430</v>
      </c>
    </row>
    <row r="35" spans="9:40" x14ac:dyDescent="0.45">
      <c r="I35" t="s">
        <v>249</v>
      </c>
      <c r="J35" t="s">
        <v>275</v>
      </c>
      <c r="K35">
        <v>1.0360373361579407E-3</v>
      </c>
      <c r="L35" t="s">
        <v>251</v>
      </c>
      <c r="N35" t="s">
        <v>419</v>
      </c>
      <c r="O35" t="s">
        <v>275</v>
      </c>
      <c r="P35">
        <v>1.9485233150436806E-2</v>
      </c>
      <c r="Q35" t="s">
        <v>251</v>
      </c>
      <c r="S35" t="s">
        <v>420</v>
      </c>
      <c r="T35" t="s">
        <v>275</v>
      </c>
      <c r="U35">
        <v>1.7777663579304985E-2</v>
      </c>
      <c r="V35" t="s">
        <v>251</v>
      </c>
      <c r="X35">
        <v>2.3972602739726026E-2</v>
      </c>
      <c r="Y35">
        <v>9.4672202471222967E-3</v>
      </c>
      <c r="Z35" t="s">
        <v>275</v>
      </c>
      <c r="AA35" t="s">
        <v>25</v>
      </c>
      <c r="AC35" t="s">
        <v>22</v>
      </c>
      <c r="AD35" t="s">
        <v>275</v>
      </c>
      <c r="AE35">
        <v>2.9518305559343878E-2</v>
      </c>
      <c r="AG35" t="s">
        <v>97</v>
      </c>
      <c r="AH35" t="s">
        <v>275</v>
      </c>
      <c r="AI35">
        <v>0.16334421103227581</v>
      </c>
      <c r="AK35">
        <v>2022</v>
      </c>
      <c r="AL35" t="s">
        <v>151</v>
      </c>
      <c r="AM35">
        <v>0.22856863093367569</v>
      </c>
      <c r="AN35" t="s">
        <v>430</v>
      </c>
    </row>
    <row r="36" spans="9:40" x14ac:dyDescent="0.45">
      <c r="I36" t="s">
        <v>249</v>
      </c>
      <c r="J36" t="s">
        <v>276</v>
      </c>
      <c r="K36">
        <v>4.7521279065798E-3</v>
      </c>
      <c r="L36" t="s">
        <v>251</v>
      </c>
      <c r="N36" t="s">
        <v>419</v>
      </c>
      <c r="O36" t="s">
        <v>276</v>
      </c>
      <c r="P36">
        <v>1.3223677969484721E-3</v>
      </c>
      <c r="Q36" t="s">
        <v>251</v>
      </c>
      <c r="S36" t="s">
        <v>420</v>
      </c>
      <c r="T36" t="s">
        <v>276</v>
      </c>
      <c r="U36">
        <v>1.960563960703049E-3</v>
      </c>
      <c r="V36" t="s">
        <v>251</v>
      </c>
      <c r="X36">
        <v>3.4246575342465752E-3</v>
      </c>
      <c r="Y36">
        <v>5.7181214727892006E-3</v>
      </c>
      <c r="Z36" t="s">
        <v>276</v>
      </c>
      <c r="AA36" t="s">
        <v>25</v>
      </c>
      <c r="AC36" t="s">
        <v>22</v>
      </c>
      <c r="AD36" t="s">
        <v>276</v>
      </c>
      <c r="AE36">
        <v>5.1934961842249223E-3</v>
      </c>
      <c r="AG36" t="s">
        <v>97</v>
      </c>
      <c r="AH36" t="s">
        <v>276</v>
      </c>
      <c r="AI36">
        <v>3.5216654126259295E-2</v>
      </c>
      <c r="AK36">
        <v>2022</v>
      </c>
      <c r="AL36" t="s">
        <v>156</v>
      </c>
      <c r="AM36">
        <v>0.25211270446340328</v>
      </c>
      <c r="AN36" t="s">
        <v>430</v>
      </c>
    </row>
    <row r="37" spans="9:40" x14ac:dyDescent="0.45">
      <c r="I37" t="s">
        <v>249</v>
      </c>
      <c r="J37" t="s">
        <v>277</v>
      </c>
      <c r="K37">
        <v>7.4743577824974003E-3</v>
      </c>
      <c r="L37" t="s">
        <v>251</v>
      </c>
      <c r="N37" t="s">
        <v>419</v>
      </c>
      <c r="O37" t="s">
        <v>277</v>
      </c>
      <c r="P37">
        <v>1.1012807675443903E-3</v>
      </c>
      <c r="Q37" t="s">
        <v>251</v>
      </c>
      <c r="S37" t="s">
        <v>420</v>
      </c>
      <c r="T37" t="s">
        <v>277</v>
      </c>
      <c r="U37">
        <v>1.8117095019118666E-3</v>
      </c>
      <c r="V37" t="s">
        <v>251</v>
      </c>
      <c r="X37">
        <v>3.4246575342465752E-3</v>
      </c>
      <c r="Y37">
        <v>4.3756059965691279E-3</v>
      </c>
      <c r="Z37" t="s">
        <v>277</v>
      </c>
      <c r="AA37" t="s">
        <v>25</v>
      </c>
      <c r="AC37" t="s">
        <v>22</v>
      </c>
      <c r="AD37" t="s">
        <v>277</v>
      </c>
      <c r="AE37">
        <v>5.3258221542126722E-3</v>
      </c>
      <c r="AG37" t="s">
        <v>97</v>
      </c>
      <c r="AH37" t="s">
        <v>277</v>
      </c>
      <c r="AI37">
        <v>3.0311797291973974E-2</v>
      </c>
      <c r="AK37">
        <v>2022</v>
      </c>
      <c r="AL37" t="s">
        <v>159</v>
      </c>
      <c r="AM37">
        <v>0.3193698678799306</v>
      </c>
      <c r="AN37" t="s">
        <v>430</v>
      </c>
    </row>
    <row r="38" spans="9:40" x14ac:dyDescent="0.45">
      <c r="I38" t="s">
        <v>249</v>
      </c>
      <c r="J38" t="s">
        <v>278</v>
      </c>
      <c r="K38">
        <v>9.0619381609644001E-3</v>
      </c>
      <c r="L38" t="s">
        <v>251</v>
      </c>
      <c r="N38" t="s">
        <v>419</v>
      </c>
      <c r="O38" t="s">
        <v>278</v>
      </c>
      <c r="P38">
        <v>9.9556642823737593E-4</v>
      </c>
      <c r="Q38" t="s">
        <v>251</v>
      </c>
      <c r="S38" t="s">
        <v>420</v>
      </c>
      <c r="T38" t="s">
        <v>278</v>
      </c>
      <c r="U38">
        <v>1.6715865529542569E-3</v>
      </c>
      <c r="V38" t="s">
        <v>251</v>
      </c>
      <c r="X38">
        <v>3.4246575342465752E-3</v>
      </c>
      <c r="Y38">
        <v>4.3358277602366805E-3</v>
      </c>
      <c r="Z38" t="s">
        <v>278</v>
      </c>
      <c r="AA38" t="s">
        <v>25</v>
      </c>
      <c r="AC38" t="s">
        <v>22</v>
      </c>
      <c r="AD38" t="s">
        <v>278</v>
      </c>
      <c r="AE38">
        <v>5.3672123182696308E-3</v>
      </c>
      <c r="AG38" t="s">
        <v>97</v>
      </c>
      <c r="AH38" t="s">
        <v>278</v>
      </c>
      <c r="AI38">
        <v>2.5632939012395717E-2</v>
      </c>
      <c r="AK38">
        <v>2022</v>
      </c>
      <c r="AL38" t="s">
        <v>163</v>
      </c>
      <c r="AM38">
        <v>0.3594286789966587</v>
      </c>
      <c r="AN38" t="s">
        <v>430</v>
      </c>
    </row>
    <row r="39" spans="9:40" x14ac:dyDescent="0.45">
      <c r="I39" t="s">
        <v>249</v>
      </c>
      <c r="J39" t="s">
        <v>279</v>
      </c>
      <c r="K39">
        <v>6.8036515685839002E-2</v>
      </c>
      <c r="L39" t="s">
        <v>251</v>
      </c>
      <c r="N39" t="s">
        <v>419</v>
      </c>
      <c r="O39" t="s">
        <v>279</v>
      </c>
      <c r="P39">
        <v>9.4407612288413979E-3</v>
      </c>
      <c r="Q39" t="s">
        <v>251</v>
      </c>
      <c r="S39" t="s">
        <v>420</v>
      </c>
      <c r="T39" t="s">
        <v>279</v>
      </c>
      <c r="U39">
        <v>1.4296790910960555E-2</v>
      </c>
      <c r="V39" t="s">
        <v>251</v>
      </c>
      <c r="X39">
        <v>2.3972602739726026E-2</v>
      </c>
      <c r="Y39">
        <v>3.3533053228252493E-2</v>
      </c>
      <c r="Z39" t="s">
        <v>279</v>
      </c>
      <c r="AA39" t="s">
        <v>25</v>
      </c>
      <c r="AC39" t="s">
        <v>22</v>
      </c>
      <c r="AD39" t="s">
        <v>279</v>
      </c>
      <c r="AE39">
        <v>3.6374035294971817E-2</v>
      </c>
      <c r="AG39" t="s">
        <v>97</v>
      </c>
      <c r="AH39" t="s">
        <v>279</v>
      </c>
      <c r="AI39">
        <v>0.12107479110399866</v>
      </c>
      <c r="AK39">
        <v>2022</v>
      </c>
      <c r="AL39" t="s">
        <v>167</v>
      </c>
      <c r="AM39">
        <v>0.3851224877375633</v>
      </c>
      <c r="AN39" t="s">
        <v>430</v>
      </c>
    </row>
    <row r="40" spans="9:40" x14ac:dyDescent="0.45">
      <c r="I40" t="s">
        <v>249</v>
      </c>
      <c r="J40" t="s">
        <v>280</v>
      </c>
      <c r="K40">
        <v>6.2620054594643999E-3</v>
      </c>
      <c r="L40" t="s">
        <v>251</v>
      </c>
      <c r="N40" t="s">
        <v>419</v>
      </c>
      <c r="O40" t="s">
        <v>280</v>
      </c>
      <c r="P40">
        <v>2.7097780121235144E-3</v>
      </c>
      <c r="Q40" t="s">
        <v>251</v>
      </c>
      <c r="S40" t="s">
        <v>420</v>
      </c>
      <c r="T40" t="s">
        <v>280</v>
      </c>
      <c r="U40">
        <v>2.9540873951373016E-3</v>
      </c>
      <c r="V40" t="s">
        <v>251</v>
      </c>
      <c r="X40">
        <v>3.4246575342465752E-3</v>
      </c>
      <c r="Y40">
        <v>6.662854585684809E-3</v>
      </c>
      <c r="Z40" t="s">
        <v>280</v>
      </c>
      <c r="AA40" t="s">
        <v>25</v>
      </c>
      <c r="AC40" t="s">
        <v>22</v>
      </c>
      <c r="AD40" t="s">
        <v>280</v>
      </c>
      <c r="AE40">
        <v>2.7678320259506982E-3</v>
      </c>
      <c r="AG40" t="s">
        <v>97</v>
      </c>
      <c r="AH40" t="s">
        <v>280</v>
      </c>
      <c r="AI40">
        <v>8.6761717202879396E-2</v>
      </c>
      <c r="AK40">
        <v>2022</v>
      </c>
      <c r="AL40" t="s">
        <v>169</v>
      </c>
      <c r="AM40">
        <v>0.43060849922349292</v>
      </c>
      <c r="AN40" t="s">
        <v>430</v>
      </c>
    </row>
    <row r="41" spans="9:40" x14ac:dyDescent="0.45">
      <c r="I41" t="s">
        <v>249</v>
      </c>
      <c r="J41" t="s">
        <v>281</v>
      </c>
      <c r="K41">
        <v>3.5888896639685057E-3</v>
      </c>
      <c r="L41" t="s">
        <v>251</v>
      </c>
      <c r="N41" t="s">
        <v>419</v>
      </c>
      <c r="O41" t="s">
        <v>281</v>
      </c>
      <c r="P41">
        <v>3.2681817578805012E-3</v>
      </c>
      <c r="Q41" t="s">
        <v>251</v>
      </c>
      <c r="S41" t="s">
        <v>420</v>
      </c>
      <c r="T41" t="s">
        <v>281</v>
      </c>
      <c r="U41">
        <v>3.0913498080904936E-3</v>
      </c>
      <c r="V41" t="s">
        <v>251</v>
      </c>
      <c r="X41">
        <v>3.4246575342465752E-3</v>
      </c>
      <c r="Y41">
        <v>5.1711707232180593E-3</v>
      </c>
      <c r="Z41" t="s">
        <v>281</v>
      </c>
      <c r="AA41" t="s">
        <v>25</v>
      </c>
      <c r="AC41" t="s">
        <v>22</v>
      </c>
      <c r="AD41" t="s">
        <v>281</v>
      </c>
      <c r="AE41">
        <v>3.3043699929870768E-3</v>
      </c>
      <c r="AG41" t="s">
        <v>97</v>
      </c>
      <c r="AH41" t="s">
        <v>281</v>
      </c>
      <c r="AI41">
        <v>0.11709209908661999</v>
      </c>
      <c r="AK41">
        <v>2022</v>
      </c>
      <c r="AL41" t="s">
        <v>171</v>
      </c>
      <c r="AM41">
        <v>0.58949643171063837</v>
      </c>
      <c r="AN41" t="s">
        <v>430</v>
      </c>
    </row>
    <row r="42" spans="9:40" x14ac:dyDescent="0.45">
      <c r="I42" t="s">
        <v>249</v>
      </c>
      <c r="J42" t="s">
        <v>282</v>
      </c>
      <c r="K42">
        <v>2.4148579671858214E-4</v>
      </c>
      <c r="L42" t="s">
        <v>251</v>
      </c>
      <c r="N42" t="s">
        <v>419</v>
      </c>
      <c r="O42" t="s">
        <v>282</v>
      </c>
      <c r="P42">
        <v>2.094799313478261E-2</v>
      </c>
      <c r="Q42" t="s">
        <v>251</v>
      </c>
      <c r="S42" t="s">
        <v>420</v>
      </c>
      <c r="T42" t="s">
        <v>282</v>
      </c>
      <c r="U42">
        <v>1.53525731100944E-2</v>
      </c>
      <c r="V42" t="s">
        <v>251</v>
      </c>
      <c r="X42">
        <v>1.7123287671232876E-2</v>
      </c>
      <c r="Y42">
        <v>1.2927926808045149E-2</v>
      </c>
      <c r="Z42" t="s">
        <v>282</v>
      </c>
      <c r="AA42" t="s">
        <v>25</v>
      </c>
      <c r="AC42" t="s">
        <v>22</v>
      </c>
      <c r="AD42" t="s">
        <v>282</v>
      </c>
      <c r="AE42">
        <v>1.3764633323452066E-2</v>
      </c>
      <c r="AG42" t="s">
        <v>97</v>
      </c>
      <c r="AH42" t="s">
        <v>282</v>
      </c>
      <c r="AI42">
        <v>0.17218577644945188</v>
      </c>
      <c r="AK42">
        <v>2022</v>
      </c>
      <c r="AL42" t="s">
        <v>158</v>
      </c>
      <c r="AM42">
        <v>0.70961593638562115</v>
      </c>
      <c r="AN42" t="s">
        <v>430</v>
      </c>
    </row>
    <row r="43" spans="9:40" x14ac:dyDescent="0.45">
      <c r="I43" t="s">
        <v>249</v>
      </c>
      <c r="J43" t="s">
        <v>283</v>
      </c>
      <c r="K43">
        <v>1.7670272179208782E-3</v>
      </c>
      <c r="L43" t="s">
        <v>251</v>
      </c>
      <c r="N43" t="s">
        <v>419</v>
      </c>
      <c r="O43" t="s">
        <v>283</v>
      </c>
      <c r="P43">
        <v>3.7236251817725795E-2</v>
      </c>
      <c r="Q43" t="s">
        <v>251</v>
      </c>
      <c r="S43" t="s">
        <v>420</v>
      </c>
      <c r="T43" t="s">
        <v>283</v>
      </c>
      <c r="U43">
        <v>2.9348632349428468E-2</v>
      </c>
      <c r="V43" t="s">
        <v>251</v>
      </c>
      <c r="X43">
        <v>2.4771689497716895E-2</v>
      </c>
      <c r="Y43">
        <v>9.7827942553597048E-3</v>
      </c>
      <c r="Z43" t="s">
        <v>283</v>
      </c>
      <c r="AA43" t="s">
        <v>25</v>
      </c>
      <c r="AC43" t="s">
        <v>22</v>
      </c>
      <c r="AD43" t="s">
        <v>283</v>
      </c>
      <c r="AE43">
        <v>3.3825157257624083E-2</v>
      </c>
      <c r="AG43" t="s">
        <v>97</v>
      </c>
      <c r="AH43" t="s">
        <v>283</v>
      </c>
      <c r="AI43">
        <v>0.1040152179592515</v>
      </c>
      <c r="AK43">
        <v>2022</v>
      </c>
      <c r="AL43" t="s">
        <v>162</v>
      </c>
      <c r="AM43">
        <v>0.69297378700174128</v>
      </c>
      <c r="AN43" t="s">
        <v>430</v>
      </c>
    </row>
    <row r="44" spans="9:40" x14ac:dyDescent="0.45">
      <c r="I44" t="s">
        <v>249</v>
      </c>
      <c r="J44" t="s">
        <v>284</v>
      </c>
      <c r="K44">
        <v>5.2458382221451999E-3</v>
      </c>
      <c r="L44" t="s">
        <v>251</v>
      </c>
      <c r="N44" t="s">
        <v>419</v>
      </c>
      <c r="O44" t="s">
        <v>284</v>
      </c>
      <c r="P44">
        <v>4.2387441648916542E-3</v>
      </c>
      <c r="Q44" t="s">
        <v>251</v>
      </c>
      <c r="S44" t="s">
        <v>420</v>
      </c>
      <c r="T44" t="s">
        <v>284</v>
      </c>
      <c r="U44">
        <v>3.4891517956613686E-3</v>
      </c>
      <c r="V44" t="s">
        <v>251</v>
      </c>
      <c r="X44">
        <v>3.5388127853881279E-3</v>
      </c>
      <c r="Y44">
        <v>5.9087255218821738E-3</v>
      </c>
      <c r="Z44" t="s">
        <v>284</v>
      </c>
      <c r="AA44" t="s">
        <v>25</v>
      </c>
      <c r="AC44" t="s">
        <v>22</v>
      </c>
      <c r="AD44" t="s">
        <v>284</v>
      </c>
      <c r="AE44">
        <v>5.5871952887510202E-3</v>
      </c>
      <c r="AG44" t="s">
        <v>97</v>
      </c>
      <c r="AH44" t="s">
        <v>284</v>
      </c>
      <c r="AI44">
        <v>1.4636729188804765E-2</v>
      </c>
      <c r="AK44">
        <v>2022</v>
      </c>
      <c r="AL44" t="s">
        <v>175</v>
      </c>
      <c r="AM44">
        <v>0.49755662126035521</v>
      </c>
      <c r="AN44" t="s">
        <v>430</v>
      </c>
    </row>
    <row r="45" spans="9:40" x14ac:dyDescent="0.45">
      <c r="I45" t="s">
        <v>249</v>
      </c>
      <c r="J45" t="s">
        <v>285</v>
      </c>
      <c r="K45">
        <v>7.5897915349617999E-3</v>
      </c>
      <c r="L45" t="s">
        <v>251</v>
      </c>
      <c r="N45" t="s">
        <v>419</v>
      </c>
      <c r="O45" t="s">
        <v>285</v>
      </c>
      <c r="P45">
        <v>4.0921748354808231E-3</v>
      </c>
      <c r="Q45" t="s">
        <v>251</v>
      </c>
      <c r="S45" t="s">
        <v>420</v>
      </c>
      <c r="T45" t="s">
        <v>285</v>
      </c>
      <c r="U45">
        <v>3.3611029397469078E-3</v>
      </c>
      <c r="V45" t="s">
        <v>251</v>
      </c>
      <c r="X45">
        <v>3.5388127853881279E-3</v>
      </c>
      <c r="Y45">
        <v>4.521459529788099E-3</v>
      </c>
      <c r="Z45" t="s">
        <v>285</v>
      </c>
      <c r="AA45" t="s">
        <v>25</v>
      </c>
      <c r="AC45" t="s">
        <v>22</v>
      </c>
      <c r="AD45" t="s">
        <v>285</v>
      </c>
      <c r="AE45">
        <v>5.6468327773550814E-3</v>
      </c>
      <c r="AG45" t="s">
        <v>97</v>
      </c>
      <c r="AH45" t="s">
        <v>285</v>
      </c>
      <c r="AI45">
        <v>2.0453277369397727E-2</v>
      </c>
      <c r="AK45">
        <v>2022</v>
      </c>
      <c r="AL45" t="s">
        <v>166</v>
      </c>
      <c r="AM45">
        <v>0.32030919102075389</v>
      </c>
      <c r="AN45" t="s">
        <v>430</v>
      </c>
    </row>
    <row r="46" spans="9:40" x14ac:dyDescent="0.45">
      <c r="I46" t="s">
        <v>249</v>
      </c>
      <c r="J46" t="s">
        <v>286</v>
      </c>
      <c r="K46">
        <v>9.0460724211776991E-3</v>
      </c>
      <c r="L46" t="s">
        <v>251</v>
      </c>
      <c r="N46" t="s">
        <v>419</v>
      </c>
      <c r="O46" t="s">
        <v>286</v>
      </c>
      <c r="P46">
        <v>3.8324308091180056E-3</v>
      </c>
      <c r="Q46" t="s">
        <v>251</v>
      </c>
      <c r="S46" t="s">
        <v>420</v>
      </c>
      <c r="T46" t="s">
        <v>286</v>
      </c>
      <c r="U46">
        <v>3.2647690971758453E-3</v>
      </c>
      <c r="V46" t="s">
        <v>251</v>
      </c>
      <c r="X46">
        <v>3.5388127853881279E-3</v>
      </c>
      <c r="Y46">
        <v>4.4803553522445696E-3</v>
      </c>
      <c r="Z46" t="s">
        <v>286</v>
      </c>
      <c r="AA46" t="s">
        <v>25</v>
      </c>
      <c r="AC46" t="s">
        <v>22</v>
      </c>
      <c r="AD46" t="s">
        <v>286</v>
      </c>
      <c r="AE46">
        <v>5.6501261642986165E-3</v>
      </c>
      <c r="AG46" t="s">
        <v>97</v>
      </c>
      <c r="AH46" t="s">
        <v>286</v>
      </c>
      <c r="AI46">
        <v>2.0099445039484021E-2</v>
      </c>
      <c r="AK46">
        <v>2022</v>
      </c>
      <c r="AL46" t="s">
        <v>178</v>
      </c>
      <c r="AM46">
        <v>0.26614155656660882</v>
      </c>
      <c r="AN46" t="s">
        <v>430</v>
      </c>
    </row>
    <row r="47" spans="9:40" x14ac:dyDescent="0.45">
      <c r="I47" t="s">
        <v>249</v>
      </c>
      <c r="J47" t="s">
        <v>287</v>
      </c>
      <c r="K47">
        <v>6.9126430957336601E-2</v>
      </c>
      <c r="L47" t="s">
        <v>251</v>
      </c>
      <c r="N47" t="s">
        <v>419</v>
      </c>
      <c r="O47" t="s">
        <v>287</v>
      </c>
      <c r="P47">
        <v>2.6125279419162487E-2</v>
      </c>
      <c r="Q47" t="s">
        <v>251</v>
      </c>
      <c r="S47" t="s">
        <v>420</v>
      </c>
      <c r="T47" t="s">
        <v>287</v>
      </c>
      <c r="U47">
        <v>2.5254302203101108E-2</v>
      </c>
      <c r="V47" t="s">
        <v>251</v>
      </c>
      <c r="X47">
        <v>2.4771689497716895E-2</v>
      </c>
      <c r="Y47">
        <v>3.4650821669194247E-2</v>
      </c>
      <c r="Z47" t="s">
        <v>287</v>
      </c>
      <c r="AA47" t="s">
        <v>25</v>
      </c>
      <c r="AC47" t="s">
        <v>22</v>
      </c>
      <c r="AD47" t="s">
        <v>287</v>
      </c>
      <c r="AE47">
        <v>3.9399790668033244E-2</v>
      </c>
      <c r="AG47" t="s">
        <v>97</v>
      </c>
      <c r="AH47" t="s">
        <v>287</v>
      </c>
      <c r="AI47">
        <v>0.10001642084856233</v>
      </c>
      <c r="AK47">
        <v>2025</v>
      </c>
      <c r="AL47" t="s">
        <v>151</v>
      </c>
      <c r="AM47">
        <v>0.25790000000000002</v>
      </c>
      <c r="AN47" t="s">
        <v>430</v>
      </c>
    </row>
    <row r="48" spans="9:40" x14ac:dyDescent="0.45">
      <c r="I48" t="s">
        <v>249</v>
      </c>
      <c r="J48" t="s">
        <v>288</v>
      </c>
      <c r="K48">
        <v>6.5701923297423002E-3</v>
      </c>
      <c r="L48" t="s">
        <v>251</v>
      </c>
      <c r="N48" t="s">
        <v>419</v>
      </c>
      <c r="O48" t="s">
        <v>288</v>
      </c>
      <c r="P48">
        <v>4.8149886541700802E-3</v>
      </c>
      <c r="Q48" t="s">
        <v>251</v>
      </c>
      <c r="S48" t="s">
        <v>420</v>
      </c>
      <c r="T48" t="s">
        <v>288</v>
      </c>
      <c r="U48">
        <v>4.2979088187685942E-3</v>
      </c>
      <c r="V48" t="s">
        <v>251</v>
      </c>
      <c r="X48">
        <v>3.5388127853881279E-3</v>
      </c>
      <c r="Y48">
        <v>6.8849497385409693E-3</v>
      </c>
      <c r="Z48" t="s">
        <v>288</v>
      </c>
      <c r="AA48" t="s">
        <v>25</v>
      </c>
      <c r="AC48" t="s">
        <v>22</v>
      </c>
      <c r="AD48" t="s">
        <v>288</v>
      </c>
      <c r="AE48">
        <v>3.3592112224946164E-3</v>
      </c>
      <c r="AG48" t="s">
        <v>97</v>
      </c>
      <c r="AH48" t="s">
        <v>288</v>
      </c>
      <c r="AI48">
        <v>6.6396748992021193E-2</v>
      </c>
      <c r="AK48">
        <v>2025</v>
      </c>
      <c r="AL48" t="s">
        <v>156</v>
      </c>
      <c r="AM48">
        <v>0.2477</v>
      </c>
      <c r="AN48" t="s">
        <v>430</v>
      </c>
    </row>
    <row r="49" spans="9:40" x14ac:dyDescent="0.45">
      <c r="I49" t="s">
        <v>249</v>
      </c>
      <c r="J49" t="s">
        <v>289</v>
      </c>
      <c r="K49">
        <v>4.1435965591736E-3</v>
      </c>
      <c r="L49" t="s">
        <v>251</v>
      </c>
      <c r="N49" t="s">
        <v>419</v>
      </c>
      <c r="O49" t="s">
        <v>289</v>
      </c>
      <c r="P49">
        <v>5.3617249337066892E-3</v>
      </c>
      <c r="Q49" t="s">
        <v>251</v>
      </c>
      <c r="S49" t="s">
        <v>420</v>
      </c>
      <c r="T49" t="s">
        <v>289</v>
      </c>
      <c r="U49">
        <v>4.4146090696289371E-3</v>
      </c>
      <c r="V49" t="s">
        <v>251</v>
      </c>
      <c r="X49">
        <v>3.5388127853881279E-3</v>
      </c>
      <c r="Y49">
        <v>5.3435430806586613E-3</v>
      </c>
      <c r="Z49" t="s">
        <v>289</v>
      </c>
      <c r="AA49" t="s">
        <v>25</v>
      </c>
      <c r="AC49" t="s">
        <v>22</v>
      </c>
      <c r="AD49" t="s">
        <v>289</v>
      </c>
      <c r="AE49">
        <v>4.2578200946471779E-3</v>
      </c>
      <c r="AG49" t="s">
        <v>97</v>
      </c>
      <c r="AH49" t="s">
        <v>289</v>
      </c>
      <c r="AI49">
        <v>1.1548995400689321E-2</v>
      </c>
      <c r="AK49">
        <v>2025</v>
      </c>
      <c r="AL49" t="s">
        <v>159</v>
      </c>
      <c r="AM49">
        <v>0.27110000000000001</v>
      </c>
      <c r="AN49" t="s">
        <v>430</v>
      </c>
    </row>
    <row r="50" spans="9:40" x14ac:dyDescent="0.45">
      <c r="I50" t="s">
        <v>249</v>
      </c>
      <c r="J50" t="s">
        <v>290</v>
      </c>
      <c r="K50">
        <v>1.3839106225692888E-3</v>
      </c>
      <c r="L50" t="s">
        <v>251</v>
      </c>
      <c r="N50" t="s">
        <v>419</v>
      </c>
      <c r="O50" t="s">
        <v>290</v>
      </c>
      <c r="P50">
        <v>3.2494265535174399E-2</v>
      </c>
      <c r="Q50" t="s">
        <v>251</v>
      </c>
      <c r="S50" t="s">
        <v>420</v>
      </c>
      <c r="T50" t="s">
        <v>290</v>
      </c>
      <c r="U50">
        <v>2.2685903009714705E-2</v>
      </c>
      <c r="V50" t="s">
        <v>251</v>
      </c>
      <c r="X50">
        <v>1.7694063926940638E-2</v>
      </c>
      <c r="Y50">
        <v>1.3358857701646654E-2</v>
      </c>
      <c r="Z50" t="s">
        <v>290</v>
      </c>
      <c r="AA50" t="s">
        <v>25</v>
      </c>
      <c r="AC50" t="s">
        <v>22</v>
      </c>
      <c r="AD50" t="s">
        <v>290</v>
      </c>
      <c r="AE50">
        <v>1.8839022245917787E-2</v>
      </c>
      <c r="AG50" t="s">
        <v>97</v>
      </c>
      <c r="AH50" t="s">
        <v>290</v>
      </c>
      <c r="AI50">
        <v>5.7926789216266483E-2</v>
      </c>
      <c r="AK50">
        <v>2025</v>
      </c>
      <c r="AL50" t="s">
        <v>163</v>
      </c>
      <c r="AM50">
        <v>0.32169999999999999</v>
      </c>
      <c r="AN50" t="s">
        <v>430</v>
      </c>
    </row>
    <row r="51" spans="9:40" x14ac:dyDescent="0.45">
      <c r="I51" t="s">
        <v>249</v>
      </c>
      <c r="J51" t="s">
        <v>291</v>
      </c>
      <c r="K51">
        <v>1.0436857710503405E-3</v>
      </c>
      <c r="L51" t="s">
        <v>251</v>
      </c>
      <c r="N51" t="s">
        <v>419</v>
      </c>
      <c r="O51" t="s">
        <v>291</v>
      </c>
      <c r="P51">
        <v>3.944773700764715E-2</v>
      </c>
      <c r="Q51" t="s">
        <v>251</v>
      </c>
      <c r="S51" t="s">
        <v>420</v>
      </c>
      <c r="T51" t="s">
        <v>291</v>
      </c>
      <c r="U51">
        <v>3.9975692726160098E-2</v>
      </c>
      <c r="V51" t="s">
        <v>251</v>
      </c>
      <c r="X51">
        <v>2.3972602739726026E-2</v>
      </c>
      <c r="Y51">
        <v>9.4672202471222967E-3</v>
      </c>
      <c r="Z51" t="s">
        <v>291</v>
      </c>
      <c r="AA51" t="s">
        <v>25</v>
      </c>
      <c r="AC51" t="s">
        <v>22</v>
      </c>
      <c r="AD51" t="s">
        <v>291</v>
      </c>
      <c r="AE51">
        <v>3.1367388069247076E-2</v>
      </c>
      <c r="AG51" t="s">
        <v>97</v>
      </c>
      <c r="AH51" t="s">
        <v>291</v>
      </c>
      <c r="AI51">
        <v>0.12654517842613111</v>
      </c>
      <c r="AK51">
        <v>2025</v>
      </c>
      <c r="AL51" t="s">
        <v>167</v>
      </c>
      <c r="AM51">
        <v>0.3911</v>
      </c>
      <c r="AN51" t="s">
        <v>430</v>
      </c>
    </row>
    <row r="52" spans="9:40" x14ac:dyDescent="0.45">
      <c r="I52" t="s">
        <v>249</v>
      </c>
      <c r="J52" t="s">
        <v>292</v>
      </c>
      <c r="K52">
        <v>3.1266623424225292E-3</v>
      </c>
      <c r="L52" t="s">
        <v>251</v>
      </c>
      <c r="N52" t="s">
        <v>419</v>
      </c>
      <c r="O52" t="s">
        <v>292</v>
      </c>
      <c r="P52">
        <v>5.278470963195548E-3</v>
      </c>
      <c r="Q52" t="s">
        <v>251</v>
      </c>
      <c r="S52" t="s">
        <v>420</v>
      </c>
      <c r="T52" t="s">
        <v>292</v>
      </c>
      <c r="U52">
        <v>5.1765481631041842E-3</v>
      </c>
      <c r="V52" t="s">
        <v>251</v>
      </c>
      <c r="X52">
        <v>3.4246575342465752E-3</v>
      </c>
      <c r="Y52">
        <v>5.7181214727892006E-3</v>
      </c>
      <c r="Z52" t="s">
        <v>292</v>
      </c>
      <c r="AA52" t="s">
        <v>25</v>
      </c>
      <c r="AC52" t="s">
        <v>22</v>
      </c>
      <c r="AD52" t="s">
        <v>292</v>
      </c>
      <c r="AE52">
        <v>5.0324410226670127E-3</v>
      </c>
      <c r="AG52" t="s">
        <v>97</v>
      </c>
      <c r="AH52" t="s">
        <v>292</v>
      </c>
      <c r="AI52">
        <v>5.4623288193452524E-2</v>
      </c>
      <c r="AK52">
        <v>2025</v>
      </c>
      <c r="AL52" t="s">
        <v>169</v>
      </c>
      <c r="AM52">
        <v>0.5091</v>
      </c>
      <c r="AN52" t="s">
        <v>430</v>
      </c>
    </row>
    <row r="53" spans="9:40" x14ac:dyDescent="0.45">
      <c r="I53" t="s">
        <v>249</v>
      </c>
      <c r="J53" t="s">
        <v>293</v>
      </c>
      <c r="K53">
        <v>5.0750441322154997E-3</v>
      </c>
      <c r="L53" t="s">
        <v>251</v>
      </c>
      <c r="N53" t="s">
        <v>419</v>
      </c>
      <c r="O53" t="s">
        <v>293</v>
      </c>
      <c r="P53">
        <v>6.1018272305427643E-3</v>
      </c>
      <c r="Q53" t="s">
        <v>251</v>
      </c>
      <c r="S53" t="s">
        <v>420</v>
      </c>
      <c r="T53" t="s">
        <v>293</v>
      </c>
      <c r="U53">
        <v>5.1174221310656444E-3</v>
      </c>
      <c r="V53" t="s">
        <v>251</v>
      </c>
      <c r="X53">
        <v>3.4246575342465752E-3</v>
      </c>
      <c r="Y53">
        <v>4.3756059965691279E-3</v>
      </c>
      <c r="Z53" t="s">
        <v>293</v>
      </c>
      <c r="AA53" t="s">
        <v>25</v>
      </c>
      <c r="AC53" t="s">
        <v>22</v>
      </c>
      <c r="AD53" t="s">
        <v>293</v>
      </c>
      <c r="AE53">
        <v>5.0825125368809503E-3</v>
      </c>
      <c r="AG53" t="s">
        <v>97</v>
      </c>
      <c r="AH53" t="s">
        <v>293</v>
      </c>
      <c r="AI53">
        <v>4.8634603784541763E-2</v>
      </c>
      <c r="AK53">
        <v>2025</v>
      </c>
      <c r="AL53" t="s">
        <v>171</v>
      </c>
      <c r="AM53">
        <v>0.5171</v>
      </c>
      <c r="AN53" t="s">
        <v>430</v>
      </c>
    </row>
    <row r="54" spans="9:40" x14ac:dyDescent="0.45">
      <c r="I54" t="s">
        <v>249</v>
      </c>
      <c r="J54" t="s">
        <v>294</v>
      </c>
      <c r="K54">
        <v>6.5019753804751003E-3</v>
      </c>
      <c r="L54" t="s">
        <v>251</v>
      </c>
      <c r="N54" t="s">
        <v>419</v>
      </c>
      <c r="O54" t="s">
        <v>294</v>
      </c>
      <c r="P54">
        <v>6.3253143755274271E-3</v>
      </c>
      <c r="Q54" t="s">
        <v>251</v>
      </c>
      <c r="S54" t="s">
        <v>420</v>
      </c>
      <c r="T54" t="s">
        <v>294</v>
      </c>
      <c r="U54">
        <v>5.1175180867328723E-3</v>
      </c>
      <c r="V54" t="s">
        <v>251</v>
      </c>
      <c r="X54">
        <v>3.4246575342465752E-3</v>
      </c>
      <c r="Y54">
        <v>4.3358277602366805E-3</v>
      </c>
      <c r="Z54" t="s">
        <v>294</v>
      </c>
      <c r="AA54" t="s">
        <v>25</v>
      </c>
      <c r="AC54" t="s">
        <v>22</v>
      </c>
      <c r="AD54" t="s">
        <v>294</v>
      </c>
      <c r="AE54">
        <v>5.0888608855968742E-3</v>
      </c>
      <c r="AG54" t="s">
        <v>97</v>
      </c>
      <c r="AH54" t="s">
        <v>294</v>
      </c>
      <c r="AI54">
        <v>4.7880179351180274E-2</v>
      </c>
      <c r="AK54">
        <v>2025</v>
      </c>
      <c r="AL54" t="s">
        <v>158</v>
      </c>
      <c r="AM54">
        <v>0.64580000000000004</v>
      </c>
      <c r="AN54" t="s">
        <v>430</v>
      </c>
    </row>
    <row r="55" spans="9:40" x14ac:dyDescent="0.45">
      <c r="I55" t="s">
        <v>249</v>
      </c>
      <c r="J55" t="s">
        <v>295</v>
      </c>
      <c r="K55">
        <v>5.2408395071258398E-2</v>
      </c>
      <c r="L55" t="s">
        <v>251</v>
      </c>
      <c r="N55" t="s">
        <v>419</v>
      </c>
      <c r="O55" t="s">
        <v>295</v>
      </c>
      <c r="P55">
        <v>4.4149492272705773E-2</v>
      </c>
      <c r="Q55" t="s">
        <v>251</v>
      </c>
      <c r="S55" t="s">
        <v>420</v>
      </c>
      <c r="T55" t="s">
        <v>295</v>
      </c>
      <c r="U55">
        <v>3.8365477548783382E-2</v>
      </c>
      <c r="V55" t="s">
        <v>251</v>
      </c>
      <c r="X55">
        <v>2.3972602739726026E-2</v>
      </c>
      <c r="Y55">
        <v>3.3533053228252493E-2</v>
      </c>
      <c r="Z55" t="s">
        <v>295</v>
      </c>
      <c r="AA55" t="s">
        <v>25</v>
      </c>
      <c r="AC55" t="s">
        <v>22</v>
      </c>
      <c r="AD55" t="s">
        <v>295</v>
      </c>
      <c r="AE55">
        <v>3.6083706461427875E-2</v>
      </c>
      <c r="AG55" t="s">
        <v>97</v>
      </c>
      <c r="AH55" t="s">
        <v>295</v>
      </c>
      <c r="AI55">
        <v>0.12780921466955442</v>
      </c>
      <c r="AK55">
        <v>2025</v>
      </c>
      <c r="AL55" t="s">
        <v>162</v>
      </c>
      <c r="AM55">
        <v>0.55469999999999997</v>
      </c>
      <c r="AN55" t="s">
        <v>430</v>
      </c>
    </row>
    <row r="56" spans="9:40" x14ac:dyDescent="0.45">
      <c r="I56" t="s">
        <v>249</v>
      </c>
      <c r="J56" t="s">
        <v>296</v>
      </c>
      <c r="K56">
        <v>4.2724821694190831E-3</v>
      </c>
      <c r="L56" t="s">
        <v>251</v>
      </c>
      <c r="N56" t="s">
        <v>419</v>
      </c>
      <c r="O56" t="s">
        <v>296</v>
      </c>
      <c r="P56">
        <v>6.3009483613797098E-3</v>
      </c>
      <c r="Q56" t="s">
        <v>251</v>
      </c>
      <c r="S56" t="s">
        <v>420</v>
      </c>
      <c r="T56" t="s">
        <v>296</v>
      </c>
      <c r="U56">
        <v>5.8747546722316092E-3</v>
      </c>
      <c r="V56" t="s">
        <v>251</v>
      </c>
      <c r="X56">
        <v>3.4246575342465752E-3</v>
      </c>
      <c r="Y56">
        <v>6.662854585684809E-3</v>
      </c>
      <c r="Z56" t="s">
        <v>296</v>
      </c>
      <c r="AA56" t="s">
        <v>25</v>
      </c>
      <c r="AC56" t="s">
        <v>22</v>
      </c>
      <c r="AD56" t="s">
        <v>296</v>
      </c>
      <c r="AE56">
        <v>3.1423811851982193E-3</v>
      </c>
      <c r="AG56" t="s">
        <v>97</v>
      </c>
      <c r="AH56" t="s">
        <v>296</v>
      </c>
      <c r="AI56">
        <v>8.9423036891613572E-2</v>
      </c>
      <c r="AK56">
        <v>2025</v>
      </c>
      <c r="AL56" t="s">
        <v>175</v>
      </c>
      <c r="AM56">
        <v>0.41589999999999999</v>
      </c>
      <c r="AN56" t="s">
        <v>430</v>
      </c>
    </row>
    <row r="57" spans="9:40" x14ac:dyDescent="0.45">
      <c r="I57" t="s">
        <v>249</v>
      </c>
      <c r="J57" t="s">
        <v>297</v>
      </c>
      <c r="K57">
        <v>2.380249128749159E-3</v>
      </c>
      <c r="L57" t="s">
        <v>251</v>
      </c>
      <c r="N57" t="s">
        <v>419</v>
      </c>
      <c r="O57" t="s">
        <v>297</v>
      </c>
      <c r="P57">
        <v>6.4942321030568998E-3</v>
      </c>
      <c r="Q57" t="s">
        <v>251</v>
      </c>
      <c r="S57" t="s">
        <v>420</v>
      </c>
      <c r="T57" t="s">
        <v>297</v>
      </c>
      <c r="U57">
        <v>6.0119750941272799E-3</v>
      </c>
      <c r="V57" t="s">
        <v>251</v>
      </c>
      <c r="X57">
        <v>3.4246575342465752E-3</v>
      </c>
      <c r="Y57">
        <v>5.1711707232180593E-3</v>
      </c>
      <c r="Z57" t="s">
        <v>297</v>
      </c>
      <c r="AA57" t="s">
        <v>25</v>
      </c>
      <c r="AC57" t="s">
        <v>22</v>
      </c>
      <c r="AD57" t="s">
        <v>297</v>
      </c>
      <c r="AE57">
        <v>3.8905794267177396E-3</v>
      </c>
      <c r="AG57" t="s">
        <v>97</v>
      </c>
      <c r="AH57" t="s">
        <v>297</v>
      </c>
      <c r="AI57">
        <v>1.6280183193151831E-2</v>
      </c>
      <c r="AK57">
        <v>2025</v>
      </c>
      <c r="AL57" t="s">
        <v>166</v>
      </c>
      <c r="AM57">
        <v>0.29980000000000001</v>
      </c>
      <c r="AN57" t="s">
        <v>430</v>
      </c>
    </row>
    <row r="58" spans="9:40" x14ac:dyDescent="0.45">
      <c r="I58" t="s">
        <v>249</v>
      </c>
      <c r="J58" t="s">
        <v>298</v>
      </c>
      <c r="K58">
        <v>6.5942701400987245E-4</v>
      </c>
      <c r="L58" t="s">
        <v>251</v>
      </c>
      <c r="N58" t="s">
        <v>419</v>
      </c>
      <c r="O58" t="s">
        <v>298</v>
      </c>
      <c r="P58">
        <v>3.4052871775288797E-2</v>
      </c>
      <c r="Q58" t="s">
        <v>251</v>
      </c>
      <c r="S58" t="s">
        <v>420</v>
      </c>
      <c r="T58" t="s">
        <v>298</v>
      </c>
      <c r="U58">
        <v>3.0989048617552705E-2</v>
      </c>
      <c r="V58" t="s">
        <v>251</v>
      </c>
      <c r="X58">
        <v>1.7123287671232876E-2</v>
      </c>
      <c r="Y58">
        <v>1.2927926808045149E-2</v>
      </c>
      <c r="Z58" t="s">
        <v>298</v>
      </c>
      <c r="AA58" t="s">
        <v>25</v>
      </c>
      <c r="AC58" t="s">
        <v>22</v>
      </c>
      <c r="AD58" t="s">
        <v>298</v>
      </c>
      <c r="AE58">
        <v>1.7665221966811109E-2</v>
      </c>
      <c r="AG58" t="s">
        <v>97</v>
      </c>
      <c r="AH58" t="s">
        <v>298</v>
      </c>
      <c r="AI58">
        <v>5.6224292849093915E-2</v>
      </c>
      <c r="AK58">
        <v>2025</v>
      </c>
      <c r="AL58" t="s">
        <v>178</v>
      </c>
      <c r="AM58">
        <v>0.2606</v>
      </c>
      <c r="AN58" t="s">
        <v>430</v>
      </c>
    </row>
    <row r="59" spans="9:40" x14ac:dyDescent="0.45">
      <c r="I59" t="s">
        <v>249</v>
      </c>
      <c r="J59" t="s">
        <v>299</v>
      </c>
      <c r="K59">
        <v>3.9949852694818087E-4</v>
      </c>
      <c r="L59" t="s">
        <v>251</v>
      </c>
      <c r="N59" t="s">
        <v>419</v>
      </c>
      <c r="O59" t="s">
        <v>299</v>
      </c>
      <c r="P59">
        <v>5.21461902063994E-2</v>
      </c>
      <c r="Q59" t="s">
        <v>251</v>
      </c>
      <c r="S59" t="s">
        <v>420</v>
      </c>
      <c r="T59" t="s">
        <v>299</v>
      </c>
      <c r="U59">
        <v>5.8266126603190097E-2</v>
      </c>
      <c r="V59" t="s">
        <v>251</v>
      </c>
      <c r="X59">
        <v>2.4771689497716895E-2</v>
      </c>
      <c r="Y59">
        <v>9.7827942553597048E-3</v>
      </c>
      <c r="Z59" t="s">
        <v>299</v>
      </c>
      <c r="AA59" t="s">
        <v>25</v>
      </c>
      <c r="AC59" t="s">
        <v>22</v>
      </c>
      <c r="AD59" t="s">
        <v>299</v>
      </c>
      <c r="AE59">
        <v>3.1290129919684682E-2</v>
      </c>
      <c r="AG59" t="s">
        <v>97</v>
      </c>
      <c r="AH59" t="s">
        <v>299</v>
      </c>
      <c r="AI59">
        <v>9.0557243741560711E-2</v>
      </c>
      <c r="AK59">
        <v>2026</v>
      </c>
      <c r="AL59" t="s">
        <v>151</v>
      </c>
      <c r="AM59">
        <v>0.25369999999999998</v>
      </c>
      <c r="AN59" t="s">
        <v>430</v>
      </c>
    </row>
    <row r="60" spans="9:40" x14ac:dyDescent="0.45">
      <c r="I60" t="s">
        <v>249</v>
      </c>
      <c r="J60" t="s">
        <v>300</v>
      </c>
      <c r="K60">
        <v>1.5950621698403843E-3</v>
      </c>
      <c r="L60" t="s">
        <v>251</v>
      </c>
      <c r="N60" t="s">
        <v>419</v>
      </c>
      <c r="O60" t="s">
        <v>300</v>
      </c>
      <c r="P60">
        <v>6.9797535869503E-3</v>
      </c>
      <c r="Q60" t="s">
        <v>251</v>
      </c>
      <c r="S60" t="s">
        <v>420</v>
      </c>
      <c r="T60" t="s">
        <v>300</v>
      </c>
      <c r="U60">
        <v>7.9219619050836E-3</v>
      </c>
      <c r="V60" t="s">
        <v>251</v>
      </c>
      <c r="X60">
        <v>3.5388127853881279E-3</v>
      </c>
      <c r="Y60">
        <v>5.9087255218821738E-3</v>
      </c>
      <c r="Z60" t="s">
        <v>300</v>
      </c>
      <c r="AA60" t="s">
        <v>25</v>
      </c>
      <c r="AC60" t="s">
        <v>22</v>
      </c>
      <c r="AD60" t="s">
        <v>300</v>
      </c>
      <c r="AE60">
        <v>4.878510750396468E-3</v>
      </c>
      <c r="AG60" t="s">
        <v>97</v>
      </c>
      <c r="AH60" t="s">
        <v>300</v>
      </c>
      <c r="AI60">
        <v>3.8525592846895274E-2</v>
      </c>
      <c r="AK60">
        <v>2026</v>
      </c>
      <c r="AL60" t="s">
        <v>156</v>
      </c>
      <c r="AM60">
        <v>0.23649999999999999</v>
      </c>
      <c r="AN60" t="s">
        <v>430</v>
      </c>
    </row>
    <row r="61" spans="9:40" x14ac:dyDescent="0.45">
      <c r="I61" t="s">
        <v>249</v>
      </c>
      <c r="J61" t="s">
        <v>301</v>
      </c>
      <c r="K61">
        <v>3.0283477756202618E-3</v>
      </c>
      <c r="L61" t="s">
        <v>251</v>
      </c>
      <c r="N61" t="s">
        <v>419</v>
      </c>
      <c r="O61" t="s">
        <v>301</v>
      </c>
      <c r="P61">
        <v>7.7421033792447001E-3</v>
      </c>
      <c r="Q61" t="s">
        <v>251</v>
      </c>
      <c r="S61" t="s">
        <v>420</v>
      </c>
      <c r="T61" t="s">
        <v>301</v>
      </c>
      <c r="U61">
        <v>7.8743154094812005E-3</v>
      </c>
      <c r="V61" t="s">
        <v>251</v>
      </c>
      <c r="X61">
        <v>3.5388127853881279E-3</v>
      </c>
      <c r="Y61">
        <v>4.521459529788099E-3</v>
      </c>
      <c r="Z61" t="s">
        <v>301</v>
      </c>
      <c r="AA61" t="s">
        <v>25</v>
      </c>
      <c r="AC61" t="s">
        <v>22</v>
      </c>
      <c r="AD61" t="s">
        <v>301</v>
      </c>
      <c r="AE61">
        <v>4.9283984321186322E-3</v>
      </c>
      <c r="AG61" t="s">
        <v>97</v>
      </c>
      <c r="AH61" t="s">
        <v>301</v>
      </c>
      <c r="AI61">
        <v>6.5790488331782804E-2</v>
      </c>
      <c r="AK61">
        <v>2026</v>
      </c>
      <c r="AL61" t="s">
        <v>159</v>
      </c>
      <c r="AM61">
        <v>0.28460000000000002</v>
      </c>
      <c r="AN61" t="s">
        <v>430</v>
      </c>
    </row>
    <row r="62" spans="9:40" x14ac:dyDescent="0.45">
      <c r="I62" t="s">
        <v>249</v>
      </c>
      <c r="J62" t="s">
        <v>302</v>
      </c>
      <c r="K62">
        <v>4.2983747799500358E-3</v>
      </c>
      <c r="L62" t="s">
        <v>251</v>
      </c>
      <c r="N62" t="s">
        <v>419</v>
      </c>
      <c r="O62" t="s">
        <v>302</v>
      </c>
      <c r="P62">
        <v>8.1553262393319007E-3</v>
      </c>
      <c r="Q62" t="s">
        <v>251</v>
      </c>
      <c r="S62" t="s">
        <v>420</v>
      </c>
      <c r="T62" t="s">
        <v>302</v>
      </c>
      <c r="U62">
        <v>7.8451054959140995E-3</v>
      </c>
      <c r="V62" t="s">
        <v>251</v>
      </c>
      <c r="X62">
        <v>3.5388127853881279E-3</v>
      </c>
      <c r="Y62">
        <v>4.4803553522445696E-3</v>
      </c>
      <c r="Z62" t="s">
        <v>302</v>
      </c>
      <c r="AA62" t="s">
        <v>25</v>
      </c>
      <c r="AC62" t="s">
        <v>22</v>
      </c>
      <c r="AD62" t="s">
        <v>302</v>
      </c>
      <c r="AE62">
        <v>4.937018504778355E-3</v>
      </c>
      <c r="AG62" t="s">
        <v>97</v>
      </c>
      <c r="AH62" t="s">
        <v>302</v>
      </c>
      <c r="AI62">
        <v>5.5477041993539533E-2</v>
      </c>
      <c r="AK62">
        <v>2026</v>
      </c>
      <c r="AL62" t="s">
        <v>163</v>
      </c>
      <c r="AM62">
        <v>0.32490000000000002</v>
      </c>
      <c r="AN62" t="s">
        <v>430</v>
      </c>
    </row>
    <row r="63" spans="9:40" x14ac:dyDescent="0.45">
      <c r="I63" t="s">
        <v>249</v>
      </c>
      <c r="J63" t="s">
        <v>303</v>
      </c>
      <c r="K63">
        <v>3.8843648177558546E-2</v>
      </c>
      <c r="L63" t="s">
        <v>251</v>
      </c>
      <c r="N63" t="s">
        <v>419</v>
      </c>
      <c r="O63" t="s">
        <v>303</v>
      </c>
      <c r="P63">
        <v>5.84657992409887E-2</v>
      </c>
      <c r="Q63" t="s">
        <v>251</v>
      </c>
      <c r="S63" t="s">
        <v>420</v>
      </c>
      <c r="T63" t="s">
        <v>303</v>
      </c>
      <c r="U63">
        <v>5.5983631985480599E-2</v>
      </c>
      <c r="V63" t="s">
        <v>251</v>
      </c>
      <c r="X63">
        <v>2.4771689497716895E-2</v>
      </c>
      <c r="Y63">
        <v>3.4650821669194247E-2</v>
      </c>
      <c r="Z63" t="s">
        <v>303</v>
      </c>
      <c r="AA63" t="s">
        <v>25</v>
      </c>
      <c r="AC63" t="s">
        <v>22</v>
      </c>
      <c r="AD63" t="s">
        <v>303</v>
      </c>
      <c r="AE63">
        <v>3.5605578723758191E-2</v>
      </c>
      <c r="AG63" t="s">
        <v>97</v>
      </c>
      <c r="AH63" t="s">
        <v>303</v>
      </c>
      <c r="AI63">
        <v>0.11764578777160528</v>
      </c>
      <c r="AK63">
        <v>2026</v>
      </c>
      <c r="AL63" t="s">
        <v>167</v>
      </c>
      <c r="AM63">
        <v>0.35970000000000002</v>
      </c>
      <c r="AN63" t="s">
        <v>430</v>
      </c>
    </row>
    <row r="64" spans="9:40" x14ac:dyDescent="0.45">
      <c r="I64" t="s">
        <v>249</v>
      </c>
      <c r="J64" t="s">
        <v>304</v>
      </c>
      <c r="K64">
        <v>2.7779154947420817E-3</v>
      </c>
      <c r="L64" t="s">
        <v>251</v>
      </c>
      <c r="N64" t="s">
        <v>419</v>
      </c>
      <c r="O64" t="s">
        <v>304</v>
      </c>
      <c r="P64">
        <v>8.3100494361197999E-3</v>
      </c>
      <c r="Q64" t="s">
        <v>251</v>
      </c>
      <c r="S64" t="s">
        <v>420</v>
      </c>
      <c r="T64" t="s">
        <v>304</v>
      </c>
      <c r="U64">
        <v>8.3495263949457006E-3</v>
      </c>
      <c r="V64" t="s">
        <v>251</v>
      </c>
      <c r="X64">
        <v>3.5388127853881279E-3</v>
      </c>
      <c r="Y64">
        <v>6.8849497385409693E-3</v>
      </c>
      <c r="Z64" t="s">
        <v>304</v>
      </c>
      <c r="AA64" t="s">
        <v>25</v>
      </c>
      <c r="AC64" t="s">
        <v>22</v>
      </c>
      <c r="AD64" t="s">
        <v>304</v>
      </c>
      <c r="AE64">
        <v>3.0673261932617898E-3</v>
      </c>
      <c r="AG64" t="s">
        <v>97</v>
      </c>
      <c r="AH64" t="s">
        <v>304</v>
      </c>
      <c r="AI64">
        <v>4.169317729613109E-2</v>
      </c>
      <c r="AK64">
        <v>2026</v>
      </c>
      <c r="AL64" t="s">
        <v>169</v>
      </c>
      <c r="AM64">
        <v>0.48099999999999998</v>
      </c>
      <c r="AN64" t="s">
        <v>430</v>
      </c>
    </row>
    <row r="65" spans="9:40" x14ac:dyDescent="0.45">
      <c r="I65" t="s">
        <v>249</v>
      </c>
      <c r="J65" t="s">
        <v>305</v>
      </c>
      <c r="K65">
        <v>1.4128730063523956E-3</v>
      </c>
      <c r="L65" t="s">
        <v>251</v>
      </c>
      <c r="N65" t="s">
        <v>419</v>
      </c>
      <c r="O65" t="s">
        <v>305</v>
      </c>
      <c r="P65">
        <v>8.4304595037270995E-3</v>
      </c>
      <c r="Q65" t="s">
        <v>251</v>
      </c>
      <c r="S65" t="s">
        <v>420</v>
      </c>
      <c r="T65" t="s">
        <v>305</v>
      </c>
      <c r="U65">
        <v>8.4649161656644E-3</v>
      </c>
      <c r="V65" t="s">
        <v>251</v>
      </c>
      <c r="X65">
        <v>3.5388127853881279E-3</v>
      </c>
      <c r="Y65">
        <v>5.3435430806586613E-3</v>
      </c>
      <c r="Z65" t="s">
        <v>305</v>
      </c>
      <c r="AA65" t="s">
        <v>25</v>
      </c>
      <c r="AC65" t="s">
        <v>22</v>
      </c>
      <c r="AD65" t="s">
        <v>305</v>
      </c>
      <c r="AE65">
        <v>3.7456547182714863E-3</v>
      </c>
      <c r="AG65" t="s">
        <v>97</v>
      </c>
      <c r="AH65" t="s">
        <v>305</v>
      </c>
      <c r="AI65">
        <v>1.8929036410713973E-2</v>
      </c>
      <c r="AK65">
        <v>2026</v>
      </c>
      <c r="AL65" t="s">
        <v>171</v>
      </c>
      <c r="AM65">
        <v>0.54049999999999998</v>
      </c>
      <c r="AN65" t="s">
        <v>430</v>
      </c>
    </row>
    <row r="66" spans="9:40" x14ac:dyDescent="0.45">
      <c r="I66" t="s">
        <v>249</v>
      </c>
      <c r="J66" t="s">
        <v>306</v>
      </c>
      <c r="K66">
        <v>3.1655616640138384E-4</v>
      </c>
      <c r="L66" t="s">
        <v>251</v>
      </c>
      <c r="N66" t="s">
        <v>419</v>
      </c>
      <c r="O66" t="s">
        <v>306</v>
      </c>
      <c r="P66">
        <v>4.2188424357887597E-2</v>
      </c>
      <c r="Q66" t="s">
        <v>251</v>
      </c>
      <c r="S66" t="s">
        <v>420</v>
      </c>
      <c r="T66" t="s">
        <v>306</v>
      </c>
      <c r="U66">
        <v>4.2296696757634797E-2</v>
      </c>
      <c r="V66" t="s">
        <v>251</v>
      </c>
      <c r="X66">
        <v>1.7694063926940638E-2</v>
      </c>
      <c r="Y66">
        <v>1.3358857701646654E-2</v>
      </c>
      <c r="Z66" t="s">
        <v>306</v>
      </c>
      <c r="AA66" t="s">
        <v>25</v>
      </c>
      <c r="AC66" t="s">
        <v>22</v>
      </c>
      <c r="AD66" t="s">
        <v>306</v>
      </c>
      <c r="AE66">
        <v>1.7309067814546067E-2</v>
      </c>
      <c r="AG66" t="s">
        <v>97</v>
      </c>
      <c r="AH66" t="s">
        <v>306</v>
      </c>
      <c r="AI66">
        <v>7.3955067275157216E-2</v>
      </c>
      <c r="AK66">
        <v>2026</v>
      </c>
      <c r="AL66" t="s">
        <v>158</v>
      </c>
      <c r="AM66">
        <v>0.66590000000000005</v>
      </c>
      <c r="AN66" t="s">
        <v>430</v>
      </c>
    </row>
    <row r="67" spans="9:40" x14ac:dyDescent="0.45">
      <c r="I67" t="s">
        <v>249</v>
      </c>
      <c r="J67" t="s">
        <v>307</v>
      </c>
      <c r="K67">
        <v>2.9265094728030523E-4</v>
      </c>
      <c r="L67" t="s">
        <v>251</v>
      </c>
      <c r="N67" t="s">
        <v>419</v>
      </c>
      <c r="O67" t="s">
        <v>307</v>
      </c>
      <c r="P67">
        <v>3.4380791921025153E-2</v>
      </c>
      <c r="Q67" t="s">
        <v>251</v>
      </c>
      <c r="S67" t="s">
        <v>420</v>
      </c>
      <c r="T67" t="s">
        <v>307</v>
      </c>
      <c r="U67">
        <v>3.9571025385561329E-2</v>
      </c>
      <c r="V67" t="s">
        <v>251</v>
      </c>
      <c r="X67">
        <v>2.4771689497716895E-2</v>
      </c>
      <c r="Y67">
        <v>9.7827942553597048E-3</v>
      </c>
      <c r="Z67" t="s">
        <v>307</v>
      </c>
      <c r="AA67" t="s">
        <v>25</v>
      </c>
      <c r="AC67" t="s">
        <v>22</v>
      </c>
      <c r="AD67" t="s">
        <v>307</v>
      </c>
      <c r="AE67">
        <v>2.7867658588525919E-2</v>
      </c>
      <c r="AG67" t="s">
        <v>97</v>
      </c>
      <c r="AH67" t="s">
        <v>307</v>
      </c>
      <c r="AI67">
        <v>0.12775358316000784</v>
      </c>
      <c r="AK67">
        <v>2026</v>
      </c>
      <c r="AL67" t="s">
        <v>162</v>
      </c>
      <c r="AM67">
        <v>0.62690000000000001</v>
      </c>
      <c r="AN67" t="s">
        <v>430</v>
      </c>
    </row>
    <row r="68" spans="9:40" x14ac:dyDescent="0.45">
      <c r="I68" t="s">
        <v>249</v>
      </c>
      <c r="J68" t="s">
        <v>308</v>
      </c>
      <c r="K68">
        <v>1.5657403140266696E-3</v>
      </c>
      <c r="L68" t="s">
        <v>251</v>
      </c>
      <c r="N68" t="s">
        <v>419</v>
      </c>
      <c r="O68" t="s">
        <v>308</v>
      </c>
      <c r="P68">
        <v>4.6046608837676355E-3</v>
      </c>
      <c r="Q68" t="s">
        <v>251</v>
      </c>
      <c r="S68" t="s">
        <v>420</v>
      </c>
      <c r="T68" t="s">
        <v>308</v>
      </c>
      <c r="U68">
        <v>5.2072790586172139E-3</v>
      </c>
      <c r="V68" t="s">
        <v>251</v>
      </c>
      <c r="X68">
        <v>3.5388127853881279E-3</v>
      </c>
      <c r="Y68">
        <v>5.9087255218821738E-3</v>
      </c>
      <c r="Z68" t="s">
        <v>308</v>
      </c>
      <c r="AA68" t="s">
        <v>25</v>
      </c>
      <c r="AC68" t="s">
        <v>22</v>
      </c>
      <c r="AD68" t="s">
        <v>308</v>
      </c>
      <c r="AE68">
        <v>4.6167324071120178E-3</v>
      </c>
      <c r="AG68" t="s">
        <v>97</v>
      </c>
      <c r="AH68" t="s">
        <v>308</v>
      </c>
      <c r="AI68">
        <v>4.2486498981736176E-2</v>
      </c>
      <c r="AK68">
        <v>2026</v>
      </c>
      <c r="AL68" t="s">
        <v>175</v>
      </c>
      <c r="AM68">
        <v>0.42980000000000002</v>
      </c>
      <c r="AN68" t="s">
        <v>430</v>
      </c>
    </row>
    <row r="69" spans="9:40" x14ac:dyDescent="0.45">
      <c r="I69" t="s">
        <v>249</v>
      </c>
      <c r="J69" t="s">
        <v>309</v>
      </c>
      <c r="K69">
        <v>3.2378214071182676E-3</v>
      </c>
      <c r="L69" t="s">
        <v>251</v>
      </c>
      <c r="N69" t="s">
        <v>419</v>
      </c>
      <c r="O69" t="s">
        <v>309</v>
      </c>
      <c r="P69">
        <v>5.3973161121403023E-3</v>
      </c>
      <c r="Q69" t="s">
        <v>251</v>
      </c>
      <c r="S69" t="s">
        <v>420</v>
      </c>
      <c r="T69" t="s">
        <v>309</v>
      </c>
      <c r="U69">
        <v>5.1383838360571678E-3</v>
      </c>
      <c r="V69" t="s">
        <v>251</v>
      </c>
      <c r="X69">
        <v>3.5388127853881279E-3</v>
      </c>
      <c r="Y69">
        <v>4.521459529788099E-3</v>
      </c>
      <c r="Z69" t="s">
        <v>309</v>
      </c>
      <c r="AA69" t="s">
        <v>25</v>
      </c>
      <c r="AC69" t="s">
        <v>22</v>
      </c>
      <c r="AD69" t="s">
        <v>309</v>
      </c>
      <c r="AE69">
        <v>4.6557895697279189E-3</v>
      </c>
      <c r="AG69" t="s">
        <v>97</v>
      </c>
      <c r="AH69" t="s">
        <v>309</v>
      </c>
      <c r="AI69">
        <v>3.982810663240377E-2</v>
      </c>
      <c r="AK69">
        <v>2026</v>
      </c>
      <c r="AL69" t="s">
        <v>166</v>
      </c>
      <c r="AM69">
        <v>0.27050000000000002</v>
      </c>
      <c r="AN69" t="s">
        <v>430</v>
      </c>
    </row>
    <row r="70" spans="9:40" x14ac:dyDescent="0.45">
      <c r="I70" t="s">
        <v>249</v>
      </c>
      <c r="J70" t="s">
        <v>310</v>
      </c>
      <c r="K70">
        <v>4.6837572514513183E-3</v>
      </c>
      <c r="L70" t="s">
        <v>251</v>
      </c>
      <c r="N70" t="s">
        <v>419</v>
      </c>
      <c r="O70" t="s">
        <v>310</v>
      </c>
      <c r="P70">
        <v>5.4359637364010697E-3</v>
      </c>
      <c r="Q70" t="s">
        <v>251</v>
      </c>
      <c r="S70" t="s">
        <v>420</v>
      </c>
      <c r="T70" t="s">
        <v>310</v>
      </c>
      <c r="U70">
        <v>5.0784438137611281E-3</v>
      </c>
      <c r="V70" t="s">
        <v>251</v>
      </c>
      <c r="X70">
        <v>3.5388127853881279E-3</v>
      </c>
      <c r="Y70">
        <v>4.4803553522445696E-3</v>
      </c>
      <c r="Z70" t="s">
        <v>310</v>
      </c>
      <c r="AA70" t="s">
        <v>25</v>
      </c>
      <c r="AC70" t="s">
        <v>22</v>
      </c>
      <c r="AD70" t="s">
        <v>310</v>
      </c>
      <c r="AE70">
        <v>4.6523468885183361E-3</v>
      </c>
      <c r="AG70" t="s">
        <v>97</v>
      </c>
      <c r="AH70" t="s">
        <v>310</v>
      </c>
      <c r="AI70">
        <v>4.0242423516440473E-2</v>
      </c>
      <c r="AK70">
        <v>2026</v>
      </c>
      <c r="AL70" t="s">
        <v>178</v>
      </c>
      <c r="AM70">
        <v>0.25530000000000003</v>
      </c>
      <c r="AN70" t="s">
        <v>430</v>
      </c>
    </row>
    <row r="71" spans="9:40" x14ac:dyDescent="0.45">
      <c r="I71" t="s">
        <v>249</v>
      </c>
      <c r="J71" t="s">
        <v>311</v>
      </c>
      <c r="K71">
        <v>4.1186799322347728E-2</v>
      </c>
      <c r="L71" t="s">
        <v>251</v>
      </c>
      <c r="N71" t="s">
        <v>419</v>
      </c>
      <c r="O71" t="s">
        <v>311</v>
      </c>
      <c r="P71">
        <v>3.8920355041065093E-2</v>
      </c>
      <c r="Q71" t="s">
        <v>251</v>
      </c>
      <c r="S71" t="s">
        <v>420</v>
      </c>
      <c r="T71" t="s">
        <v>311</v>
      </c>
      <c r="U71">
        <v>3.6417690817375399E-2</v>
      </c>
      <c r="V71" t="s">
        <v>251</v>
      </c>
      <c r="X71">
        <v>2.4771689497716895E-2</v>
      </c>
      <c r="Y71">
        <v>3.4650821669194247E-2</v>
      </c>
      <c r="Z71" t="s">
        <v>311</v>
      </c>
      <c r="AA71" t="s">
        <v>25</v>
      </c>
      <c r="AC71" t="s">
        <v>22</v>
      </c>
      <c r="AD71" t="s">
        <v>311</v>
      </c>
      <c r="AE71">
        <v>3.4066991572480936E-2</v>
      </c>
      <c r="AG71" t="s">
        <v>97</v>
      </c>
      <c r="AH71" t="s">
        <v>311</v>
      </c>
      <c r="AI71">
        <v>0.14944411949121883</v>
      </c>
      <c r="AK71">
        <v>2027</v>
      </c>
      <c r="AL71" t="s">
        <v>151</v>
      </c>
      <c r="AM71">
        <v>0.2225</v>
      </c>
      <c r="AN71" t="s">
        <v>430</v>
      </c>
    </row>
    <row r="72" spans="9:40" x14ac:dyDescent="0.45">
      <c r="I72" t="s">
        <v>249</v>
      </c>
      <c r="J72" t="s">
        <v>312</v>
      </c>
      <c r="K72">
        <v>3.0373466690530974E-3</v>
      </c>
      <c r="L72" t="s">
        <v>251</v>
      </c>
      <c r="N72" t="s">
        <v>419</v>
      </c>
      <c r="O72" t="s">
        <v>312</v>
      </c>
      <c r="P72">
        <v>5.3004420014127985E-3</v>
      </c>
      <c r="Q72" t="s">
        <v>251</v>
      </c>
      <c r="S72" t="s">
        <v>420</v>
      </c>
      <c r="T72" t="s">
        <v>312</v>
      </c>
      <c r="U72">
        <v>5.2902137229079811E-3</v>
      </c>
      <c r="V72" t="s">
        <v>251</v>
      </c>
      <c r="X72">
        <v>3.5388127853881279E-3</v>
      </c>
      <c r="Y72">
        <v>6.8849497385409693E-3</v>
      </c>
      <c r="Z72" t="s">
        <v>312</v>
      </c>
      <c r="AA72" t="s">
        <v>25</v>
      </c>
      <c r="AC72" t="s">
        <v>22</v>
      </c>
      <c r="AD72" t="s">
        <v>312</v>
      </c>
      <c r="AE72">
        <v>2.6800682476377721E-3</v>
      </c>
      <c r="AG72" t="s">
        <v>97</v>
      </c>
      <c r="AH72" t="s">
        <v>312</v>
      </c>
      <c r="AI72">
        <v>3.7143697841996781E-2</v>
      </c>
      <c r="AK72">
        <v>2027</v>
      </c>
      <c r="AL72" t="s">
        <v>156</v>
      </c>
      <c r="AM72">
        <v>0.28320000000000001</v>
      </c>
      <c r="AN72" t="s">
        <v>430</v>
      </c>
    </row>
    <row r="73" spans="9:40" x14ac:dyDescent="0.45">
      <c r="I73" t="s">
        <v>249</v>
      </c>
      <c r="J73" t="s">
        <v>313</v>
      </c>
      <c r="K73">
        <v>1.3841012654518725E-3</v>
      </c>
      <c r="L73" t="s">
        <v>251</v>
      </c>
      <c r="N73" t="s">
        <v>419</v>
      </c>
      <c r="O73" t="s">
        <v>313</v>
      </c>
      <c r="P73">
        <v>5.3786304431929447E-3</v>
      </c>
      <c r="Q73" t="s">
        <v>251</v>
      </c>
      <c r="S73" t="s">
        <v>420</v>
      </c>
      <c r="T73" t="s">
        <v>313</v>
      </c>
      <c r="U73">
        <v>5.334976031101309E-3</v>
      </c>
      <c r="V73" t="s">
        <v>251</v>
      </c>
      <c r="X73">
        <v>3.5388127853881279E-3</v>
      </c>
      <c r="Y73">
        <v>5.3435430806586613E-3</v>
      </c>
      <c r="Z73" t="s">
        <v>313</v>
      </c>
      <c r="AA73" t="s">
        <v>25</v>
      </c>
      <c r="AC73" t="s">
        <v>22</v>
      </c>
      <c r="AD73" t="s">
        <v>313</v>
      </c>
      <c r="AE73">
        <v>1.7413203865086287E-3</v>
      </c>
      <c r="AG73" t="s">
        <v>97</v>
      </c>
      <c r="AH73" t="s">
        <v>313</v>
      </c>
      <c r="AI73">
        <v>4.123341282076165E-2</v>
      </c>
      <c r="AK73">
        <v>2027</v>
      </c>
      <c r="AL73" t="s">
        <v>159</v>
      </c>
      <c r="AM73">
        <v>0.25340000000000001</v>
      </c>
      <c r="AN73" t="s">
        <v>430</v>
      </c>
    </row>
    <row r="74" spans="9:40" x14ac:dyDescent="0.45">
      <c r="I74" t="s">
        <v>249</v>
      </c>
      <c r="J74" t="s">
        <v>314</v>
      </c>
      <c r="K74">
        <v>1.8663862342043286E-4</v>
      </c>
      <c r="L74" t="s">
        <v>251</v>
      </c>
      <c r="N74" t="s">
        <v>419</v>
      </c>
      <c r="O74" t="s">
        <v>314</v>
      </c>
      <c r="P74">
        <v>2.6659009404087886E-2</v>
      </c>
      <c r="Q74" t="s">
        <v>251</v>
      </c>
      <c r="S74" t="s">
        <v>420</v>
      </c>
      <c r="T74" t="s">
        <v>314</v>
      </c>
      <c r="U74">
        <v>2.6876378134086457E-2</v>
      </c>
      <c r="V74" t="s">
        <v>251</v>
      </c>
      <c r="X74">
        <v>1.7694063926940638E-2</v>
      </c>
      <c r="Y74">
        <v>1.3358857701646654E-2</v>
      </c>
      <c r="Z74" t="s">
        <v>314</v>
      </c>
      <c r="AA74" t="s">
        <v>25</v>
      </c>
      <c r="AC74" t="s">
        <v>22</v>
      </c>
      <c r="AD74" t="s">
        <v>314</v>
      </c>
      <c r="AE74">
        <v>9.097681604861239E-3</v>
      </c>
      <c r="AG74" t="s">
        <v>97</v>
      </c>
      <c r="AH74" t="s">
        <v>314</v>
      </c>
      <c r="AI74">
        <v>0.17022533477813839</v>
      </c>
      <c r="AK74">
        <v>2027</v>
      </c>
      <c r="AL74" t="s">
        <v>163</v>
      </c>
      <c r="AM74">
        <v>0.29849999999999999</v>
      </c>
      <c r="AN74" t="s">
        <v>430</v>
      </c>
    </row>
    <row r="75" spans="9:40" x14ac:dyDescent="0.45">
      <c r="I75" t="s">
        <v>249</v>
      </c>
      <c r="J75" t="s">
        <v>339</v>
      </c>
      <c r="K75">
        <v>4.8036425087640667E-4</v>
      </c>
      <c r="L75" t="s">
        <v>251</v>
      </c>
      <c r="N75" t="s">
        <v>419</v>
      </c>
      <c r="O75" t="s">
        <v>339</v>
      </c>
      <c r="P75">
        <v>2.2218056232612447E-2</v>
      </c>
      <c r="Q75" t="s">
        <v>251</v>
      </c>
      <c r="S75" t="s">
        <v>420</v>
      </c>
      <c r="T75" t="s">
        <v>339</v>
      </c>
      <c r="U75">
        <v>2.1333212003720476E-2</v>
      </c>
      <c r="V75" t="s">
        <v>251</v>
      </c>
      <c r="X75">
        <v>2.3972602739726026E-2</v>
      </c>
      <c r="Y75">
        <v>9.4672202471222967E-3</v>
      </c>
      <c r="Z75" t="s">
        <v>339</v>
      </c>
      <c r="AA75" t="s">
        <v>25</v>
      </c>
      <c r="AC75" t="s">
        <v>22</v>
      </c>
      <c r="AD75" t="s">
        <v>339</v>
      </c>
      <c r="AE75">
        <v>2.479801325847876E-2</v>
      </c>
      <c r="AG75" t="s">
        <v>97</v>
      </c>
      <c r="AH75" t="s">
        <v>339</v>
      </c>
      <c r="AI75">
        <v>0.11873084055346217</v>
      </c>
      <c r="AK75">
        <v>2027</v>
      </c>
      <c r="AL75" t="s">
        <v>167</v>
      </c>
      <c r="AM75">
        <v>0.372</v>
      </c>
      <c r="AN75" t="s">
        <v>430</v>
      </c>
    </row>
    <row r="76" spans="9:40" x14ac:dyDescent="0.45">
      <c r="I76" t="s">
        <v>249</v>
      </c>
      <c r="J76" t="s">
        <v>340</v>
      </c>
      <c r="K76">
        <v>2.6737579325745247E-3</v>
      </c>
      <c r="L76" t="s">
        <v>251</v>
      </c>
      <c r="N76" t="s">
        <v>419</v>
      </c>
      <c r="O76" t="s">
        <v>340</v>
      </c>
      <c r="P76">
        <v>2.7657812640603397E-3</v>
      </c>
      <c r="Q76" t="s">
        <v>251</v>
      </c>
      <c r="S76" t="s">
        <v>420</v>
      </c>
      <c r="T76" t="s">
        <v>340</v>
      </c>
      <c r="U76">
        <v>2.8122559328442984E-3</v>
      </c>
      <c r="V76" t="s">
        <v>251</v>
      </c>
      <c r="X76">
        <v>3.4246575342465752E-3</v>
      </c>
      <c r="Y76">
        <v>5.7181214727892006E-3</v>
      </c>
      <c r="Z76" t="s">
        <v>340</v>
      </c>
      <c r="AA76" t="s">
        <v>25</v>
      </c>
      <c r="AC76" t="s">
        <v>22</v>
      </c>
      <c r="AD76" t="s">
        <v>340</v>
      </c>
      <c r="AE76">
        <v>4.0903914423662405E-3</v>
      </c>
      <c r="AG76" t="s">
        <v>97</v>
      </c>
      <c r="AH76" t="s">
        <v>340</v>
      </c>
      <c r="AI76">
        <v>5.9529546434148539E-2</v>
      </c>
      <c r="AK76">
        <v>2027</v>
      </c>
      <c r="AL76" t="s">
        <v>169</v>
      </c>
      <c r="AM76">
        <v>0.4733</v>
      </c>
      <c r="AN76" t="s">
        <v>430</v>
      </c>
    </row>
    <row r="77" spans="9:40" x14ac:dyDescent="0.45">
      <c r="I77" t="s">
        <v>249</v>
      </c>
      <c r="J77" t="s">
        <v>341</v>
      </c>
      <c r="K77">
        <v>5.0872602575584595E-3</v>
      </c>
      <c r="L77" t="s">
        <v>251</v>
      </c>
      <c r="N77" t="s">
        <v>419</v>
      </c>
      <c r="O77" t="s">
        <v>341</v>
      </c>
      <c r="P77">
        <v>2.9609691843650704E-3</v>
      </c>
      <c r="Q77" t="s">
        <v>251</v>
      </c>
      <c r="S77" t="s">
        <v>420</v>
      </c>
      <c r="T77" t="s">
        <v>341</v>
      </c>
      <c r="U77">
        <v>2.7468828959333635E-3</v>
      </c>
      <c r="V77" t="s">
        <v>251</v>
      </c>
      <c r="X77">
        <v>3.4246575342465752E-3</v>
      </c>
      <c r="Y77">
        <v>4.3756059965691279E-3</v>
      </c>
      <c r="Z77" t="s">
        <v>341</v>
      </c>
      <c r="AA77" t="s">
        <v>25</v>
      </c>
      <c r="AC77" t="s">
        <v>22</v>
      </c>
      <c r="AD77" t="s">
        <v>341</v>
      </c>
      <c r="AE77">
        <v>4.1577220422169573E-3</v>
      </c>
      <c r="AG77" t="s">
        <v>97</v>
      </c>
      <c r="AH77" t="s">
        <v>341</v>
      </c>
      <c r="AI77">
        <v>6.0284732903687965E-2</v>
      </c>
      <c r="AK77">
        <v>2027</v>
      </c>
      <c r="AL77" t="s">
        <v>171</v>
      </c>
      <c r="AM77">
        <v>0.56440000000000001</v>
      </c>
      <c r="AN77" t="s">
        <v>430</v>
      </c>
    </row>
    <row r="78" spans="9:40" x14ac:dyDescent="0.45">
      <c r="I78" t="s">
        <v>249</v>
      </c>
      <c r="J78" t="s">
        <v>342</v>
      </c>
      <c r="K78">
        <v>6.7634266830591001E-3</v>
      </c>
      <c r="L78" t="s">
        <v>251</v>
      </c>
      <c r="N78" t="s">
        <v>419</v>
      </c>
      <c r="O78" t="s">
        <v>342</v>
      </c>
      <c r="P78">
        <v>2.9475488100523055E-3</v>
      </c>
      <c r="Q78" t="s">
        <v>251</v>
      </c>
      <c r="S78" t="s">
        <v>420</v>
      </c>
      <c r="T78" t="s">
        <v>342</v>
      </c>
      <c r="U78">
        <v>2.7031950431327689E-3</v>
      </c>
      <c r="V78" t="s">
        <v>251</v>
      </c>
      <c r="X78">
        <v>3.4246575342465752E-3</v>
      </c>
      <c r="Y78">
        <v>4.3358277602366805E-3</v>
      </c>
      <c r="Z78" t="s">
        <v>342</v>
      </c>
      <c r="AA78" t="s">
        <v>25</v>
      </c>
      <c r="AC78" t="s">
        <v>22</v>
      </c>
      <c r="AD78" t="s">
        <v>342</v>
      </c>
      <c r="AE78">
        <v>4.1645427847299245E-3</v>
      </c>
      <c r="AG78" t="s">
        <v>97</v>
      </c>
      <c r="AH78" t="s">
        <v>342</v>
      </c>
      <c r="AI78">
        <v>5.7452323734495492E-2</v>
      </c>
      <c r="AK78">
        <v>2027</v>
      </c>
      <c r="AL78" t="s">
        <v>158</v>
      </c>
      <c r="AM78">
        <v>0.60829999999999995</v>
      </c>
      <c r="AN78" t="s">
        <v>430</v>
      </c>
    </row>
    <row r="79" spans="9:40" x14ac:dyDescent="0.45">
      <c r="I79" t="s">
        <v>249</v>
      </c>
      <c r="J79" t="s">
        <v>343</v>
      </c>
      <c r="K79">
        <v>5.2055495216302698E-2</v>
      </c>
      <c r="L79" t="s">
        <v>251</v>
      </c>
      <c r="N79" t="s">
        <v>419</v>
      </c>
      <c r="O79" t="s">
        <v>343</v>
      </c>
      <c r="P79">
        <v>2.1354717532064284E-2</v>
      </c>
      <c r="Q79" t="s">
        <v>251</v>
      </c>
      <c r="S79" t="s">
        <v>420</v>
      </c>
      <c r="T79" t="s">
        <v>343</v>
      </c>
      <c r="U79">
        <v>2.1485763777733306E-2</v>
      </c>
      <c r="V79" t="s">
        <v>251</v>
      </c>
      <c r="X79">
        <v>2.3972602739726026E-2</v>
      </c>
      <c r="Y79">
        <v>3.3533053228252493E-2</v>
      </c>
      <c r="Z79" t="s">
        <v>343</v>
      </c>
      <c r="AA79" t="s">
        <v>25</v>
      </c>
      <c r="AC79" t="s">
        <v>22</v>
      </c>
      <c r="AD79" t="s">
        <v>343</v>
      </c>
      <c r="AE79">
        <v>3.0052416038899462E-2</v>
      </c>
      <c r="AG79" t="s">
        <v>97</v>
      </c>
      <c r="AH79" t="s">
        <v>343</v>
      </c>
      <c r="AI79">
        <v>0.13831363842302236</v>
      </c>
      <c r="AK79">
        <v>2027</v>
      </c>
      <c r="AL79" t="s">
        <v>162</v>
      </c>
      <c r="AM79">
        <v>0.62219999999999998</v>
      </c>
      <c r="AN79" t="s">
        <v>430</v>
      </c>
    </row>
    <row r="80" spans="9:40" x14ac:dyDescent="0.45">
      <c r="I80" t="s">
        <v>249</v>
      </c>
      <c r="J80" t="s">
        <v>344</v>
      </c>
      <c r="K80">
        <v>3.8015886530664736E-3</v>
      </c>
      <c r="L80" t="s">
        <v>251</v>
      </c>
      <c r="N80" t="s">
        <v>419</v>
      </c>
      <c r="O80" t="s">
        <v>344</v>
      </c>
      <c r="P80">
        <v>3.2853587354604373E-3</v>
      </c>
      <c r="Q80" t="s">
        <v>251</v>
      </c>
      <c r="S80" t="s">
        <v>420</v>
      </c>
      <c r="T80" t="s">
        <v>344</v>
      </c>
      <c r="U80">
        <v>3.5179091356963214E-3</v>
      </c>
      <c r="V80" t="s">
        <v>251</v>
      </c>
      <c r="X80">
        <v>3.4246575342465752E-3</v>
      </c>
      <c r="Y80">
        <v>6.662854585684809E-3</v>
      </c>
      <c r="Z80" t="s">
        <v>344</v>
      </c>
      <c r="AA80" t="s">
        <v>25</v>
      </c>
      <c r="AC80" t="s">
        <v>22</v>
      </c>
      <c r="AD80" t="s">
        <v>344</v>
      </c>
      <c r="AE80">
        <v>2.0473205801080424E-3</v>
      </c>
      <c r="AG80" t="s">
        <v>97</v>
      </c>
      <c r="AH80" t="s">
        <v>344</v>
      </c>
      <c r="AI80">
        <v>6.0476550817863295E-2</v>
      </c>
      <c r="AK80">
        <v>2027</v>
      </c>
      <c r="AL80" t="s">
        <v>175</v>
      </c>
      <c r="AM80">
        <v>0.4289</v>
      </c>
      <c r="AN80" t="s">
        <v>430</v>
      </c>
    </row>
    <row r="81" spans="9:40" x14ac:dyDescent="0.45">
      <c r="I81" t="s">
        <v>249</v>
      </c>
      <c r="J81" t="s">
        <v>345</v>
      </c>
      <c r="K81">
        <v>1.460444015450549E-3</v>
      </c>
      <c r="L81" t="s">
        <v>251</v>
      </c>
      <c r="N81" t="s">
        <v>419</v>
      </c>
      <c r="O81" t="s">
        <v>345</v>
      </c>
      <c r="P81">
        <v>3.5280298980588662E-3</v>
      </c>
      <c r="Q81" t="s">
        <v>251</v>
      </c>
      <c r="S81" t="s">
        <v>420</v>
      </c>
      <c r="T81" t="s">
        <v>345</v>
      </c>
      <c r="U81">
        <v>3.4983633838829727E-3</v>
      </c>
      <c r="V81" t="s">
        <v>251</v>
      </c>
      <c r="X81">
        <v>3.4246575342465752E-3</v>
      </c>
      <c r="Y81">
        <v>5.1711707232180593E-3</v>
      </c>
      <c r="Z81" t="s">
        <v>345</v>
      </c>
      <c r="AA81" t="s">
        <v>25</v>
      </c>
      <c r="AC81" t="s">
        <v>22</v>
      </c>
      <c r="AD81" t="s">
        <v>345</v>
      </c>
      <c r="AE81">
        <v>1.7386513426476894E-3</v>
      </c>
      <c r="AG81" t="s">
        <v>97</v>
      </c>
      <c r="AH81" t="s">
        <v>345</v>
      </c>
      <c r="AI81">
        <v>4.5942355101804999E-2</v>
      </c>
      <c r="AK81">
        <v>2027</v>
      </c>
      <c r="AL81" t="s">
        <v>166</v>
      </c>
      <c r="AM81">
        <v>0.31840000000000002</v>
      </c>
      <c r="AN81" t="s">
        <v>430</v>
      </c>
    </row>
    <row r="82" spans="9:40" x14ac:dyDescent="0.45">
      <c r="I82" t="s">
        <v>249</v>
      </c>
      <c r="J82" t="s">
        <v>346</v>
      </c>
      <c r="K82">
        <v>0</v>
      </c>
      <c r="L82" t="s">
        <v>251</v>
      </c>
      <c r="N82" t="s">
        <v>419</v>
      </c>
      <c r="O82" t="s">
        <v>346</v>
      </c>
      <c r="P82">
        <v>1.8521877865411613E-2</v>
      </c>
      <c r="Q82" t="s">
        <v>251</v>
      </c>
      <c r="S82" t="s">
        <v>420</v>
      </c>
      <c r="T82" t="s">
        <v>346</v>
      </c>
      <c r="U82">
        <v>1.6294644862876205E-2</v>
      </c>
      <c r="V82" t="s">
        <v>251</v>
      </c>
      <c r="X82">
        <v>1.7123287671232876E-2</v>
      </c>
      <c r="Y82">
        <v>1.2927926808045149E-2</v>
      </c>
      <c r="Z82" t="s">
        <v>346</v>
      </c>
      <c r="AA82" t="s">
        <v>25</v>
      </c>
      <c r="AC82" t="s">
        <v>22</v>
      </c>
      <c r="AD82" t="s">
        <v>346</v>
      </c>
      <c r="AE82">
        <v>8.3144303120993128E-3</v>
      </c>
      <c r="AG82" t="s">
        <v>97</v>
      </c>
      <c r="AH82" t="s">
        <v>346</v>
      </c>
      <c r="AI82">
        <v>0.13771850336164992</v>
      </c>
      <c r="AK82">
        <v>2027</v>
      </c>
      <c r="AL82" t="s">
        <v>178</v>
      </c>
      <c r="AM82">
        <v>0.27489999999999998</v>
      </c>
      <c r="AN82" t="s">
        <v>430</v>
      </c>
    </row>
    <row r="83" spans="9:40" x14ac:dyDescent="0.45">
      <c r="I83" t="s">
        <v>249</v>
      </c>
      <c r="J83" t="s">
        <v>371</v>
      </c>
      <c r="K83">
        <v>6.3403489372097896E-4</v>
      </c>
      <c r="L83" t="s">
        <v>251</v>
      </c>
      <c r="N83" t="s">
        <v>419</v>
      </c>
      <c r="O83" t="s">
        <v>371</v>
      </c>
      <c r="P83">
        <v>1.2435653056473135E-2</v>
      </c>
      <c r="Q83" t="s">
        <v>251</v>
      </c>
      <c r="S83" t="s">
        <v>420</v>
      </c>
      <c r="T83" t="s">
        <v>371</v>
      </c>
      <c r="U83">
        <v>1.5488070688631525E-2</v>
      </c>
      <c r="V83" t="s">
        <v>251</v>
      </c>
      <c r="X83">
        <v>2.4771689497716895E-2</v>
      </c>
      <c r="Y83">
        <v>9.7827942553597048E-3</v>
      </c>
      <c r="Z83" t="s">
        <v>371</v>
      </c>
      <c r="AA83" t="s">
        <v>25</v>
      </c>
      <c r="AC83" t="s">
        <v>22</v>
      </c>
      <c r="AD83" t="s">
        <v>371</v>
      </c>
      <c r="AE83">
        <v>2.3934028632773042E-2</v>
      </c>
      <c r="AG83" t="s">
        <v>97</v>
      </c>
      <c r="AH83" t="s">
        <v>371</v>
      </c>
      <c r="AI83">
        <v>0.13679072694273109</v>
      </c>
      <c r="AK83">
        <v>2028</v>
      </c>
      <c r="AL83" t="s">
        <v>151</v>
      </c>
      <c r="AM83">
        <v>0.19570000000000001</v>
      </c>
      <c r="AN83" t="s">
        <v>430</v>
      </c>
    </row>
    <row r="84" spans="9:40" x14ac:dyDescent="0.45">
      <c r="I84" t="s">
        <v>249</v>
      </c>
      <c r="J84" t="s">
        <v>372</v>
      </c>
      <c r="K84">
        <v>3.8263330103221272E-3</v>
      </c>
      <c r="L84" t="s">
        <v>251</v>
      </c>
      <c r="N84" t="s">
        <v>419</v>
      </c>
      <c r="O84" t="s">
        <v>372</v>
      </c>
      <c r="P84">
        <v>1.3649581269337327E-3</v>
      </c>
      <c r="Q84" t="s">
        <v>251</v>
      </c>
      <c r="S84" t="s">
        <v>420</v>
      </c>
      <c r="T84" t="s">
        <v>372</v>
      </c>
      <c r="U84">
        <v>1.995264486450884E-3</v>
      </c>
      <c r="V84" t="s">
        <v>251</v>
      </c>
      <c r="X84">
        <v>3.5388127853881279E-3</v>
      </c>
      <c r="Y84">
        <v>5.9087255218821738E-3</v>
      </c>
      <c r="Z84" t="s">
        <v>372</v>
      </c>
      <c r="AA84" t="s">
        <v>25</v>
      </c>
      <c r="AC84" t="s">
        <v>22</v>
      </c>
      <c r="AD84" t="s">
        <v>372</v>
      </c>
      <c r="AE84">
        <v>3.9657988848695565E-3</v>
      </c>
      <c r="AG84" t="s">
        <v>97</v>
      </c>
      <c r="AH84" t="s">
        <v>372</v>
      </c>
      <c r="AI84">
        <v>5.6729088378576265E-2</v>
      </c>
      <c r="AK84">
        <v>2028</v>
      </c>
      <c r="AL84" t="s">
        <v>156</v>
      </c>
      <c r="AM84">
        <v>0.2102</v>
      </c>
      <c r="AN84" t="s">
        <v>430</v>
      </c>
    </row>
    <row r="85" spans="9:40" x14ac:dyDescent="0.45">
      <c r="I85" t="s">
        <v>249</v>
      </c>
      <c r="J85" t="s">
        <v>373</v>
      </c>
      <c r="K85">
        <v>6.7150870858792002E-3</v>
      </c>
      <c r="L85" t="s">
        <v>251</v>
      </c>
      <c r="N85" t="s">
        <v>419</v>
      </c>
      <c r="O85" t="s">
        <v>373</v>
      </c>
      <c r="P85">
        <v>1.3225329764351757E-3</v>
      </c>
      <c r="Q85" t="s">
        <v>251</v>
      </c>
      <c r="S85" t="s">
        <v>420</v>
      </c>
      <c r="T85" t="s">
        <v>373</v>
      </c>
      <c r="U85">
        <v>1.9162130597774412E-3</v>
      </c>
      <c r="V85" t="s">
        <v>251</v>
      </c>
      <c r="X85">
        <v>3.5388127853881279E-3</v>
      </c>
      <c r="Y85">
        <v>4.521459529788099E-3</v>
      </c>
      <c r="Z85" t="s">
        <v>373</v>
      </c>
      <c r="AA85" t="s">
        <v>25</v>
      </c>
      <c r="AC85" t="s">
        <v>22</v>
      </c>
      <c r="AD85" t="s">
        <v>373</v>
      </c>
      <c r="AE85">
        <v>4.0884697495620825E-3</v>
      </c>
      <c r="AG85" t="s">
        <v>97</v>
      </c>
      <c r="AH85" t="s">
        <v>373</v>
      </c>
      <c r="AI85">
        <v>5.4226425435626613E-2</v>
      </c>
      <c r="AK85">
        <v>2028</v>
      </c>
      <c r="AL85" t="s">
        <v>159</v>
      </c>
      <c r="AM85">
        <v>0.2223</v>
      </c>
      <c r="AN85" t="s">
        <v>430</v>
      </c>
    </row>
    <row r="86" spans="9:40" x14ac:dyDescent="0.45">
      <c r="I86" t="s">
        <v>249</v>
      </c>
      <c r="J86" t="s">
        <v>374</v>
      </c>
      <c r="K86">
        <v>8.6003159860488006E-3</v>
      </c>
      <c r="L86" t="s">
        <v>251</v>
      </c>
      <c r="N86" t="s">
        <v>419</v>
      </c>
      <c r="O86" t="s">
        <v>374</v>
      </c>
      <c r="P86">
        <v>1.2776880862943592E-3</v>
      </c>
      <c r="Q86" t="s">
        <v>251</v>
      </c>
      <c r="S86" t="s">
        <v>420</v>
      </c>
      <c r="T86" t="s">
        <v>374</v>
      </c>
      <c r="U86">
        <v>1.8593174914847584E-3</v>
      </c>
      <c r="V86" t="s">
        <v>251</v>
      </c>
      <c r="X86">
        <v>3.5388127853881279E-3</v>
      </c>
      <c r="Y86">
        <v>4.4803553522445696E-3</v>
      </c>
      <c r="Z86" t="s">
        <v>374</v>
      </c>
      <c r="AA86" t="s">
        <v>25</v>
      </c>
      <c r="AC86" t="s">
        <v>22</v>
      </c>
      <c r="AD86" t="s">
        <v>374</v>
      </c>
      <c r="AE86">
        <v>4.1133094186778258E-3</v>
      </c>
      <c r="AG86" t="s">
        <v>97</v>
      </c>
      <c r="AH86" t="s">
        <v>374</v>
      </c>
      <c r="AI86">
        <v>5.6011285725877658E-2</v>
      </c>
      <c r="AK86">
        <v>2028</v>
      </c>
      <c r="AL86" t="s">
        <v>163</v>
      </c>
      <c r="AM86">
        <v>0.25580000000000003</v>
      </c>
      <c r="AN86" t="s">
        <v>430</v>
      </c>
    </row>
    <row r="87" spans="9:40" x14ac:dyDescent="0.45">
      <c r="I87" t="s">
        <v>249</v>
      </c>
      <c r="J87" t="s">
        <v>375</v>
      </c>
      <c r="K87">
        <v>6.1191362657387602E-2</v>
      </c>
      <c r="L87" t="s">
        <v>251</v>
      </c>
      <c r="N87" t="s">
        <v>419</v>
      </c>
      <c r="O87" t="s">
        <v>375</v>
      </c>
      <c r="P87">
        <v>9.5770533182397716E-3</v>
      </c>
      <c r="Q87" t="s">
        <v>251</v>
      </c>
      <c r="S87" t="s">
        <v>420</v>
      </c>
      <c r="T87" t="s">
        <v>375</v>
      </c>
      <c r="U87">
        <v>1.3953211337061788E-2</v>
      </c>
      <c r="V87" t="s">
        <v>251</v>
      </c>
      <c r="X87">
        <v>2.4771689497716895E-2</v>
      </c>
      <c r="Y87">
        <v>3.4650821669194247E-2</v>
      </c>
      <c r="Z87" t="s">
        <v>375</v>
      </c>
      <c r="AA87" t="s">
        <v>25</v>
      </c>
      <c r="AC87" t="s">
        <v>22</v>
      </c>
      <c r="AD87" t="s">
        <v>375</v>
      </c>
      <c r="AE87">
        <v>3.0280118994388212E-2</v>
      </c>
      <c r="AG87" t="s">
        <v>97</v>
      </c>
      <c r="AH87" t="s">
        <v>375</v>
      </c>
      <c r="AI87">
        <v>0.17824252174205646</v>
      </c>
      <c r="AK87">
        <v>2028</v>
      </c>
      <c r="AL87" t="s">
        <v>167</v>
      </c>
      <c r="AM87">
        <v>0.30769999999999997</v>
      </c>
      <c r="AN87" t="s">
        <v>430</v>
      </c>
    </row>
    <row r="88" spans="9:40" x14ac:dyDescent="0.45">
      <c r="I88" t="s">
        <v>249</v>
      </c>
      <c r="J88" t="s">
        <v>376</v>
      </c>
      <c r="K88">
        <v>4.3842810569849856E-3</v>
      </c>
      <c r="L88" t="s">
        <v>251</v>
      </c>
      <c r="N88" t="s">
        <v>419</v>
      </c>
      <c r="O88" t="s">
        <v>376</v>
      </c>
      <c r="P88">
        <v>1.6358779065967408E-3</v>
      </c>
      <c r="Q88" t="s">
        <v>251</v>
      </c>
      <c r="S88" t="s">
        <v>420</v>
      </c>
      <c r="T88" t="s">
        <v>376</v>
      </c>
      <c r="U88">
        <v>2.2921375853948737E-3</v>
      </c>
      <c r="V88" t="s">
        <v>251</v>
      </c>
      <c r="X88">
        <v>3.5388127853881279E-3</v>
      </c>
      <c r="Y88">
        <v>6.8849497385409693E-3</v>
      </c>
      <c r="Z88" t="s">
        <v>376</v>
      </c>
      <c r="AA88" t="s">
        <v>25</v>
      </c>
      <c r="AC88" t="s">
        <v>22</v>
      </c>
      <c r="AD88" t="s">
        <v>376</v>
      </c>
      <c r="AE88">
        <v>1.7822153789899473E-3</v>
      </c>
      <c r="AG88" t="s">
        <v>97</v>
      </c>
      <c r="AH88" t="s">
        <v>376</v>
      </c>
      <c r="AI88">
        <v>7.3099190615680376E-2</v>
      </c>
      <c r="AK88">
        <v>2028</v>
      </c>
      <c r="AL88" t="s">
        <v>169</v>
      </c>
      <c r="AM88">
        <v>0.4143</v>
      </c>
      <c r="AN88" t="s">
        <v>430</v>
      </c>
    </row>
    <row r="89" spans="9:40" x14ac:dyDescent="0.45">
      <c r="I89" t="s">
        <v>249</v>
      </c>
      <c r="J89" t="s">
        <v>377</v>
      </c>
      <c r="K89">
        <v>1.0263553428467634E-3</v>
      </c>
      <c r="L89" t="s">
        <v>251</v>
      </c>
      <c r="N89" t="s">
        <v>419</v>
      </c>
      <c r="O89" t="s">
        <v>377</v>
      </c>
      <c r="P89">
        <v>1.8979731676521288E-3</v>
      </c>
      <c r="Q89" t="s">
        <v>251</v>
      </c>
      <c r="S89" t="s">
        <v>420</v>
      </c>
      <c r="T89" t="s">
        <v>377</v>
      </c>
      <c r="U89">
        <v>2.3093357354052341E-3</v>
      </c>
      <c r="V89" t="s">
        <v>251</v>
      </c>
      <c r="X89">
        <v>3.5388127853881279E-3</v>
      </c>
      <c r="Y89">
        <v>5.3435430806586613E-3</v>
      </c>
      <c r="Z89" t="s">
        <v>377</v>
      </c>
      <c r="AA89" t="s">
        <v>25</v>
      </c>
      <c r="AC89" t="s">
        <v>22</v>
      </c>
      <c r="AD89" t="s">
        <v>377</v>
      </c>
      <c r="AE89">
        <v>1.1503686209911866E-3</v>
      </c>
      <c r="AG89" t="s">
        <v>97</v>
      </c>
      <c r="AH89" t="s">
        <v>377</v>
      </c>
      <c r="AI89">
        <v>3.5983219578911374E-2</v>
      </c>
      <c r="AK89">
        <v>2028</v>
      </c>
      <c r="AL89" t="s">
        <v>171</v>
      </c>
      <c r="AM89">
        <v>0.498</v>
      </c>
      <c r="AN89" t="s">
        <v>430</v>
      </c>
    </row>
    <row r="90" spans="9:40" x14ac:dyDescent="0.45">
      <c r="I90" t="s">
        <v>249</v>
      </c>
      <c r="J90" t="s">
        <v>378</v>
      </c>
      <c r="K90">
        <v>0</v>
      </c>
      <c r="L90" t="s">
        <v>251</v>
      </c>
      <c r="N90" t="s">
        <v>419</v>
      </c>
      <c r="O90" t="s">
        <v>378</v>
      </c>
      <c r="P90">
        <v>1.0784711380233942E-2</v>
      </c>
      <c r="Q90" t="s">
        <v>251</v>
      </c>
      <c r="S90" t="s">
        <v>420</v>
      </c>
      <c r="T90" t="s">
        <v>378</v>
      </c>
      <c r="U90">
        <v>1.1047602570597012E-2</v>
      </c>
      <c r="V90" t="s">
        <v>251</v>
      </c>
      <c r="X90">
        <v>1.7694063926940638E-2</v>
      </c>
      <c r="Y90">
        <v>1.3358857701646654E-2</v>
      </c>
      <c r="Z90" t="s">
        <v>378</v>
      </c>
      <c r="AA90" t="s">
        <v>25</v>
      </c>
      <c r="AC90" t="s">
        <v>22</v>
      </c>
      <c r="AD90" t="s">
        <v>378</v>
      </c>
      <c r="AE90">
        <v>6.4498617610390784E-3</v>
      </c>
      <c r="AG90" t="s">
        <v>97</v>
      </c>
      <c r="AH90" t="s">
        <v>378</v>
      </c>
      <c r="AI90">
        <v>0.17538812015677752</v>
      </c>
      <c r="AK90">
        <v>2028</v>
      </c>
      <c r="AL90" t="s">
        <v>158</v>
      </c>
      <c r="AM90">
        <v>0.505</v>
      </c>
      <c r="AN90" t="s">
        <v>430</v>
      </c>
    </row>
    <row r="91" spans="9:40" x14ac:dyDescent="0.45">
      <c r="I91" t="s">
        <v>249</v>
      </c>
      <c r="J91" t="s">
        <v>379</v>
      </c>
      <c r="K91">
        <v>1.9482941716715063E-5</v>
      </c>
      <c r="L91" t="s">
        <v>251</v>
      </c>
      <c r="N91" t="s">
        <v>419</v>
      </c>
      <c r="O91" t="s">
        <v>379</v>
      </c>
      <c r="P91">
        <v>1.3153699780610236E-2</v>
      </c>
      <c r="Q91" t="s">
        <v>251</v>
      </c>
      <c r="S91" t="s">
        <v>420</v>
      </c>
      <c r="T91" t="s">
        <v>379</v>
      </c>
      <c r="U91">
        <v>1.3586976600322679E-2</v>
      </c>
      <c r="V91" t="s">
        <v>251</v>
      </c>
      <c r="X91">
        <v>2.3972602739726026E-2</v>
      </c>
      <c r="Y91">
        <v>9.4672202471222967E-3</v>
      </c>
      <c r="Z91" t="s">
        <v>379</v>
      </c>
      <c r="AA91" t="s">
        <v>25</v>
      </c>
      <c r="AC91" t="s">
        <v>22</v>
      </c>
      <c r="AD91" t="s">
        <v>379</v>
      </c>
      <c r="AE91">
        <v>1.9893003489543905E-2</v>
      </c>
      <c r="AG91" t="s">
        <v>97</v>
      </c>
      <c r="AH91" t="s">
        <v>379</v>
      </c>
      <c r="AI91">
        <v>0.12071448710066535</v>
      </c>
      <c r="AK91">
        <v>2028</v>
      </c>
      <c r="AL91" t="s">
        <v>162</v>
      </c>
      <c r="AM91">
        <v>0.48060000000000003</v>
      </c>
      <c r="AN91" t="s">
        <v>430</v>
      </c>
    </row>
    <row r="92" spans="9:40" x14ac:dyDescent="0.45">
      <c r="I92" t="s">
        <v>249</v>
      </c>
      <c r="J92" t="s">
        <v>380</v>
      </c>
      <c r="K92">
        <v>2.6033399125763301E-3</v>
      </c>
      <c r="L92" t="s">
        <v>251</v>
      </c>
      <c r="N92" t="s">
        <v>419</v>
      </c>
      <c r="O92" t="s">
        <v>380</v>
      </c>
      <c r="P92">
        <v>1.5945234636038359E-3</v>
      </c>
      <c r="Q92" t="s">
        <v>251</v>
      </c>
      <c r="S92" t="s">
        <v>420</v>
      </c>
      <c r="T92" t="s">
        <v>380</v>
      </c>
      <c r="U92">
        <v>2.1899527058046996E-3</v>
      </c>
      <c r="V92" t="s">
        <v>251</v>
      </c>
      <c r="X92">
        <v>3.4246575342465752E-3</v>
      </c>
      <c r="Y92">
        <v>5.7181214727892006E-3</v>
      </c>
      <c r="Z92" t="s">
        <v>380</v>
      </c>
      <c r="AA92" t="s">
        <v>25</v>
      </c>
      <c r="AC92" t="s">
        <v>22</v>
      </c>
      <c r="AD92" t="s">
        <v>380</v>
      </c>
      <c r="AE92">
        <v>3.4633448415919798E-3</v>
      </c>
      <c r="AG92" t="s">
        <v>97</v>
      </c>
      <c r="AH92" t="s">
        <v>380</v>
      </c>
      <c r="AI92">
        <v>2.4424973822853469E-2</v>
      </c>
      <c r="AK92">
        <v>2028</v>
      </c>
      <c r="AL92" t="s">
        <v>175</v>
      </c>
      <c r="AM92">
        <v>0.3402</v>
      </c>
      <c r="AN92" t="s">
        <v>430</v>
      </c>
    </row>
    <row r="93" spans="9:40" x14ac:dyDescent="0.45">
      <c r="I93" t="s">
        <v>249</v>
      </c>
      <c r="J93" t="s">
        <v>381</v>
      </c>
      <c r="K93">
        <v>6.8886166088816996E-3</v>
      </c>
      <c r="L93" t="s">
        <v>251</v>
      </c>
      <c r="N93" t="s">
        <v>419</v>
      </c>
      <c r="O93" t="s">
        <v>381</v>
      </c>
      <c r="P93">
        <v>1.2286945357890488E-3</v>
      </c>
      <c r="Q93" t="s">
        <v>251</v>
      </c>
      <c r="S93" t="s">
        <v>420</v>
      </c>
      <c r="T93" t="s">
        <v>381</v>
      </c>
      <c r="U93">
        <v>2.2081893103214167E-3</v>
      </c>
      <c r="V93" t="s">
        <v>251</v>
      </c>
      <c r="X93">
        <v>3.4246575342465752E-3</v>
      </c>
      <c r="Y93">
        <v>4.3756059965691279E-3</v>
      </c>
      <c r="Z93" t="s">
        <v>381</v>
      </c>
      <c r="AA93" t="s">
        <v>25</v>
      </c>
      <c r="AC93" t="s">
        <v>22</v>
      </c>
      <c r="AD93" t="s">
        <v>381</v>
      </c>
      <c r="AE93">
        <v>3.4988779910473927E-3</v>
      </c>
      <c r="AG93" t="s">
        <v>97</v>
      </c>
      <c r="AH93" t="s">
        <v>381</v>
      </c>
      <c r="AI93">
        <v>3.5086542729831249E-2</v>
      </c>
      <c r="AK93">
        <v>2028</v>
      </c>
      <c r="AL93" t="s">
        <v>166</v>
      </c>
      <c r="AM93">
        <v>0.2457</v>
      </c>
      <c r="AN93" t="s">
        <v>430</v>
      </c>
    </row>
    <row r="94" spans="9:40" x14ac:dyDescent="0.45">
      <c r="I94" t="s">
        <v>249</v>
      </c>
      <c r="J94" t="s">
        <v>382</v>
      </c>
      <c r="K94">
        <v>8.9099181820073009E-3</v>
      </c>
      <c r="L94" t="s">
        <v>251</v>
      </c>
      <c r="N94" t="s">
        <v>419</v>
      </c>
      <c r="O94" t="s">
        <v>382</v>
      </c>
      <c r="P94">
        <v>1.2278248675456694E-3</v>
      </c>
      <c r="Q94" t="s">
        <v>251</v>
      </c>
      <c r="S94" t="s">
        <v>420</v>
      </c>
      <c r="T94" t="s">
        <v>382</v>
      </c>
      <c r="U94">
        <v>2.1791779415469034E-3</v>
      </c>
      <c r="V94" t="s">
        <v>251</v>
      </c>
      <c r="X94">
        <v>3.4246575342465752E-3</v>
      </c>
      <c r="Y94">
        <v>4.3358277602366805E-3</v>
      </c>
      <c r="Z94" t="s">
        <v>382</v>
      </c>
      <c r="AA94" t="s">
        <v>25</v>
      </c>
      <c r="AC94" t="s">
        <v>22</v>
      </c>
      <c r="AD94" t="s">
        <v>382</v>
      </c>
      <c r="AE94">
        <v>3.5052252256270017E-3</v>
      </c>
      <c r="AG94" t="s">
        <v>97</v>
      </c>
      <c r="AH94" t="s">
        <v>382</v>
      </c>
      <c r="AI94">
        <v>4.0467275831858718E-2</v>
      </c>
      <c r="AK94">
        <v>2028</v>
      </c>
      <c r="AL94" t="s">
        <v>178</v>
      </c>
      <c r="AM94">
        <v>0.2225</v>
      </c>
      <c r="AN94" t="s">
        <v>430</v>
      </c>
    </row>
    <row r="95" spans="9:40" x14ac:dyDescent="0.45">
      <c r="I95" t="s">
        <v>249</v>
      </c>
      <c r="J95" t="s">
        <v>383</v>
      </c>
      <c r="K95">
        <v>6.2473075400478098E-2</v>
      </c>
      <c r="L95" t="s">
        <v>251</v>
      </c>
      <c r="N95" t="s">
        <v>419</v>
      </c>
      <c r="O95" t="s">
        <v>383</v>
      </c>
      <c r="P95">
        <v>7.0774065848758453E-3</v>
      </c>
      <c r="Q95" t="s">
        <v>251</v>
      </c>
      <c r="S95" t="s">
        <v>420</v>
      </c>
      <c r="T95" t="s">
        <v>383</v>
      </c>
      <c r="U95">
        <v>1.1090112327354915E-2</v>
      </c>
      <c r="V95" t="s">
        <v>251</v>
      </c>
      <c r="X95">
        <v>2.3972602739726026E-2</v>
      </c>
      <c r="Y95">
        <v>3.3533053228252493E-2</v>
      </c>
      <c r="Z95" t="s">
        <v>383</v>
      </c>
      <c r="AA95" t="s">
        <v>25</v>
      </c>
      <c r="AC95" t="s">
        <v>22</v>
      </c>
      <c r="AD95" t="s">
        <v>383</v>
      </c>
      <c r="AE95">
        <v>2.5131362707046166E-2</v>
      </c>
      <c r="AG95" t="s">
        <v>97</v>
      </c>
      <c r="AH95" t="s">
        <v>383</v>
      </c>
      <c r="AI95">
        <v>0.17804101251486038</v>
      </c>
      <c r="AK95">
        <v>2029</v>
      </c>
      <c r="AL95" t="s">
        <v>151</v>
      </c>
      <c r="AM95">
        <v>0.22040000000000001</v>
      </c>
      <c r="AN95" t="s">
        <v>430</v>
      </c>
    </row>
    <row r="96" spans="9:40" x14ac:dyDescent="0.45">
      <c r="I96" t="s">
        <v>249</v>
      </c>
      <c r="J96" t="s">
        <v>384</v>
      </c>
      <c r="K96">
        <v>3.770368738009022E-3</v>
      </c>
      <c r="L96" t="s">
        <v>251</v>
      </c>
      <c r="N96" t="s">
        <v>419</v>
      </c>
      <c r="O96" t="s">
        <v>384</v>
      </c>
      <c r="P96">
        <v>1.1287268352343767E-3</v>
      </c>
      <c r="Q96" t="s">
        <v>251</v>
      </c>
      <c r="S96" t="s">
        <v>420</v>
      </c>
      <c r="T96" t="s">
        <v>384</v>
      </c>
      <c r="U96">
        <v>1.3284374603490527E-3</v>
      </c>
      <c r="V96" t="s">
        <v>251</v>
      </c>
      <c r="X96">
        <v>3.4246575342465752E-3</v>
      </c>
      <c r="Y96">
        <v>6.662854585684809E-3</v>
      </c>
      <c r="Z96" t="s">
        <v>384</v>
      </c>
      <c r="AA96" t="s">
        <v>25</v>
      </c>
      <c r="AC96" t="s">
        <v>22</v>
      </c>
      <c r="AD96" t="s">
        <v>384</v>
      </c>
      <c r="AE96">
        <v>1.7141318886387327E-3</v>
      </c>
      <c r="AG96" t="s">
        <v>97</v>
      </c>
      <c r="AH96" t="s">
        <v>384</v>
      </c>
      <c r="AI96">
        <v>3.1627555184013056E-2</v>
      </c>
      <c r="AK96">
        <v>2029</v>
      </c>
      <c r="AL96" t="s">
        <v>156</v>
      </c>
      <c r="AM96">
        <v>0.2223</v>
      </c>
      <c r="AN96" t="s">
        <v>430</v>
      </c>
    </row>
    <row r="97" spans="9:40" x14ac:dyDescent="0.45">
      <c r="I97" t="s">
        <v>249</v>
      </c>
      <c r="J97" t="s">
        <v>385</v>
      </c>
      <c r="K97">
        <v>5.4434138824243538E-6</v>
      </c>
      <c r="L97" t="s">
        <v>251</v>
      </c>
      <c r="N97" t="s">
        <v>419</v>
      </c>
      <c r="O97" t="s">
        <v>385</v>
      </c>
      <c r="P97">
        <v>1.6062734813735286E-3</v>
      </c>
      <c r="Q97" t="s">
        <v>251</v>
      </c>
      <c r="S97" t="s">
        <v>420</v>
      </c>
      <c r="T97" t="s">
        <v>385</v>
      </c>
      <c r="U97">
        <v>1.3904729415381214E-3</v>
      </c>
      <c r="V97" t="s">
        <v>251</v>
      </c>
      <c r="X97">
        <v>3.4246575342465752E-3</v>
      </c>
      <c r="Y97">
        <v>5.1711707232180593E-3</v>
      </c>
      <c r="Z97" t="s">
        <v>385</v>
      </c>
      <c r="AA97" t="s">
        <v>25</v>
      </c>
      <c r="AC97" t="s">
        <v>22</v>
      </c>
      <c r="AD97" t="s">
        <v>385</v>
      </c>
      <c r="AE97">
        <v>9.7962972482451994E-4</v>
      </c>
      <c r="AG97" t="s">
        <v>97</v>
      </c>
      <c r="AH97" t="s">
        <v>385</v>
      </c>
      <c r="AI97">
        <v>2.5760892893481158E-2</v>
      </c>
      <c r="AK97">
        <v>2029</v>
      </c>
      <c r="AL97" t="s">
        <v>159</v>
      </c>
      <c r="AM97">
        <v>0.25280000000000002</v>
      </c>
      <c r="AN97" t="s">
        <v>430</v>
      </c>
    </row>
    <row r="98" spans="9:40" x14ac:dyDescent="0.45">
      <c r="I98" t="s">
        <v>249</v>
      </c>
      <c r="J98" t="s">
        <v>386</v>
      </c>
      <c r="K98">
        <v>0</v>
      </c>
      <c r="L98" t="s">
        <v>251</v>
      </c>
      <c r="N98" t="s">
        <v>419</v>
      </c>
      <c r="O98" t="s">
        <v>386</v>
      </c>
      <c r="P98">
        <v>1.14434305219419E-2</v>
      </c>
      <c r="Q98" t="s">
        <v>251</v>
      </c>
      <c r="S98" t="s">
        <v>420</v>
      </c>
      <c r="T98" t="s">
        <v>386</v>
      </c>
      <c r="U98">
        <v>8.037961113677607E-3</v>
      </c>
      <c r="V98" t="s">
        <v>251</v>
      </c>
      <c r="X98">
        <v>1.7123287671232876E-2</v>
      </c>
      <c r="Y98">
        <v>1.2927926808045149E-2</v>
      </c>
      <c r="Z98" t="s">
        <v>386</v>
      </c>
      <c r="AA98" t="s">
        <v>25</v>
      </c>
      <c r="AC98" t="s">
        <v>22</v>
      </c>
      <c r="AD98" t="s">
        <v>386</v>
      </c>
      <c r="AE98">
        <v>4.8136781512206767E-3</v>
      </c>
      <c r="AG98" t="s">
        <v>97</v>
      </c>
      <c r="AH98" t="s">
        <v>386</v>
      </c>
      <c r="AI98">
        <v>0.15741855227331314</v>
      </c>
      <c r="AK98">
        <v>2029</v>
      </c>
      <c r="AL98" t="s">
        <v>163</v>
      </c>
      <c r="AM98">
        <v>0.24229999999999999</v>
      </c>
      <c r="AN98" t="s">
        <v>430</v>
      </c>
    </row>
    <row r="99" spans="9:40" x14ac:dyDescent="0.45">
      <c r="I99" t="s">
        <v>249</v>
      </c>
      <c r="J99" t="s">
        <v>411</v>
      </c>
      <c r="K99">
        <v>0</v>
      </c>
      <c r="L99" t="s">
        <v>251</v>
      </c>
      <c r="N99" t="s">
        <v>419</v>
      </c>
      <c r="O99" t="s">
        <v>411</v>
      </c>
      <c r="P99">
        <v>1.7735101237087186E-2</v>
      </c>
      <c r="Q99" t="s">
        <v>251</v>
      </c>
      <c r="S99" t="s">
        <v>420</v>
      </c>
      <c r="T99" t="s">
        <v>411</v>
      </c>
      <c r="U99">
        <v>1.9042613608245312E-2</v>
      </c>
      <c r="V99" t="s">
        <v>251</v>
      </c>
      <c r="X99">
        <v>2.4771689497716895E-2</v>
      </c>
      <c r="Y99">
        <v>9.7827942553597048E-3</v>
      </c>
      <c r="Z99" t="s">
        <v>411</v>
      </c>
      <c r="AA99" t="s">
        <v>25</v>
      </c>
      <c r="AC99" t="s">
        <v>22</v>
      </c>
      <c r="AD99" t="s">
        <v>411</v>
      </c>
      <c r="AE99">
        <v>1.9478113082872076E-2</v>
      </c>
      <c r="AG99" t="s">
        <v>97</v>
      </c>
      <c r="AH99" t="s">
        <v>411</v>
      </c>
      <c r="AI99">
        <v>0.14355804807208594</v>
      </c>
      <c r="AK99">
        <v>2029</v>
      </c>
      <c r="AL99" t="s">
        <v>167</v>
      </c>
      <c r="AM99">
        <v>0.35560000000000003</v>
      </c>
      <c r="AN99" t="s">
        <v>430</v>
      </c>
    </row>
    <row r="100" spans="9:40" x14ac:dyDescent="0.45">
      <c r="I100" t="s">
        <v>249</v>
      </c>
      <c r="J100" t="s">
        <v>412</v>
      </c>
      <c r="K100">
        <v>1.6154898979569435E-3</v>
      </c>
      <c r="L100" t="s">
        <v>251</v>
      </c>
      <c r="N100" t="s">
        <v>419</v>
      </c>
      <c r="O100" t="s">
        <v>412</v>
      </c>
      <c r="P100">
        <v>2.1091163348133345E-3</v>
      </c>
      <c r="Q100" t="s">
        <v>251</v>
      </c>
      <c r="S100" t="s">
        <v>420</v>
      </c>
      <c r="T100" t="s">
        <v>412</v>
      </c>
      <c r="U100">
        <v>2.8319565126200888E-3</v>
      </c>
      <c r="V100" t="s">
        <v>251</v>
      </c>
      <c r="X100">
        <v>3.5388127853881279E-3</v>
      </c>
      <c r="Y100">
        <v>5.9087255218821738E-3</v>
      </c>
      <c r="Z100" t="s">
        <v>412</v>
      </c>
      <c r="AA100" t="s">
        <v>25</v>
      </c>
      <c r="AC100" t="s">
        <v>22</v>
      </c>
      <c r="AD100" t="s">
        <v>412</v>
      </c>
      <c r="AE100">
        <v>3.3359779761860673E-3</v>
      </c>
      <c r="AG100" t="s">
        <v>97</v>
      </c>
      <c r="AH100" t="s">
        <v>412</v>
      </c>
      <c r="AI100">
        <v>5.3950509689007609E-2</v>
      </c>
      <c r="AK100">
        <v>2029</v>
      </c>
      <c r="AL100" t="s">
        <v>169</v>
      </c>
      <c r="AM100">
        <v>0.43840000000000001</v>
      </c>
      <c r="AN100" t="s">
        <v>430</v>
      </c>
    </row>
    <row r="101" spans="9:40" x14ac:dyDescent="0.45">
      <c r="I101" t="s">
        <v>249</v>
      </c>
      <c r="J101" t="s">
        <v>413</v>
      </c>
      <c r="K101">
        <v>6.4351954201609003E-3</v>
      </c>
      <c r="L101" t="s">
        <v>251</v>
      </c>
      <c r="N101" t="s">
        <v>419</v>
      </c>
      <c r="O101" t="s">
        <v>413</v>
      </c>
      <c r="P101">
        <v>1.5760119165755596E-3</v>
      </c>
      <c r="Q101" t="s">
        <v>251</v>
      </c>
      <c r="S101" t="s">
        <v>420</v>
      </c>
      <c r="T101" t="s">
        <v>413</v>
      </c>
      <c r="U101">
        <v>2.813179783114835E-3</v>
      </c>
      <c r="V101" t="s">
        <v>251</v>
      </c>
      <c r="X101">
        <v>3.5388127853881279E-3</v>
      </c>
      <c r="Y101">
        <v>4.521459529788099E-3</v>
      </c>
      <c r="Z101" t="s">
        <v>413</v>
      </c>
      <c r="AA101" t="s">
        <v>25</v>
      </c>
      <c r="AC101" t="s">
        <v>22</v>
      </c>
      <c r="AD101" t="s">
        <v>413</v>
      </c>
      <c r="AE101">
        <v>3.4423111459733102E-3</v>
      </c>
      <c r="AG101" t="s">
        <v>97</v>
      </c>
      <c r="AH101" t="s">
        <v>413</v>
      </c>
      <c r="AI101">
        <v>4.4327068300555439E-2</v>
      </c>
      <c r="AK101">
        <v>2029</v>
      </c>
      <c r="AL101" t="s">
        <v>171</v>
      </c>
      <c r="AM101">
        <v>0.4728</v>
      </c>
      <c r="AN101" t="s">
        <v>430</v>
      </c>
    </row>
    <row r="102" spans="9:40" x14ac:dyDescent="0.45">
      <c r="I102" t="s">
        <v>249</v>
      </c>
      <c r="J102" t="s">
        <v>414</v>
      </c>
      <c r="K102">
        <v>8.9729054957335998E-3</v>
      </c>
      <c r="L102" t="s">
        <v>251</v>
      </c>
      <c r="N102" t="s">
        <v>419</v>
      </c>
      <c r="O102" t="s">
        <v>414</v>
      </c>
      <c r="P102">
        <v>1.5050852864421545E-3</v>
      </c>
      <c r="Q102" t="s">
        <v>251</v>
      </c>
      <c r="S102" t="s">
        <v>420</v>
      </c>
      <c r="T102" t="s">
        <v>414</v>
      </c>
      <c r="U102">
        <v>2.7724472396623155E-3</v>
      </c>
      <c r="V102" t="s">
        <v>251</v>
      </c>
      <c r="X102">
        <v>3.5388127853881279E-3</v>
      </c>
      <c r="Y102">
        <v>4.4803553522445696E-3</v>
      </c>
      <c r="Z102" t="s">
        <v>414</v>
      </c>
      <c r="AA102" t="s">
        <v>25</v>
      </c>
      <c r="AC102" t="s">
        <v>22</v>
      </c>
      <c r="AD102" t="s">
        <v>414</v>
      </c>
      <c r="AE102">
        <v>3.4828434250686571E-3</v>
      </c>
      <c r="AG102" t="s">
        <v>97</v>
      </c>
      <c r="AH102" t="s">
        <v>414</v>
      </c>
      <c r="AI102">
        <v>3.9833092462189912E-2</v>
      </c>
      <c r="AK102">
        <v>2029</v>
      </c>
      <c r="AL102" t="s">
        <v>158</v>
      </c>
      <c r="AM102">
        <v>0.59660000000000002</v>
      </c>
      <c r="AN102" t="s">
        <v>430</v>
      </c>
    </row>
    <row r="103" spans="9:40" x14ac:dyDescent="0.45">
      <c r="I103" t="s">
        <v>249</v>
      </c>
      <c r="J103" t="s">
        <v>415</v>
      </c>
      <c r="K103">
        <v>6.5275103843921906E-2</v>
      </c>
      <c r="L103" t="s">
        <v>251</v>
      </c>
      <c r="N103" t="s">
        <v>419</v>
      </c>
      <c r="O103" t="s">
        <v>415</v>
      </c>
      <c r="P103">
        <v>9.2336310891315606E-3</v>
      </c>
      <c r="Q103" t="s">
        <v>251</v>
      </c>
      <c r="S103" t="s">
        <v>420</v>
      </c>
      <c r="T103" t="s">
        <v>415</v>
      </c>
      <c r="U103">
        <v>1.5945517424689779E-2</v>
      </c>
      <c r="V103" t="s">
        <v>251</v>
      </c>
      <c r="X103">
        <v>2.4771689497716895E-2</v>
      </c>
      <c r="Y103">
        <v>3.4650821669194247E-2</v>
      </c>
      <c r="Z103" t="s">
        <v>415</v>
      </c>
      <c r="AA103" t="s">
        <v>25</v>
      </c>
      <c r="AC103" t="s">
        <v>22</v>
      </c>
      <c r="AD103" t="s">
        <v>415</v>
      </c>
      <c r="AE103">
        <v>2.521487226725368E-2</v>
      </c>
      <c r="AG103" t="s">
        <v>97</v>
      </c>
      <c r="AH103" t="s">
        <v>415</v>
      </c>
      <c r="AI103">
        <v>0.12757569100527655</v>
      </c>
      <c r="AK103">
        <v>2029</v>
      </c>
      <c r="AL103" t="s">
        <v>162</v>
      </c>
      <c r="AM103">
        <v>0.54600000000000004</v>
      </c>
      <c r="AN103" t="s">
        <v>430</v>
      </c>
    </row>
    <row r="104" spans="9:40" x14ac:dyDescent="0.45">
      <c r="I104" t="s">
        <v>249</v>
      </c>
      <c r="J104" t="s">
        <v>416</v>
      </c>
      <c r="K104">
        <v>4.4126755720041997E-3</v>
      </c>
      <c r="L104" t="s">
        <v>251</v>
      </c>
      <c r="N104" t="s">
        <v>419</v>
      </c>
      <c r="O104" t="s">
        <v>416</v>
      </c>
      <c r="P104">
        <v>1.415502718704622E-3</v>
      </c>
      <c r="Q104" t="s">
        <v>251</v>
      </c>
      <c r="S104" t="s">
        <v>420</v>
      </c>
      <c r="T104" t="s">
        <v>416</v>
      </c>
      <c r="U104">
        <v>2.1843778148423437E-3</v>
      </c>
      <c r="V104" t="s">
        <v>251</v>
      </c>
      <c r="X104">
        <v>3.5388127853881279E-3</v>
      </c>
      <c r="Y104">
        <v>6.8849497385409693E-3</v>
      </c>
      <c r="Z104" t="s">
        <v>416</v>
      </c>
      <c r="AA104" t="s">
        <v>25</v>
      </c>
      <c r="AC104" t="s">
        <v>22</v>
      </c>
      <c r="AD104" t="s">
        <v>416</v>
      </c>
      <c r="AE104">
        <v>1.784427289069619E-3</v>
      </c>
      <c r="AG104" t="s">
        <v>97</v>
      </c>
      <c r="AH104" t="s">
        <v>416</v>
      </c>
      <c r="AI104">
        <v>7.7669055708102785E-3</v>
      </c>
      <c r="AK104">
        <v>2029</v>
      </c>
      <c r="AL104" t="s">
        <v>175</v>
      </c>
      <c r="AM104">
        <v>0.34560000000000002</v>
      </c>
      <c r="AN104" t="s">
        <v>430</v>
      </c>
    </row>
    <row r="105" spans="9:40" x14ac:dyDescent="0.45">
      <c r="I105" t="s">
        <v>249</v>
      </c>
      <c r="J105" t="s">
        <v>417</v>
      </c>
      <c r="K105">
        <v>4.942434988509928E-5</v>
      </c>
      <c r="L105" t="s">
        <v>251</v>
      </c>
      <c r="N105" t="s">
        <v>419</v>
      </c>
      <c r="O105" t="s">
        <v>417</v>
      </c>
      <c r="P105">
        <v>1.9914673929772148E-3</v>
      </c>
      <c r="Q105" t="s">
        <v>251</v>
      </c>
      <c r="S105" t="s">
        <v>420</v>
      </c>
      <c r="T105" t="s">
        <v>417</v>
      </c>
      <c r="U105">
        <v>2.3204971359952224E-3</v>
      </c>
      <c r="V105" t="s">
        <v>251</v>
      </c>
      <c r="X105">
        <v>3.5388127853881279E-3</v>
      </c>
      <c r="Y105">
        <v>5.3435430806586613E-3</v>
      </c>
      <c r="Z105" t="s">
        <v>417</v>
      </c>
      <c r="AA105" t="s">
        <v>25</v>
      </c>
      <c r="AC105" t="s">
        <v>22</v>
      </c>
      <c r="AD105" t="s">
        <v>417</v>
      </c>
      <c r="AE105">
        <v>9.384691566973987E-4</v>
      </c>
      <c r="AG105" t="s">
        <v>97</v>
      </c>
      <c r="AH105" t="s">
        <v>417</v>
      </c>
      <c r="AI105">
        <v>1.8056274068608102E-2</v>
      </c>
      <c r="AK105">
        <v>2029</v>
      </c>
      <c r="AL105" t="s">
        <v>166</v>
      </c>
      <c r="AM105">
        <v>0.27289999999999998</v>
      </c>
      <c r="AN105" t="s">
        <v>430</v>
      </c>
    </row>
    <row r="106" spans="9:40" x14ac:dyDescent="0.45">
      <c r="I106" t="s">
        <v>249</v>
      </c>
      <c r="J106" t="s">
        <v>418</v>
      </c>
      <c r="K106">
        <v>0</v>
      </c>
      <c r="L106" t="s">
        <v>251</v>
      </c>
      <c r="N106" t="s">
        <v>419</v>
      </c>
      <c r="O106" t="s">
        <v>418</v>
      </c>
      <c r="P106">
        <v>1.5166151400172592E-2</v>
      </c>
      <c r="Q106" t="s">
        <v>251</v>
      </c>
      <c r="S106" t="s">
        <v>420</v>
      </c>
      <c r="T106" t="s">
        <v>418</v>
      </c>
      <c r="U106">
        <v>1.3111703027212691E-2</v>
      </c>
      <c r="V106" t="s">
        <v>251</v>
      </c>
      <c r="X106">
        <v>1.7694063926940638E-2</v>
      </c>
      <c r="Y106">
        <v>1.3358857701646654E-2</v>
      </c>
      <c r="Z106" t="s">
        <v>418</v>
      </c>
      <c r="AA106" t="s">
        <v>25</v>
      </c>
      <c r="AC106" t="s">
        <v>22</v>
      </c>
      <c r="AD106" t="s">
        <v>418</v>
      </c>
      <c r="AE106">
        <v>4.5197694108912835E-3</v>
      </c>
      <c r="AG106" t="s">
        <v>97</v>
      </c>
      <c r="AH106" t="s">
        <v>418</v>
      </c>
      <c r="AI106">
        <v>0.13031366973009884</v>
      </c>
      <c r="AK106">
        <v>2029</v>
      </c>
      <c r="AL106" t="s">
        <v>178</v>
      </c>
      <c r="AM106">
        <v>0.19420000000000001</v>
      </c>
      <c r="AN106" t="s">
        <v>430</v>
      </c>
    </row>
    <row r="107" spans="9:40" x14ac:dyDescent="0.45">
      <c r="AC107" t="s">
        <v>19</v>
      </c>
      <c r="AD107" t="s">
        <v>250</v>
      </c>
      <c r="AE107">
        <v>2.4807105468120417E-2</v>
      </c>
      <c r="AK107">
        <v>2030</v>
      </c>
      <c r="AL107" t="s">
        <v>151</v>
      </c>
      <c r="AM107">
        <v>0.22450000000000001</v>
      </c>
      <c r="AN107" t="s">
        <v>430</v>
      </c>
    </row>
    <row r="108" spans="9:40" x14ac:dyDescent="0.45">
      <c r="AC108" t="s">
        <v>19</v>
      </c>
      <c r="AD108" t="s">
        <v>252</v>
      </c>
      <c r="AE108">
        <v>3.5619570919209883E-3</v>
      </c>
      <c r="AK108">
        <v>2030</v>
      </c>
      <c r="AL108" t="s">
        <v>156</v>
      </c>
      <c r="AM108">
        <v>0.28449999999999998</v>
      </c>
      <c r="AN108" t="s">
        <v>430</v>
      </c>
    </row>
    <row r="109" spans="9:40" x14ac:dyDescent="0.45">
      <c r="AC109" t="s">
        <v>19</v>
      </c>
      <c r="AD109" t="s">
        <v>253</v>
      </c>
      <c r="AE109">
        <v>3.5667869659552921E-3</v>
      </c>
      <c r="AK109">
        <v>2030</v>
      </c>
      <c r="AL109" t="s">
        <v>159</v>
      </c>
      <c r="AM109">
        <v>0.2482</v>
      </c>
      <c r="AN109" t="s">
        <v>430</v>
      </c>
    </row>
    <row r="110" spans="9:40" x14ac:dyDescent="0.45">
      <c r="AC110" t="s">
        <v>19</v>
      </c>
      <c r="AD110" t="s">
        <v>254</v>
      </c>
      <c r="AE110">
        <v>3.5689405305789229E-3</v>
      </c>
      <c r="AK110">
        <v>2030</v>
      </c>
      <c r="AL110" t="s">
        <v>163</v>
      </c>
      <c r="AM110">
        <v>0.3276</v>
      </c>
      <c r="AN110" t="s">
        <v>430</v>
      </c>
    </row>
    <row r="111" spans="9:40" x14ac:dyDescent="0.45">
      <c r="AC111" t="s">
        <v>19</v>
      </c>
      <c r="AD111" t="s">
        <v>255</v>
      </c>
      <c r="AE111">
        <v>2.5071463818378881E-2</v>
      </c>
      <c r="AK111">
        <v>2030</v>
      </c>
      <c r="AL111" t="s">
        <v>167</v>
      </c>
      <c r="AM111">
        <v>0.36130000000000001</v>
      </c>
      <c r="AN111" t="s">
        <v>430</v>
      </c>
    </row>
    <row r="112" spans="9:40" x14ac:dyDescent="0.45">
      <c r="AC112" t="s">
        <v>19</v>
      </c>
      <c r="AD112" t="s">
        <v>256</v>
      </c>
      <c r="AE112">
        <v>3.5083301744215831E-3</v>
      </c>
      <c r="AK112">
        <v>2030</v>
      </c>
      <c r="AL112" t="s">
        <v>169</v>
      </c>
      <c r="AM112">
        <v>0.46750000000000003</v>
      </c>
      <c r="AN112" t="s">
        <v>430</v>
      </c>
    </row>
    <row r="113" spans="29:40" x14ac:dyDescent="0.45">
      <c r="AC113" t="s">
        <v>19</v>
      </c>
      <c r="AD113" t="s">
        <v>257</v>
      </c>
      <c r="AE113">
        <v>3.45492873392677E-3</v>
      </c>
      <c r="AK113">
        <v>2030</v>
      </c>
      <c r="AL113" t="s">
        <v>171</v>
      </c>
      <c r="AM113">
        <v>0.56479999999999997</v>
      </c>
      <c r="AN113" t="s">
        <v>430</v>
      </c>
    </row>
    <row r="114" spans="29:40" x14ac:dyDescent="0.45">
      <c r="AC114" t="s">
        <v>19</v>
      </c>
      <c r="AD114" t="s">
        <v>258</v>
      </c>
      <c r="AE114">
        <v>1.7289049174318342E-2</v>
      </c>
      <c r="AK114">
        <v>2030</v>
      </c>
      <c r="AL114" t="s">
        <v>158</v>
      </c>
      <c r="AM114">
        <v>0.59079999999999999</v>
      </c>
      <c r="AN114" t="s">
        <v>430</v>
      </c>
    </row>
    <row r="115" spans="29:40" x14ac:dyDescent="0.45">
      <c r="AC115" t="s">
        <v>19</v>
      </c>
      <c r="AD115" t="s">
        <v>259</v>
      </c>
      <c r="AE115">
        <v>2.2396102892648883E-2</v>
      </c>
      <c r="AK115">
        <v>2030</v>
      </c>
      <c r="AL115" t="s">
        <v>162</v>
      </c>
      <c r="AM115">
        <v>0.62539999999999996</v>
      </c>
      <c r="AN115" t="s">
        <v>430</v>
      </c>
    </row>
    <row r="116" spans="29:40" x14ac:dyDescent="0.45">
      <c r="AC116" t="s">
        <v>19</v>
      </c>
      <c r="AD116" t="s">
        <v>260</v>
      </c>
      <c r="AE116">
        <v>3.2256847155674282E-3</v>
      </c>
      <c r="AK116">
        <v>2030</v>
      </c>
      <c r="AL116" t="s">
        <v>175</v>
      </c>
      <c r="AM116">
        <v>0.40629999999999999</v>
      </c>
      <c r="AN116" t="s">
        <v>430</v>
      </c>
    </row>
    <row r="117" spans="29:40" x14ac:dyDescent="0.45">
      <c r="AC117" t="s">
        <v>19</v>
      </c>
      <c r="AD117" t="s">
        <v>261</v>
      </c>
      <c r="AE117">
        <v>3.2308029695060085E-3</v>
      </c>
      <c r="AK117">
        <v>2030</v>
      </c>
      <c r="AL117" t="s">
        <v>166</v>
      </c>
      <c r="AM117">
        <v>0.2666</v>
      </c>
      <c r="AN117" t="s">
        <v>430</v>
      </c>
    </row>
    <row r="118" spans="29:40" x14ac:dyDescent="0.45">
      <c r="AC118" t="s">
        <v>19</v>
      </c>
      <c r="AD118" t="s">
        <v>262</v>
      </c>
      <c r="AE118">
        <v>3.2332976593585478E-3</v>
      </c>
      <c r="AK118">
        <v>2030</v>
      </c>
      <c r="AL118" t="s">
        <v>178</v>
      </c>
      <c r="AM118">
        <v>0.27500000000000002</v>
      </c>
      <c r="AN118" t="s">
        <v>430</v>
      </c>
    </row>
    <row r="119" spans="29:40" x14ac:dyDescent="0.45">
      <c r="AC119" t="s">
        <v>19</v>
      </c>
      <c r="AD119" t="s">
        <v>263</v>
      </c>
      <c r="AE119">
        <v>2.2675381292253185E-2</v>
      </c>
      <c r="AK119">
        <v>2031</v>
      </c>
      <c r="AL119" t="s">
        <v>151</v>
      </c>
      <c r="AM119">
        <v>0.26419999999999999</v>
      </c>
      <c r="AN119" t="s">
        <v>430</v>
      </c>
    </row>
    <row r="120" spans="29:40" x14ac:dyDescent="0.45">
      <c r="AC120" t="s">
        <v>19</v>
      </c>
      <c r="AD120" t="s">
        <v>264</v>
      </c>
      <c r="AE120">
        <v>3.1527306837495182E-3</v>
      </c>
      <c r="AK120">
        <v>2031</v>
      </c>
      <c r="AL120" t="s">
        <v>156</v>
      </c>
      <c r="AM120">
        <v>0.2762</v>
      </c>
      <c r="AN120" t="s">
        <v>430</v>
      </c>
    </row>
    <row r="121" spans="29:40" x14ac:dyDescent="0.45">
      <c r="AC121" t="s">
        <v>19</v>
      </c>
      <c r="AD121" t="s">
        <v>265</v>
      </c>
      <c r="AE121">
        <v>3.1203667450810579E-3</v>
      </c>
      <c r="AK121">
        <v>2031</v>
      </c>
      <c r="AL121" t="s">
        <v>159</v>
      </c>
      <c r="AM121">
        <v>0.26229999999999998</v>
      </c>
      <c r="AN121" t="s">
        <v>430</v>
      </c>
    </row>
    <row r="122" spans="29:40" x14ac:dyDescent="0.45">
      <c r="AC122" t="s">
        <v>19</v>
      </c>
      <c r="AD122" t="s">
        <v>266</v>
      </c>
      <c r="AE122">
        <v>1.5590950306966856E-2</v>
      </c>
      <c r="AK122">
        <v>2031</v>
      </c>
      <c r="AL122" t="s">
        <v>163</v>
      </c>
      <c r="AM122">
        <v>0.30669999999999997</v>
      </c>
      <c r="AN122" t="s">
        <v>430</v>
      </c>
    </row>
    <row r="123" spans="29:40" x14ac:dyDescent="0.45">
      <c r="AC123" t="s">
        <v>19</v>
      </c>
      <c r="AD123" t="s">
        <v>267</v>
      </c>
      <c r="AE123">
        <v>2.4817941741787808E-2</v>
      </c>
      <c r="AK123">
        <v>2031</v>
      </c>
      <c r="AL123" t="s">
        <v>167</v>
      </c>
      <c r="AM123">
        <v>0.4108</v>
      </c>
      <c r="AN123" t="s">
        <v>430</v>
      </c>
    </row>
    <row r="124" spans="29:40" x14ac:dyDescent="0.45">
      <c r="AC124" t="s">
        <v>19</v>
      </c>
      <c r="AD124" t="s">
        <v>268</v>
      </c>
      <c r="AE124">
        <v>3.5813431856435533E-3</v>
      </c>
      <c r="AK124">
        <v>2031</v>
      </c>
      <c r="AL124" t="s">
        <v>169</v>
      </c>
      <c r="AM124">
        <v>0.46700000000000003</v>
      </c>
      <c r="AN124" t="s">
        <v>430</v>
      </c>
    </row>
    <row r="125" spans="29:40" x14ac:dyDescent="0.45">
      <c r="AC125" t="s">
        <v>19</v>
      </c>
      <c r="AD125" t="s">
        <v>269</v>
      </c>
      <c r="AE125">
        <v>3.5935791486853184E-3</v>
      </c>
      <c r="AK125">
        <v>2031</v>
      </c>
      <c r="AL125" t="s">
        <v>171</v>
      </c>
      <c r="AM125">
        <v>0.56830000000000003</v>
      </c>
      <c r="AN125" t="s">
        <v>430</v>
      </c>
    </row>
    <row r="126" spans="29:40" x14ac:dyDescent="0.45">
      <c r="AC126" t="s">
        <v>19</v>
      </c>
      <c r="AD126" t="s">
        <v>270</v>
      </c>
      <c r="AE126">
        <v>3.5992108892045106E-3</v>
      </c>
      <c r="AK126">
        <v>2031</v>
      </c>
      <c r="AL126" t="s">
        <v>158</v>
      </c>
      <c r="AM126">
        <v>0.61670000000000003</v>
      </c>
      <c r="AN126" t="s">
        <v>430</v>
      </c>
    </row>
    <row r="127" spans="29:40" x14ac:dyDescent="0.45">
      <c r="AC127" t="s">
        <v>19</v>
      </c>
      <c r="AD127" t="s">
        <v>271</v>
      </c>
      <c r="AE127">
        <v>2.5159670658659424E-2</v>
      </c>
      <c r="AK127">
        <v>2031</v>
      </c>
      <c r="AL127" t="s">
        <v>162</v>
      </c>
      <c r="AM127">
        <v>0.65510000000000002</v>
      </c>
      <c r="AN127" t="s">
        <v>430</v>
      </c>
    </row>
    <row r="128" spans="29:40" x14ac:dyDescent="0.45">
      <c r="AC128" t="s">
        <v>19</v>
      </c>
      <c r="AD128" t="s">
        <v>272</v>
      </c>
      <c r="AE128">
        <v>3.4703547488830963E-3</v>
      </c>
      <c r="AK128">
        <v>2031</v>
      </c>
      <c r="AL128" t="s">
        <v>175</v>
      </c>
      <c r="AM128">
        <v>0.4703</v>
      </c>
      <c r="AN128" t="s">
        <v>430</v>
      </c>
    </row>
    <row r="129" spans="29:40" x14ac:dyDescent="0.45">
      <c r="AC129" t="s">
        <v>19</v>
      </c>
      <c r="AD129" t="s">
        <v>273</v>
      </c>
      <c r="AE129">
        <v>3.4449947227347894E-3</v>
      </c>
      <c r="AK129">
        <v>2031</v>
      </c>
      <c r="AL129" t="s">
        <v>166</v>
      </c>
      <c r="AM129">
        <v>0.26600000000000001</v>
      </c>
      <c r="AN129" t="s">
        <v>430</v>
      </c>
    </row>
    <row r="130" spans="29:40" x14ac:dyDescent="0.45">
      <c r="AC130" t="s">
        <v>19</v>
      </c>
      <c r="AD130" t="s">
        <v>274</v>
      </c>
      <c r="AE130">
        <v>1.7239740876161678E-2</v>
      </c>
      <c r="AK130">
        <v>2031</v>
      </c>
      <c r="AL130" t="s">
        <v>178</v>
      </c>
      <c r="AM130">
        <v>0.25109999999999999</v>
      </c>
      <c r="AN130" t="s">
        <v>430</v>
      </c>
    </row>
    <row r="131" spans="29:40" x14ac:dyDescent="0.45">
      <c r="AC131" t="s">
        <v>19</v>
      </c>
      <c r="AD131" t="s">
        <v>275</v>
      </c>
      <c r="AE131">
        <v>2.3992482297509075E-2</v>
      </c>
      <c r="AK131">
        <v>2032</v>
      </c>
      <c r="AL131" t="s">
        <v>151</v>
      </c>
      <c r="AM131">
        <v>0.1898</v>
      </c>
      <c r="AN131" t="s">
        <v>430</v>
      </c>
    </row>
    <row r="132" spans="29:40" x14ac:dyDescent="0.45">
      <c r="AC132" t="s">
        <v>19</v>
      </c>
      <c r="AD132" t="s">
        <v>276</v>
      </c>
      <c r="AE132">
        <v>3.4738704666897762E-3</v>
      </c>
      <c r="AK132">
        <v>2032</v>
      </c>
      <c r="AL132" t="s">
        <v>156</v>
      </c>
      <c r="AM132">
        <v>0.2291</v>
      </c>
      <c r="AN132" t="s">
        <v>430</v>
      </c>
    </row>
    <row r="133" spans="29:40" x14ac:dyDescent="0.45">
      <c r="AC133" t="s">
        <v>19</v>
      </c>
      <c r="AD133" t="s">
        <v>277</v>
      </c>
      <c r="AE133">
        <v>3.4801538791335491E-3</v>
      </c>
      <c r="AK133">
        <v>2032</v>
      </c>
      <c r="AL133" t="s">
        <v>159</v>
      </c>
      <c r="AM133">
        <v>0.248</v>
      </c>
      <c r="AN133" t="s">
        <v>430</v>
      </c>
    </row>
    <row r="134" spans="29:40" x14ac:dyDescent="0.45">
      <c r="AC134" t="s">
        <v>19</v>
      </c>
      <c r="AD134" t="s">
        <v>278</v>
      </c>
      <c r="AE134">
        <v>3.4821192640984906E-3</v>
      </c>
      <c r="AK134">
        <v>2032</v>
      </c>
      <c r="AL134" t="s">
        <v>163</v>
      </c>
      <c r="AM134">
        <v>0.2591</v>
      </c>
      <c r="AN134" t="s">
        <v>430</v>
      </c>
    </row>
    <row r="135" spans="29:40" x14ac:dyDescent="0.45">
      <c r="AC135" t="s">
        <v>19</v>
      </c>
      <c r="AD135" t="s">
        <v>279</v>
      </c>
      <c r="AE135">
        <v>2.431802215590554E-2</v>
      </c>
      <c r="AK135">
        <v>2032</v>
      </c>
      <c r="AL135" t="s">
        <v>167</v>
      </c>
      <c r="AM135">
        <v>0.3085</v>
      </c>
      <c r="AN135" t="s">
        <v>430</v>
      </c>
    </row>
    <row r="136" spans="29:40" x14ac:dyDescent="0.45">
      <c r="AC136" t="s">
        <v>19</v>
      </c>
      <c r="AD136" t="s">
        <v>280</v>
      </c>
      <c r="AE136">
        <v>3.3586893850175658E-3</v>
      </c>
      <c r="AK136">
        <v>2032</v>
      </c>
      <c r="AL136" t="s">
        <v>169</v>
      </c>
      <c r="AM136">
        <v>0.38850000000000001</v>
      </c>
      <c r="AN136" t="s">
        <v>430</v>
      </c>
    </row>
    <row r="137" spans="29:40" x14ac:dyDescent="0.45">
      <c r="AC137" t="s">
        <v>19</v>
      </c>
      <c r="AD137" t="s">
        <v>281</v>
      </c>
      <c r="AE137">
        <v>3.384166540703218E-3</v>
      </c>
      <c r="AK137">
        <v>2032</v>
      </c>
      <c r="AL137" t="s">
        <v>171</v>
      </c>
      <c r="AM137">
        <v>0.48730000000000001</v>
      </c>
      <c r="AN137" t="s">
        <v>430</v>
      </c>
    </row>
    <row r="138" spans="29:40" x14ac:dyDescent="0.45">
      <c r="AC138" t="s">
        <v>19</v>
      </c>
      <c r="AD138" t="s">
        <v>282</v>
      </c>
      <c r="AE138">
        <v>1.6789908068262124E-2</v>
      </c>
      <c r="AK138">
        <v>2032</v>
      </c>
      <c r="AL138" t="s">
        <v>158</v>
      </c>
      <c r="AM138">
        <v>0.56799999999999995</v>
      </c>
      <c r="AN138" t="s">
        <v>430</v>
      </c>
    </row>
    <row r="139" spans="29:40" x14ac:dyDescent="0.45">
      <c r="AC139" t="s">
        <v>19</v>
      </c>
      <c r="AD139" t="s">
        <v>283</v>
      </c>
      <c r="AE139">
        <v>2.4805099440951852E-2</v>
      </c>
      <c r="AK139">
        <v>2032</v>
      </c>
      <c r="AL139" t="s">
        <v>162</v>
      </c>
      <c r="AM139">
        <v>0.56230000000000002</v>
      </c>
      <c r="AN139" t="s">
        <v>430</v>
      </c>
    </row>
    <row r="140" spans="29:40" x14ac:dyDescent="0.45">
      <c r="AC140" t="s">
        <v>19</v>
      </c>
      <c r="AD140" t="s">
        <v>284</v>
      </c>
      <c r="AE140">
        <v>3.5794377402909392E-3</v>
      </c>
      <c r="AK140">
        <v>2032</v>
      </c>
      <c r="AL140" t="s">
        <v>175</v>
      </c>
      <c r="AM140">
        <v>0.36930000000000002</v>
      </c>
      <c r="AN140" t="s">
        <v>430</v>
      </c>
    </row>
    <row r="141" spans="29:40" x14ac:dyDescent="0.45">
      <c r="AC141" t="s">
        <v>19</v>
      </c>
      <c r="AD141" t="s">
        <v>285</v>
      </c>
      <c r="AE141">
        <v>3.5822695875696313E-3</v>
      </c>
      <c r="AK141">
        <v>2032</v>
      </c>
      <c r="AL141" t="s">
        <v>166</v>
      </c>
      <c r="AM141">
        <v>0.2631</v>
      </c>
      <c r="AN141" t="s">
        <v>430</v>
      </c>
    </row>
    <row r="142" spans="29:40" x14ac:dyDescent="0.45">
      <c r="AC142" t="s">
        <v>19</v>
      </c>
      <c r="AD142" t="s">
        <v>286</v>
      </c>
      <c r="AE142">
        <v>3.582425971902239E-3</v>
      </c>
      <c r="AK142">
        <v>2032</v>
      </c>
      <c r="AL142" t="s">
        <v>178</v>
      </c>
      <c r="AM142">
        <v>0.20130000000000001</v>
      </c>
      <c r="AN142" t="s">
        <v>430</v>
      </c>
    </row>
    <row r="143" spans="29:40" x14ac:dyDescent="0.45">
      <c r="AC143" t="s">
        <v>19</v>
      </c>
      <c r="AD143" t="s">
        <v>287</v>
      </c>
      <c r="AE143">
        <v>2.506980727527703E-2</v>
      </c>
      <c r="AK143">
        <v>2033</v>
      </c>
      <c r="AL143" t="s">
        <v>151</v>
      </c>
      <c r="AM143">
        <v>0.2094</v>
      </c>
      <c r="AN143" t="s">
        <v>430</v>
      </c>
    </row>
    <row r="144" spans="29:40" x14ac:dyDescent="0.45">
      <c r="AC144" t="s">
        <v>19</v>
      </c>
      <c r="AD144" t="s">
        <v>288</v>
      </c>
      <c r="AE144">
        <v>3.4736433689537133E-3</v>
      </c>
      <c r="AK144">
        <v>2033</v>
      </c>
      <c r="AL144" t="s">
        <v>156</v>
      </c>
      <c r="AM144">
        <v>0.20119999999999999</v>
      </c>
      <c r="AN144" t="s">
        <v>430</v>
      </c>
    </row>
    <row r="145" spans="29:40" x14ac:dyDescent="0.45">
      <c r="AC145" t="s">
        <v>19</v>
      </c>
      <c r="AD145" t="s">
        <v>289</v>
      </c>
      <c r="AE145">
        <v>3.5163132255955397E-3</v>
      </c>
      <c r="AK145">
        <v>2033</v>
      </c>
      <c r="AL145" t="s">
        <v>159</v>
      </c>
      <c r="AM145">
        <v>0.24049999999999999</v>
      </c>
      <c r="AN145" t="s">
        <v>430</v>
      </c>
    </row>
    <row r="146" spans="29:40" x14ac:dyDescent="0.45">
      <c r="AC146" t="s">
        <v>19</v>
      </c>
      <c r="AD146" t="s">
        <v>290</v>
      </c>
      <c r="AE146">
        <v>1.7465225760148372E-2</v>
      </c>
      <c r="AK146">
        <v>2033</v>
      </c>
      <c r="AL146" t="s">
        <v>163</v>
      </c>
      <c r="AM146">
        <v>0.28489999999999999</v>
      </c>
      <c r="AN146" t="s">
        <v>430</v>
      </c>
    </row>
    <row r="147" spans="29:40" x14ac:dyDescent="0.45">
      <c r="AC147" t="s">
        <v>19</v>
      </c>
      <c r="AD147" t="s">
        <v>291</v>
      </c>
      <c r="AE147">
        <v>2.4008373861375724E-2</v>
      </c>
      <c r="AK147">
        <v>2033</v>
      </c>
      <c r="AL147" t="s">
        <v>167</v>
      </c>
      <c r="AM147">
        <v>0.3453</v>
      </c>
      <c r="AN147" t="s">
        <v>430</v>
      </c>
    </row>
    <row r="148" spans="29:40" x14ac:dyDescent="0.45">
      <c r="AC148" t="s">
        <v>19</v>
      </c>
      <c r="AD148" t="s">
        <v>292</v>
      </c>
      <c r="AE148">
        <v>3.4559498795923922E-3</v>
      </c>
      <c r="AK148">
        <v>2033</v>
      </c>
      <c r="AL148" t="s">
        <v>169</v>
      </c>
      <c r="AM148">
        <v>0.4178</v>
      </c>
      <c r="AN148" t="s">
        <v>430</v>
      </c>
    </row>
    <row r="149" spans="29:40" x14ac:dyDescent="0.45">
      <c r="AC149" t="s">
        <v>19</v>
      </c>
      <c r="AD149" t="s">
        <v>293</v>
      </c>
      <c r="AE149">
        <v>3.4583274928116229E-3</v>
      </c>
      <c r="AK149">
        <v>2033</v>
      </c>
      <c r="AL149" t="s">
        <v>171</v>
      </c>
      <c r="AM149">
        <v>0.4355</v>
      </c>
      <c r="AN149" t="s">
        <v>430</v>
      </c>
    </row>
    <row r="150" spans="29:40" x14ac:dyDescent="0.45">
      <c r="AC150" t="s">
        <v>19</v>
      </c>
      <c r="AD150" t="s">
        <v>294</v>
      </c>
      <c r="AE150">
        <v>3.4586289400129751E-3</v>
      </c>
      <c r="AK150">
        <v>2033</v>
      </c>
      <c r="AL150" t="s">
        <v>158</v>
      </c>
      <c r="AM150">
        <v>0.57210000000000005</v>
      </c>
      <c r="AN150" t="s">
        <v>430</v>
      </c>
    </row>
    <row r="151" spans="29:40" x14ac:dyDescent="0.45">
      <c r="AC151" t="s">
        <v>19</v>
      </c>
      <c r="AD151" t="s">
        <v>295</v>
      </c>
      <c r="AE151">
        <v>2.4232325166451862E-2</v>
      </c>
      <c r="AK151">
        <v>2033</v>
      </c>
      <c r="AL151" t="s">
        <v>162</v>
      </c>
      <c r="AM151">
        <v>0.51459999999999995</v>
      </c>
      <c r="AN151" t="s">
        <v>430</v>
      </c>
    </row>
    <row r="152" spans="29:40" x14ac:dyDescent="0.45">
      <c r="AC152" t="s">
        <v>19</v>
      </c>
      <c r="AD152" t="s">
        <v>296</v>
      </c>
      <c r="AE152">
        <v>3.3662016200230443E-3</v>
      </c>
      <c r="AK152">
        <v>2033</v>
      </c>
      <c r="AL152" t="s">
        <v>175</v>
      </c>
      <c r="AM152">
        <v>0.35420000000000001</v>
      </c>
      <c r="AN152" t="s">
        <v>430</v>
      </c>
    </row>
    <row r="153" spans="29:40" x14ac:dyDescent="0.45">
      <c r="AC153" t="s">
        <v>19</v>
      </c>
      <c r="AD153" t="s">
        <v>297</v>
      </c>
      <c r="AE153">
        <v>3.4017293258967124E-3</v>
      </c>
      <c r="AK153">
        <v>2033</v>
      </c>
      <c r="AL153" t="s">
        <v>166</v>
      </c>
      <c r="AM153">
        <v>0.23280000000000001</v>
      </c>
      <c r="AN153" t="s">
        <v>430</v>
      </c>
    </row>
    <row r="154" spans="29:40" x14ac:dyDescent="0.45">
      <c r="AC154" t="s">
        <v>19</v>
      </c>
      <c r="AD154" t="s">
        <v>298</v>
      </c>
      <c r="AE154">
        <v>1.6923760039274597E-2</v>
      </c>
      <c r="AK154">
        <v>2033</v>
      </c>
      <c r="AL154" t="s">
        <v>178</v>
      </c>
      <c r="AM154">
        <v>0.21909999999999999</v>
      </c>
      <c r="AN154" t="s">
        <v>430</v>
      </c>
    </row>
    <row r="155" spans="29:40" x14ac:dyDescent="0.45">
      <c r="AC155" t="s">
        <v>19</v>
      </c>
      <c r="AD155" t="s">
        <v>299</v>
      </c>
      <c r="AE155">
        <v>2.4820133261090005E-2</v>
      </c>
      <c r="AK155">
        <v>2034</v>
      </c>
      <c r="AL155" t="s">
        <v>151</v>
      </c>
      <c r="AM155">
        <v>0.22320000000000001</v>
      </c>
      <c r="AN155" t="s">
        <v>430</v>
      </c>
    </row>
    <row r="156" spans="29:40" x14ac:dyDescent="0.45">
      <c r="AC156" t="s">
        <v>19</v>
      </c>
      <c r="AD156" t="s">
        <v>300</v>
      </c>
      <c r="AE156">
        <v>3.5651303084484587E-3</v>
      </c>
      <c r="AK156">
        <v>2034</v>
      </c>
      <c r="AL156" t="s">
        <v>156</v>
      </c>
      <c r="AM156">
        <v>0.23899999999999999</v>
      </c>
      <c r="AN156" t="s">
        <v>430</v>
      </c>
    </row>
    <row r="157" spans="29:40" x14ac:dyDescent="0.45">
      <c r="AC157" t="s">
        <v>19</v>
      </c>
      <c r="AD157" t="s">
        <v>301</v>
      </c>
      <c r="AE157">
        <v>3.5674991925016271E-3</v>
      </c>
      <c r="AK157">
        <v>2034</v>
      </c>
      <c r="AL157" t="s">
        <v>159</v>
      </c>
      <c r="AM157">
        <v>0.23519999999999999</v>
      </c>
      <c r="AN157" t="s">
        <v>430</v>
      </c>
    </row>
    <row r="158" spans="29:40" x14ac:dyDescent="0.45">
      <c r="AC158" t="s">
        <v>19</v>
      </c>
      <c r="AD158" t="s">
        <v>302</v>
      </c>
      <c r="AE158">
        <v>3.5679085110338947E-3</v>
      </c>
      <c r="AK158">
        <v>2034</v>
      </c>
      <c r="AL158" t="s">
        <v>163</v>
      </c>
      <c r="AM158">
        <v>0.25390000000000001</v>
      </c>
      <c r="AN158" t="s">
        <v>430</v>
      </c>
    </row>
    <row r="159" spans="29:40" x14ac:dyDescent="0.45">
      <c r="AC159" t="s">
        <v>19</v>
      </c>
      <c r="AD159" t="s">
        <v>303</v>
      </c>
      <c r="AE159">
        <v>2.5025049535034486E-2</v>
      </c>
      <c r="AK159">
        <v>2034</v>
      </c>
      <c r="AL159" t="s">
        <v>167</v>
      </c>
      <c r="AM159">
        <v>0.32500000000000001</v>
      </c>
      <c r="AN159" t="s">
        <v>430</v>
      </c>
    </row>
    <row r="160" spans="29:40" x14ac:dyDescent="0.45">
      <c r="AC160" t="s">
        <v>19</v>
      </c>
      <c r="AD160" t="s">
        <v>304</v>
      </c>
      <c r="AE160">
        <v>3.479127390160216E-3</v>
      </c>
      <c r="AK160">
        <v>2034</v>
      </c>
      <c r="AL160" t="s">
        <v>169</v>
      </c>
      <c r="AM160">
        <v>0.36930000000000002</v>
      </c>
      <c r="AN160" t="s">
        <v>430</v>
      </c>
    </row>
    <row r="161" spans="29:40" x14ac:dyDescent="0.45">
      <c r="AC161" t="s">
        <v>19</v>
      </c>
      <c r="AD161" t="s">
        <v>305</v>
      </c>
      <c r="AE161">
        <v>3.5113373780817588E-3</v>
      </c>
      <c r="AK161">
        <v>2034</v>
      </c>
      <c r="AL161" t="s">
        <v>171</v>
      </c>
      <c r="AM161">
        <v>0.49170000000000003</v>
      </c>
      <c r="AN161" t="s">
        <v>430</v>
      </c>
    </row>
    <row r="162" spans="29:40" x14ac:dyDescent="0.45">
      <c r="AC162" t="s">
        <v>19</v>
      </c>
      <c r="AD162" t="s">
        <v>306</v>
      </c>
      <c r="AE162">
        <v>1.7489296829039009E-2</v>
      </c>
      <c r="AK162">
        <v>2034</v>
      </c>
      <c r="AL162" t="s">
        <v>158</v>
      </c>
      <c r="AM162">
        <v>0.59540000000000004</v>
      </c>
      <c r="AN162" t="s">
        <v>430</v>
      </c>
    </row>
    <row r="163" spans="29:40" x14ac:dyDescent="0.45">
      <c r="AC163" t="s">
        <v>19</v>
      </c>
      <c r="AD163" t="s">
        <v>307</v>
      </c>
      <c r="AE163">
        <v>2.4862960977425762E-2</v>
      </c>
      <c r="AK163">
        <v>2034</v>
      </c>
      <c r="AL163" t="s">
        <v>162</v>
      </c>
      <c r="AM163">
        <v>0.54310000000000003</v>
      </c>
      <c r="AN163" t="s">
        <v>430</v>
      </c>
    </row>
    <row r="164" spans="29:40" x14ac:dyDescent="0.45">
      <c r="AC164" t="s">
        <v>19</v>
      </c>
      <c r="AD164" t="s">
        <v>308</v>
      </c>
      <c r="AE164">
        <v>3.5820344397071236E-3</v>
      </c>
      <c r="AK164">
        <v>2034</v>
      </c>
      <c r="AL164" t="s">
        <v>175</v>
      </c>
      <c r="AM164">
        <v>0.36609999999999998</v>
      </c>
      <c r="AN164" t="s">
        <v>430</v>
      </c>
    </row>
    <row r="165" spans="29:40" x14ac:dyDescent="0.45">
      <c r="AC165" t="s">
        <v>19</v>
      </c>
      <c r="AD165" t="s">
        <v>309</v>
      </c>
      <c r="AE165">
        <v>3.5838890436191294E-3</v>
      </c>
      <c r="AK165">
        <v>2034</v>
      </c>
      <c r="AL165" t="s">
        <v>166</v>
      </c>
      <c r="AM165">
        <v>0.26040000000000002</v>
      </c>
      <c r="AN165" t="s">
        <v>430</v>
      </c>
    </row>
    <row r="166" spans="29:40" x14ac:dyDescent="0.45">
      <c r="AC166" t="s">
        <v>19</v>
      </c>
      <c r="AD166" t="s">
        <v>310</v>
      </c>
      <c r="AE166">
        <v>3.5837255701455981E-3</v>
      </c>
      <c r="AK166">
        <v>2034</v>
      </c>
      <c r="AL166" t="s">
        <v>178</v>
      </c>
      <c r="AM166">
        <v>0.19969999999999999</v>
      </c>
      <c r="AN166" t="s">
        <v>430</v>
      </c>
    </row>
    <row r="167" spans="29:40" x14ac:dyDescent="0.45">
      <c r="AC167" t="s">
        <v>19</v>
      </c>
      <c r="AD167" t="s">
        <v>311</v>
      </c>
      <c r="AE167">
        <v>2.5157332263863935E-2</v>
      </c>
      <c r="AK167">
        <v>2035</v>
      </c>
      <c r="AL167" t="s">
        <v>151</v>
      </c>
      <c r="AM167">
        <v>0.2001</v>
      </c>
      <c r="AN167" t="s">
        <v>430</v>
      </c>
    </row>
    <row r="168" spans="29:40" x14ac:dyDescent="0.45">
      <c r="AC168" t="s">
        <v>19</v>
      </c>
      <c r="AD168" t="s">
        <v>312</v>
      </c>
      <c r="AE168">
        <v>3.4900732042808841E-3</v>
      </c>
      <c r="AK168">
        <v>2035</v>
      </c>
      <c r="AL168" t="s">
        <v>156</v>
      </c>
      <c r="AM168">
        <v>0.20330000000000001</v>
      </c>
      <c r="AN168" t="s">
        <v>430</v>
      </c>
    </row>
    <row r="169" spans="29:40" x14ac:dyDescent="0.45">
      <c r="AC169" t="s">
        <v>19</v>
      </c>
      <c r="AD169" t="s">
        <v>313</v>
      </c>
      <c r="AE169">
        <v>3.4454973739073765E-3</v>
      </c>
      <c r="AK169">
        <v>2035</v>
      </c>
      <c r="AL169" t="s">
        <v>159</v>
      </c>
      <c r="AM169">
        <v>0.2167</v>
      </c>
      <c r="AN169" t="s">
        <v>430</v>
      </c>
    </row>
    <row r="170" spans="29:40" x14ac:dyDescent="0.45">
      <c r="AC170" t="s">
        <v>19</v>
      </c>
      <c r="AD170" t="s">
        <v>314</v>
      </c>
      <c r="AE170">
        <v>1.7246057032897694E-2</v>
      </c>
      <c r="AK170">
        <v>2035</v>
      </c>
      <c r="AL170" t="s">
        <v>163</v>
      </c>
      <c r="AM170">
        <v>0.24099999999999999</v>
      </c>
      <c r="AN170" t="s">
        <v>430</v>
      </c>
    </row>
    <row r="171" spans="29:40" x14ac:dyDescent="0.45">
      <c r="AC171" t="s">
        <v>19</v>
      </c>
      <c r="AD171" t="s">
        <v>339</v>
      </c>
      <c r="AE171">
        <v>2.4047245922384015E-2</v>
      </c>
      <c r="AK171">
        <v>2035</v>
      </c>
      <c r="AL171" t="s">
        <v>167</v>
      </c>
      <c r="AM171">
        <v>0.31319999999999998</v>
      </c>
      <c r="AN171" t="s">
        <v>430</v>
      </c>
    </row>
    <row r="172" spans="29:40" x14ac:dyDescent="0.45">
      <c r="AC172" t="s">
        <v>19</v>
      </c>
      <c r="AD172" t="s">
        <v>340</v>
      </c>
      <c r="AE172">
        <v>3.4613336324393596E-3</v>
      </c>
      <c r="AK172">
        <v>2035</v>
      </c>
      <c r="AL172" t="s">
        <v>169</v>
      </c>
      <c r="AM172">
        <v>0.39090000000000003</v>
      </c>
      <c r="AN172" t="s">
        <v>430</v>
      </c>
    </row>
    <row r="173" spans="29:40" x14ac:dyDescent="0.45">
      <c r="AC173" t="s">
        <v>19</v>
      </c>
      <c r="AD173" t="s">
        <v>341</v>
      </c>
      <c r="AE173">
        <v>3.4645307820917511E-3</v>
      </c>
      <c r="AK173">
        <v>2035</v>
      </c>
      <c r="AL173" t="s">
        <v>171</v>
      </c>
      <c r="AM173">
        <v>0.48509999999999998</v>
      </c>
      <c r="AN173" t="s">
        <v>430</v>
      </c>
    </row>
    <row r="174" spans="29:40" x14ac:dyDescent="0.45">
      <c r="AC174" t="s">
        <v>19</v>
      </c>
      <c r="AD174" t="s">
        <v>342</v>
      </c>
      <c r="AE174">
        <v>3.4648546606046815E-3</v>
      </c>
      <c r="AK174">
        <v>2035</v>
      </c>
      <c r="AL174" t="s">
        <v>158</v>
      </c>
      <c r="AM174">
        <v>0.57389999999999997</v>
      </c>
      <c r="AN174" t="s">
        <v>430</v>
      </c>
    </row>
    <row r="175" spans="29:40" x14ac:dyDescent="0.45">
      <c r="AC175" t="s">
        <v>19</v>
      </c>
      <c r="AD175" t="s">
        <v>343</v>
      </c>
      <c r="AE175">
        <v>2.4296747813948808E-2</v>
      </c>
      <c r="AK175">
        <v>2035</v>
      </c>
      <c r="AL175" t="s">
        <v>162</v>
      </c>
      <c r="AM175">
        <v>0.50249999999999995</v>
      </c>
      <c r="AN175" t="s">
        <v>430</v>
      </c>
    </row>
    <row r="176" spans="29:40" x14ac:dyDescent="0.45">
      <c r="AC176" t="s">
        <v>19</v>
      </c>
      <c r="AD176" t="s">
        <v>344</v>
      </c>
      <c r="AE176">
        <v>3.3643197440800989E-3</v>
      </c>
      <c r="AK176">
        <v>2035</v>
      </c>
      <c r="AL176" t="s">
        <v>175</v>
      </c>
      <c r="AM176">
        <v>0.40770000000000001</v>
      </c>
      <c r="AN176" t="s">
        <v>430</v>
      </c>
    </row>
    <row r="177" spans="29:40" x14ac:dyDescent="0.45">
      <c r="AC177" t="s">
        <v>19</v>
      </c>
      <c r="AD177" t="s">
        <v>345</v>
      </c>
      <c r="AE177">
        <v>3.3496627865089753E-3</v>
      </c>
      <c r="AK177">
        <v>2035</v>
      </c>
      <c r="AL177" t="s">
        <v>166</v>
      </c>
      <c r="AM177">
        <v>0.2276</v>
      </c>
      <c r="AN177" t="s">
        <v>430</v>
      </c>
    </row>
    <row r="178" spans="29:40" x14ac:dyDescent="0.45">
      <c r="AC178" t="s">
        <v>19</v>
      </c>
      <c r="AD178" t="s">
        <v>346</v>
      </c>
      <c r="AE178">
        <v>1.673032560778015E-2</v>
      </c>
      <c r="AK178">
        <v>2035</v>
      </c>
      <c r="AL178" t="s">
        <v>178</v>
      </c>
      <c r="AM178">
        <v>0.19600000000000001</v>
      </c>
      <c r="AN178" t="s">
        <v>430</v>
      </c>
    </row>
    <row r="179" spans="29:40" x14ac:dyDescent="0.45">
      <c r="AC179" t="s">
        <v>19</v>
      </c>
      <c r="AD179" t="s">
        <v>371</v>
      </c>
      <c r="AE179">
        <v>2.4846814757333059E-2</v>
      </c>
      <c r="AK179">
        <v>2036</v>
      </c>
      <c r="AL179" t="s">
        <v>151</v>
      </c>
      <c r="AM179">
        <v>0.22270000000000001</v>
      </c>
      <c r="AN179" t="s">
        <v>430</v>
      </c>
    </row>
    <row r="180" spans="29:40" x14ac:dyDescent="0.45">
      <c r="AC180" t="s">
        <v>19</v>
      </c>
      <c r="AD180" t="s">
        <v>372</v>
      </c>
      <c r="AE180">
        <v>3.5755023763067648E-3</v>
      </c>
      <c r="AK180">
        <v>2036</v>
      </c>
      <c r="AL180" t="s">
        <v>156</v>
      </c>
      <c r="AM180">
        <v>0.20660000000000001</v>
      </c>
      <c r="AN180" t="s">
        <v>430</v>
      </c>
    </row>
    <row r="181" spans="29:40" x14ac:dyDescent="0.45">
      <c r="AC181" t="s">
        <v>19</v>
      </c>
      <c r="AD181" t="s">
        <v>373</v>
      </c>
      <c r="AE181">
        <v>3.5813273223681366E-3</v>
      </c>
      <c r="AK181">
        <v>2036</v>
      </c>
      <c r="AL181" t="s">
        <v>159</v>
      </c>
      <c r="AM181">
        <v>0.2374</v>
      </c>
      <c r="AN181" t="s">
        <v>430</v>
      </c>
    </row>
    <row r="182" spans="29:40" x14ac:dyDescent="0.45">
      <c r="AC182" t="s">
        <v>19</v>
      </c>
      <c r="AD182" t="s">
        <v>374</v>
      </c>
      <c r="AE182">
        <v>3.5825068178672857E-3</v>
      </c>
      <c r="AK182">
        <v>2036</v>
      </c>
      <c r="AL182" t="s">
        <v>163</v>
      </c>
      <c r="AM182">
        <v>0.24929999999999999</v>
      </c>
      <c r="AN182" t="s">
        <v>430</v>
      </c>
    </row>
    <row r="183" spans="29:40" x14ac:dyDescent="0.45">
      <c r="AC183" t="s">
        <v>19</v>
      </c>
      <c r="AD183" t="s">
        <v>375</v>
      </c>
      <c r="AE183">
        <v>2.5148154722202914E-2</v>
      </c>
      <c r="AK183">
        <v>2036</v>
      </c>
      <c r="AL183" t="s">
        <v>167</v>
      </c>
      <c r="AM183">
        <v>0.33360000000000001</v>
      </c>
      <c r="AN183" t="s">
        <v>430</v>
      </c>
    </row>
    <row r="184" spans="29:40" x14ac:dyDescent="0.45">
      <c r="AC184" t="s">
        <v>19</v>
      </c>
      <c r="AD184" t="s">
        <v>376</v>
      </c>
      <c r="AE184">
        <v>3.4718163366417561E-3</v>
      </c>
      <c r="AK184">
        <v>2036</v>
      </c>
      <c r="AL184" t="s">
        <v>169</v>
      </c>
      <c r="AM184">
        <v>0.42409999999999998</v>
      </c>
      <c r="AN184" t="s">
        <v>430</v>
      </c>
    </row>
    <row r="185" spans="29:40" x14ac:dyDescent="0.45">
      <c r="AC185" t="s">
        <v>19</v>
      </c>
      <c r="AD185" t="s">
        <v>377</v>
      </c>
      <c r="AE185">
        <v>3.4418135051330631E-3</v>
      </c>
      <c r="AK185">
        <v>2036</v>
      </c>
      <c r="AL185" t="s">
        <v>171</v>
      </c>
      <c r="AM185">
        <v>0.46239999999999998</v>
      </c>
      <c r="AN185" t="s">
        <v>430</v>
      </c>
    </row>
    <row r="186" spans="29:40" x14ac:dyDescent="0.45">
      <c r="AC186" t="s">
        <v>19</v>
      </c>
      <c r="AD186" t="s">
        <v>378</v>
      </c>
      <c r="AE186">
        <v>1.7242212486628189E-2</v>
      </c>
      <c r="AK186">
        <v>2036</v>
      </c>
      <c r="AL186" t="s">
        <v>158</v>
      </c>
      <c r="AM186">
        <v>0.54959999999999998</v>
      </c>
      <c r="AN186" t="s">
        <v>430</v>
      </c>
    </row>
    <row r="187" spans="29:40" x14ac:dyDescent="0.45">
      <c r="AC187" t="s">
        <v>19</v>
      </c>
      <c r="AD187" t="s">
        <v>379</v>
      </c>
      <c r="AE187">
        <v>2.4019439855612758E-2</v>
      </c>
      <c r="AK187">
        <v>2036</v>
      </c>
      <c r="AL187" t="s">
        <v>162</v>
      </c>
      <c r="AM187">
        <v>0.47099999999999997</v>
      </c>
      <c r="AN187" t="s">
        <v>430</v>
      </c>
    </row>
    <row r="188" spans="29:40" x14ac:dyDescent="0.45">
      <c r="AC188" t="s">
        <v>19</v>
      </c>
      <c r="AD188" t="s">
        <v>380</v>
      </c>
      <c r="AE188">
        <v>3.4608594654614547E-3</v>
      </c>
      <c r="AK188">
        <v>2036</v>
      </c>
      <c r="AL188" t="s">
        <v>175</v>
      </c>
      <c r="AM188">
        <v>0.36159999999999998</v>
      </c>
      <c r="AN188" t="s">
        <v>430</v>
      </c>
    </row>
    <row r="189" spans="29:40" x14ac:dyDescent="0.45">
      <c r="AC189" t="s">
        <v>19</v>
      </c>
      <c r="AD189" t="s">
        <v>381</v>
      </c>
      <c r="AE189">
        <v>3.4625467339052473E-3</v>
      </c>
      <c r="AK189">
        <v>2036</v>
      </c>
      <c r="AL189" t="s">
        <v>166</v>
      </c>
      <c r="AM189">
        <v>0.24010000000000001</v>
      </c>
      <c r="AN189" t="s">
        <v>430</v>
      </c>
    </row>
    <row r="190" spans="29:40" x14ac:dyDescent="0.45">
      <c r="AC190" t="s">
        <v>19</v>
      </c>
      <c r="AD190" t="s">
        <v>382</v>
      </c>
      <c r="AE190">
        <v>3.4628481282025633E-3</v>
      </c>
      <c r="AK190">
        <v>2036</v>
      </c>
      <c r="AL190" t="s">
        <v>178</v>
      </c>
      <c r="AM190">
        <v>0.20699999999999999</v>
      </c>
      <c r="AN190" t="s">
        <v>430</v>
      </c>
    </row>
    <row r="191" spans="29:40" x14ac:dyDescent="0.45">
      <c r="AC191" t="s">
        <v>19</v>
      </c>
      <c r="AD191" t="s">
        <v>383</v>
      </c>
      <c r="AE191">
        <v>2.4268179929048471E-2</v>
      </c>
      <c r="AK191">
        <v>2037</v>
      </c>
      <c r="AL191" t="s">
        <v>151</v>
      </c>
      <c r="AM191">
        <v>0.18940000000000001</v>
      </c>
      <c r="AN191" t="s">
        <v>430</v>
      </c>
    </row>
    <row r="192" spans="29:40" x14ac:dyDescent="0.45">
      <c r="AC192" t="s">
        <v>19</v>
      </c>
      <c r="AD192" t="s">
        <v>384</v>
      </c>
      <c r="AE192">
        <v>3.3777992284088777E-3</v>
      </c>
      <c r="AK192">
        <v>2037</v>
      </c>
      <c r="AL192" t="s">
        <v>156</v>
      </c>
      <c r="AM192">
        <v>0.2099</v>
      </c>
      <c r="AN192" t="s">
        <v>430</v>
      </c>
    </row>
    <row r="193" spans="29:40" x14ac:dyDescent="0.45">
      <c r="AC193" t="s">
        <v>19</v>
      </c>
      <c r="AD193" t="s">
        <v>385</v>
      </c>
      <c r="AE193">
        <v>3.342921871858872E-3</v>
      </c>
      <c r="AK193">
        <v>2037</v>
      </c>
      <c r="AL193" t="s">
        <v>159</v>
      </c>
      <c r="AM193">
        <v>0.23910000000000001</v>
      </c>
      <c r="AN193" t="s">
        <v>430</v>
      </c>
    </row>
    <row r="194" spans="29:40" x14ac:dyDescent="0.45">
      <c r="AC194" t="s">
        <v>19</v>
      </c>
      <c r="AD194" t="s">
        <v>386</v>
      </c>
      <c r="AE194">
        <v>1.671059833394074E-2</v>
      </c>
      <c r="AK194">
        <v>2037</v>
      </c>
      <c r="AL194" t="s">
        <v>163</v>
      </c>
      <c r="AM194">
        <v>0.28489999999999999</v>
      </c>
      <c r="AN194" t="s">
        <v>430</v>
      </c>
    </row>
    <row r="195" spans="29:40" x14ac:dyDescent="0.45">
      <c r="AC195" t="s">
        <v>19</v>
      </c>
      <c r="AD195" t="s">
        <v>411</v>
      </c>
      <c r="AE195">
        <v>2.4805278682473533E-2</v>
      </c>
      <c r="AK195">
        <v>2037</v>
      </c>
      <c r="AL195" t="s">
        <v>167</v>
      </c>
      <c r="AM195">
        <v>0.31259999999999999</v>
      </c>
      <c r="AN195" t="s">
        <v>430</v>
      </c>
    </row>
    <row r="196" spans="29:40" x14ac:dyDescent="0.45">
      <c r="AC196" t="s">
        <v>19</v>
      </c>
      <c r="AD196" t="s">
        <v>412</v>
      </c>
      <c r="AE196">
        <v>3.5698886224987637E-3</v>
      </c>
      <c r="AK196">
        <v>2037</v>
      </c>
      <c r="AL196" t="s">
        <v>169</v>
      </c>
      <c r="AM196">
        <v>0.36840000000000001</v>
      </c>
      <c r="AN196" t="s">
        <v>430</v>
      </c>
    </row>
    <row r="197" spans="29:40" x14ac:dyDescent="0.45">
      <c r="AC197" t="s">
        <v>19</v>
      </c>
      <c r="AD197" t="s">
        <v>413</v>
      </c>
      <c r="AE197">
        <v>3.5749377837653602E-3</v>
      </c>
      <c r="AK197">
        <v>2037</v>
      </c>
      <c r="AL197" t="s">
        <v>171</v>
      </c>
      <c r="AM197">
        <v>0.41909999999999997</v>
      </c>
      <c r="AN197" t="s">
        <v>430</v>
      </c>
    </row>
    <row r="198" spans="29:40" x14ac:dyDescent="0.45">
      <c r="AC198" t="s">
        <v>19</v>
      </c>
      <c r="AD198" t="s">
        <v>414</v>
      </c>
      <c r="AE198">
        <v>3.5768624326220112E-3</v>
      </c>
      <c r="AK198">
        <v>2037</v>
      </c>
      <c r="AL198" t="s">
        <v>158</v>
      </c>
      <c r="AM198">
        <v>0.51160000000000005</v>
      </c>
      <c r="AN198" t="s">
        <v>430</v>
      </c>
    </row>
    <row r="199" spans="29:40" x14ac:dyDescent="0.45">
      <c r="AC199" t="s">
        <v>19</v>
      </c>
      <c r="AD199" t="s">
        <v>415</v>
      </c>
      <c r="AE199">
        <v>2.5077684953513202E-2</v>
      </c>
      <c r="AK199">
        <v>2037</v>
      </c>
      <c r="AL199" t="s">
        <v>162</v>
      </c>
      <c r="AM199">
        <v>0.46989999999999998</v>
      </c>
      <c r="AN199" t="s">
        <v>430</v>
      </c>
    </row>
    <row r="200" spans="29:40" x14ac:dyDescent="0.45">
      <c r="AC200" t="s">
        <v>19</v>
      </c>
      <c r="AD200" t="s">
        <v>416</v>
      </c>
      <c r="AE200">
        <v>3.4962142493165835E-3</v>
      </c>
      <c r="AK200">
        <v>2037</v>
      </c>
      <c r="AL200" t="s">
        <v>175</v>
      </c>
      <c r="AM200">
        <v>0.36909999999999998</v>
      </c>
      <c r="AN200" t="s">
        <v>430</v>
      </c>
    </row>
    <row r="201" spans="29:40" x14ac:dyDescent="0.45">
      <c r="AC201" t="s">
        <v>19</v>
      </c>
      <c r="AD201" t="s">
        <v>417</v>
      </c>
      <c r="AE201">
        <v>3.4560444787390446E-3</v>
      </c>
      <c r="AK201">
        <v>2037</v>
      </c>
      <c r="AL201" t="s">
        <v>166</v>
      </c>
      <c r="AM201">
        <v>0.24529999999999999</v>
      </c>
      <c r="AN201" t="s">
        <v>430</v>
      </c>
    </row>
    <row r="202" spans="29:40" x14ac:dyDescent="0.45">
      <c r="AC202" t="s">
        <v>19</v>
      </c>
      <c r="AD202" t="s">
        <v>418</v>
      </c>
      <c r="AE202">
        <v>1.7272027717116094E-2</v>
      </c>
      <c r="AK202">
        <v>2037</v>
      </c>
      <c r="AL202" t="s">
        <v>178</v>
      </c>
      <c r="AM202">
        <v>0.21149999999999999</v>
      </c>
      <c r="AN202" t="s">
        <v>430</v>
      </c>
    </row>
    <row r="203" spans="29:40" x14ac:dyDescent="0.45">
      <c r="AK203">
        <v>2038</v>
      </c>
      <c r="AL203" t="s">
        <v>151</v>
      </c>
      <c r="AM203">
        <v>0.25059999999999999</v>
      </c>
      <c r="AN203" t="s">
        <v>430</v>
      </c>
    </row>
    <row r="204" spans="29:40" x14ac:dyDescent="0.45">
      <c r="AK204">
        <v>2038</v>
      </c>
      <c r="AL204" t="s">
        <v>156</v>
      </c>
      <c r="AM204">
        <v>0.2492</v>
      </c>
      <c r="AN204" t="s">
        <v>430</v>
      </c>
    </row>
    <row r="205" spans="29:40" x14ac:dyDescent="0.45">
      <c r="AK205">
        <v>2038</v>
      </c>
      <c r="AL205" t="s">
        <v>159</v>
      </c>
      <c r="AM205">
        <v>0.29260000000000003</v>
      </c>
      <c r="AN205" t="s">
        <v>430</v>
      </c>
    </row>
    <row r="206" spans="29:40" x14ac:dyDescent="0.45">
      <c r="AK206">
        <v>2038</v>
      </c>
      <c r="AL206" t="s">
        <v>163</v>
      </c>
      <c r="AM206">
        <v>0.28889999999999999</v>
      </c>
      <c r="AN206" t="s">
        <v>430</v>
      </c>
    </row>
    <row r="207" spans="29:40" x14ac:dyDescent="0.45">
      <c r="AK207">
        <v>2038</v>
      </c>
      <c r="AL207" t="s">
        <v>167</v>
      </c>
      <c r="AM207">
        <v>0.36449999999999999</v>
      </c>
      <c r="AN207" t="s">
        <v>430</v>
      </c>
    </row>
    <row r="208" spans="29:40" x14ac:dyDescent="0.45">
      <c r="AK208">
        <v>2038</v>
      </c>
      <c r="AL208" t="s">
        <v>169</v>
      </c>
      <c r="AM208">
        <v>0.45140000000000002</v>
      </c>
      <c r="AN208" t="s">
        <v>430</v>
      </c>
    </row>
    <row r="209" spans="37:40" x14ac:dyDescent="0.45">
      <c r="AK209">
        <v>2038</v>
      </c>
      <c r="AL209" t="s">
        <v>171</v>
      </c>
      <c r="AM209">
        <v>0.55969999999999998</v>
      </c>
      <c r="AN209" t="s">
        <v>430</v>
      </c>
    </row>
    <row r="210" spans="37:40" x14ac:dyDescent="0.45">
      <c r="AK210">
        <v>2038</v>
      </c>
      <c r="AL210" t="s">
        <v>158</v>
      </c>
      <c r="AM210">
        <v>0.68110000000000004</v>
      </c>
      <c r="AN210" t="s">
        <v>430</v>
      </c>
    </row>
    <row r="211" spans="37:40" x14ac:dyDescent="0.45">
      <c r="AK211">
        <v>2038</v>
      </c>
      <c r="AL211" t="s">
        <v>162</v>
      </c>
      <c r="AM211">
        <v>0.55200000000000005</v>
      </c>
      <c r="AN211" t="s">
        <v>430</v>
      </c>
    </row>
    <row r="212" spans="37:40" x14ac:dyDescent="0.45">
      <c r="AK212">
        <v>2038</v>
      </c>
      <c r="AL212" t="s">
        <v>175</v>
      </c>
      <c r="AM212">
        <v>0.46970000000000001</v>
      </c>
      <c r="AN212" t="s">
        <v>430</v>
      </c>
    </row>
    <row r="213" spans="37:40" x14ac:dyDescent="0.45">
      <c r="AK213">
        <v>2038</v>
      </c>
      <c r="AL213" t="s">
        <v>166</v>
      </c>
      <c r="AM213">
        <v>0.30249999999999999</v>
      </c>
      <c r="AN213" t="s">
        <v>430</v>
      </c>
    </row>
    <row r="214" spans="37:40" x14ac:dyDescent="0.45">
      <c r="AK214">
        <v>2038</v>
      </c>
      <c r="AL214" t="s">
        <v>178</v>
      </c>
      <c r="AM214">
        <v>0.2346</v>
      </c>
      <c r="AN214" t="s">
        <v>430</v>
      </c>
    </row>
    <row r="215" spans="37:40" x14ac:dyDescent="0.45">
      <c r="AK215">
        <v>2039</v>
      </c>
      <c r="AL215" t="s">
        <v>151</v>
      </c>
      <c r="AM215">
        <v>0.24049999999999999</v>
      </c>
      <c r="AN215" t="s">
        <v>430</v>
      </c>
    </row>
    <row r="216" spans="37:40" x14ac:dyDescent="0.45">
      <c r="AK216">
        <v>2039</v>
      </c>
      <c r="AL216" t="s">
        <v>156</v>
      </c>
      <c r="AM216">
        <v>0.26939999999999997</v>
      </c>
      <c r="AN216" t="s">
        <v>430</v>
      </c>
    </row>
    <row r="217" spans="37:40" x14ac:dyDescent="0.45">
      <c r="AK217">
        <v>2039</v>
      </c>
      <c r="AL217" t="s">
        <v>159</v>
      </c>
      <c r="AM217">
        <v>0.29699999999999999</v>
      </c>
      <c r="AN217" t="s">
        <v>430</v>
      </c>
    </row>
    <row r="218" spans="37:40" x14ac:dyDescent="0.45">
      <c r="AK218">
        <v>2039</v>
      </c>
      <c r="AL218" t="s">
        <v>163</v>
      </c>
      <c r="AM218">
        <v>0.3301</v>
      </c>
      <c r="AN218" t="s">
        <v>430</v>
      </c>
    </row>
    <row r="219" spans="37:40" x14ac:dyDescent="0.45">
      <c r="AK219">
        <v>2039</v>
      </c>
      <c r="AL219" t="s">
        <v>167</v>
      </c>
      <c r="AM219">
        <v>0.37990000000000002</v>
      </c>
      <c r="AN219" t="s">
        <v>430</v>
      </c>
    </row>
    <row r="220" spans="37:40" x14ac:dyDescent="0.45">
      <c r="AK220">
        <v>2039</v>
      </c>
      <c r="AL220" t="s">
        <v>169</v>
      </c>
      <c r="AM220">
        <v>0.43090000000000001</v>
      </c>
      <c r="AN220" t="s">
        <v>430</v>
      </c>
    </row>
    <row r="221" spans="37:40" x14ac:dyDescent="0.45">
      <c r="AK221">
        <v>2039</v>
      </c>
      <c r="AL221" t="s">
        <v>171</v>
      </c>
      <c r="AM221">
        <v>0.51549999999999996</v>
      </c>
      <c r="AN221" t="s">
        <v>430</v>
      </c>
    </row>
    <row r="222" spans="37:40" x14ac:dyDescent="0.45">
      <c r="AK222">
        <v>2039</v>
      </c>
      <c r="AL222" t="s">
        <v>158</v>
      </c>
      <c r="AM222">
        <v>0.67500000000000004</v>
      </c>
      <c r="AN222" t="s">
        <v>430</v>
      </c>
    </row>
    <row r="223" spans="37:40" x14ac:dyDescent="0.45">
      <c r="AK223">
        <v>2039</v>
      </c>
      <c r="AL223" t="s">
        <v>162</v>
      </c>
      <c r="AM223">
        <v>0.58899999999999997</v>
      </c>
      <c r="AN223" t="s">
        <v>430</v>
      </c>
    </row>
    <row r="224" spans="37:40" x14ac:dyDescent="0.45">
      <c r="AK224">
        <v>2039</v>
      </c>
      <c r="AL224" t="s">
        <v>175</v>
      </c>
      <c r="AM224">
        <v>0.4138</v>
      </c>
      <c r="AN224" t="s">
        <v>430</v>
      </c>
    </row>
    <row r="225" spans="37:40" x14ac:dyDescent="0.45">
      <c r="AK225">
        <v>2039</v>
      </c>
      <c r="AL225" t="s">
        <v>166</v>
      </c>
      <c r="AM225">
        <v>0.31369999999999998</v>
      </c>
      <c r="AN225" t="s">
        <v>430</v>
      </c>
    </row>
    <row r="226" spans="37:40" x14ac:dyDescent="0.45">
      <c r="AK226">
        <v>2039</v>
      </c>
      <c r="AL226" t="s">
        <v>178</v>
      </c>
      <c r="AM226">
        <v>0.25019999999999998</v>
      </c>
      <c r="AN226" t="s">
        <v>430</v>
      </c>
    </row>
    <row r="227" spans="37:40" x14ac:dyDescent="0.45">
      <c r="AK227">
        <v>2040</v>
      </c>
      <c r="AL227" t="s">
        <v>151</v>
      </c>
      <c r="AM227">
        <v>0.22800000000000001</v>
      </c>
      <c r="AN227" t="s">
        <v>430</v>
      </c>
    </row>
    <row r="228" spans="37:40" x14ac:dyDescent="0.45">
      <c r="AK228">
        <v>2040</v>
      </c>
      <c r="AL228" t="s">
        <v>156</v>
      </c>
      <c r="AM228">
        <v>0.28299999999999997</v>
      </c>
      <c r="AN228" t="s">
        <v>430</v>
      </c>
    </row>
    <row r="229" spans="37:40" x14ac:dyDescent="0.45">
      <c r="AK229">
        <v>2040</v>
      </c>
      <c r="AL229" t="s">
        <v>159</v>
      </c>
      <c r="AM229">
        <v>0.28399999999999997</v>
      </c>
      <c r="AN229" t="s">
        <v>430</v>
      </c>
    </row>
    <row r="230" spans="37:40" x14ac:dyDescent="0.45">
      <c r="AK230">
        <v>2040</v>
      </c>
      <c r="AL230" t="s">
        <v>163</v>
      </c>
      <c r="AM230">
        <v>0.33700000000000002</v>
      </c>
      <c r="AN230" t="s">
        <v>430</v>
      </c>
    </row>
    <row r="231" spans="37:40" x14ac:dyDescent="0.45">
      <c r="AK231">
        <v>2040</v>
      </c>
      <c r="AL231" t="s">
        <v>167</v>
      </c>
      <c r="AM231">
        <v>0.4254</v>
      </c>
      <c r="AN231" t="s">
        <v>430</v>
      </c>
    </row>
    <row r="232" spans="37:40" x14ac:dyDescent="0.45">
      <c r="AK232">
        <v>2040</v>
      </c>
      <c r="AL232" t="s">
        <v>169</v>
      </c>
      <c r="AM232">
        <v>0.50890000000000002</v>
      </c>
      <c r="AN232" t="s">
        <v>430</v>
      </c>
    </row>
    <row r="233" spans="37:40" x14ac:dyDescent="0.45">
      <c r="AK233">
        <v>2040</v>
      </c>
      <c r="AL233" t="s">
        <v>171</v>
      </c>
      <c r="AM233">
        <v>0.52200000000000002</v>
      </c>
      <c r="AN233" t="s">
        <v>430</v>
      </c>
    </row>
    <row r="234" spans="37:40" x14ac:dyDescent="0.45">
      <c r="AK234">
        <v>2040</v>
      </c>
      <c r="AL234" t="s">
        <v>158</v>
      </c>
      <c r="AM234">
        <v>0.65569999999999995</v>
      </c>
      <c r="AN234" t="s">
        <v>430</v>
      </c>
    </row>
    <row r="235" spans="37:40" x14ac:dyDescent="0.45">
      <c r="AK235">
        <v>2040</v>
      </c>
      <c r="AL235" t="s">
        <v>162</v>
      </c>
      <c r="AM235">
        <v>0.58709999999999996</v>
      </c>
      <c r="AN235" t="s">
        <v>430</v>
      </c>
    </row>
    <row r="236" spans="37:40" x14ac:dyDescent="0.45">
      <c r="AK236">
        <v>2040</v>
      </c>
      <c r="AL236" t="s">
        <v>175</v>
      </c>
      <c r="AM236">
        <v>0.45350000000000001</v>
      </c>
      <c r="AN236" t="s">
        <v>430</v>
      </c>
    </row>
    <row r="237" spans="37:40" x14ac:dyDescent="0.45">
      <c r="AK237">
        <v>2040</v>
      </c>
      <c r="AL237" t="s">
        <v>166</v>
      </c>
      <c r="AM237">
        <v>0.29239999999999999</v>
      </c>
      <c r="AN237" t="s">
        <v>430</v>
      </c>
    </row>
    <row r="238" spans="37:40" x14ac:dyDescent="0.45">
      <c r="AK238">
        <v>2040</v>
      </c>
      <c r="AL238" t="s">
        <v>178</v>
      </c>
      <c r="AM238">
        <v>0.26829999999999998</v>
      </c>
      <c r="AN238" t="s">
        <v>430</v>
      </c>
    </row>
    <row r="239" spans="37:40" x14ac:dyDescent="0.45">
      <c r="AK239">
        <v>2041</v>
      </c>
      <c r="AL239" t="s">
        <v>151</v>
      </c>
      <c r="AM239">
        <v>0.26200000000000001</v>
      </c>
      <c r="AN239" t="s">
        <v>430</v>
      </c>
    </row>
    <row r="240" spans="37:40" x14ac:dyDescent="0.45">
      <c r="AK240">
        <v>2041</v>
      </c>
      <c r="AL240" t="s">
        <v>156</v>
      </c>
      <c r="AM240">
        <v>0.23749999999999999</v>
      </c>
      <c r="AN240" t="s">
        <v>430</v>
      </c>
    </row>
    <row r="241" spans="37:40" x14ac:dyDescent="0.45">
      <c r="AK241">
        <v>2041</v>
      </c>
      <c r="AL241" t="s">
        <v>159</v>
      </c>
      <c r="AM241">
        <v>0.24540000000000001</v>
      </c>
      <c r="AN241" t="s">
        <v>430</v>
      </c>
    </row>
    <row r="242" spans="37:40" x14ac:dyDescent="0.45">
      <c r="AK242">
        <v>2041</v>
      </c>
      <c r="AL242" t="s">
        <v>163</v>
      </c>
      <c r="AM242">
        <v>0.31740000000000002</v>
      </c>
      <c r="AN242" t="s">
        <v>430</v>
      </c>
    </row>
    <row r="243" spans="37:40" x14ac:dyDescent="0.45">
      <c r="AK243">
        <v>2041</v>
      </c>
      <c r="AL243" t="s">
        <v>167</v>
      </c>
      <c r="AM243">
        <v>0.36209999999999998</v>
      </c>
      <c r="AN243" t="s">
        <v>430</v>
      </c>
    </row>
    <row r="244" spans="37:40" x14ac:dyDescent="0.45">
      <c r="AK244">
        <v>2041</v>
      </c>
      <c r="AL244" t="s">
        <v>169</v>
      </c>
      <c r="AM244">
        <v>0.49740000000000001</v>
      </c>
      <c r="AN244" t="s">
        <v>430</v>
      </c>
    </row>
    <row r="245" spans="37:40" x14ac:dyDescent="0.45">
      <c r="AK245">
        <v>2041</v>
      </c>
      <c r="AL245" t="s">
        <v>171</v>
      </c>
      <c r="AM245">
        <v>0.5675</v>
      </c>
      <c r="AN245" t="s">
        <v>430</v>
      </c>
    </row>
    <row r="246" spans="37:40" x14ac:dyDescent="0.45">
      <c r="AK246">
        <v>2041</v>
      </c>
      <c r="AL246" t="s">
        <v>158</v>
      </c>
      <c r="AM246">
        <v>0.58599999999999997</v>
      </c>
      <c r="AN246" t="s">
        <v>430</v>
      </c>
    </row>
    <row r="247" spans="37:40" x14ac:dyDescent="0.45">
      <c r="AK247">
        <v>2041</v>
      </c>
      <c r="AL247" t="s">
        <v>162</v>
      </c>
      <c r="AM247">
        <v>0.56489999999999996</v>
      </c>
      <c r="AN247" t="s">
        <v>430</v>
      </c>
    </row>
    <row r="248" spans="37:40" x14ac:dyDescent="0.45">
      <c r="AK248">
        <v>2041</v>
      </c>
      <c r="AL248" t="s">
        <v>175</v>
      </c>
      <c r="AM248">
        <v>0.44280000000000003</v>
      </c>
      <c r="AN248" t="s">
        <v>430</v>
      </c>
    </row>
    <row r="249" spans="37:40" x14ac:dyDescent="0.45">
      <c r="AK249">
        <v>2041</v>
      </c>
      <c r="AL249" t="s">
        <v>166</v>
      </c>
      <c r="AM249">
        <v>0.30370000000000003</v>
      </c>
      <c r="AN249" t="s">
        <v>430</v>
      </c>
    </row>
    <row r="250" spans="37:40" x14ac:dyDescent="0.45">
      <c r="AK250">
        <v>2041</v>
      </c>
      <c r="AL250" t="s">
        <v>178</v>
      </c>
      <c r="AM250">
        <v>0.23799999999999999</v>
      </c>
      <c r="AN250" t="s">
        <v>430</v>
      </c>
    </row>
    <row r="251" spans="37:40" x14ac:dyDescent="0.45">
      <c r="AK251">
        <v>2042</v>
      </c>
      <c r="AL251" t="s">
        <v>151</v>
      </c>
      <c r="AM251">
        <v>0.26429999999999998</v>
      </c>
      <c r="AN251" t="s">
        <v>430</v>
      </c>
    </row>
    <row r="252" spans="37:40" x14ac:dyDescent="0.45">
      <c r="AK252">
        <v>2042</v>
      </c>
      <c r="AL252" t="s">
        <v>156</v>
      </c>
      <c r="AM252">
        <v>0.25679999999999997</v>
      </c>
      <c r="AN252" t="s">
        <v>430</v>
      </c>
    </row>
    <row r="253" spans="37:40" x14ac:dyDescent="0.45">
      <c r="AK253">
        <v>2042</v>
      </c>
      <c r="AL253" t="s">
        <v>159</v>
      </c>
      <c r="AM253">
        <v>0.27039999999999997</v>
      </c>
      <c r="AN253" t="s">
        <v>430</v>
      </c>
    </row>
    <row r="254" spans="37:40" x14ac:dyDescent="0.45">
      <c r="AK254">
        <v>2042</v>
      </c>
      <c r="AL254" t="s">
        <v>163</v>
      </c>
      <c r="AM254">
        <v>0.31369999999999998</v>
      </c>
      <c r="AN254" t="s">
        <v>430</v>
      </c>
    </row>
    <row r="255" spans="37:40" x14ac:dyDescent="0.45">
      <c r="AK255">
        <v>2042</v>
      </c>
      <c r="AL255" t="s">
        <v>167</v>
      </c>
      <c r="AM255">
        <v>0.37490000000000001</v>
      </c>
      <c r="AN255" t="s">
        <v>430</v>
      </c>
    </row>
    <row r="256" spans="37:40" x14ac:dyDescent="0.45">
      <c r="AK256">
        <v>2042</v>
      </c>
      <c r="AL256" t="s">
        <v>169</v>
      </c>
      <c r="AM256">
        <v>0.47310000000000002</v>
      </c>
      <c r="AN256" t="s">
        <v>430</v>
      </c>
    </row>
    <row r="257" spans="37:40" x14ac:dyDescent="0.45">
      <c r="AK257">
        <v>2042</v>
      </c>
      <c r="AL257" t="s">
        <v>171</v>
      </c>
      <c r="AM257">
        <v>0.57569999999999999</v>
      </c>
      <c r="AN257" t="s">
        <v>430</v>
      </c>
    </row>
    <row r="258" spans="37:40" x14ac:dyDescent="0.45">
      <c r="AK258">
        <v>2042</v>
      </c>
      <c r="AL258" t="s">
        <v>158</v>
      </c>
      <c r="AM258">
        <v>0.65210000000000001</v>
      </c>
      <c r="AN258" t="s">
        <v>430</v>
      </c>
    </row>
    <row r="259" spans="37:40" x14ac:dyDescent="0.45">
      <c r="AK259">
        <v>2042</v>
      </c>
      <c r="AL259" t="s">
        <v>162</v>
      </c>
      <c r="AM259">
        <v>0.62780000000000002</v>
      </c>
      <c r="AN259" t="s">
        <v>430</v>
      </c>
    </row>
    <row r="260" spans="37:40" x14ac:dyDescent="0.45">
      <c r="AK260">
        <v>2042</v>
      </c>
      <c r="AL260" t="s">
        <v>175</v>
      </c>
      <c r="AM260">
        <v>0.4456</v>
      </c>
      <c r="AN260" t="s">
        <v>430</v>
      </c>
    </row>
    <row r="261" spans="37:40" x14ac:dyDescent="0.45">
      <c r="AK261">
        <v>2042</v>
      </c>
      <c r="AL261" t="s">
        <v>166</v>
      </c>
      <c r="AM261">
        <v>0.26819999999999999</v>
      </c>
      <c r="AN261" t="s">
        <v>430</v>
      </c>
    </row>
    <row r="262" spans="37:40" x14ac:dyDescent="0.45">
      <c r="AK262">
        <v>2042</v>
      </c>
      <c r="AL262" t="s">
        <v>178</v>
      </c>
      <c r="AM262">
        <v>0.2495</v>
      </c>
      <c r="AN262" t="s">
        <v>430</v>
      </c>
    </row>
    <row r="263" spans="37:40" x14ac:dyDescent="0.45">
      <c r="AK263">
        <v>2043</v>
      </c>
      <c r="AL263" t="s">
        <v>151</v>
      </c>
      <c r="AM263">
        <v>0.20649999999999999</v>
      </c>
      <c r="AN263" t="s">
        <v>430</v>
      </c>
    </row>
    <row r="264" spans="37:40" x14ac:dyDescent="0.45">
      <c r="AK264">
        <v>2043</v>
      </c>
      <c r="AL264" t="s">
        <v>156</v>
      </c>
      <c r="AM264">
        <v>0.22689999999999999</v>
      </c>
      <c r="AN264" t="s">
        <v>430</v>
      </c>
    </row>
    <row r="265" spans="37:40" x14ac:dyDescent="0.45">
      <c r="AK265">
        <v>2043</v>
      </c>
      <c r="AL265" t="s">
        <v>159</v>
      </c>
      <c r="AM265">
        <v>0.2432</v>
      </c>
      <c r="AN265" t="s">
        <v>430</v>
      </c>
    </row>
    <row r="266" spans="37:40" x14ac:dyDescent="0.45">
      <c r="AK266">
        <v>2043</v>
      </c>
      <c r="AL266" t="s">
        <v>163</v>
      </c>
      <c r="AM266">
        <v>0.29039999999999999</v>
      </c>
      <c r="AN266" t="s">
        <v>430</v>
      </c>
    </row>
    <row r="267" spans="37:40" x14ac:dyDescent="0.45">
      <c r="AK267">
        <v>2043</v>
      </c>
      <c r="AL267" t="s">
        <v>167</v>
      </c>
      <c r="AM267">
        <v>0.35849999999999999</v>
      </c>
      <c r="AN267" t="s">
        <v>430</v>
      </c>
    </row>
    <row r="268" spans="37:40" x14ac:dyDescent="0.45">
      <c r="AK268">
        <v>2043</v>
      </c>
      <c r="AL268" t="s">
        <v>169</v>
      </c>
      <c r="AM268">
        <v>0.39379999999999998</v>
      </c>
      <c r="AN268" t="s">
        <v>430</v>
      </c>
    </row>
    <row r="269" spans="37:40" x14ac:dyDescent="0.45">
      <c r="AK269">
        <v>2043</v>
      </c>
      <c r="AL269" t="s">
        <v>171</v>
      </c>
      <c r="AM269">
        <v>0.47339999999999999</v>
      </c>
      <c r="AN269" t="s">
        <v>430</v>
      </c>
    </row>
    <row r="270" spans="37:40" x14ac:dyDescent="0.45">
      <c r="AK270">
        <v>2043</v>
      </c>
      <c r="AL270" t="s">
        <v>158</v>
      </c>
      <c r="AM270">
        <v>0.51900000000000002</v>
      </c>
      <c r="AN270" t="s">
        <v>430</v>
      </c>
    </row>
    <row r="271" spans="37:40" x14ac:dyDescent="0.45">
      <c r="AK271">
        <v>2043</v>
      </c>
      <c r="AL271" t="s">
        <v>162</v>
      </c>
      <c r="AM271">
        <v>0.55069999999999997</v>
      </c>
      <c r="AN271" t="s">
        <v>430</v>
      </c>
    </row>
    <row r="272" spans="37:40" x14ac:dyDescent="0.45">
      <c r="AK272">
        <v>2043</v>
      </c>
      <c r="AL272" t="s">
        <v>175</v>
      </c>
      <c r="AM272">
        <v>0.3947</v>
      </c>
      <c r="AN272" t="s">
        <v>430</v>
      </c>
    </row>
    <row r="273" spans="37:40" x14ac:dyDescent="0.45">
      <c r="AK273">
        <v>2043</v>
      </c>
      <c r="AL273" t="s">
        <v>166</v>
      </c>
      <c r="AM273">
        <v>0.25729999999999997</v>
      </c>
      <c r="AN273" t="s">
        <v>430</v>
      </c>
    </row>
    <row r="274" spans="37:40" x14ac:dyDescent="0.45">
      <c r="AK274">
        <v>2043</v>
      </c>
      <c r="AL274" t="s">
        <v>178</v>
      </c>
      <c r="AM274">
        <v>0.20860000000000001</v>
      </c>
      <c r="AN274" t="s">
        <v>430</v>
      </c>
    </row>
    <row r="275" spans="37:40" x14ac:dyDescent="0.45">
      <c r="AK275">
        <v>2044</v>
      </c>
      <c r="AL275" t="s">
        <v>151</v>
      </c>
      <c r="AM275">
        <v>0.1875</v>
      </c>
      <c r="AN275" t="s">
        <v>430</v>
      </c>
    </row>
    <row r="276" spans="37:40" x14ac:dyDescent="0.45">
      <c r="AK276">
        <v>2044</v>
      </c>
      <c r="AL276" t="s">
        <v>156</v>
      </c>
      <c r="AM276">
        <v>0.2233</v>
      </c>
      <c r="AN276" t="s">
        <v>430</v>
      </c>
    </row>
    <row r="277" spans="37:40" x14ac:dyDescent="0.45">
      <c r="AK277">
        <v>2044</v>
      </c>
      <c r="AL277" t="s">
        <v>159</v>
      </c>
      <c r="AM277">
        <v>0.21510000000000001</v>
      </c>
      <c r="AN277" t="s">
        <v>430</v>
      </c>
    </row>
    <row r="278" spans="37:40" x14ac:dyDescent="0.45">
      <c r="AK278">
        <v>2044</v>
      </c>
      <c r="AL278" t="s">
        <v>163</v>
      </c>
      <c r="AM278">
        <v>0.2571</v>
      </c>
      <c r="AN278" t="s">
        <v>430</v>
      </c>
    </row>
    <row r="279" spans="37:40" x14ac:dyDescent="0.45">
      <c r="AK279">
        <v>2044</v>
      </c>
      <c r="AL279" t="s">
        <v>167</v>
      </c>
      <c r="AM279">
        <v>0.32579999999999998</v>
      </c>
      <c r="AN279" t="s">
        <v>430</v>
      </c>
    </row>
    <row r="280" spans="37:40" x14ac:dyDescent="0.45">
      <c r="AK280">
        <v>2044</v>
      </c>
      <c r="AL280" t="s">
        <v>169</v>
      </c>
      <c r="AM280">
        <v>0.40600000000000003</v>
      </c>
      <c r="AN280" t="s">
        <v>430</v>
      </c>
    </row>
    <row r="281" spans="37:40" x14ac:dyDescent="0.45">
      <c r="AK281">
        <v>2044</v>
      </c>
      <c r="AL281" t="s">
        <v>171</v>
      </c>
      <c r="AM281">
        <v>0.48859999999999998</v>
      </c>
      <c r="AN281" t="s">
        <v>430</v>
      </c>
    </row>
    <row r="282" spans="37:40" x14ac:dyDescent="0.45">
      <c r="AK282">
        <v>2044</v>
      </c>
      <c r="AL282" t="s">
        <v>158</v>
      </c>
      <c r="AM282">
        <v>0.50839999999999996</v>
      </c>
      <c r="AN282" t="s">
        <v>430</v>
      </c>
    </row>
    <row r="283" spans="37:40" x14ac:dyDescent="0.45">
      <c r="AK283">
        <v>2044</v>
      </c>
      <c r="AL283" t="s">
        <v>162</v>
      </c>
      <c r="AM283">
        <v>0.56679999999999997</v>
      </c>
      <c r="AN283" t="s">
        <v>430</v>
      </c>
    </row>
    <row r="284" spans="37:40" x14ac:dyDescent="0.45">
      <c r="AK284">
        <v>2044</v>
      </c>
      <c r="AL284" t="s">
        <v>175</v>
      </c>
      <c r="AM284">
        <v>0.40250000000000002</v>
      </c>
      <c r="AN284" t="s">
        <v>430</v>
      </c>
    </row>
    <row r="285" spans="37:40" x14ac:dyDescent="0.45">
      <c r="AK285">
        <v>2044</v>
      </c>
      <c r="AL285" t="s">
        <v>166</v>
      </c>
      <c r="AM285">
        <v>0.2661</v>
      </c>
      <c r="AN285" t="s">
        <v>430</v>
      </c>
    </row>
    <row r="286" spans="37:40" x14ac:dyDescent="0.45">
      <c r="AK286">
        <v>2044</v>
      </c>
      <c r="AL286" t="s">
        <v>178</v>
      </c>
      <c r="AM286">
        <v>0.20949999999999999</v>
      </c>
      <c r="AN286" t="s">
        <v>430</v>
      </c>
    </row>
    <row r="287" spans="37:40" x14ac:dyDescent="0.45">
      <c r="AK287">
        <v>2045</v>
      </c>
      <c r="AL287" t="s">
        <v>151</v>
      </c>
      <c r="AM287">
        <v>0.19539999999999999</v>
      </c>
      <c r="AN287" t="s">
        <v>430</v>
      </c>
    </row>
    <row r="288" spans="37:40" x14ac:dyDescent="0.45">
      <c r="AK288">
        <v>2045</v>
      </c>
      <c r="AL288" t="s">
        <v>156</v>
      </c>
      <c r="AM288">
        <v>0.20150000000000001</v>
      </c>
      <c r="AN288" t="s">
        <v>430</v>
      </c>
    </row>
    <row r="289" spans="37:40" x14ac:dyDescent="0.45">
      <c r="AK289">
        <v>2045</v>
      </c>
      <c r="AL289" t="s">
        <v>159</v>
      </c>
      <c r="AM289">
        <v>0.20799999999999999</v>
      </c>
      <c r="AN289" t="s">
        <v>430</v>
      </c>
    </row>
    <row r="290" spans="37:40" x14ac:dyDescent="0.45">
      <c r="AK290">
        <v>2045</v>
      </c>
      <c r="AL290" t="s">
        <v>163</v>
      </c>
      <c r="AM290">
        <v>0.2586</v>
      </c>
      <c r="AN290" t="s">
        <v>430</v>
      </c>
    </row>
    <row r="291" spans="37:40" x14ac:dyDescent="0.45">
      <c r="AK291">
        <v>2045</v>
      </c>
      <c r="AL291" t="s">
        <v>167</v>
      </c>
      <c r="AM291">
        <v>0.34899999999999998</v>
      </c>
      <c r="AN291" t="s">
        <v>430</v>
      </c>
    </row>
    <row r="292" spans="37:40" x14ac:dyDescent="0.45">
      <c r="AK292">
        <v>2045</v>
      </c>
      <c r="AL292" t="s">
        <v>169</v>
      </c>
      <c r="AM292">
        <v>0.40789999999999998</v>
      </c>
      <c r="AN292" t="s">
        <v>430</v>
      </c>
    </row>
    <row r="293" spans="37:40" x14ac:dyDescent="0.45">
      <c r="AK293">
        <v>2045</v>
      </c>
      <c r="AL293" t="s">
        <v>171</v>
      </c>
      <c r="AM293">
        <v>0.47410000000000002</v>
      </c>
      <c r="AN293" t="s">
        <v>430</v>
      </c>
    </row>
    <row r="294" spans="37:40" x14ac:dyDescent="0.45">
      <c r="AK294">
        <v>2045</v>
      </c>
      <c r="AL294" t="s">
        <v>158</v>
      </c>
      <c r="AM294">
        <v>0.5262</v>
      </c>
      <c r="AN294" t="s">
        <v>430</v>
      </c>
    </row>
    <row r="295" spans="37:40" x14ac:dyDescent="0.45">
      <c r="AK295">
        <v>2045</v>
      </c>
      <c r="AL295" t="s">
        <v>162</v>
      </c>
      <c r="AM295">
        <v>0.47910000000000003</v>
      </c>
      <c r="AN295" t="s">
        <v>430</v>
      </c>
    </row>
    <row r="296" spans="37:40" x14ac:dyDescent="0.45">
      <c r="AK296">
        <v>2045</v>
      </c>
      <c r="AL296" t="s">
        <v>175</v>
      </c>
      <c r="AM296">
        <v>0.39600000000000002</v>
      </c>
      <c r="AN296" t="s">
        <v>430</v>
      </c>
    </row>
    <row r="297" spans="37:40" x14ac:dyDescent="0.45">
      <c r="AK297">
        <v>2045</v>
      </c>
      <c r="AL297" t="s">
        <v>166</v>
      </c>
      <c r="AM297">
        <v>0.24790000000000001</v>
      </c>
      <c r="AN297" t="s">
        <v>430</v>
      </c>
    </row>
    <row r="298" spans="37:40" x14ac:dyDescent="0.45">
      <c r="AK298">
        <v>2045</v>
      </c>
      <c r="AL298" t="s">
        <v>178</v>
      </c>
      <c r="AM298">
        <v>0.21460000000000001</v>
      </c>
      <c r="AN298" t="s">
        <v>430</v>
      </c>
    </row>
    <row r="299" spans="37:40" x14ac:dyDescent="0.45">
      <c r="AK299">
        <v>2046</v>
      </c>
      <c r="AL299" t="s">
        <v>151</v>
      </c>
      <c r="AM299">
        <v>0.2016</v>
      </c>
      <c r="AN299" t="s">
        <v>430</v>
      </c>
    </row>
    <row r="300" spans="37:40" x14ac:dyDescent="0.45">
      <c r="AK300">
        <v>2046</v>
      </c>
      <c r="AL300" t="s">
        <v>156</v>
      </c>
      <c r="AM300">
        <v>0.24</v>
      </c>
      <c r="AN300" t="s">
        <v>430</v>
      </c>
    </row>
    <row r="301" spans="37:40" x14ac:dyDescent="0.45">
      <c r="AK301">
        <v>2046</v>
      </c>
      <c r="AL301" t="s">
        <v>159</v>
      </c>
      <c r="AM301">
        <v>0.2167</v>
      </c>
      <c r="AN301" t="s">
        <v>430</v>
      </c>
    </row>
    <row r="302" spans="37:40" x14ac:dyDescent="0.45">
      <c r="AK302">
        <v>2046</v>
      </c>
      <c r="AL302" t="s">
        <v>163</v>
      </c>
      <c r="AM302">
        <v>0.2697</v>
      </c>
      <c r="AN302" t="s">
        <v>430</v>
      </c>
    </row>
    <row r="303" spans="37:40" x14ac:dyDescent="0.45">
      <c r="AK303">
        <v>2046</v>
      </c>
      <c r="AL303" t="s">
        <v>167</v>
      </c>
      <c r="AM303">
        <v>0.33960000000000001</v>
      </c>
      <c r="AN303" t="s">
        <v>430</v>
      </c>
    </row>
    <row r="304" spans="37:40" x14ac:dyDescent="0.45">
      <c r="AK304">
        <v>2046</v>
      </c>
      <c r="AL304" t="s">
        <v>169</v>
      </c>
      <c r="AM304">
        <v>0.41599999999999998</v>
      </c>
      <c r="AN304" t="s">
        <v>430</v>
      </c>
    </row>
    <row r="305" spans="37:40" x14ac:dyDescent="0.45">
      <c r="AK305">
        <v>2046</v>
      </c>
      <c r="AL305" t="s">
        <v>171</v>
      </c>
      <c r="AM305">
        <v>0.50360000000000005</v>
      </c>
      <c r="AN305" t="s">
        <v>430</v>
      </c>
    </row>
    <row r="306" spans="37:40" x14ac:dyDescent="0.45">
      <c r="AK306">
        <v>2046</v>
      </c>
      <c r="AL306" t="s">
        <v>158</v>
      </c>
      <c r="AM306">
        <v>0.56840000000000002</v>
      </c>
      <c r="AN306" t="s">
        <v>430</v>
      </c>
    </row>
    <row r="307" spans="37:40" x14ac:dyDescent="0.45">
      <c r="AK307">
        <v>2046</v>
      </c>
      <c r="AL307" t="s">
        <v>162</v>
      </c>
      <c r="AM307">
        <v>0.46850000000000003</v>
      </c>
      <c r="AN307" t="s">
        <v>430</v>
      </c>
    </row>
    <row r="308" spans="37:40" x14ac:dyDescent="0.45">
      <c r="AK308">
        <v>2046</v>
      </c>
      <c r="AL308" t="s">
        <v>175</v>
      </c>
      <c r="AM308">
        <v>0.40810000000000002</v>
      </c>
      <c r="AN308" t="s">
        <v>430</v>
      </c>
    </row>
    <row r="309" spans="37:40" x14ac:dyDescent="0.45">
      <c r="AK309">
        <v>2046</v>
      </c>
      <c r="AL309" t="s">
        <v>166</v>
      </c>
      <c r="AM309">
        <v>0.26860000000000001</v>
      </c>
      <c r="AN309" t="s">
        <v>430</v>
      </c>
    </row>
    <row r="310" spans="37:40" x14ac:dyDescent="0.45">
      <c r="AK310">
        <v>2046</v>
      </c>
      <c r="AL310" t="s">
        <v>178</v>
      </c>
      <c r="AM310">
        <v>0.2026</v>
      </c>
      <c r="AN310" t="s">
        <v>430</v>
      </c>
    </row>
    <row r="311" spans="37:40" x14ac:dyDescent="0.45">
      <c r="AK311">
        <v>2047</v>
      </c>
      <c r="AL311" t="s">
        <v>151</v>
      </c>
      <c r="AM311">
        <v>0.2195</v>
      </c>
      <c r="AN311" t="s">
        <v>430</v>
      </c>
    </row>
    <row r="312" spans="37:40" x14ac:dyDescent="0.45">
      <c r="AK312">
        <v>2047</v>
      </c>
      <c r="AL312" t="s">
        <v>156</v>
      </c>
      <c r="AM312">
        <v>0.1981</v>
      </c>
      <c r="AN312" t="s">
        <v>430</v>
      </c>
    </row>
    <row r="313" spans="37:40" x14ac:dyDescent="0.45">
      <c r="AK313">
        <v>2047</v>
      </c>
      <c r="AL313" t="s">
        <v>159</v>
      </c>
      <c r="AM313">
        <v>0.23569999999999999</v>
      </c>
      <c r="AN313" t="s">
        <v>430</v>
      </c>
    </row>
    <row r="314" spans="37:40" x14ac:dyDescent="0.45">
      <c r="AK314">
        <v>2047</v>
      </c>
      <c r="AL314" t="s">
        <v>163</v>
      </c>
      <c r="AM314">
        <v>0.25569999999999998</v>
      </c>
      <c r="AN314" t="s">
        <v>430</v>
      </c>
    </row>
    <row r="315" spans="37:40" x14ac:dyDescent="0.45">
      <c r="AK315">
        <v>2047</v>
      </c>
      <c r="AL315" t="s">
        <v>167</v>
      </c>
      <c r="AM315">
        <v>0.31019999999999998</v>
      </c>
      <c r="AN315" t="s">
        <v>430</v>
      </c>
    </row>
    <row r="316" spans="37:40" x14ac:dyDescent="0.45">
      <c r="AK316">
        <v>2047</v>
      </c>
      <c r="AL316" t="s">
        <v>169</v>
      </c>
      <c r="AM316">
        <v>0.3906</v>
      </c>
      <c r="AN316" t="s">
        <v>430</v>
      </c>
    </row>
    <row r="317" spans="37:40" x14ac:dyDescent="0.45">
      <c r="AK317">
        <v>2047</v>
      </c>
      <c r="AL317" t="s">
        <v>171</v>
      </c>
      <c r="AM317">
        <v>0.50639999999999996</v>
      </c>
      <c r="AN317" t="s">
        <v>430</v>
      </c>
    </row>
    <row r="318" spans="37:40" x14ac:dyDescent="0.45">
      <c r="AK318">
        <v>2047</v>
      </c>
      <c r="AL318" t="s">
        <v>158</v>
      </c>
      <c r="AM318">
        <v>0.51190000000000002</v>
      </c>
      <c r="AN318" t="s">
        <v>430</v>
      </c>
    </row>
    <row r="319" spans="37:40" x14ac:dyDescent="0.45">
      <c r="AK319">
        <v>2047</v>
      </c>
      <c r="AL319" t="s">
        <v>162</v>
      </c>
      <c r="AM319">
        <v>0.47810000000000002</v>
      </c>
      <c r="AN319" t="s">
        <v>430</v>
      </c>
    </row>
    <row r="320" spans="37:40" x14ac:dyDescent="0.45">
      <c r="AK320">
        <v>2047</v>
      </c>
      <c r="AL320" t="s">
        <v>175</v>
      </c>
      <c r="AM320">
        <v>0.38640000000000002</v>
      </c>
      <c r="AN320" t="s">
        <v>430</v>
      </c>
    </row>
    <row r="321" spans="37:40" x14ac:dyDescent="0.45">
      <c r="AK321">
        <v>2047</v>
      </c>
      <c r="AL321" t="s">
        <v>166</v>
      </c>
      <c r="AM321">
        <v>0.23719999999999999</v>
      </c>
      <c r="AN321" t="s">
        <v>430</v>
      </c>
    </row>
    <row r="322" spans="37:40" x14ac:dyDescent="0.45">
      <c r="AK322">
        <v>2047</v>
      </c>
      <c r="AL322" t="s">
        <v>178</v>
      </c>
      <c r="AM322">
        <v>0.2117</v>
      </c>
      <c r="AN322" t="s">
        <v>430</v>
      </c>
    </row>
    <row r="323" spans="37:40" x14ac:dyDescent="0.45">
      <c r="AK323">
        <v>2048</v>
      </c>
      <c r="AL323" t="s">
        <v>151</v>
      </c>
      <c r="AM323">
        <v>0.22040000000000001</v>
      </c>
      <c r="AN323" t="s">
        <v>430</v>
      </c>
    </row>
    <row r="324" spans="37:40" x14ac:dyDescent="0.45">
      <c r="AK324">
        <v>2048</v>
      </c>
      <c r="AL324" t="s">
        <v>156</v>
      </c>
      <c r="AM324">
        <v>0.28149999999999997</v>
      </c>
      <c r="AN324" t="s">
        <v>430</v>
      </c>
    </row>
    <row r="325" spans="37:40" x14ac:dyDescent="0.45">
      <c r="AK325">
        <v>2048</v>
      </c>
      <c r="AL325" t="s">
        <v>159</v>
      </c>
      <c r="AM325">
        <v>0.2843</v>
      </c>
      <c r="AN325" t="s">
        <v>430</v>
      </c>
    </row>
    <row r="326" spans="37:40" x14ac:dyDescent="0.45">
      <c r="AK326">
        <v>2048</v>
      </c>
      <c r="AL326" t="s">
        <v>163</v>
      </c>
      <c r="AM326">
        <v>0.32700000000000001</v>
      </c>
      <c r="AN326" t="s">
        <v>430</v>
      </c>
    </row>
    <row r="327" spans="37:40" x14ac:dyDescent="0.45">
      <c r="AK327">
        <v>2048</v>
      </c>
      <c r="AL327" t="s">
        <v>167</v>
      </c>
      <c r="AM327">
        <v>0.36180000000000001</v>
      </c>
      <c r="AN327" t="s">
        <v>430</v>
      </c>
    </row>
    <row r="328" spans="37:40" x14ac:dyDescent="0.45">
      <c r="AK328">
        <v>2048</v>
      </c>
      <c r="AL328" t="s">
        <v>169</v>
      </c>
      <c r="AM328">
        <v>0.43369999999999997</v>
      </c>
      <c r="AN328" t="s">
        <v>430</v>
      </c>
    </row>
    <row r="329" spans="37:40" x14ac:dyDescent="0.45">
      <c r="AK329">
        <v>2048</v>
      </c>
      <c r="AL329" t="s">
        <v>171</v>
      </c>
      <c r="AM329">
        <v>0.49049999999999999</v>
      </c>
      <c r="AN329" t="s">
        <v>430</v>
      </c>
    </row>
    <row r="330" spans="37:40" x14ac:dyDescent="0.45">
      <c r="AK330">
        <v>2048</v>
      </c>
      <c r="AL330" t="s">
        <v>158</v>
      </c>
      <c r="AM330">
        <v>0.59040000000000004</v>
      </c>
      <c r="AN330" t="s">
        <v>430</v>
      </c>
    </row>
    <row r="331" spans="37:40" x14ac:dyDescent="0.45">
      <c r="AK331">
        <v>2048</v>
      </c>
      <c r="AL331" t="s">
        <v>162</v>
      </c>
      <c r="AM331">
        <v>0.62460000000000004</v>
      </c>
      <c r="AN331" t="s">
        <v>430</v>
      </c>
    </row>
    <row r="332" spans="37:40" x14ac:dyDescent="0.45">
      <c r="AK332">
        <v>2048</v>
      </c>
      <c r="AL332" t="s">
        <v>175</v>
      </c>
      <c r="AM332">
        <v>0.45900000000000002</v>
      </c>
      <c r="AN332" t="s">
        <v>430</v>
      </c>
    </row>
    <row r="333" spans="37:40" x14ac:dyDescent="0.45">
      <c r="AK333">
        <v>2048</v>
      </c>
      <c r="AL333" t="s">
        <v>166</v>
      </c>
      <c r="AM333">
        <v>0.30590000000000001</v>
      </c>
      <c r="AN333" t="s">
        <v>430</v>
      </c>
    </row>
    <row r="334" spans="37:40" x14ac:dyDescent="0.45">
      <c r="AK334">
        <v>2048</v>
      </c>
      <c r="AL334" t="s">
        <v>178</v>
      </c>
      <c r="AM334">
        <v>0.23100000000000001</v>
      </c>
      <c r="AN334" t="s">
        <v>430</v>
      </c>
    </row>
    <row r="335" spans="37:40" x14ac:dyDescent="0.45">
      <c r="AK335">
        <v>2049</v>
      </c>
      <c r="AL335" t="s">
        <v>151</v>
      </c>
      <c r="AM335">
        <v>0.28820000000000001</v>
      </c>
      <c r="AN335" t="s">
        <v>430</v>
      </c>
    </row>
    <row r="336" spans="37:40" x14ac:dyDescent="0.45">
      <c r="AK336">
        <v>2049</v>
      </c>
      <c r="AL336" t="s">
        <v>156</v>
      </c>
      <c r="AM336">
        <v>0.26989999999999997</v>
      </c>
      <c r="AN336" t="s">
        <v>430</v>
      </c>
    </row>
    <row r="337" spans="37:40" x14ac:dyDescent="0.45">
      <c r="AK337">
        <v>2049</v>
      </c>
      <c r="AL337" t="s">
        <v>159</v>
      </c>
      <c r="AM337">
        <v>0.3165</v>
      </c>
      <c r="AN337" t="s">
        <v>430</v>
      </c>
    </row>
    <row r="338" spans="37:40" x14ac:dyDescent="0.45">
      <c r="AK338">
        <v>2049</v>
      </c>
      <c r="AL338" t="s">
        <v>163</v>
      </c>
      <c r="AM338">
        <v>0.36880000000000002</v>
      </c>
      <c r="AN338" t="s">
        <v>430</v>
      </c>
    </row>
    <row r="339" spans="37:40" x14ac:dyDescent="0.45">
      <c r="AK339">
        <v>2049</v>
      </c>
      <c r="AL339" t="s">
        <v>167</v>
      </c>
      <c r="AM339">
        <v>0.47510000000000002</v>
      </c>
      <c r="AN339" t="s">
        <v>430</v>
      </c>
    </row>
    <row r="340" spans="37:40" x14ac:dyDescent="0.45">
      <c r="AK340">
        <v>2049</v>
      </c>
      <c r="AL340" t="s">
        <v>169</v>
      </c>
      <c r="AM340">
        <v>0.50090000000000001</v>
      </c>
      <c r="AN340" t="s">
        <v>430</v>
      </c>
    </row>
    <row r="341" spans="37:40" x14ac:dyDescent="0.45">
      <c r="AK341">
        <v>2049</v>
      </c>
      <c r="AL341" t="s">
        <v>171</v>
      </c>
      <c r="AM341">
        <v>0.58609999999999995</v>
      </c>
      <c r="AN341" t="s">
        <v>430</v>
      </c>
    </row>
    <row r="342" spans="37:40" x14ac:dyDescent="0.45">
      <c r="AK342">
        <v>2049</v>
      </c>
      <c r="AL342" t="s">
        <v>158</v>
      </c>
      <c r="AM342">
        <v>0.73050000000000004</v>
      </c>
      <c r="AN342" t="s">
        <v>430</v>
      </c>
    </row>
    <row r="343" spans="37:40" x14ac:dyDescent="0.45">
      <c r="AK343">
        <v>2049</v>
      </c>
      <c r="AL343" t="s">
        <v>162</v>
      </c>
      <c r="AM343">
        <v>0.74819999999999998</v>
      </c>
      <c r="AN343" t="s">
        <v>430</v>
      </c>
    </row>
    <row r="344" spans="37:40" x14ac:dyDescent="0.45">
      <c r="AK344">
        <v>2049</v>
      </c>
      <c r="AL344" t="s">
        <v>175</v>
      </c>
      <c r="AM344">
        <v>0.5141</v>
      </c>
      <c r="AN344" t="s">
        <v>430</v>
      </c>
    </row>
    <row r="345" spans="37:40" x14ac:dyDescent="0.45">
      <c r="AK345">
        <v>2049</v>
      </c>
      <c r="AL345" t="s">
        <v>166</v>
      </c>
      <c r="AM345">
        <v>0.33879999999999999</v>
      </c>
      <c r="AN345" t="s">
        <v>430</v>
      </c>
    </row>
    <row r="346" spans="37:40" x14ac:dyDescent="0.45">
      <c r="AK346">
        <v>2049</v>
      </c>
      <c r="AL346" t="s">
        <v>178</v>
      </c>
      <c r="AM346">
        <v>0.3145</v>
      </c>
      <c r="AN346" t="s">
        <v>430</v>
      </c>
    </row>
    <row r="347" spans="37:40" x14ac:dyDescent="0.45">
      <c r="AK347">
        <v>2050</v>
      </c>
      <c r="AL347" t="s">
        <v>151</v>
      </c>
      <c r="AM347">
        <v>0.27650000000000002</v>
      </c>
      <c r="AN347" t="s">
        <v>430</v>
      </c>
    </row>
    <row r="348" spans="37:40" x14ac:dyDescent="0.45">
      <c r="AK348">
        <v>2050</v>
      </c>
      <c r="AL348" t="s">
        <v>156</v>
      </c>
      <c r="AM348">
        <v>0.27350000000000002</v>
      </c>
      <c r="AN348" t="s">
        <v>430</v>
      </c>
    </row>
    <row r="349" spans="37:40" x14ac:dyDescent="0.45">
      <c r="AK349">
        <v>2050</v>
      </c>
      <c r="AL349" t="s">
        <v>159</v>
      </c>
      <c r="AM349">
        <v>0.31380000000000002</v>
      </c>
      <c r="AN349" t="s">
        <v>430</v>
      </c>
    </row>
    <row r="350" spans="37:40" x14ac:dyDescent="0.45">
      <c r="AK350">
        <v>2050</v>
      </c>
      <c r="AL350" t="s">
        <v>163</v>
      </c>
      <c r="AM350">
        <v>0.33150000000000002</v>
      </c>
      <c r="AN350" t="s">
        <v>430</v>
      </c>
    </row>
    <row r="351" spans="37:40" x14ac:dyDescent="0.45">
      <c r="AK351">
        <v>2050</v>
      </c>
      <c r="AL351" t="s">
        <v>167</v>
      </c>
      <c r="AM351">
        <v>0.47070000000000001</v>
      </c>
      <c r="AN351" t="s">
        <v>430</v>
      </c>
    </row>
    <row r="352" spans="37:40" x14ac:dyDescent="0.45">
      <c r="AK352">
        <v>2050</v>
      </c>
      <c r="AL352" t="s">
        <v>169</v>
      </c>
      <c r="AM352">
        <v>0.50639999999999996</v>
      </c>
      <c r="AN352" t="s">
        <v>430</v>
      </c>
    </row>
    <row r="353" spans="37:40" x14ac:dyDescent="0.45">
      <c r="AK353">
        <v>2050</v>
      </c>
      <c r="AL353" t="s">
        <v>171</v>
      </c>
      <c r="AM353">
        <v>0.61080000000000001</v>
      </c>
      <c r="AN353" t="s">
        <v>430</v>
      </c>
    </row>
    <row r="354" spans="37:40" x14ac:dyDescent="0.45">
      <c r="AK354">
        <v>2050</v>
      </c>
      <c r="AL354" t="s">
        <v>158</v>
      </c>
      <c r="AM354">
        <v>0.76500000000000001</v>
      </c>
      <c r="AN354" t="s">
        <v>430</v>
      </c>
    </row>
    <row r="355" spans="37:40" x14ac:dyDescent="0.45">
      <c r="AK355">
        <v>2050</v>
      </c>
      <c r="AL355" t="s">
        <v>162</v>
      </c>
      <c r="AM355">
        <v>0.75890000000000002</v>
      </c>
      <c r="AN355" t="s">
        <v>430</v>
      </c>
    </row>
    <row r="356" spans="37:40" x14ac:dyDescent="0.45">
      <c r="AK356">
        <v>2050</v>
      </c>
      <c r="AL356" t="s">
        <v>175</v>
      </c>
      <c r="AM356">
        <v>0.45629999999999998</v>
      </c>
      <c r="AN356" t="s">
        <v>430</v>
      </c>
    </row>
    <row r="357" spans="37:40" x14ac:dyDescent="0.45">
      <c r="AK357">
        <v>2050</v>
      </c>
      <c r="AL357" t="s">
        <v>166</v>
      </c>
      <c r="AM357">
        <v>0.35299999999999998</v>
      </c>
      <c r="AN357" t="s">
        <v>430</v>
      </c>
    </row>
    <row r="358" spans="37:40" x14ac:dyDescent="0.45">
      <c r="AK358">
        <v>2050</v>
      </c>
      <c r="AL358" t="s">
        <v>178</v>
      </c>
      <c r="AM358">
        <v>0.25879999999999997</v>
      </c>
      <c r="AN358" t="s">
        <v>430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B85E3-245D-4ABF-B7C3-6BCFD58D0E80}">
  <dimension ref="A9:AN35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131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122</v>
      </c>
      <c r="K10" t="s">
        <v>248</v>
      </c>
      <c r="L10" t="s">
        <v>30</v>
      </c>
      <c r="N10" t="s">
        <v>13</v>
      </c>
      <c r="O10" t="s">
        <v>122</v>
      </c>
      <c r="P10" t="s">
        <v>248</v>
      </c>
      <c r="Q10" t="s">
        <v>30</v>
      </c>
      <c r="S10" t="s">
        <v>13</v>
      </c>
      <c r="T10" t="s">
        <v>122</v>
      </c>
      <c r="U10" t="s">
        <v>248</v>
      </c>
      <c r="V10" t="s">
        <v>30</v>
      </c>
      <c r="X10" t="s">
        <v>421</v>
      </c>
      <c r="Y10" t="s">
        <v>248</v>
      </c>
      <c r="Z10" t="s">
        <v>122</v>
      </c>
      <c r="AA10" t="s">
        <v>13</v>
      </c>
      <c r="AC10" t="s">
        <v>13</v>
      </c>
      <c r="AD10" t="s">
        <v>122</v>
      </c>
      <c r="AE10" t="s">
        <v>248</v>
      </c>
      <c r="AG10" t="s">
        <v>13</v>
      </c>
      <c r="AH10" t="s">
        <v>122</v>
      </c>
      <c r="AI10" t="s">
        <v>427</v>
      </c>
      <c r="AK10" t="s">
        <v>47</v>
      </c>
      <c r="AL10" t="s">
        <v>122</v>
      </c>
      <c r="AM10" t="s">
        <v>428</v>
      </c>
      <c r="AN10" t="s">
        <v>429</v>
      </c>
    </row>
    <row r="11" spans="1:40" x14ac:dyDescent="0.45">
      <c r="A11" t="str">
        <f>IFERROR(IF(Veda!D5=A10,"ok","x"),"")</f>
        <v>x</v>
      </c>
      <c r="C11" t="s">
        <v>151</v>
      </c>
      <c r="D11" t="s">
        <v>152</v>
      </c>
      <c r="E11" t="s">
        <v>240</v>
      </c>
      <c r="F11" t="s">
        <v>154</v>
      </c>
      <c r="G11" t="s">
        <v>152</v>
      </c>
      <c r="I11" t="s">
        <v>249</v>
      </c>
      <c r="J11" t="s">
        <v>250</v>
      </c>
      <c r="K11">
        <v>0</v>
      </c>
      <c r="L11" t="s">
        <v>251</v>
      </c>
      <c r="N11" t="s">
        <v>419</v>
      </c>
      <c r="O11" t="s">
        <v>250</v>
      </c>
      <c r="P11">
        <v>1.7870835987201485E-2</v>
      </c>
      <c r="Q11" t="s">
        <v>251</v>
      </c>
      <c r="S11" t="s">
        <v>420</v>
      </c>
      <c r="T11" t="s">
        <v>250</v>
      </c>
      <c r="U11">
        <v>1.8804923305469411E-2</v>
      </c>
      <c r="V11" t="s">
        <v>251</v>
      </c>
      <c r="X11">
        <v>2.4771689497716895E-2</v>
      </c>
      <c r="Y11">
        <v>9.7827942553597048E-3</v>
      </c>
      <c r="Z11" t="s">
        <v>250</v>
      </c>
      <c r="AA11" t="s">
        <v>25</v>
      </c>
      <c r="AC11" t="s">
        <v>22</v>
      </c>
      <c r="AD11" t="s">
        <v>250</v>
      </c>
      <c r="AE11">
        <v>1.949452943339923E-2</v>
      </c>
      <c r="AG11" t="s">
        <v>97</v>
      </c>
      <c r="AH11" t="s">
        <v>250</v>
      </c>
      <c r="AI11">
        <v>0.10127753898572567</v>
      </c>
      <c r="AK11">
        <v>2020</v>
      </c>
      <c r="AL11" t="s">
        <v>151</v>
      </c>
      <c r="AM11">
        <v>0.2698110913113228</v>
      </c>
      <c r="AN11" t="s">
        <v>430</v>
      </c>
    </row>
    <row r="12" spans="1:40" x14ac:dyDescent="0.45">
      <c r="C12" t="s">
        <v>156</v>
      </c>
      <c r="E12" t="s">
        <v>241</v>
      </c>
      <c r="G12" t="s">
        <v>152</v>
      </c>
      <c r="I12" t="s">
        <v>249</v>
      </c>
      <c r="J12" t="s">
        <v>252</v>
      </c>
      <c r="K12">
        <v>1.5156644477423446E-3</v>
      </c>
      <c r="L12" t="s">
        <v>251</v>
      </c>
      <c r="N12" t="s">
        <v>419</v>
      </c>
      <c r="O12" t="s">
        <v>252</v>
      </c>
      <c r="P12">
        <v>1.9241151758176208E-3</v>
      </c>
      <c r="Q12" t="s">
        <v>251</v>
      </c>
      <c r="S12" t="s">
        <v>420</v>
      </c>
      <c r="T12" t="s">
        <v>252</v>
      </c>
      <c r="U12">
        <v>2.4994659436263973E-3</v>
      </c>
      <c r="V12" t="s">
        <v>251</v>
      </c>
      <c r="X12">
        <v>3.5388127853881279E-3</v>
      </c>
      <c r="Y12">
        <v>5.9087255218821738E-3</v>
      </c>
      <c r="Z12" t="s">
        <v>252</v>
      </c>
      <c r="AA12" t="s">
        <v>25</v>
      </c>
      <c r="AC12" t="s">
        <v>22</v>
      </c>
      <c r="AD12" t="s">
        <v>252</v>
      </c>
      <c r="AE12">
        <v>3.1657926352740033E-3</v>
      </c>
      <c r="AG12" t="s">
        <v>97</v>
      </c>
      <c r="AH12" t="s">
        <v>252</v>
      </c>
      <c r="AI12">
        <v>2.7713627671200891E-2</v>
      </c>
      <c r="AK12">
        <v>2020</v>
      </c>
      <c r="AL12" t="s">
        <v>156</v>
      </c>
      <c r="AM12">
        <v>0.28091924024938381</v>
      </c>
      <c r="AN12" t="s">
        <v>430</v>
      </c>
    </row>
    <row r="13" spans="1:40" x14ac:dyDescent="0.45">
      <c r="C13" t="s">
        <v>159</v>
      </c>
      <c r="E13" t="s">
        <v>242</v>
      </c>
      <c r="G13" t="s">
        <v>152</v>
      </c>
      <c r="I13" t="s">
        <v>249</v>
      </c>
      <c r="J13" t="s">
        <v>253</v>
      </c>
      <c r="K13">
        <v>6.0907786952883094E-3</v>
      </c>
      <c r="L13" t="s">
        <v>251</v>
      </c>
      <c r="N13" t="s">
        <v>419</v>
      </c>
      <c r="O13" t="s">
        <v>253</v>
      </c>
      <c r="P13">
        <v>1.3264422841106609E-3</v>
      </c>
      <c r="Q13" t="s">
        <v>251</v>
      </c>
      <c r="S13" t="s">
        <v>420</v>
      </c>
      <c r="T13" t="s">
        <v>253</v>
      </c>
      <c r="U13">
        <v>2.4236393429404191E-3</v>
      </c>
      <c r="V13" t="s">
        <v>251</v>
      </c>
      <c r="X13">
        <v>3.5388127853881279E-3</v>
      </c>
      <c r="Y13">
        <v>4.521459529788099E-3</v>
      </c>
      <c r="Z13" t="s">
        <v>253</v>
      </c>
      <c r="AA13" t="s">
        <v>25</v>
      </c>
      <c r="AC13" t="s">
        <v>22</v>
      </c>
      <c r="AD13" t="s">
        <v>253</v>
      </c>
      <c r="AE13">
        <v>3.2675077100406246E-3</v>
      </c>
      <c r="AG13" t="s">
        <v>97</v>
      </c>
      <c r="AH13" t="s">
        <v>253</v>
      </c>
      <c r="AI13">
        <v>5.3468428145687641E-2</v>
      </c>
      <c r="AK13">
        <v>2020</v>
      </c>
      <c r="AL13" t="s">
        <v>159</v>
      </c>
      <c r="AM13">
        <v>0.28179619937607281</v>
      </c>
      <c r="AN13" t="s">
        <v>430</v>
      </c>
    </row>
    <row r="14" spans="1:40" x14ac:dyDescent="0.45">
      <c r="C14" t="s">
        <v>163</v>
      </c>
      <c r="E14" t="s">
        <v>243</v>
      </c>
      <c r="G14" t="s">
        <v>152</v>
      </c>
      <c r="I14" t="s">
        <v>249</v>
      </c>
      <c r="J14" t="s">
        <v>254</v>
      </c>
      <c r="K14">
        <v>8.8262464634354994E-3</v>
      </c>
      <c r="L14" t="s">
        <v>251</v>
      </c>
      <c r="N14" t="s">
        <v>419</v>
      </c>
      <c r="O14" t="s">
        <v>254</v>
      </c>
      <c r="P14">
        <v>1.0431621995471597E-3</v>
      </c>
      <c r="Q14" t="s">
        <v>251</v>
      </c>
      <c r="S14" t="s">
        <v>420</v>
      </c>
      <c r="T14" t="s">
        <v>254</v>
      </c>
      <c r="U14">
        <v>2.3370906629166972E-3</v>
      </c>
      <c r="V14" t="s">
        <v>251</v>
      </c>
      <c r="X14">
        <v>3.5388127853881279E-3</v>
      </c>
      <c r="Y14">
        <v>4.4803553522445696E-3</v>
      </c>
      <c r="Z14" t="s">
        <v>254</v>
      </c>
      <c r="AA14" t="s">
        <v>25</v>
      </c>
      <c r="AC14" t="s">
        <v>22</v>
      </c>
      <c r="AD14" t="s">
        <v>254</v>
      </c>
      <c r="AE14">
        <v>3.312860856965701E-3</v>
      </c>
      <c r="AG14" t="s">
        <v>97</v>
      </c>
      <c r="AH14" t="s">
        <v>254</v>
      </c>
      <c r="AI14">
        <v>5.848083541293625E-2</v>
      </c>
      <c r="AK14">
        <v>2020</v>
      </c>
      <c r="AL14" t="s">
        <v>163</v>
      </c>
      <c r="AM14">
        <v>0.3265308588275096</v>
      </c>
      <c r="AN14" t="s">
        <v>430</v>
      </c>
    </row>
    <row r="15" spans="1:40" x14ac:dyDescent="0.45">
      <c r="C15" t="s">
        <v>167</v>
      </c>
      <c r="E15" t="s">
        <v>244</v>
      </c>
      <c r="G15" t="s">
        <v>152</v>
      </c>
      <c r="I15" t="s">
        <v>249</v>
      </c>
      <c r="J15" t="s">
        <v>255</v>
      </c>
      <c r="K15">
        <v>6.8054972448293893E-2</v>
      </c>
      <c r="L15" t="s">
        <v>251</v>
      </c>
      <c r="N15" t="s">
        <v>419</v>
      </c>
      <c r="O15" t="s">
        <v>255</v>
      </c>
      <c r="P15">
        <v>6.432084773477645E-3</v>
      </c>
      <c r="Q15" t="s">
        <v>251</v>
      </c>
      <c r="S15" t="s">
        <v>420</v>
      </c>
      <c r="T15" t="s">
        <v>255</v>
      </c>
      <c r="U15">
        <v>1.4185336142442046E-2</v>
      </c>
      <c r="V15" t="s">
        <v>251</v>
      </c>
      <c r="X15">
        <v>2.4771689497716895E-2</v>
      </c>
      <c r="Y15">
        <v>3.4650821669194247E-2</v>
      </c>
      <c r="Z15" t="s">
        <v>255</v>
      </c>
      <c r="AA15" t="s">
        <v>25</v>
      </c>
      <c r="AC15" t="s">
        <v>22</v>
      </c>
      <c r="AD15" t="s">
        <v>255</v>
      </c>
      <c r="AE15">
        <v>2.5061802859319558E-2</v>
      </c>
      <c r="AG15" t="s">
        <v>97</v>
      </c>
      <c r="AH15" t="s">
        <v>255</v>
      </c>
      <c r="AI15">
        <v>8.590995507981436E-2</v>
      </c>
      <c r="AK15">
        <v>2020</v>
      </c>
      <c r="AL15" t="s">
        <v>167</v>
      </c>
      <c r="AM15">
        <v>0.43263316916658479</v>
      </c>
      <c r="AN15" t="s">
        <v>430</v>
      </c>
    </row>
    <row r="16" spans="1:40" x14ac:dyDescent="0.45">
      <c r="C16" t="s">
        <v>169</v>
      </c>
      <c r="E16" t="s">
        <v>245</v>
      </c>
      <c r="G16" t="s">
        <v>152</v>
      </c>
      <c r="I16" t="s">
        <v>249</v>
      </c>
      <c r="J16" t="s">
        <v>256</v>
      </c>
      <c r="K16">
        <v>6.3045631172925004E-3</v>
      </c>
      <c r="L16" t="s">
        <v>251</v>
      </c>
      <c r="N16" t="s">
        <v>419</v>
      </c>
      <c r="O16" t="s">
        <v>256</v>
      </c>
      <c r="P16">
        <v>1.1229787319966876E-3</v>
      </c>
      <c r="Q16" t="s">
        <v>251</v>
      </c>
      <c r="S16" t="s">
        <v>420</v>
      </c>
      <c r="T16" t="s">
        <v>256</v>
      </c>
      <c r="U16">
        <v>2.2277816707203545E-3</v>
      </c>
      <c r="V16" t="s">
        <v>251</v>
      </c>
      <c r="X16">
        <v>3.5388127853881279E-3</v>
      </c>
      <c r="Y16">
        <v>6.8849497385409693E-3</v>
      </c>
      <c r="Z16" t="s">
        <v>256</v>
      </c>
      <c r="AA16" t="s">
        <v>25</v>
      </c>
      <c r="AC16" t="s">
        <v>22</v>
      </c>
      <c r="AD16" t="s">
        <v>256</v>
      </c>
      <c r="AE16">
        <v>2.0364327629016658E-3</v>
      </c>
      <c r="AG16" t="s">
        <v>97</v>
      </c>
      <c r="AH16" t="s">
        <v>256</v>
      </c>
      <c r="AI16">
        <v>0.13177806983731877</v>
      </c>
      <c r="AK16">
        <v>2020</v>
      </c>
      <c r="AL16" t="s">
        <v>169</v>
      </c>
      <c r="AM16">
        <v>0.53857957566091541</v>
      </c>
      <c r="AN16" t="s">
        <v>430</v>
      </c>
    </row>
    <row r="17" spans="3:40" x14ac:dyDescent="0.45">
      <c r="C17" t="s">
        <v>171</v>
      </c>
      <c r="E17" t="s">
        <v>246</v>
      </c>
      <c r="G17" t="s">
        <v>152</v>
      </c>
      <c r="I17" t="s">
        <v>249</v>
      </c>
      <c r="J17" t="s">
        <v>257</v>
      </c>
      <c r="K17">
        <v>1.9471601344935659E-3</v>
      </c>
      <c r="L17" t="s">
        <v>251</v>
      </c>
      <c r="N17" t="s">
        <v>419</v>
      </c>
      <c r="O17" t="s">
        <v>257</v>
      </c>
      <c r="P17">
        <v>1.7169265539782872E-3</v>
      </c>
      <c r="Q17" t="s">
        <v>251</v>
      </c>
      <c r="S17" t="s">
        <v>420</v>
      </c>
      <c r="T17" t="s">
        <v>257</v>
      </c>
      <c r="U17">
        <v>2.3637794363564149E-3</v>
      </c>
      <c r="V17" t="s">
        <v>251</v>
      </c>
      <c r="X17">
        <v>3.5388127853881279E-3</v>
      </c>
      <c r="Y17">
        <v>5.3435430806586613E-3</v>
      </c>
      <c r="Z17" t="s">
        <v>257</v>
      </c>
      <c r="AA17" t="s">
        <v>25</v>
      </c>
      <c r="AC17" t="s">
        <v>22</v>
      </c>
      <c r="AD17" t="s">
        <v>257</v>
      </c>
      <c r="AE17">
        <v>9.1182133949866144E-4</v>
      </c>
      <c r="AG17" t="s">
        <v>97</v>
      </c>
      <c r="AH17" t="s">
        <v>257</v>
      </c>
      <c r="AI17">
        <v>2.5642555722991123E-2</v>
      </c>
      <c r="AK17">
        <v>2020</v>
      </c>
      <c r="AL17" t="s">
        <v>171</v>
      </c>
      <c r="AM17">
        <v>0.55540744690304811</v>
      </c>
      <c r="AN17" t="s">
        <v>430</v>
      </c>
    </row>
    <row r="18" spans="3:40" x14ac:dyDescent="0.45">
      <c r="C18" t="s">
        <v>158</v>
      </c>
      <c r="E18" t="s">
        <v>247</v>
      </c>
      <c r="G18" t="s">
        <v>152</v>
      </c>
      <c r="I18" t="s">
        <v>249</v>
      </c>
      <c r="J18" t="s">
        <v>258</v>
      </c>
      <c r="K18">
        <v>0</v>
      </c>
      <c r="L18" t="s">
        <v>251</v>
      </c>
      <c r="N18" t="s">
        <v>419</v>
      </c>
      <c r="O18" t="s">
        <v>258</v>
      </c>
      <c r="P18">
        <v>1.4808898500501662E-2</v>
      </c>
      <c r="Q18" t="s">
        <v>251</v>
      </c>
      <c r="S18" t="s">
        <v>420</v>
      </c>
      <c r="T18" t="s">
        <v>258</v>
      </c>
      <c r="U18">
        <v>1.2894079630715663E-2</v>
      </c>
      <c r="V18" t="s">
        <v>251</v>
      </c>
      <c r="X18">
        <v>1.7694063926940638E-2</v>
      </c>
      <c r="Y18">
        <v>1.3358857701646654E-2</v>
      </c>
      <c r="Z18" t="s">
        <v>258</v>
      </c>
      <c r="AA18" t="s">
        <v>25</v>
      </c>
      <c r="AC18" t="s">
        <v>22</v>
      </c>
      <c r="AD18" t="s">
        <v>258</v>
      </c>
      <c r="AE18">
        <v>4.8624804450542597E-3</v>
      </c>
      <c r="AG18" t="s">
        <v>97</v>
      </c>
      <c r="AH18" t="s">
        <v>258</v>
      </c>
      <c r="AI18">
        <v>0.14420377925344408</v>
      </c>
      <c r="AK18">
        <v>2020</v>
      </c>
      <c r="AL18" t="s">
        <v>158</v>
      </c>
      <c r="AM18">
        <v>0.59107045138840164</v>
      </c>
      <c r="AN18" t="s">
        <v>430</v>
      </c>
    </row>
    <row r="19" spans="3:40" x14ac:dyDescent="0.45">
      <c r="C19" t="s">
        <v>162</v>
      </c>
      <c r="I19" t="s">
        <v>249</v>
      </c>
      <c r="J19" t="s">
        <v>259</v>
      </c>
      <c r="K19">
        <v>0</v>
      </c>
      <c r="L19" t="s">
        <v>251</v>
      </c>
      <c r="N19" t="s">
        <v>419</v>
      </c>
      <c r="O19" t="s">
        <v>259</v>
      </c>
      <c r="P19">
        <v>1.6839964131480336E-2</v>
      </c>
      <c r="Q19" t="s">
        <v>251</v>
      </c>
      <c r="S19" t="s">
        <v>420</v>
      </c>
      <c r="T19" t="s">
        <v>259</v>
      </c>
      <c r="U19">
        <v>1.4357734927052774E-2</v>
      </c>
      <c r="V19" t="s">
        <v>251</v>
      </c>
      <c r="X19">
        <v>2.2374429223744292E-2</v>
      </c>
      <c r="Y19">
        <v>8.8360722306474754E-3</v>
      </c>
      <c r="Z19" t="s">
        <v>259</v>
      </c>
      <c r="AA19" t="s">
        <v>25</v>
      </c>
      <c r="AC19" t="s">
        <v>22</v>
      </c>
      <c r="AD19" t="s">
        <v>259</v>
      </c>
      <c r="AE19">
        <v>1.7740078321897119E-2</v>
      </c>
      <c r="AG19" t="s">
        <v>97</v>
      </c>
      <c r="AH19" t="s">
        <v>259</v>
      </c>
      <c r="AI19">
        <v>0.14633377109330481</v>
      </c>
      <c r="AK19">
        <v>2020</v>
      </c>
      <c r="AL19" t="s">
        <v>162</v>
      </c>
      <c r="AM19">
        <v>0.61228311826397963</v>
      </c>
      <c r="AN19" t="s">
        <v>430</v>
      </c>
    </row>
    <row r="20" spans="3:40" x14ac:dyDescent="0.45">
      <c r="C20" t="s">
        <v>175</v>
      </c>
      <c r="I20" t="s">
        <v>249</v>
      </c>
      <c r="J20" t="s">
        <v>260</v>
      </c>
      <c r="K20">
        <v>1.3744729811050727E-3</v>
      </c>
      <c r="L20" t="s">
        <v>251</v>
      </c>
      <c r="N20" t="s">
        <v>419</v>
      </c>
      <c r="O20" t="s">
        <v>260</v>
      </c>
      <c r="P20">
        <v>1.675421865146762E-3</v>
      </c>
      <c r="Q20" t="s">
        <v>251</v>
      </c>
      <c r="S20" t="s">
        <v>420</v>
      </c>
      <c r="T20" t="s">
        <v>260</v>
      </c>
      <c r="U20">
        <v>2.0874895392113909E-3</v>
      </c>
      <c r="V20" t="s">
        <v>251</v>
      </c>
      <c r="X20">
        <v>3.1963470319634705E-3</v>
      </c>
      <c r="Y20">
        <v>5.3369133746032542E-3</v>
      </c>
      <c r="Z20" t="s">
        <v>260</v>
      </c>
      <c r="AA20" t="s">
        <v>25</v>
      </c>
      <c r="AC20" t="s">
        <v>22</v>
      </c>
      <c r="AD20" t="s">
        <v>260</v>
      </c>
      <c r="AE20">
        <v>3.0869304791650691E-3</v>
      </c>
      <c r="AG20" t="s">
        <v>97</v>
      </c>
      <c r="AH20" t="s">
        <v>260</v>
      </c>
      <c r="AI20">
        <v>5.0572918025461489E-2</v>
      </c>
      <c r="AK20">
        <v>2020</v>
      </c>
      <c r="AL20" t="s">
        <v>175</v>
      </c>
      <c r="AM20">
        <v>0.41918646255735309</v>
      </c>
      <c r="AN20" t="s">
        <v>430</v>
      </c>
    </row>
    <row r="21" spans="3:40" x14ac:dyDescent="0.45">
      <c r="C21" t="s">
        <v>166</v>
      </c>
      <c r="I21" t="s">
        <v>249</v>
      </c>
      <c r="J21" t="s">
        <v>261</v>
      </c>
      <c r="K21">
        <v>5.6351738993605004E-3</v>
      </c>
      <c r="L21" t="s">
        <v>251</v>
      </c>
      <c r="N21" t="s">
        <v>419</v>
      </c>
      <c r="O21" t="s">
        <v>261</v>
      </c>
      <c r="P21">
        <v>1.1556557148236276E-3</v>
      </c>
      <c r="Q21" t="s">
        <v>251</v>
      </c>
      <c r="S21" t="s">
        <v>420</v>
      </c>
      <c r="T21" t="s">
        <v>261</v>
      </c>
      <c r="U21">
        <v>2.0457665836738988E-3</v>
      </c>
      <c r="V21" t="s">
        <v>251</v>
      </c>
      <c r="X21">
        <v>3.1963470319634705E-3</v>
      </c>
      <c r="Y21">
        <v>4.0838989301311864E-3</v>
      </c>
      <c r="Z21" t="s">
        <v>261</v>
      </c>
      <c r="AA21" t="s">
        <v>25</v>
      </c>
      <c r="AC21" t="s">
        <v>22</v>
      </c>
      <c r="AD21" t="s">
        <v>261</v>
      </c>
      <c r="AE21">
        <v>3.1947187109781102E-3</v>
      </c>
      <c r="AG21" t="s">
        <v>97</v>
      </c>
      <c r="AH21" t="s">
        <v>261</v>
      </c>
      <c r="AI21">
        <v>4.3209447839231307E-2</v>
      </c>
      <c r="AK21">
        <v>2020</v>
      </c>
      <c r="AL21" t="s">
        <v>166</v>
      </c>
      <c r="AM21">
        <v>0.28001304915180508</v>
      </c>
      <c r="AN21" t="s">
        <v>430</v>
      </c>
    </row>
    <row r="22" spans="3:40" x14ac:dyDescent="0.45">
      <c r="C22" t="s">
        <v>178</v>
      </c>
      <c r="I22" t="s">
        <v>249</v>
      </c>
      <c r="J22" t="s">
        <v>262</v>
      </c>
      <c r="K22">
        <v>8.0353932514736996E-3</v>
      </c>
      <c r="L22" t="s">
        <v>251</v>
      </c>
      <c r="N22" t="s">
        <v>419</v>
      </c>
      <c r="O22" t="s">
        <v>262</v>
      </c>
      <c r="P22">
        <v>1.0616092047809685E-3</v>
      </c>
      <c r="Q22" t="s">
        <v>251</v>
      </c>
      <c r="S22" t="s">
        <v>420</v>
      </c>
      <c r="T22" t="s">
        <v>262</v>
      </c>
      <c r="U22">
        <v>1.9680906790904224E-3</v>
      </c>
      <c r="V22" t="s">
        <v>251</v>
      </c>
      <c r="X22">
        <v>3.1963470319634705E-3</v>
      </c>
      <c r="Y22">
        <v>4.0467725762209023E-3</v>
      </c>
      <c r="Z22" t="s">
        <v>262</v>
      </c>
      <c r="AA22" t="s">
        <v>25</v>
      </c>
      <c r="AC22" t="s">
        <v>22</v>
      </c>
      <c r="AD22" t="s">
        <v>262</v>
      </c>
      <c r="AE22">
        <v>3.2472558088544453E-3</v>
      </c>
      <c r="AG22" t="s">
        <v>97</v>
      </c>
      <c r="AH22" t="s">
        <v>262</v>
      </c>
      <c r="AI22">
        <v>5.3013612391023646E-2</v>
      </c>
      <c r="AK22">
        <v>2020</v>
      </c>
      <c r="AL22" t="s">
        <v>178</v>
      </c>
      <c r="AM22">
        <v>0.25899526208215817</v>
      </c>
      <c r="AN22" t="s">
        <v>430</v>
      </c>
    </row>
    <row r="23" spans="3:40" x14ac:dyDescent="0.45">
      <c r="I23" t="s">
        <v>249</v>
      </c>
      <c r="J23" t="s">
        <v>263</v>
      </c>
      <c r="K23">
        <v>6.2216285412588598E-2</v>
      </c>
      <c r="L23" t="s">
        <v>251</v>
      </c>
      <c r="N23" t="s">
        <v>419</v>
      </c>
      <c r="O23" t="s">
        <v>263</v>
      </c>
      <c r="P23">
        <v>8.1032721134406665E-3</v>
      </c>
      <c r="Q23" t="s">
        <v>251</v>
      </c>
      <c r="S23" t="s">
        <v>420</v>
      </c>
      <c r="T23" t="s">
        <v>263</v>
      </c>
      <c r="U23">
        <v>1.1931276034789457E-2</v>
      </c>
      <c r="V23" t="s">
        <v>251</v>
      </c>
      <c r="X23">
        <v>2.2374429223744292E-2</v>
      </c>
      <c r="Y23">
        <v>3.1297516346368993E-2</v>
      </c>
      <c r="Z23" t="s">
        <v>263</v>
      </c>
      <c r="AA23" t="s">
        <v>25</v>
      </c>
      <c r="AC23" t="s">
        <v>22</v>
      </c>
      <c r="AD23" t="s">
        <v>263</v>
      </c>
      <c r="AE23">
        <v>2.3621561585166231E-2</v>
      </c>
      <c r="AG23" t="s">
        <v>97</v>
      </c>
      <c r="AH23" t="s">
        <v>263</v>
      </c>
      <c r="AI23">
        <v>0.18724621409254349</v>
      </c>
      <c r="AK23">
        <v>2021</v>
      </c>
      <c r="AL23" t="s">
        <v>151</v>
      </c>
      <c r="AM23">
        <v>0.24537183889815969</v>
      </c>
      <c r="AN23" t="s">
        <v>430</v>
      </c>
    </row>
    <row r="24" spans="3:40" x14ac:dyDescent="0.45">
      <c r="I24" t="s">
        <v>249</v>
      </c>
      <c r="J24" t="s">
        <v>264</v>
      </c>
      <c r="K24">
        <v>5.8968813723748997E-3</v>
      </c>
      <c r="L24" t="s">
        <v>251</v>
      </c>
      <c r="N24" t="s">
        <v>419</v>
      </c>
      <c r="O24" t="s">
        <v>264</v>
      </c>
      <c r="P24">
        <v>1.5021228212447084E-3</v>
      </c>
      <c r="Q24" t="s">
        <v>251</v>
      </c>
      <c r="S24" t="s">
        <v>420</v>
      </c>
      <c r="T24" t="s">
        <v>264</v>
      </c>
      <c r="U24">
        <v>1.8782052620364214E-3</v>
      </c>
      <c r="V24" t="s">
        <v>251</v>
      </c>
      <c r="X24">
        <v>3.1963470319634705E-3</v>
      </c>
      <c r="Y24">
        <v>6.2186642799724884E-3</v>
      </c>
      <c r="Z24" t="s">
        <v>264</v>
      </c>
      <c r="AA24" t="s">
        <v>25</v>
      </c>
      <c r="AC24" t="s">
        <v>22</v>
      </c>
      <c r="AD24" t="s">
        <v>264</v>
      </c>
      <c r="AE24">
        <v>1.550549872097061E-3</v>
      </c>
      <c r="AG24" t="s">
        <v>97</v>
      </c>
      <c r="AH24" t="s">
        <v>264</v>
      </c>
      <c r="AI24">
        <v>3.8164786322408384E-2</v>
      </c>
      <c r="AK24">
        <v>2021</v>
      </c>
      <c r="AL24" t="s">
        <v>156</v>
      </c>
      <c r="AM24">
        <v>0.24748569799873779</v>
      </c>
      <c r="AN24" t="s">
        <v>430</v>
      </c>
    </row>
    <row r="25" spans="3:40" x14ac:dyDescent="0.45">
      <c r="I25" t="s">
        <v>249</v>
      </c>
      <c r="J25" t="s">
        <v>265</v>
      </c>
      <c r="K25">
        <v>2.5564716072675395E-3</v>
      </c>
      <c r="L25" t="s">
        <v>251</v>
      </c>
      <c r="N25" t="s">
        <v>419</v>
      </c>
      <c r="O25" t="s">
        <v>265</v>
      </c>
      <c r="P25">
        <v>1.9679905989127169E-3</v>
      </c>
      <c r="Q25" t="s">
        <v>251</v>
      </c>
      <c r="S25" t="s">
        <v>420</v>
      </c>
      <c r="T25" t="s">
        <v>265</v>
      </c>
      <c r="U25">
        <v>1.9764555667397491E-3</v>
      </c>
      <c r="V25" t="s">
        <v>251</v>
      </c>
      <c r="X25">
        <v>3.1963470319634705E-3</v>
      </c>
      <c r="Y25">
        <v>4.8264260083368555E-3</v>
      </c>
      <c r="Z25" t="s">
        <v>265</v>
      </c>
      <c r="AA25" t="s">
        <v>25</v>
      </c>
      <c r="AC25" t="s">
        <v>22</v>
      </c>
      <c r="AD25" t="s">
        <v>265</v>
      </c>
      <c r="AE25">
        <v>8.6897921041426216E-4</v>
      </c>
      <c r="AG25" t="s">
        <v>97</v>
      </c>
      <c r="AH25" t="s">
        <v>265</v>
      </c>
      <c r="AI25">
        <v>3.9400044323796291E-2</v>
      </c>
      <c r="AK25">
        <v>2021</v>
      </c>
      <c r="AL25" t="s">
        <v>159</v>
      </c>
      <c r="AM25">
        <v>0.25370413787713708</v>
      </c>
      <c r="AN25" t="s">
        <v>430</v>
      </c>
    </row>
    <row r="26" spans="3:40" x14ac:dyDescent="0.45">
      <c r="I26" t="s">
        <v>249</v>
      </c>
      <c r="J26" t="s">
        <v>266</v>
      </c>
      <c r="K26">
        <v>0</v>
      </c>
      <c r="L26" t="s">
        <v>251</v>
      </c>
      <c r="N26" t="s">
        <v>419</v>
      </c>
      <c r="O26" t="s">
        <v>266</v>
      </c>
      <c r="P26">
        <v>1.6202772410428563E-2</v>
      </c>
      <c r="Q26" t="s">
        <v>251</v>
      </c>
      <c r="S26" t="s">
        <v>420</v>
      </c>
      <c r="T26" t="s">
        <v>266</v>
      </c>
      <c r="U26">
        <v>1.0385168473129387E-2</v>
      </c>
      <c r="V26" t="s">
        <v>251</v>
      </c>
      <c r="X26">
        <v>1.5981735159817351E-2</v>
      </c>
      <c r="Y26">
        <v>1.2066065020842141E-2</v>
      </c>
      <c r="Z26" t="s">
        <v>266</v>
      </c>
      <c r="AA26" t="s">
        <v>25</v>
      </c>
      <c r="AC26" t="s">
        <v>22</v>
      </c>
      <c r="AD26" t="s">
        <v>266</v>
      </c>
      <c r="AE26">
        <v>4.1156959296003168E-3</v>
      </c>
      <c r="AG26" t="s">
        <v>97</v>
      </c>
      <c r="AH26" t="s">
        <v>266</v>
      </c>
      <c r="AI26">
        <v>0.15706424323730062</v>
      </c>
      <c r="AK26">
        <v>2021</v>
      </c>
      <c r="AL26" t="s">
        <v>163</v>
      </c>
      <c r="AM26">
        <v>0.25859816635789279</v>
      </c>
      <c r="AN26" t="s">
        <v>430</v>
      </c>
    </row>
    <row r="27" spans="3:40" x14ac:dyDescent="0.45">
      <c r="I27" t="s">
        <v>249</v>
      </c>
      <c r="J27" t="s">
        <v>267</v>
      </c>
      <c r="K27">
        <v>2.9312646605838719E-4</v>
      </c>
      <c r="L27" t="s">
        <v>251</v>
      </c>
      <c r="N27" t="s">
        <v>419</v>
      </c>
      <c r="O27" t="s">
        <v>267</v>
      </c>
      <c r="P27">
        <v>1.9345563279855673E-2</v>
      </c>
      <c r="Q27" t="s">
        <v>251</v>
      </c>
      <c r="S27" t="s">
        <v>420</v>
      </c>
      <c r="T27" t="s">
        <v>267</v>
      </c>
      <c r="U27">
        <v>1.6143224990212101E-2</v>
      </c>
      <c r="V27" t="s">
        <v>251</v>
      </c>
      <c r="X27">
        <v>2.4771689497716895E-2</v>
      </c>
      <c r="Y27">
        <v>9.7827942553597048E-3</v>
      </c>
      <c r="Z27" t="s">
        <v>267</v>
      </c>
      <c r="AA27" t="s">
        <v>25</v>
      </c>
      <c r="AC27" t="s">
        <v>22</v>
      </c>
      <c r="AD27" t="s">
        <v>267</v>
      </c>
      <c r="AE27">
        <v>2.4302320859487976E-2</v>
      </c>
      <c r="AG27" t="s">
        <v>97</v>
      </c>
      <c r="AH27" t="s">
        <v>267</v>
      </c>
      <c r="AI27">
        <v>0.14526265579127196</v>
      </c>
      <c r="AK27">
        <v>2021</v>
      </c>
      <c r="AL27" t="s">
        <v>167</v>
      </c>
      <c r="AM27">
        <v>0.35369172562486489</v>
      </c>
      <c r="AN27" t="s">
        <v>430</v>
      </c>
    </row>
    <row r="28" spans="3:40" x14ac:dyDescent="0.45">
      <c r="I28" t="s">
        <v>249</v>
      </c>
      <c r="J28" t="s">
        <v>268</v>
      </c>
      <c r="K28">
        <v>3.4677654736681939E-3</v>
      </c>
      <c r="L28" t="s">
        <v>251</v>
      </c>
      <c r="N28" t="s">
        <v>419</v>
      </c>
      <c r="O28" t="s">
        <v>268</v>
      </c>
      <c r="P28">
        <v>1.6352365781032144E-3</v>
      </c>
      <c r="Q28" t="s">
        <v>251</v>
      </c>
      <c r="S28" t="s">
        <v>420</v>
      </c>
      <c r="T28" t="s">
        <v>268</v>
      </c>
      <c r="U28">
        <v>2.0041009813787599E-3</v>
      </c>
      <c r="V28" t="s">
        <v>251</v>
      </c>
      <c r="X28">
        <v>3.5388127853881279E-3</v>
      </c>
      <c r="Y28">
        <v>5.9087255218821738E-3</v>
      </c>
      <c r="Z28" t="s">
        <v>268</v>
      </c>
      <c r="AA28" t="s">
        <v>25</v>
      </c>
      <c r="AC28" t="s">
        <v>22</v>
      </c>
      <c r="AD28" t="s">
        <v>268</v>
      </c>
      <c r="AE28">
        <v>4.2282817583791125E-3</v>
      </c>
      <c r="AG28" t="s">
        <v>97</v>
      </c>
      <c r="AH28" t="s">
        <v>268</v>
      </c>
      <c r="AI28">
        <v>4.2218000759207452E-2</v>
      </c>
      <c r="AK28">
        <v>2021</v>
      </c>
      <c r="AL28" t="s">
        <v>169</v>
      </c>
      <c r="AM28">
        <v>0.49671037005367918</v>
      </c>
      <c r="AN28" t="s">
        <v>430</v>
      </c>
    </row>
    <row r="29" spans="3:40" x14ac:dyDescent="0.45">
      <c r="I29" t="s">
        <v>249</v>
      </c>
      <c r="J29" t="s">
        <v>269</v>
      </c>
      <c r="K29">
        <v>7.2857682322527845E-3</v>
      </c>
      <c r="L29" t="s">
        <v>251</v>
      </c>
      <c r="N29" t="s">
        <v>419</v>
      </c>
      <c r="O29" t="s">
        <v>269</v>
      </c>
      <c r="P29">
        <v>1.1202547024485481E-3</v>
      </c>
      <c r="Q29" t="s">
        <v>251</v>
      </c>
      <c r="S29" t="s">
        <v>420</v>
      </c>
      <c r="T29" t="s">
        <v>269</v>
      </c>
      <c r="U29">
        <v>1.8781287612856272E-3</v>
      </c>
      <c r="V29" t="s">
        <v>251</v>
      </c>
      <c r="X29">
        <v>3.5388127853881279E-3</v>
      </c>
      <c r="Y29">
        <v>4.521459529788099E-3</v>
      </c>
      <c r="Z29" t="s">
        <v>269</v>
      </c>
      <c r="AA29" t="s">
        <v>25</v>
      </c>
      <c r="AC29" t="s">
        <v>22</v>
      </c>
      <c r="AD29" t="s">
        <v>269</v>
      </c>
      <c r="AE29">
        <v>4.485965889848227E-3</v>
      </c>
      <c r="AG29" t="s">
        <v>97</v>
      </c>
      <c r="AH29" t="s">
        <v>269</v>
      </c>
      <c r="AI29">
        <v>3.3345104619624921E-2</v>
      </c>
      <c r="AK29">
        <v>2021</v>
      </c>
      <c r="AL29" t="s">
        <v>171</v>
      </c>
      <c r="AM29">
        <v>0.57377934693164512</v>
      </c>
      <c r="AN29" t="s">
        <v>430</v>
      </c>
    </row>
    <row r="30" spans="3:40" x14ac:dyDescent="0.45">
      <c r="I30" t="s">
        <v>249</v>
      </c>
      <c r="J30" t="s">
        <v>270</v>
      </c>
      <c r="K30">
        <v>9.4148614109767995E-3</v>
      </c>
      <c r="L30" t="s">
        <v>251</v>
      </c>
      <c r="N30" t="s">
        <v>419</v>
      </c>
      <c r="O30" t="s">
        <v>270</v>
      </c>
      <c r="P30">
        <v>1.0053230087414301E-3</v>
      </c>
      <c r="Q30" t="s">
        <v>251</v>
      </c>
      <c r="S30" t="s">
        <v>420</v>
      </c>
      <c r="T30" t="s">
        <v>270</v>
      </c>
      <c r="U30">
        <v>1.7552643939331876E-3</v>
      </c>
      <c r="V30" t="s">
        <v>251</v>
      </c>
      <c r="X30">
        <v>3.5388127853881279E-3</v>
      </c>
      <c r="Y30">
        <v>4.4803553522445696E-3</v>
      </c>
      <c r="Z30" t="s">
        <v>270</v>
      </c>
      <c r="AA30" t="s">
        <v>25</v>
      </c>
      <c r="AC30" t="s">
        <v>22</v>
      </c>
      <c r="AD30" t="s">
        <v>270</v>
      </c>
      <c r="AE30">
        <v>4.6045679287228247E-3</v>
      </c>
      <c r="AG30" t="s">
        <v>97</v>
      </c>
      <c r="AH30" t="s">
        <v>270</v>
      </c>
      <c r="AI30">
        <v>2.2564439224357358E-2</v>
      </c>
      <c r="AK30">
        <v>2021</v>
      </c>
      <c r="AL30" t="s">
        <v>158</v>
      </c>
      <c r="AM30">
        <v>0.62492242342329907</v>
      </c>
      <c r="AN30" t="s">
        <v>430</v>
      </c>
    </row>
    <row r="31" spans="3:40" x14ac:dyDescent="0.45">
      <c r="I31" t="s">
        <v>249</v>
      </c>
      <c r="J31" t="s">
        <v>271</v>
      </c>
      <c r="K31">
        <v>7.16507697908111E-2</v>
      </c>
      <c r="L31" t="s">
        <v>251</v>
      </c>
      <c r="N31" t="s">
        <v>419</v>
      </c>
      <c r="O31" t="s">
        <v>271</v>
      </c>
      <c r="P31">
        <v>7.846475582240317E-3</v>
      </c>
      <c r="Q31" t="s">
        <v>251</v>
      </c>
      <c r="S31" t="s">
        <v>420</v>
      </c>
      <c r="T31" t="s">
        <v>271</v>
      </c>
      <c r="U31">
        <v>1.1697585227563988E-2</v>
      </c>
      <c r="V31" t="s">
        <v>251</v>
      </c>
      <c r="X31">
        <v>2.4771689497716895E-2</v>
      </c>
      <c r="Y31">
        <v>3.4650821669194247E-2</v>
      </c>
      <c r="Z31" t="s">
        <v>271</v>
      </c>
      <c r="AA31" t="s">
        <v>25</v>
      </c>
      <c r="AC31" t="s">
        <v>22</v>
      </c>
      <c r="AD31" t="s">
        <v>271</v>
      </c>
      <c r="AE31">
        <v>3.1498985220223361E-2</v>
      </c>
      <c r="AG31" t="s">
        <v>97</v>
      </c>
      <c r="AH31" t="s">
        <v>271</v>
      </c>
      <c r="AI31">
        <v>0.15398274646096599</v>
      </c>
      <c r="AK31">
        <v>2021</v>
      </c>
      <c r="AL31" t="s">
        <v>162</v>
      </c>
      <c r="AM31">
        <v>0.57271626051018953</v>
      </c>
      <c r="AN31" t="s">
        <v>430</v>
      </c>
    </row>
    <row r="32" spans="3:40" x14ac:dyDescent="0.45">
      <c r="I32" t="s">
        <v>249</v>
      </c>
      <c r="J32" t="s">
        <v>272</v>
      </c>
      <c r="K32">
        <v>7.0094705433080004E-3</v>
      </c>
      <c r="L32" t="s">
        <v>251</v>
      </c>
      <c r="N32" t="s">
        <v>419</v>
      </c>
      <c r="O32" t="s">
        <v>272</v>
      </c>
      <c r="P32">
        <v>1.7617574108067997E-3</v>
      </c>
      <c r="Q32" t="s">
        <v>251</v>
      </c>
      <c r="S32" t="s">
        <v>420</v>
      </c>
      <c r="T32" t="s">
        <v>272</v>
      </c>
      <c r="U32">
        <v>2.1600429705377054E-3</v>
      </c>
      <c r="V32" t="s">
        <v>251</v>
      </c>
      <c r="X32">
        <v>3.5388127853881279E-3</v>
      </c>
      <c r="Y32">
        <v>6.8849497385409693E-3</v>
      </c>
      <c r="Z32" t="s">
        <v>272</v>
      </c>
      <c r="AA32" t="s">
        <v>25</v>
      </c>
      <c r="AC32" t="s">
        <v>22</v>
      </c>
      <c r="AD32" t="s">
        <v>272</v>
      </c>
      <c r="AE32">
        <v>1.8909129029720201E-3</v>
      </c>
      <c r="AG32" t="s">
        <v>97</v>
      </c>
      <c r="AH32" t="s">
        <v>272</v>
      </c>
      <c r="AI32">
        <v>9.3662396235574263E-3</v>
      </c>
      <c r="AK32">
        <v>2021</v>
      </c>
      <c r="AL32" t="s">
        <v>175</v>
      </c>
      <c r="AM32">
        <v>0.48298602012623709</v>
      </c>
      <c r="AN32" t="s">
        <v>430</v>
      </c>
    </row>
    <row r="33" spans="9:40" x14ac:dyDescent="0.45">
      <c r="I33" t="s">
        <v>249</v>
      </c>
      <c r="J33" t="s">
        <v>273</v>
      </c>
      <c r="K33">
        <v>3.2517568683463165E-3</v>
      </c>
      <c r="L33" t="s">
        <v>251</v>
      </c>
      <c r="N33" t="s">
        <v>419</v>
      </c>
      <c r="O33" t="s">
        <v>273</v>
      </c>
      <c r="P33">
        <v>2.3440424715298353E-3</v>
      </c>
      <c r="Q33" t="s">
        <v>251</v>
      </c>
      <c r="S33" t="s">
        <v>420</v>
      </c>
      <c r="T33" t="s">
        <v>273</v>
      </c>
      <c r="U33">
        <v>2.2669641357076502E-3</v>
      </c>
      <c r="V33" t="s">
        <v>251</v>
      </c>
      <c r="X33">
        <v>3.5388127853881279E-3</v>
      </c>
      <c r="Y33">
        <v>5.3435430806586613E-3</v>
      </c>
      <c r="Z33" t="s">
        <v>273</v>
      </c>
      <c r="AA33" t="s">
        <v>25</v>
      </c>
      <c r="AC33" t="s">
        <v>22</v>
      </c>
      <c r="AD33" t="s">
        <v>273</v>
      </c>
      <c r="AE33">
        <v>1.3568416337343522E-3</v>
      </c>
      <c r="AG33" t="s">
        <v>97</v>
      </c>
      <c r="AH33" t="s">
        <v>273</v>
      </c>
      <c r="AI33">
        <v>0.20468904606086746</v>
      </c>
      <c r="AK33">
        <v>2021</v>
      </c>
      <c r="AL33" t="s">
        <v>166</v>
      </c>
      <c r="AM33">
        <v>0.3141180941522968</v>
      </c>
      <c r="AN33" t="s">
        <v>430</v>
      </c>
    </row>
    <row r="34" spans="9:40" x14ac:dyDescent="0.45">
      <c r="I34" t="s">
        <v>249</v>
      </c>
      <c r="J34" t="s">
        <v>274</v>
      </c>
      <c r="K34">
        <v>0</v>
      </c>
      <c r="L34" t="s">
        <v>251</v>
      </c>
      <c r="N34" t="s">
        <v>419</v>
      </c>
      <c r="O34" t="s">
        <v>274</v>
      </c>
      <c r="P34">
        <v>1.9002466882048097E-2</v>
      </c>
      <c r="Q34" t="s">
        <v>251</v>
      </c>
      <c r="S34" t="s">
        <v>420</v>
      </c>
      <c r="T34" t="s">
        <v>274</v>
      </c>
      <c r="U34">
        <v>1.1863639741341246E-2</v>
      </c>
      <c r="V34" t="s">
        <v>251</v>
      </c>
      <c r="X34">
        <v>1.7694063926940638E-2</v>
      </c>
      <c r="Y34">
        <v>1.3358857701646654E-2</v>
      </c>
      <c r="Z34" t="s">
        <v>274</v>
      </c>
      <c r="AA34" t="s">
        <v>25</v>
      </c>
      <c r="AC34" t="s">
        <v>22</v>
      </c>
      <c r="AD34" t="s">
        <v>274</v>
      </c>
      <c r="AE34">
        <v>7.0952003803463459E-3</v>
      </c>
      <c r="AG34" t="s">
        <v>97</v>
      </c>
      <c r="AH34" t="s">
        <v>274</v>
      </c>
      <c r="AI34">
        <v>0.24030876524921596</v>
      </c>
      <c r="AK34">
        <v>2021</v>
      </c>
      <c r="AL34" t="s">
        <v>178</v>
      </c>
      <c r="AM34">
        <v>0.2580139476938495</v>
      </c>
      <c r="AN34" t="s">
        <v>430</v>
      </c>
    </row>
    <row r="35" spans="9:40" x14ac:dyDescent="0.45">
      <c r="I35" t="s">
        <v>249</v>
      </c>
      <c r="J35" t="s">
        <v>275</v>
      </c>
      <c r="K35">
        <v>1.0360373361579407E-3</v>
      </c>
      <c r="L35" t="s">
        <v>251</v>
      </c>
      <c r="N35" t="s">
        <v>419</v>
      </c>
      <c r="O35" t="s">
        <v>275</v>
      </c>
      <c r="P35">
        <v>1.9485233150436806E-2</v>
      </c>
      <c r="Q35" t="s">
        <v>251</v>
      </c>
      <c r="S35" t="s">
        <v>420</v>
      </c>
      <c r="T35" t="s">
        <v>275</v>
      </c>
      <c r="U35">
        <v>1.7777663579304985E-2</v>
      </c>
      <c r="V35" t="s">
        <v>251</v>
      </c>
      <c r="X35">
        <v>2.3972602739726026E-2</v>
      </c>
      <c r="Y35">
        <v>9.4672202471222967E-3</v>
      </c>
      <c r="Z35" t="s">
        <v>275</v>
      </c>
      <c r="AA35" t="s">
        <v>25</v>
      </c>
      <c r="AC35" t="s">
        <v>22</v>
      </c>
      <c r="AD35" t="s">
        <v>275</v>
      </c>
      <c r="AE35">
        <v>2.9518305559343878E-2</v>
      </c>
      <c r="AG35" t="s">
        <v>97</v>
      </c>
      <c r="AH35" t="s">
        <v>275</v>
      </c>
      <c r="AI35">
        <v>0.16334421103227581</v>
      </c>
      <c r="AK35">
        <v>2022</v>
      </c>
      <c r="AL35" t="s">
        <v>151</v>
      </c>
      <c r="AM35">
        <v>0.22856863093367569</v>
      </c>
      <c r="AN35" t="s">
        <v>430</v>
      </c>
    </row>
    <row r="36" spans="9:40" x14ac:dyDescent="0.45">
      <c r="I36" t="s">
        <v>249</v>
      </c>
      <c r="J36" t="s">
        <v>276</v>
      </c>
      <c r="K36">
        <v>4.7521279065798E-3</v>
      </c>
      <c r="L36" t="s">
        <v>251</v>
      </c>
      <c r="N36" t="s">
        <v>419</v>
      </c>
      <c r="O36" t="s">
        <v>276</v>
      </c>
      <c r="P36">
        <v>1.3223677969484721E-3</v>
      </c>
      <c r="Q36" t="s">
        <v>251</v>
      </c>
      <c r="S36" t="s">
        <v>420</v>
      </c>
      <c r="T36" t="s">
        <v>276</v>
      </c>
      <c r="U36">
        <v>1.960563960703049E-3</v>
      </c>
      <c r="V36" t="s">
        <v>251</v>
      </c>
      <c r="X36">
        <v>3.4246575342465752E-3</v>
      </c>
      <c r="Y36">
        <v>5.7181214727892006E-3</v>
      </c>
      <c r="Z36" t="s">
        <v>276</v>
      </c>
      <c r="AA36" t="s">
        <v>25</v>
      </c>
      <c r="AC36" t="s">
        <v>22</v>
      </c>
      <c r="AD36" t="s">
        <v>276</v>
      </c>
      <c r="AE36">
        <v>5.1934961842249223E-3</v>
      </c>
      <c r="AG36" t="s">
        <v>97</v>
      </c>
      <c r="AH36" t="s">
        <v>276</v>
      </c>
      <c r="AI36">
        <v>3.5216654126259295E-2</v>
      </c>
      <c r="AK36">
        <v>2022</v>
      </c>
      <c r="AL36" t="s">
        <v>156</v>
      </c>
      <c r="AM36">
        <v>0.25211270446340328</v>
      </c>
      <c r="AN36" t="s">
        <v>430</v>
      </c>
    </row>
    <row r="37" spans="9:40" x14ac:dyDescent="0.45">
      <c r="I37" t="s">
        <v>249</v>
      </c>
      <c r="J37" t="s">
        <v>277</v>
      </c>
      <c r="K37">
        <v>7.4743577824974003E-3</v>
      </c>
      <c r="L37" t="s">
        <v>251</v>
      </c>
      <c r="N37" t="s">
        <v>419</v>
      </c>
      <c r="O37" t="s">
        <v>277</v>
      </c>
      <c r="P37">
        <v>1.1012807675443903E-3</v>
      </c>
      <c r="Q37" t="s">
        <v>251</v>
      </c>
      <c r="S37" t="s">
        <v>420</v>
      </c>
      <c r="T37" t="s">
        <v>277</v>
      </c>
      <c r="U37">
        <v>1.8117095019118666E-3</v>
      </c>
      <c r="V37" t="s">
        <v>251</v>
      </c>
      <c r="X37">
        <v>3.4246575342465752E-3</v>
      </c>
      <c r="Y37">
        <v>4.3756059965691279E-3</v>
      </c>
      <c r="Z37" t="s">
        <v>277</v>
      </c>
      <c r="AA37" t="s">
        <v>25</v>
      </c>
      <c r="AC37" t="s">
        <v>22</v>
      </c>
      <c r="AD37" t="s">
        <v>277</v>
      </c>
      <c r="AE37">
        <v>5.3258221542126722E-3</v>
      </c>
      <c r="AG37" t="s">
        <v>97</v>
      </c>
      <c r="AH37" t="s">
        <v>277</v>
      </c>
      <c r="AI37">
        <v>3.0311797291973974E-2</v>
      </c>
      <c r="AK37">
        <v>2022</v>
      </c>
      <c r="AL37" t="s">
        <v>159</v>
      </c>
      <c r="AM37">
        <v>0.3193698678799306</v>
      </c>
      <c r="AN37" t="s">
        <v>430</v>
      </c>
    </row>
    <row r="38" spans="9:40" x14ac:dyDescent="0.45">
      <c r="I38" t="s">
        <v>249</v>
      </c>
      <c r="J38" t="s">
        <v>278</v>
      </c>
      <c r="K38">
        <v>9.0619381609644001E-3</v>
      </c>
      <c r="L38" t="s">
        <v>251</v>
      </c>
      <c r="N38" t="s">
        <v>419</v>
      </c>
      <c r="O38" t="s">
        <v>278</v>
      </c>
      <c r="P38">
        <v>9.9556642823737593E-4</v>
      </c>
      <c r="Q38" t="s">
        <v>251</v>
      </c>
      <c r="S38" t="s">
        <v>420</v>
      </c>
      <c r="T38" t="s">
        <v>278</v>
      </c>
      <c r="U38">
        <v>1.6715865529542569E-3</v>
      </c>
      <c r="V38" t="s">
        <v>251</v>
      </c>
      <c r="X38">
        <v>3.4246575342465752E-3</v>
      </c>
      <c r="Y38">
        <v>4.3358277602366805E-3</v>
      </c>
      <c r="Z38" t="s">
        <v>278</v>
      </c>
      <c r="AA38" t="s">
        <v>25</v>
      </c>
      <c r="AC38" t="s">
        <v>22</v>
      </c>
      <c r="AD38" t="s">
        <v>278</v>
      </c>
      <c r="AE38">
        <v>5.3672123182696308E-3</v>
      </c>
      <c r="AG38" t="s">
        <v>97</v>
      </c>
      <c r="AH38" t="s">
        <v>278</v>
      </c>
      <c r="AI38">
        <v>2.5632939012395717E-2</v>
      </c>
      <c r="AK38">
        <v>2022</v>
      </c>
      <c r="AL38" t="s">
        <v>163</v>
      </c>
      <c r="AM38">
        <v>0.3594286789966587</v>
      </c>
      <c r="AN38" t="s">
        <v>430</v>
      </c>
    </row>
    <row r="39" spans="9:40" x14ac:dyDescent="0.45">
      <c r="I39" t="s">
        <v>249</v>
      </c>
      <c r="J39" t="s">
        <v>279</v>
      </c>
      <c r="K39">
        <v>6.8036515685839002E-2</v>
      </c>
      <c r="L39" t="s">
        <v>251</v>
      </c>
      <c r="N39" t="s">
        <v>419</v>
      </c>
      <c r="O39" t="s">
        <v>279</v>
      </c>
      <c r="P39">
        <v>9.4407612288413979E-3</v>
      </c>
      <c r="Q39" t="s">
        <v>251</v>
      </c>
      <c r="S39" t="s">
        <v>420</v>
      </c>
      <c r="T39" t="s">
        <v>279</v>
      </c>
      <c r="U39">
        <v>1.4296790910960555E-2</v>
      </c>
      <c r="V39" t="s">
        <v>251</v>
      </c>
      <c r="X39">
        <v>2.3972602739726026E-2</v>
      </c>
      <c r="Y39">
        <v>3.3533053228252493E-2</v>
      </c>
      <c r="Z39" t="s">
        <v>279</v>
      </c>
      <c r="AA39" t="s">
        <v>25</v>
      </c>
      <c r="AC39" t="s">
        <v>22</v>
      </c>
      <c r="AD39" t="s">
        <v>279</v>
      </c>
      <c r="AE39">
        <v>3.6374035294971817E-2</v>
      </c>
      <c r="AG39" t="s">
        <v>97</v>
      </c>
      <c r="AH39" t="s">
        <v>279</v>
      </c>
      <c r="AI39">
        <v>0.12107479110399866</v>
      </c>
      <c r="AK39">
        <v>2022</v>
      </c>
      <c r="AL39" t="s">
        <v>167</v>
      </c>
      <c r="AM39">
        <v>0.3851224877375633</v>
      </c>
      <c r="AN39" t="s">
        <v>430</v>
      </c>
    </row>
    <row r="40" spans="9:40" x14ac:dyDescent="0.45">
      <c r="I40" t="s">
        <v>249</v>
      </c>
      <c r="J40" t="s">
        <v>280</v>
      </c>
      <c r="K40">
        <v>6.2620054594643999E-3</v>
      </c>
      <c r="L40" t="s">
        <v>251</v>
      </c>
      <c r="N40" t="s">
        <v>419</v>
      </c>
      <c r="O40" t="s">
        <v>280</v>
      </c>
      <c r="P40">
        <v>2.7097780121235144E-3</v>
      </c>
      <c r="Q40" t="s">
        <v>251</v>
      </c>
      <c r="S40" t="s">
        <v>420</v>
      </c>
      <c r="T40" t="s">
        <v>280</v>
      </c>
      <c r="U40">
        <v>2.9540873951373016E-3</v>
      </c>
      <c r="V40" t="s">
        <v>251</v>
      </c>
      <c r="X40">
        <v>3.4246575342465752E-3</v>
      </c>
      <c r="Y40">
        <v>6.662854585684809E-3</v>
      </c>
      <c r="Z40" t="s">
        <v>280</v>
      </c>
      <c r="AA40" t="s">
        <v>25</v>
      </c>
      <c r="AC40" t="s">
        <v>22</v>
      </c>
      <c r="AD40" t="s">
        <v>280</v>
      </c>
      <c r="AE40">
        <v>2.7678320259506982E-3</v>
      </c>
      <c r="AG40" t="s">
        <v>97</v>
      </c>
      <c r="AH40" t="s">
        <v>280</v>
      </c>
      <c r="AI40">
        <v>8.6761717202879396E-2</v>
      </c>
      <c r="AK40">
        <v>2022</v>
      </c>
      <c r="AL40" t="s">
        <v>169</v>
      </c>
      <c r="AM40">
        <v>0.43060849922349292</v>
      </c>
      <c r="AN40" t="s">
        <v>430</v>
      </c>
    </row>
    <row r="41" spans="9:40" x14ac:dyDescent="0.45">
      <c r="I41" t="s">
        <v>249</v>
      </c>
      <c r="J41" t="s">
        <v>281</v>
      </c>
      <c r="K41">
        <v>3.5888896639685057E-3</v>
      </c>
      <c r="L41" t="s">
        <v>251</v>
      </c>
      <c r="N41" t="s">
        <v>419</v>
      </c>
      <c r="O41" t="s">
        <v>281</v>
      </c>
      <c r="P41">
        <v>3.2681817578805012E-3</v>
      </c>
      <c r="Q41" t="s">
        <v>251</v>
      </c>
      <c r="S41" t="s">
        <v>420</v>
      </c>
      <c r="T41" t="s">
        <v>281</v>
      </c>
      <c r="U41">
        <v>3.0913498080904936E-3</v>
      </c>
      <c r="V41" t="s">
        <v>251</v>
      </c>
      <c r="X41">
        <v>3.4246575342465752E-3</v>
      </c>
      <c r="Y41">
        <v>5.1711707232180593E-3</v>
      </c>
      <c r="Z41" t="s">
        <v>281</v>
      </c>
      <c r="AA41" t="s">
        <v>25</v>
      </c>
      <c r="AC41" t="s">
        <v>22</v>
      </c>
      <c r="AD41" t="s">
        <v>281</v>
      </c>
      <c r="AE41">
        <v>3.3043699929870768E-3</v>
      </c>
      <c r="AG41" t="s">
        <v>97</v>
      </c>
      <c r="AH41" t="s">
        <v>281</v>
      </c>
      <c r="AI41">
        <v>0.11709209908661999</v>
      </c>
      <c r="AK41">
        <v>2022</v>
      </c>
      <c r="AL41" t="s">
        <v>171</v>
      </c>
      <c r="AM41">
        <v>0.58949643171063837</v>
      </c>
      <c r="AN41" t="s">
        <v>430</v>
      </c>
    </row>
    <row r="42" spans="9:40" x14ac:dyDescent="0.45">
      <c r="I42" t="s">
        <v>249</v>
      </c>
      <c r="J42" t="s">
        <v>282</v>
      </c>
      <c r="K42">
        <v>2.4148579671858214E-4</v>
      </c>
      <c r="L42" t="s">
        <v>251</v>
      </c>
      <c r="N42" t="s">
        <v>419</v>
      </c>
      <c r="O42" t="s">
        <v>282</v>
      </c>
      <c r="P42">
        <v>2.094799313478261E-2</v>
      </c>
      <c r="Q42" t="s">
        <v>251</v>
      </c>
      <c r="S42" t="s">
        <v>420</v>
      </c>
      <c r="T42" t="s">
        <v>282</v>
      </c>
      <c r="U42">
        <v>1.53525731100944E-2</v>
      </c>
      <c r="V42" t="s">
        <v>251</v>
      </c>
      <c r="X42">
        <v>1.7123287671232876E-2</v>
      </c>
      <c r="Y42">
        <v>1.2927926808045149E-2</v>
      </c>
      <c r="Z42" t="s">
        <v>282</v>
      </c>
      <c r="AA42" t="s">
        <v>25</v>
      </c>
      <c r="AC42" t="s">
        <v>22</v>
      </c>
      <c r="AD42" t="s">
        <v>282</v>
      </c>
      <c r="AE42">
        <v>1.3764633323452066E-2</v>
      </c>
      <c r="AG42" t="s">
        <v>97</v>
      </c>
      <c r="AH42" t="s">
        <v>282</v>
      </c>
      <c r="AI42">
        <v>0.17218577644945188</v>
      </c>
      <c r="AK42">
        <v>2022</v>
      </c>
      <c r="AL42" t="s">
        <v>158</v>
      </c>
      <c r="AM42">
        <v>0.70961593638562115</v>
      </c>
      <c r="AN42" t="s">
        <v>430</v>
      </c>
    </row>
    <row r="43" spans="9:40" x14ac:dyDescent="0.45">
      <c r="I43" t="s">
        <v>249</v>
      </c>
      <c r="J43" t="s">
        <v>283</v>
      </c>
      <c r="K43">
        <v>1.7670272179208782E-3</v>
      </c>
      <c r="L43" t="s">
        <v>251</v>
      </c>
      <c r="N43" t="s">
        <v>419</v>
      </c>
      <c r="O43" t="s">
        <v>283</v>
      </c>
      <c r="P43">
        <v>3.7236251817725795E-2</v>
      </c>
      <c r="Q43" t="s">
        <v>251</v>
      </c>
      <c r="S43" t="s">
        <v>420</v>
      </c>
      <c r="T43" t="s">
        <v>283</v>
      </c>
      <c r="U43">
        <v>2.9348632349428468E-2</v>
      </c>
      <c r="V43" t="s">
        <v>251</v>
      </c>
      <c r="X43">
        <v>2.4771689497716895E-2</v>
      </c>
      <c r="Y43">
        <v>9.7827942553597048E-3</v>
      </c>
      <c r="Z43" t="s">
        <v>283</v>
      </c>
      <c r="AA43" t="s">
        <v>25</v>
      </c>
      <c r="AC43" t="s">
        <v>22</v>
      </c>
      <c r="AD43" t="s">
        <v>283</v>
      </c>
      <c r="AE43">
        <v>3.3825157257624083E-2</v>
      </c>
      <c r="AG43" t="s">
        <v>97</v>
      </c>
      <c r="AH43" t="s">
        <v>283</v>
      </c>
      <c r="AI43">
        <v>0.1040152179592515</v>
      </c>
      <c r="AK43">
        <v>2022</v>
      </c>
      <c r="AL43" t="s">
        <v>162</v>
      </c>
      <c r="AM43">
        <v>0.69297378700174128</v>
      </c>
      <c r="AN43" t="s">
        <v>430</v>
      </c>
    </row>
    <row r="44" spans="9:40" x14ac:dyDescent="0.45">
      <c r="I44" t="s">
        <v>249</v>
      </c>
      <c r="J44" t="s">
        <v>284</v>
      </c>
      <c r="K44">
        <v>5.2458382221451999E-3</v>
      </c>
      <c r="L44" t="s">
        <v>251</v>
      </c>
      <c r="N44" t="s">
        <v>419</v>
      </c>
      <c r="O44" t="s">
        <v>284</v>
      </c>
      <c r="P44">
        <v>4.2387441648916542E-3</v>
      </c>
      <c r="Q44" t="s">
        <v>251</v>
      </c>
      <c r="S44" t="s">
        <v>420</v>
      </c>
      <c r="T44" t="s">
        <v>284</v>
      </c>
      <c r="U44">
        <v>3.4891517956613686E-3</v>
      </c>
      <c r="V44" t="s">
        <v>251</v>
      </c>
      <c r="X44">
        <v>3.5388127853881279E-3</v>
      </c>
      <c r="Y44">
        <v>5.9087255218821738E-3</v>
      </c>
      <c r="Z44" t="s">
        <v>284</v>
      </c>
      <c r="AA44" t="s">
        <v>25</v>
      </c>
      <c r="AC44" t="s">
        <v>22</v>
      </c>
      <c r="AD44" t="s">
        <v>284</v>
      </c>
      <c r="AE44">
        <v>5.5871952887510202E-3</v>
      </c>
      <c r="AG44" t="s">
        <v>97</v>
      </c>
      <c r="AH44" t="s">
        <v>284</v>
      </c>
      <c r="AI44">
        <v>1.4636729188804765E-2</v>
      </c>
      <c r="AK44">
        <v>2022</v>
      </c>
      <c r="AL44" t="s">
        <v>175</v>
      </c>
      <c r="AM44">
        <v>0.49755662126035521</v>
      </c>
      <c r="AN44" t="s">
        <v>430</v>
      </c>
    </row>
    <row r="45" spans="9:40" x14ac:dyDescent="0.45">
      <c r="I45" t="s">
        <v>249</v>
      </c>
      <c r="J45" t="s">
        <v>285</v>
      </c>
      <c r="K45">
        <v>7.5897915349617999E-3</v>
      </c>
      <c r="L45" t="s">
        <v>251</v>
      </c>
      <c r="N45" t="s">
        <v>419</v>
      </c>
      <c r="O45" t="s">
        <v>285</v>
      </c>
      <c r="P45">
        <v>4.0921748354808231E-3</v>
      </c>
      <c r="Q45" t="s">
        <v>251</v>
      </c>
      <c r="S45" t="s">
        <v>420</v>
      </c>
      <c r="T45" t="s">
        <v>285</v>
      </c>
      <c r="U45">
        <v>3.3611029397469078E-3</v>
      </c>
      <c r="V45" t="s">
        <v>251</v>
      </c>
      <c r="X45">
        <v>3.5388127853881279E-3</v>
      </c>
      <c r="Y45">
        <v>4.521459529788099E-3</v>
      </c>
      <c r="Z45" t="s">
        <v>285</v>
      </c>
      <c r="AA45" t="s">
        <v>25</v>
      </c>
      <c r="AC45" t="s">
        <v>22</v>
      </c>
      <c r="AD45" t="s">
        <v>285</v>
      </c>
      <c r="AE45">
        <v>5.6468327773550814E-3</v>
      </c>
      <c r="AG45" t="s">
        <v>97</v>
      </c>
      <c r="AH45" t="s">
        <v>285</v>
      </c>
      <c r="AI45">
        <v>2.0453277369397727E-2</v>
      </c>
      <c r="AK45">
        <v>2022</v>
      </c>
      <c r="AL45" t="s">
        <v>166</v>
      </c>
      <c r="AM45">
        <v>0.32030919102075389</v>
      </c>
      <c r="AN45" t="s">
        <v>430</v>
      </c>
    </row>
    <row r="46" spans="9:40" x14ac:dyDescent="0.45">
      <c r="I46" t="s">
        <v>249</v>
      </c>
      <c r="J46" t="s">
        <v>286</v>
      </c>
      <c r="K46">
        <v>9.0460724211776991E-3</v>
      </c>
      <c r="L46" t="s">
        <v>251</v>
      </c>
      <c r="N46" t="s">
        <v>419</v>
      </c>
      <c r="O46" t="s">
        <v>286</v>
      </c>
      <c r="P46">
        <v>3.8324308091180056E-3</v>
      </c>
      <c r="Q46" t="s">
        <v>251</v>
      </c>
      <c r="S46" t="s">
        <v>420</v>
      </c>
      <c r="T46" t="s">
        <v>286</v>
      </c>
      <c r="U46">
        <v>3.2647690971758453E-3</v>
      </c>
      <c r="V46" t="s">
        <v>251</v>
      </c>
      <c r="X46">
        <v>3.5388127853881279E-3</v>
      </c>
      <c r="Y46">
        <v>4.4803553522445696E-3</v>
      </c>
      <c r="Z46" t="s">
        <v>286</v>
      </c>
      <c r="AA46" t="s">
        <v>25</v>
      </c>
      <c r="AC46" t="s">
        <v>22</v>
      </c>
      <c r="AD46" t="s">
        <v>286</v>
      </c>
      <c r="AE46">
        <v>5.6501261642986165E-3</v>
      </c>
      <c r="AG46" t="s">
        <v>97</v>
      </c>
      <c r="AH46" t="s">
        <v>286</v>
      </c>
      <c r="AI46">
        <v>2.0099445039484021E-2</v>
      </c>
      <c r="AK46">
        <v>2022</v>
      </c>
      <c r="AL46" t="s">
        <v>178</v>
      </c>
      <c r="AM46">
        <v>0.26614155656660882</v>
      </c>
      <c r="AN46" t="s">
        <v>430</v>
      </c>
    </row>
    <row r="47" spans="9:40" x14ac:dyDescent="0.45">
      <c r="I47" t="s">
        <v>249</v>
      </c>
      <c r="J47" t="s">
        <v>287</v>
      </c>
      <c r="K47">
        <v>6.9126430957336601E-2</v>
      </c>
      <c r="L47" t="s">
        <v>251</v>
      </c>
      <c r="N47" t="s">
        <v>419</v>
      </c>
      <c r="O47" t="s">
        <v>287</v>
      </c>
      <c r="P47">
        <v>2.6125279419162487E-2</v>
      </c>
      <c r="Q47" t="s">
        <v>251</v>
      </c>
      <c r="S47" t="s">
        <v>420</v>
      </c>
      <c r="T47" t="s">
        <v>287</v>
      </c>
      <c r="U47">
        <v>2.5254302203101108E-2</v>
      </c>
      <c r="V47" t="s">
        <v>251</v>
      </c>
      <c r="X47">
        <v>2.4771689497716895E-2</v>
      </c>
      <c r="Y47">
        <v>3.4650821669194247E-2</v>
      </c>
      <c r="Z47" t="s">
        <v>287</v>
      </c>
      <c r="AA47" t="s">
        <v>25</v>
      </c>
      <c r="AC47" t="s">
        <v>22</v>
      </c>
      <c r="AD47" t="s">
        <v>287</v>
      </c>
      <c r="AE47">
        <v>3.9399790668033244E-2</v>
      </c>
      <c r="AG47" t="s">
        <v>97</v>
      </c>
      <c r="AH47" t="s">
        <v>287</v>
      </c>
      <c r="AI47">
        <v>0.10001642084856233</v>
      </c>
      <c r="AK47">
        <v>2025</v>
      </c>
      <c r="AL47" t="s">
        <v>151</v>
      </c>
      <c r="AM47">
        <v>0.30370000000000003</v>
      </c>
      <c r="AN47" t="s">
        <v>430</v>
      </c>
    </row>
    <row r="48" spans="9:40" x14ac:dyDescent="0.45">
      <c r="I48" t="s">
        <v>249</v>
      </c>
      <c r="J48" t="s">
        <v>288</v>
      </c>
      <c r="K48">
        <v>6.5701923297423002E-3</v>
      </c>
      <c r="L48" t="s">
        <v>251</v>
      </c>
      <c r="N48" t="s">
        <v>419</v>
      </c>
      <c r="O48" t="s">
        <v>288</v>
      </c>
      <c r="P48">
        <v>4.8149886541700802E-3</v>
      </c>
      <c r="Q48" t="s">
        <v>251</v>
      </c>
      <c r="S48" t="s">
        <v>420</v>
      </c>
      <c r="T48" t="s">
        <v>288</v>
      </c>
      <c r="U48">
        <v>4.2979088187685942E-3</v>
      </c>
      <c r="V48" t="s">
        <v>251</v>
      </c>
      <c r="X48">
        <v>3.5388127853881279E-3</v>
      </c>
      <c r="Y48">
        <v>6.8849497385409693E-3</v>
      </c>
      <c r="Z48" t="s">
        <v>288</v>
      </c>
      <c r="AA48" t="s">
        <v>25</v>
      </c>
      <c r="AC48" t="s">
        <v>22</v>
      </c>
      <c r="AD48" t="s">
        <v>288</v>
      </c>
      <c r="AE48">
        <v>3.3592112224946164E-3</v>
      </c>
      <c r="AG48" t="s">
        <v>97</v>
      </c>
      <c r="AH48" t="s">
        <v>288</v>
      </c>
      <c r="AI48">
        <v>6.6396748992021193E-2</v>
      </c>
      <c r="AK48">
        <v>2025</v>
      </c>
      <c r="AL48" t="s">
        <v>156</v>
      </c>
      <c r="AM48">
        <v>0.30380000000000001</v>
      </c>
      <c r="AN48" t="s">
        <v>430</v>
      </c>
    </row>
    <row r="49" spans="9:40" x14ac:dyDescent="0.45">
      <c r="I49" t="s">
        <v>249</v>
      </c>
      <c r="J49" t="s">
        <v>289</v>
      </c>
      <c r="K49">
        <v>4.1435965591736E-3</v>
      </c>
      <c r="L49" t="s">
        <v>251</v>
      </c>
      <c r="N49" t="s">
        <v>419</v>
      </c>
      <c r="O49" t="s">
        <v>289</v>
      </c>
      <c r="P49">
        <v>5.3617249337066892E-3</v>
      </c>
      <c r="Q49" t="s">
        <v>251</v>
      </c>
      <c r="S49" t="s">
        <v>420</v>
      </c>
      <c r="T49" t="s">
        <v>289</v>
      </c>
      <c r="U49">
        <v>4.4146090696289371E-3</v>
      </c>
      <c r="V49" t="s">
        <v>251</v>
      </c>
      <c r="X49">
        <v>3.5388127853881279E-3</v>
      </c>
      <c r="Y49">
        <v>5.3435430806586613E-3</v>
      </c>
      <c r="Z49" t="s">
        <v>289</v>
      </c>
      <c r="AA49" t="s">
        <v>25</v>
      </c>
      <c r="AC49" t="s">
        <v>22</v>
      </c>
      <c r="AD49" t="s">
        <v>289</v>
      </c>
      <c r="AE49">
        <v>4.2578200946471779E-3</v>
      </c>
      <c r="AG49" t="s">
        <v>97</v>
      </c>
      <c r="AH49" t="s">
        <v>289</v>
      </c>
      <c r="AI49">
        <v>1.1548995400689321E-2</v>
      </c>
      <c r="AK49">
        <v>2025</v>
      </c>
      <c r="AL49" t="s">
        <v>159</v>
      </c>
      <c r="AM49">
        <v>0.29820000000000002</v>
      </c>
      <c r="AN49" t="s">
        <v>430</v>
      </c>
    </row>
    <row r="50" spans="9:40" x14ac:dyDescent="0.45">
      <c r="I50" t="s">
        <v>249</v>
      </c>
      <c r="J50" t="s">
        <v>290</v>
      </c>
      <c r="K50">
        <v>1.3839106225692888E-3</v>
      </c>
      <c r="L50" t="s">
        <v>251</v>
      </c>
      <c r="N50" t="s">
        <v>419</v>
      </c>
      <c r="O50" t="s">
        <v>290</v>
      </c>
      <c r="P50">
        <v>3.2494265535174399E-2</v>
      </c>
      <c r="Q50" t="s">
        <v>251</v>
      </c>
      <c r="S50" t="s">
        <v>420</v>
      </c>
      <c r="T50" t="s">
        <v>290</v>
      </c>
      <c r="U50">
        <v>2.2685903009714705E-2</v>
      </c>
      <c r="V50" t="s">
        <v>251</v>
      </c>
      <c r="X50">
        <v>1.7694063926940638E-2</v>
      </c>
      <c r="Y50">
        <v>1.3358857701646654E-2</v>
      </c>
      <c r="Z50" t="s">
        <v>290</v>
      </c>
      <c r="AA50" t="s">
        <v>25</v>
      </c>
      <c r="AC50" t="s">
        <v>22</v>
      </c>
      <c r="AD50" t="s">
        <v>290</v>
      </c>
      <c r="AE50">
        <v>1.8839022245917787E-2</v>
      </c>
      <c r="AG50" t="s">
        <v>97</v>
      </c>
      <c r="AH50" t="s">
        <v>290</v>
      </c>
      <c r="AI50">
        <v>5.7926789216266483E-2</v>
      </c>
      <c r="AK50">
        <v>2025</v>
      </c>
      <c r="AL50" t="s">
        <v>163</v>
      </c>
      <c r="AM50">
        <v>0.39700000000000002</v>
      </c>
      <c r="AN50" t="s">
        <v>430</v>
      </c>
    </row>
    <row r="51" spans="9:40" x14ac:dyDescent="0.45">
      <c r="I51" t="s">
        <v>249</v>
      </c>
      <c r="J51" t="s">
        <v>291</v>
      </c>
      <c r="K51">
        <v>1.0436857710503405E-3</v>
      </c>
      <c r="L51" t="s">
        <v>251</v>
      </c>
      <c r="N51" t="s">
        <v>419</v>
      </c>
      <c r="O51" t="s">
        <v>291</v>
      </c>
      <c r="P51">
        <v>3.944773700764715E-2</v>
      </c>
      <c r="Q51" t="s">
        <v>251</v>
      </c>
      <c r="S51" t="s">
        <v>420</v>
      </c>
      <c r="T51" t="s">
        <v>291</v>
      </c>
      <c r="U51">
        <v>3.9975692726160098E-2</v>
      </c>
      <c r="V51" t="s">
        <v>251</v>
      </c>
      <c r="X51">
        <v>2.3972602739726026E-2</v>
      </c>
      <c r="Y51">
        <v>9.4672202471222967E-3</v>
      </c>
      <c r="Z51" t="s">
        <v>291</v>
      </c>
      <c r="AA51" t="s">
        <v>25</v>
      </c>
      <c r="AC51" t="s">
        <v>22</v>
      </c>
      <c r="AD51" t="s">
        <v>291</v>
      </c>
      <c r="AE51">
        <v>3.1367388069247076E-2</v>
      </c>
      <c r="AG51" t="s">
        <v>97</v>
      </c>
      <c r="AH51" t="s">
        <v>291</v>
      </c>
      <c r="AI51">
        <v>0.12654517842613111</v>
      </c>
      <c r="AK51">
        <v>2025</v>
      </c>
      <c r="AL51" t="s">
        <v>167</v>
      </c>
      <c r="AM51">
        <v>0.42759999999999998</v>
      </c>
      <c r="AN51" t="s">
        <v>430</v>
      </c>
    </row>
    <row r="52" spans="9:40" x14ac:dyDescent="0.45">
      <c r="I52" t="s">
        <v>249</v>
      </c>
      <c r="J52" t="s">
        <v>292</v>
      </c>
      <c r="K52">
        <v>3.1266623424225292E-3</v>
      </c>
      <c r="L52" t="s">
        <v>251</v>
      </c>
      <c r="N52" t="s">
        <v>419</v>
      </c>
      <c r="O52" t="s">
        <v>292</v>
      </c>
      <c r="P52">
        <v>5.278470963195548E-3</v>
      </c>
      <c r="Q52" t="s">
        <v>251</v>
      </c>
      <c r="S52" t="s">
        <v>420</v>
      </c>
      <c r="T52" t="s">
        <v>292</v>
      </c>
      <c r="U52">
        <v>5.1765481631041842E-3</v>
      </c>
      <c r="V52" t="s">
        <v>251</v>
      </c>
      <c r="X52">
        <v>3.4246575342465752E-3</v>
      </c>
      <c r="Y52">
        <v>5.7181214727892006E-3</v>
      </c>
      <c r="Z52" t="s">
        <v>292</v>
      </c>
      <c r="AA52" t="s">
        <v>25</v>
      </c>
      <c r="AC52" t="s">
        <v>22</v>
      </c>
      <c r="AD52" t="s">
        <v>292</v>
      </c>
      <c r="AE52">
        <v>5.0324410226670127E-3</v>
      </c>
      <c r="AG52" t="s">
        <v>97</v>
      </c>
      <c r="AH52" t="s">
        <v>292</v>
      </c>
      <c r="AI52">
        <v>5.4623288193452524E-2</v>
      </c>
      <c r="AK52">
        <v>2025</v>
      </c>
      <c r="AL52" t="s">
        <v>169</v>
      </c>
      <c r="AM52">
        <v>0.58930000000000005</v>
      </c>
      <c r="AN52" t="s">
        <v>430</v>
      </c>
    </row>
    <row r="53" spans="9:40" x14ac:dyDescent="0.45">
      <c r="I53" t="s">
        <v>249</v>
      </c>
      <c r="J53" t="s">
        <v>293</v>
      </c>
      <c r="K53">
        <v>5.0750441322154997E-3</v>
      </c>
      <c r="L53" t="s">
        <v>251</v>
      </c>
      <c r="N53" t="s">
        <v>419</v>
      </c>
      <c r="O53" t="s">
        <v>293</v>
      </c>
      <c r="P53">
        <v>6.1018272305427643E-3</v>
      </c>
      <c r="Q53" t="s">
        <v>251</v>
      </c>
      <c r="S53" t="s">
        <v>420</v>
      </c>
      <c r="T53" t="s">
        <v>293</v>
      </c>
      <c r="U53">
        <v>5.1174221310656444E-3</v>
      </c>
      <c r="V53" t="s">
        <v>251</v>
      </c>
      <c r="X53">
        <v>3.4246575342465752E-3</v>
      </c>
      <c r="Y53">
        <v>4.3756059965691279E-3</v>
      </c>
      <c r="Z53" t="s">
        <v>293</v>
      </c>
      <c r="AA53" t="s">
        <v>25</v>
      </c>
      <c r="AC53" t="s">
        <v>22</v>
      </c>
      <c r="AD53" t="s">
        <v>293</v>
      </c>
      <c r="AE53">
        <v>5.0825125368809503E-3</v>
      </c>
      <c r="AG53" t="s">
        <v>97</v>
      </c>
      <c r="AH53" t="s">
        <v>293</v>
      </c>
      <c r="AI53">
        <v>4.8634603784541763E-2</v>
      </c>
      <c r="AK53">
        <v>2025</v>
      </c>
      <c r="AL53" t="s">
        <v>171</v>
      </c>
      <c r="AM53">
        <v>0.61729999999999996</v>
      </c>
      <c r="AN53" t="s">
        <v>430</v>
      </c>
    </row>
    <row r="54" spans="9:40" x14ac:dyDescent="0.45">
      <c r="I54" t="s">
        <v>249</v>
      </c>
      <c r="J54" t="s">
        <v>294</v>
      </c>
      <c r="K54">
        <v>6.5019753804751003E-3</v>
      </c>
      <c r="L54" t="s">
        <v>251</v>
      </c>
      <c r="N54" t="s">
        <v>419</v>
      </c>
      <c r="O54" t="s">
        <v>294</v>
      </c>
      <c r="P54">
        <v>6.3253143755274271E-3</v>
      </c>
      <c r="Q54" t="s">
        <v>251</v>
      </c>
      <c r="S54" t="s">
        <v>420</v>
      </c>
      <c r="T54" t="s">
        <v>294</v>
      </c>
      <c r="U54">
        <v>5.1175180867328723E-3</v>
      </c>
      <c r="V54" t="s">
        <v>251</v>
      </c>
      <c r="X54">
        <v>3.4246575342465752E-3</v>
      </c>
      <c r="Y54">
        <v>4.3358277602366805E-3</v>
      </c>
      <c r="Z54" t="s">
        <v>294</v>
      </c>
      <c r="AA54" t="s">
        <v>25</v>
      </c>
      <c r="AC54" t="s">
        <v>22</v>
      </c>
      <c r="AD54" t="s">
        <v>294</v>
      </c>
      <c r="AE54">
        <v>5.0888608855968742E-3</v>
      </c>
      <c r="AG54" t="s">
        <v>97</v>
      </c>
      <c r="AH54" t="s">
        <v>294</v>
      </c>
      <c r="AI54">
        <v>4.7880179351180274E-2</v>
      </c>
      <c r="AK54">
        <v>2025</v>
      </c>
      <c r="AL54" t="s">
        <v>158</v>
      </c>
      <c r="AM54">
        <v>0.73119999999999996</v>
      </c>
      <c r="AN54" t="s">
        <v>430</v>
      </c>
    </row>
    <row r="55" spans="9:40" x14ac:dyDescent="0.45">
      <c r="I55" t="s">
        <v>249</v>
      </c>
      <c r="J55" t="s">
        <v>295</v>
      </c>
      <c r="K55">
        <v>5.2408395071258398E-2</v>
      </c>
      <c r="L55" t="s">
        <v>251</v>
      </c>
      <c r="N55" t="s">
        <v>419</v>
      </c>
      <c r="O55" t="s">
        <v>295</v>
      </c>
      <c r="P55">
        <v>4.4149492272705773E-2</v>
      </c>
      <c r="Q55" t="s">
        <v>251</v>
      </c>
      <c r="S55" t="s">
        <v>420</v>
      </c>
      <c r="T55" t="s">
        <v>295</v>
      </c>
      <c r="U55">
        <v>3.8365477548783382E-2</v>
      </c>
      <c r="V55" t="s">
        <v>251</v>
      </c>
      <c r="X55">
        <v>2.3972602739726026E-2</v>
      </c>
      <c r="Y55">
        <v>3.3533053228252493E-2</v>
      </c>
      <c r="Z55" t="s">
        <v>295</v>
      </c>
      <c r="AA55" t="s">
        <v>25</v>
      </c>
      <c r="AC55" t="s">
        <v>22</v>
      </c>
      <c r="AD55" t="s">
        <v>295</v>
      </c>
      <c r="AE55">
        <v>3.6083706461427875E-2</v>
      </c>
      <c r="AG55" t="s">
        <v>97</v>
      </c>
      <c r="AH55" t="s">
        <v>295</v>
      </c>
      <c r="AI55">
        <v>0.12780921466955442</v>
      </c>
      <c r="AK55">
        <v>2025</v>
      </c>
      <c r="AL55" t="s">
        <v>162</v>
      </c>
      <c r="AM55">
        <v>0.67110000000000003</v>
      </c>
      <c r="AN55" t="s">
        <v>430</v>
      </c>
    </row>
    <row r="56" spans="9:40" x14ac:dyDescent="0.45">
      <c r="I56" t="s">
        <v>249</v>
      </c>
      <c r="J56" t="s">
        <v>296</v>
      </c>
      <c r="K56">
        <v>4.2724821694190831E-3</v>
      </c>
      <c r="L56" t="s">
        <v>251</v>
      </c>
      <c r="N56" t="s">
        <v>419</v>
      </c>
      <c r="O56" t="s">
        <v>296</v>
      </c>
      <c r="P56">
        <v>6.3009483613797098E-3</v>
      </c>
      <c r="Q56" t="s">
        <v>251</v>
      </c>
      <c r="S56" t="s">
        <v>420</v>
      </c>
      <c r="T56" t="s">
        <v>296</v>
      </c>
      <c r="U56">
        <v>5.8747546722316092E-3</v>
      </c>
      <c r="V56" t="s">
        <v>251</v>
      </c>
      <c r="X56">
        <v>3.4246575342465752E-3</v>
      </c>
      <c r="Y56">
        <v>6.662854585684809E-3</v>
      </c>
      <c r="Z56" t="s">
        <v>296</v>
      </c>
      <c r="AA56" t="s">
        <v>25</v>
      </c>
      <c r="AC56" t="s">
        <v>22</v>
      </c>
      <c r="AD56" t="s">
        <v>296</v>
      </c>
      <c r="AE56">
        <v>3.1423811851982193E-3</v>
      </c>
      <c r="AG56" t="s">
        <v>97</v>
      </c>
      <c r="AH56" t="s">
        <v>296</v>
      </c>
      <c r="AI56">
        <v>8.9423036891613572E-2</v>
      </c>
      <c r="AK56">
        <v>2025</v>
      </c>
      <c r="AL56" t="s">
        <v>175</v>
      </c>
      <c r="AM56">
        <v>0.5131</v>
      </c>
      <c r="AN56" t="s">
        <v>430</v>
      </c>
    </row>
    <row r="57" spans="9:40" x14ac:dyDescent="0.45">
      <c r="I57" t="s">
        <v>249</v>
      </c>
      <c r="J57" t="s">
        <v>297</v>
      </c>
      <c r="K57">
        <v>2.380249128749159E-3</v>
      </c>
      <c r="L57" t="s">
        <v>251</v>
      </c>
      <c r="N57" t="s">
        <v>419</v>
      </c>
      <c r="O57" t="s">
        <v>297</v>
      </c>
      <c r="P57">
        <v>6.4942321030568998E-3</v>
      </c>
      <c r="Q57" t="s">
        <v>251</v>
      </c>
      <c r="S57" t="s">
        <v>420</v>
      </c>
      <c r="T57" t="s">
        <v>297</v>
      </c>
      <c r="U57">
        <v>6.0119750941272799E-3</v>
      </c>
      <c r="V57" t="s">
        <v>251</v>
      </c>
      <c r="X57">
        <v>3.4246575342465752E-3</v>
      </c>
      <c r="Y57">
        <v>5.1711707232180593E-3</v>
      </c>
      <c r="Z57" t="s">
        <v>297</v>
      </c>
      <c r="AA57" t="s">
        <v>25</v>
      </c>
      <c r="AC57" t="s">
        <v>22</v>
      </c>
      <c r="AD57" t="s">
        <v>297</v>
      </c>
      <c r="AE57">
        <v>3.8905794267177396E-3</v>
      </c>
      <c r="AG57" t="s">
        <v>97</v>
      </c>
      <c r="AH57" t="s">
        <v>297</v>
      </c>
      <c r="AI57">
        <v>1.6280183193151831E-2</v>
      </c>
      <c r="AK57">
        <v>2025</v>
      </c>
      <c r="AL57" t="s">
        <v>166</v>
      </c>
      <c r="AM57">
        <v>0.36730000000000002</v>
      </c>
      <c r="AN57" t="s">
        <v>430</v>
      </c>
    </row>
    <row r="58" spans="9:40" x14ac:dyDescent="0.45">
      <c r="I58" t="s">
        <v>249</v>
      </c>
      <c r="J58" t="s">
        <v>298</v>
      </c>
      <c r="K58">
        <v>6.5942701400987245E-4</v>
      </c>
      <c r="L58" t="s">
        <v>251</v>
      </c>
      <c r="N58" t="s">
        <v>419</v>
      </c>
      <c r="O58" t="s">
        <v>298</v>
      </c>
      <c r="P58">
        <v>3.4052871775288797E-2</v>
      </c>
      <c r="Q58" t="s">
        <v>251</v>
      </c>
      <c r="S58" t="s">
        <v>420</v>
      </c>
      <c r="T58" t="s">
        <v>298</v>
      </c>
      <c r="U58">
        <v>3.0989048617552705E-2</v>
      </c>
      <c r="V58" t="s">
        <v>251</v>
      </c>
      <c r="X58">
        <v>1.7123287671232876E-2</v>
      </c>
      <c r="Y58">
        <v>1.2927926808045149E-2</v>
      </c>
      <c r="Z58" t="s">
        <v>298</v>
      </c>
      <c r="AA58" t="s">
        <v>25</v>
      </c>
      <c r="AC58" t="s">
        <v>22</v>
      </c>
      <c r="AD58" t="s">
        <v>298</v>
      </c>
      <c r="AE58">
        <v>1.7665221966811109E-2</v>
      </c>
      <c r="AG58" t="s">
        <v>97</v>
      </c>
      <c r="AH58" t="s">
        <v>298</v>
      </c>
      <c r="AI58">
        <v>5.6224292849093915E-2</v>
      </c>
      <c r="AK58">
        <v>2025</v>
      </c>
      <c r="AL58" t="s">
        <v>178</v>
      </c>
      <c r="AM58">
        <v>0.26150000000000001</v>
      </c>
      <c r="AN58" t="s">
        <v>430</v>
      </c>
    </row>
    <row r="59" spans="9:40" x14ac:dyDescent="0.45">
      <c r="I59" t="s">
        <v>249</v>
      </c>
      <c r="J59" t="s">
        <v>299</v>
      </c>
      <c r="K59">
        <v>3.9949852694818087E-4</v>
      </c>
      <c r="L59" t="s">
        <v>251</v>
      </c>
      <c r="N59" t="s">
        <v>419</v>
      </c>
      <c r="O59" t="s">
        <v>299</v>
      </c>
      <c r="P59">
        <v>5.21461902063994E-2</v>
      </c>
      <c r="Q59" t="s">
        <v>251</v>
      </c>
      <c r="S59" t="s">
        <v>420</v>
      </c>
      <c r="T59" t="s">
        <v>299</v>
      </c>
      <c r="U59">
        <v>5.8266126603190097E-2</v>
      </c>
      <c r="V59" t="s">
        <v>251</v>
      </c>
      <c r="X59">
        <v>2.4771689497716895E-2</v>
      </c>
      <c r="Y59">
        <v>9.7827942553597048E-3</v>
      </c>
      <c r="Z59" t="s">
        <v>299</v>
      </c>
      <c r="AA59" t="s">
        <v>25</v>
      </c>
      <c r="AC59" t="s">
        <v>22</v>
      </c>
      <c r="AD59" t="s">
        <v>299</v>
      </c>
      <c r="AE59">
        <v>3.1290129919684682E-2</v>
      </c>
      <c r="AG59" t="s">
        <v>97</v>
      </c>
      <c r="AH59" t="s">
        <v>299</v>
      </c>
      <c r="AI59">
        <v>9.0557243741560711E-2</v>
      </c>
      <c r="AK59">
        <v>2026</v>
      </c>
      <c r="AL59" t="s">
        <v>151</v>
      </c>
      <c r="AM59">
        <v>0.3039</v>
      </c>
      <c r="AN59" t="s">
        <v>430</v>
      </c>
    </row>
    <row r="60" spans="9:40" x14ac:dyDescent="0.45">
      <c r="I60" t="s">
        <v>249</v>
      </c>
      <c r="J60" t="s">
        <v>300</v>
      </c>
      <c r="K60">
        <v>1.5950621698403843E-3</v>
      </c>
      <c r="L60" t="s">
        <v>251</v>
      </c>
      <c r="N60" t="s">
        <v>419</v>
      </c>
      <c r="O60" t="s">
        <v>300</v>
      </c>
      <c r="P60">
        <v>6.9797535869503E-3</v>
      </c>
      <c r="Q60" t="s">
        <v>251</v>
      </c>
      <c r="S60" t="s">
        <v>420</v>
      </c>
      <c r="T60" t="s">
        <v>300</v>
      </c>
      <c r="U60">
        <v>7.9219619050836E-3</v>
      </c>
      <c r="V60" t="s">
        <v>251</v>
      </c>
      <c r="X60">
        <v>3.5388127853881279E-3</v>
      </c>
      <c r="Y60">
        <v>5.9087255218821738E-3</v>
      </c>
      <c r="Z60" t="s">
        <v>300</v>
      </c>
      <c r="AA60" t="s">
        <v>25</v>
      </c>
      <c r="AC60" t="s">
        <v>22</v>
      </c>
      <c r="AD60" t="s">
        <v>300</v>
      </c>
      <c r="AE60">
        <v>4.878510750396468E-3</v>
      </c>
      <c r="AG60" t="s">
        <v>97</v>
      </c>
      <c r="AH60" t="s">
        <v>300</v>
      </c>
      <c r="AI60">
        <v>3.8525592846895274E-2</v>
      </c>
      <c r="AK60">
        <v>2026</v>
      </c>
      <c r="AL60" t="s">
        <v>156</v>
      </c>
      <c r="AM60">
        <v>0.29039999999999999</v>
      </c>
      <c r="AN60" t="s">
        <v>430</v>
      </c>
    </row>
    <row r="61" spans="9:40" x14ac:dyDescent="0.45">
      <c r="I61" t="s">
        <v>249</v>
      </c>
      <c r="J61" t="s">
        <v>301</v>
      </c>
      <c r="K61">
        <v>3.0283477756202618E-3</v>
      </c>
      <c r="L61" t="s">
        <v>251</v>
      </c>
      <c r="N61" t="s">
        <v>419</v>
      </c>
      <c r="O61" t="s">
        <v>301</v>
      </c>
      <c r="P61">
        <v>7.7421033792447001E-3</v>
      </c>
      <c r="Q61" t="s">
        <v>251</v>
      </c>
      <c r="S61" t="s">
        <v>420</v>
      </c>
      <c r="T61" t="s">
        <v>301</v>
      </c>
      <c r="U61">
        <v>7.8743154094812005E-3</v>
      </c>
      <c r="V61" t="s">
        <v>251</v>
      </c>
      <c r="X61">
        <v>3.5388127853881279E-3</v>
      </c>
      <c r="Y61">
        <v>4.521459529788099E-3</v>
      </c>
      <c r="Z61" t="s">
        <v>301</v>
      </c>
      <c r="AA61" t="s">
        <v>25</v>
      </c>
      <c r="AC61" t="s">
        <v>22</v>
      </c>
      <c r="AD61" t="s">
        <v>301</v>
      </c>
      <c r="AE61">
        <v>4.9283984321186322E-3</v>
      </c>
      <c r="AG61" t="s">
        <v>97</v>
      </c>
      <c r="AH61" t="s">
        <v>301</v>
      </c>
      <c r="AI61">
        <v>6.5790488331782804E-2</v>
      </c>
      <c r="AK61">
        <v>2026</v>
      </c>
      <c r="AL61" t="s">
        <v>159</v>
      </c>
      <c r="AM61">
        <v>0.33560000000000001</v>
      </c>
      <c r="AN61" t="s">
        <v>430</v>
      </c>
    </row>
    <row r="62" spans="9:40" x14ac:dyDescent="0.45">
      <c r="I62" t="s">
        <v>249</v>
      </c>
      <c r="J62" t="s">
        <v>302</v>
      </c>
      <c r="K62">
        <v>4.2983747799500358E-3</v>
      </c>
      <c r="L62" t="s">
        <v>251</v>
      </c>
      <c r="N62" t="s">
        <v>419</v>
      </c>
      <c r="O62" t="s">
        <v>302</v>
      </c>
      <c r="P62">
        <v>8.1553262393319007E-3</v>
      </c>
      <c r="Q62" t="s">
        <v>251</v>
      </c>
      <c r="S62" t="s">
        <v>420</v>
      </c>
      <c r="T62" t="s">
        <v>302</v>
      </c>
      <c r="U62">
        <v>7.8451054959140995E-3</v>
      </c>
      <c r="V62" t="s">
        <v>251</v>
      </c>
      <c r="X62">
        <v>3.5388127853881279E-3</v>
      </c>
      <c r="Y62">
        <v>4.4803553522445696E-3</v>
      </c>
      <c r="Z62" t="s">
        <v>302</v>
      </c>
      <c r="AA62" t="s">
        <v>25</v>
      </c>
      <c r="AC62" t="s">
        <v>22</v>
      </c>
      <c r="AD62" t="s">
        <v>302</v>
      </c>
      <c r="AE62">
        <v>4.937018504778355E-3</v>
      </c>
      <c r="AG62" t="s">
        <v>97</v>
      </c>
      <c r="AH62" t="s">
        <v>302</v>
      </c>
      <c r="AI62">
        <v>5.5477041993539533E-2</v>
      </c>
      <c r="AK62">
        <v>2026</v>
      </c>
      <c r="AL62" t="s">
        <v>163</v>
      </c>
      <c r="AM62">
        <v>0.32529999999999998</v>
      </c>
      <c r="AN62" t="s">
        <v>430</v>
      </c>
    </row>
    <row r="63" spans="9:40" x14ac:dyDescent="0.45">
      <c r="I63" t="s">
        <v>249</v>
      </c>
      <c r="J63" t="s">
        <v>303</v>
      </c>
      <c r="K63">
        <v>3.8843648177558546E-2</v>
      </c>
      <c r="L63" t="s">
        <v>251</v>
      </c>
      <c r="N63" t="s">
        <v>419</v>
      </c>
      <c r="O63" t="s">
        <v>303</v>
      </c>
      <c r="P63">
        <v>5.84657992409887E-2</v>
      </c>
      <c r="Q63" t="s">
        <v>251</v>
      </c>
      <c r="S63" t="s">
        <v>420</v>
      </c>
      <c r="T63" t="s">
        <v>303</v>
      </c>
      <c r="U63">
        <v>5.5983631985480599E-2</v>
      </c>
      <c r="V63" t="s">
        <v>251</v>
      </c>
      <c r="X63">
        <v>2.4771689497716895E-2</v>
      </c>
      <c r="Y63">
        <v>3.4650821669194247E-2</v>
      </c>
      <c r="Z63" t="s">
        <v>303</v>
      </c>
      <c r="AA63" t="s">
        <v>25</v>
      </c>
      <c r="AC63" t="s">
        <v>22</v>
      </c>
      <c r="AD63" t="s">
        <v>303</v>
      </c>
      <c r="AE63">
        <v>3.5605578723758191E-2</v>
      </c>
      <c r="AG63" t="s">
        <v>97</v>
      </c>
      <c r="AH63" t="s">
        <v>303</v>
      </c>
      <c r="AI63">
        <v>0.11764578777160528</v>
      </c>
      <c r="AK63">
        <v>2026</v>
      </c>
      <c r="AL63" t="s">
        <v>167</v>
      </c>
      <c r="AM63">
        <v>0.42570000000000002</v>
      </c>
      <c r="AN63" t="s">
        <v>430</v>
      </c>
    </row>
    <row r="64" spans="9:40" x14ac:dyDescent="0.45">
      <c r="I64" t="s">
        <v>249</v>
      </c>
      <c r="J64" t="s">
        <v>304</v>
      </c>
      <c r="K64">
        <v>2.7779154947420817E-3</v>
      </c>
      <c r="L64" t="s">
        <v>251</v>
      </c>
      <c r="N64" t="s">
        <v>419</v>
      </c>
      <c r="O64" t="s">
        <v>304</v>
      </c>
      <c r="P64">
        <v>8.3100494361197999E-3</v>
      </c>
      <c r="Q64" t="s">
        <v>251</v>
      </c>
      <c r="S64" t="s">
        <v>420</v>
      </c>
      <c r="T64" t="s">
        <v>304</v>
      </c>
      <c r="U64">
        <v>8.3495263949457006E-3</v>
      </c>
      <c r="V64" t="s">
        <v>251</v>
      </c>
      <c r="X64">
        <v>3.5388127853881279E-3</v>
      </c>
      <c r="Y64">
        <v>6.8849497385409693E-3</v>
      </c>
      <c r="Z64" t="s">
        <v>304</v>
      </c>
      <c r="AA64" t="s">
        <v>25</v>
      </c>
      <c r="AC64" t="s">
        <v>22</v>
      </c>
      <c r="AD64" t="s">
        <v>304</v>
      </c>
      <c r="AE64">
        <v>3.0673261932617898E-3</v>
      </c>
      <c r="AG64" t="s">
        <v>97</v>
      </c>
      <c r="AH64" t="s">
        <v>304</v>
      </c>
      <c r="AI64">
        <v>4.169317729613109E-2</v>
      </c>
      <c r="AK64">
        <v>2026</v>
      </c>
      <c r="AL64" t="s">
        <v>169</v>
      </c>
      <c r="AM64">
        <v>0.59540000000000004</v>
      </c>
      <c r="AN64" t="s">
        <v>430</v>
      </c>
    </row>
    <row r="65" spans="9:40" x14ac:dyDescent="0.45">
      <c r="I65" t="s">
        <v>249</v>
      </c>
      <c r="J65" t="s">
        <v>305</v>
      </c>
      <c r="K65">
        <v>1.4128730063523956E-3</v>
      </c>
      <c r="L65" t="s">
        <v>251</v>
      </c>
      <c r="N65" t="s">
        <v>419</v>
      </c>
      <c r="O65" t="s">
        <v>305</v>
      </c>
      <c r="P65">
        <v>8.4304595037270995E-3</v>
      </c>
      <c r="Q65" t="s">
        <v>251</v>
      </c>
      <c r="S65" t="s">
        <v>420</v>
      </c>
      <c r="T65" t="s">
        <v>305</v>
      </c>
      <c r="U65">
        <v>8.4649161656644E-3</v>
      </c>
      <c r="V65" t="s">
        <v>251</v>
      </c>
      <c r="X65">
        <v>3.5388127853881279E-3</v>
      </c>
      <c r="Y65">
        <v>5.3435430806586613E-3</v>
      </c>
      <c r="Z65" t="s">
        <v>305</v>
      </c>
      <c r="AA65" t="s">
        <v>25</v>
      </c>
      <c r="AC65" t="s">
        <v>22</v>
      </c>
      <c r="AD65" t="s">
        <v>305</v>
      </c>
      <c r="AE65">
        <v>3.7456547182714863E-3</v>
      </c>
      <c r="AG65" t="s">
        <v>97</v>
      </c>
      <c r="AH65" t="s">
        <v>305</v>
      </c>
      <c r="AI65">
        <v>1.8929036410713973E-2</v>
      </c>
      <c r="AK65">
        <v>2026</v>
      </c>
      <c r="AL65" t="s">
        <v>171</v>
      </c>
      <c r="AM65">
        <v>0.62360000000000004</v>
      </c>
      <c r="AN65" t="s">
        <v>430</v>
      </c>
    </row>
    <row r="66" spans="9:40" x14ac:dyDescent="0.45">
      <c r="I66" t="s">
        <v>249</v>
      </c>
      <c r="J66" t="s">
        <v>306</v>
      </c>
      <c r="K66">
        <v>3.1655616640138384E-4</v>
      </c>
      <c r="L66" t="s">
        <v>251</v>
      </c>
      <c r="N66" t="s">
        <v>419</v>
      </c>
      <c r="O66" t="s">
        <v>306</v>
      </c>
      <c r="P66">
        <v>4.2188424357887597E-2</v>
      </c>
      <c r="Q66" t="s">
        <v>251</v>
      </c>
      <c r="S66" t="s">
        <v>420</v>
      </c>
      <c r="T66" t="s">
        <v>306</v>
      </c>
      <c r="U66">
        <v>4.2296696757634797E-2</v>
      </c>
      <c r="V66" t="s">
        <v>251</v>
      </c>
      <c r="X66">
        <v>1.7694063926940638E-2</v>
      </c>
      <c r="Y66">
        <v>1.3358857701646654E-2</v>
      </c>
      <c r="Z66" t="s">
        <v>306</v>
      </c>
      <c r="AA66" t="s">
        <v>25</v>
      </c>
      <c r="AC66" t="s">
        <v>22</v>
      </c>
      <c r="AD66" t="s">
        <v>306</v>
      </c>
      <c r="AE66">
        <v>1.7309067814546067E-2</v>
      </c>
      <c r="AG66" t="s">
        <v>97</v>
      </c>
      <c r="AH66" t="s">
        <v>306</v>
      </c>
      <c r="AI66">
        <v>7.3955067275157216E-2</v>
      </c>
      <c r="AK66">
        <v>2026</v>
      </c>
      <c r="AL66" t="s">
        <v>158</v>
      </c>
      <c r="AM66">
        <v>0.79849999999999999</v>
      </c>
      <c r="AN66" t="s">
        <v>430</v>
      </c>
    </row>
    <row r="67" spans="9:40" x14ac:dyDescent="0.45">
      <c r="I67" t="s">
        <v>249</v>
      </c>
      <c r="J67" t="s">
        <v>307</v>
      </c>
      <c r="K67">
        <v>2.9265094728030523E-4</v>
      </c>
      <c r="L67" t="s">
        <v>251</v>
      </c>
      <c r="N67" t="s">
        <v>419</v>
      </c>
      <c r="O67" t="s">
        <v>307</v>
      </c>
      <c r="P67">
        <v>3.4380791921025153E-2</v>
      </c>
      <c r="Q67" t="s">
        <v>251</v>
      </c>
      <c r="S67" t="s">
        <v>420</v>
      </c>
      <c r="T67" t="s">
        <v>307</v>
      </c>
      <c r="U67">
        <v>3.9571025385561329E-2</v>
      </c>
      <c r="V67" t="s">
        <v>251</v>
      </c>
      <c r="X67">
        <v>2.4771689497716895E-2</v>
      </c>
      <c r="Y67">
        <v>9.7827942553597048E-3</v>
      </c>
      <c r="Z67" t="s">
        <v>307</v>
      </c>
      <c r="AA67" t="s">
        <v>25</v>
      </c>
      <c r="AC67" t="s">
        <v>22</v>
      </c>
      <c r="AD67" t="s">
        <v>307</v>
      </c>
      <c r="AE67">
        <v>2.7867658588525919E-2</v>
      </c>
      <c r="AG67" t="s">
        <v>97</v>
      </c>
      <c r="AH67" t="s">
        <v>307</v>
      </c>
      <c r="AI67">
        <v>0.12775358316000784</v>
      </c>
      <c r="AK67">
        <v>2026</v>
      </c>
      <c r="AL67" t="s">
        <v>162</v>
      </c>
      <c r="AM67">
        <v>0.67779999999999996</v>
      </c>
      <c r="AN67" t="s">
        <v>430</v>
      </c>
    </row>
    <row r="68" spans="9:40" x14ac:dyDescent="0.45">
      <c r="I68" t="s">
        <v>249</v>
      </c>
      <c r="J68" t="s">
        <v>308</v>
      </c>
      <c r="K68">
        <v>1.5657403140266696E-3</v>
      </c>
      <c r="L68" t="s">
        <v>251</v>
      </c>
      <c r="N68" t="s">
        <v>419</v>
      </c>
      <c r="O68" t="s">
        <v>308</v>
      </c>
      <c r="P68">
        <v>4.6046608837676355E-3</v>
      </c>
      <c r="Q68" t="s">
        <v>251</v>
      </c>
      <c r="S68" t="s">
        <v>420</v>
      </c>
      <c r="T68" t="s">
        <v>308</v>
      </c>
      <c r="U68">
        <v>5.2072790586172139E-3</v>
      </c>
      <c r="V68" t="s">
        <v>251</v>
      </c>
      <c r="X68">
        <v>3.5388127853881279E-3</v>
      </c>
      <c r="Y68">
        <v>5.9087255218821738E-3</v>
      </c>
      <c r="Z68" t="s">
        <v>308</v>
      </c>
      <c r="AA68" t="s">
        <v>25</v>
      </c>
      <c r="AC68" t="s">
        <v>22</v>
      </c>
      <c r="AD68" t="s">
        <v>308</v>
      </c>
      <c r="AE68">
        <v>4.6167324071120178E-3</v>
      </c>
      <c r="AG68" t="s">
        <v>97</v>
      </c>
      <c r="AH68" t="s">
        <v>308</v>
      </c>
      <c r="AI68">
        <v>4.2486498981736176E-2</v>
      </c>
      <c r="AK68">
        <v>2026</v>
      </c>
      <c r="AL68" t="s">
        <v>175</v>
      </c>
      <c r="AM68">
        <v>0.52880000000000005</v>
      </c>
      <c r="AN68" t="s">
        <v>430</v>
      </c>
    </row>
    <row r="69" spans="9:40" x14ac:dyDescent="0.45">
      <c r="I69" t="s">
        <v>249</v>
      </c>
      <c r="J69" t="s">
        <v>309</v>
      </c>
      <c r="K69">
        <v>3.2378214071182676E-3</v>
      </c>
      <c r="L69" t="s">
        <v>251</v>
      </c>
      <c r="N69" t="s">
        <v>419</v>
      </c>
      <c r="O69" t="s">
        <v>309</v>
      </c>
      <c r="P69">
        <v>5.3973161121403023E-3</v>
      </c>
      <c r="Q69" t="s">
        <v>251</v>
      </c>
      <c r="S69" t="s">
        <v>420</v>
      </c>
      <c r="T69" t="s">
        <v>309</v>
      </c>
      <c r="U69">
        <v>5.1383838360571678E-3</v>
      </c>
      <c r="V69" t="s">
        <v>251</v>
      </c>
      <c r="X69">
        <v>3.5388127853881279E-3</v>
      </c>
      <c r="Y69">
        <v>4.521459529788099E-3</v>
      </c>
      <c r="Z69" t="s">
        <v>309</v>
      </c>
      <c r="AA69" t="s">
        <v>25</v>
      </c>
      <c r="AC69" t="s">
        <v>22</v>
      </c>
      <c r="AD69" t="s">
        <v>309</v>
      </c>
      <c r="AE69">
        <v>4.6557895697279189E-3</v>
      </c>
      <c r="AG69" t="s">
        <v>97</v>
      </c>
      <c r="AH69" t="s">
        <v>309</v>
      </c>
      <c r="AI69">
        <v>3.982810663240377E-2</v>
      </c>
      <c r="AK69">
        <v>2026</v>
      </c>
      <c r="AL69" t="s">
        <v>166</v>
      </c>
      <c r="AM69">
        <v>0.32590000000000002</v>
      </c>
      <c r="AN69" t="s">
        <v>430</v>
      </c>
    </row>
    <row r="70" spans="9:40" x14ac:dyDescent="0.45">
      <c r="I70" t="s">
        <v>249</v>
      </c>
      <c r="J70" t="s">
        <v>310</v>
      </c>
      <c r="K70">
        <v>4.6837572514513183E-3</v>
      </c>
      <c r="L70" t="s">
        <v>251</v>
      </c>
      <c r="N70" t="s">
        <v>419</v>
      </c>
      <c r="O70" t="s">
        <v>310</v>
      </c>
      <c r="P70">
        <v>5.4359637364010697E-3</v>
      </c>
      <c r="Q70" t="s">
        <v>251</v>
      </c>
      <c r="S70" t="s">
        <v>420</v>
      </c>
      <c r="T70" t="s">
        <v>310</v>
      </c>
      <c r="U70">
        <v>5.0784438137611281E-3</v>
      </c>
      <c r="V70" t="s">
        <v>251</v>
      </c>
      <c r="X70">
        <v>3.5388127853881279E-3</v>
      </c>
      <c r="Y70">
        <v>4.4803553522445696E-3</v>
      </c>
      <c r="Z70" t="s">
        <v>310</v>
      </c>
      <c r="AA70" t="s">
        <v>25</v>
      </c>
      <c r="AC70" t="s">
        <v>22</v>
      </c>
      <c r="AD70" t="s">
        <v>310</v>
      </c>
      <c r="AE70">
        <v>4.6523468885183361E-3</v>
      </c>
      <c r="AG70" t="s">
        <v>97</v>
      </c>
      <c r="AH70" t="s">
        <v>310</v>
      </c>
      <c r="AI70">
        <v>4.0242423516440473E-2</v>
      </c>
      <c r="AK70">
        <v>2026</v>
      </c>
      <c r="AL70" t="s">
        <v>178</v>
      </c>
      <c r="AM70">
        <v>0.28510000000000002</v>
      </c>
      <c r="AN70" t="s">
        <v>430</v>
      </c>
    </row>
    <row r="71" spans="9:40" x14ac:dyDescent="0.45">
      <c r="I71" t="s">
        <v>249</v>
      </c>
      <c r="J71" t="s">
        <v>311</v>
      </c>
      <c r="K71">
        <v>4.1186799322347728E-2</v>
      </c>
      <c r="L71" t="s">
        <v>251</v>
      </c>
      <c r="N71" t="s">
        <v>419</v>
      </c>
      <c r="O71" t="s">
        <v>311</v>
      </c>
      <c r="P71">
        <v>3.8920355041065093E-2</v>
      </c>
      <c r="Q71" t="s">
        <v>251</v>
      </c>
      <c r="S71" t="s">
        <v>420</v>
      </c>
      <c r="T71" t="s">
        <v>311</v>
      </c>
      <c r="U71">
        <v>3.6417690817375399E-2</v>
      </c>
      <c r="V71" t="s">
        <v>251</v>
      </c>
      <c r="X71">
        <v>2.4771689497716895E-2</v>
      </c>
      <c r="Y71">
        <v>3.4650821669194247E-2</v>
      </c>
      <c r="Z71" t="s">
        <v>311</v>
      </c>
      <c r="AA71" t="s">
        <v>25</v>
      </c>
      <c r="AC71" t="s">
        <v>22</v>
      </c>
      <c r="AD71" t="s">
        <v>311</v>
      </c>
      <c r="AE71">
        <v>3.4066991572480936E-2</v>
      </c>
      <c r="AG71" t="s">
        <v>97</v>
      </c>
      <c r="AH71" t="s">
        <v>311</v>
      </c>
      <c r="AI71">
        <v>0.14944411949121883</v>
      </c>
      <c r="AK71">
        <v>2027</v>
      </c>
      <c r="AL71" t="s">
        <v>151</v>
      </c>
      <c r="AM71">
        <v>0.29330000000000001</v>
      </c>
      <c r="AN71" t="s">
        <v>430</v>
      </c>
    </row>
    <row r="72" spans="9:40" x14ac:dyDescent="0.45">
      <c r="I72" t="s">
        <v>249</v>
      </c>
      <c r="J72" t="s">
        <v>312</v>
      </c>
      <c r="K72">
        <v>3.0373466690530974E-3</v>
      </c>
      <c r="L72" t="s">
        <v>251</v>
      </c>
      <c r="N72" t="s">
        <v>419</v>
      </c>
      <c r="O72" t="s">
        <v>312</v>
      </c>
      <c r="P72">
        <v>5.3004420014127985E-3</v>
      </c>
      <c r="Q72" t="s">
        <v>251</v>
      </c>
      <c r="S72" t="s">
        <v>420</v>
      </c>
      <c r="T72" t="s">
        <v>312</v>
      </c>
      <c r="U72">
        <v>5.2902137229079811E-3</v>
      </c>
      <c r="V72" t="s">
        <v>251</v>
      </c>
      <c r="X72">
        <v>3.5388127853881279E-3</v>
      </c>
      <c r="Y72">
        <v>6.8849497385409693E-3</v>
      </c>
      <c r="Z72" t="s">
        <v>312</v>
      </c>
      <c r="AA72" t="s">
        <v>25</v>
      </c>
      <c r="AC72" t="s">
        <v>22</v>
      </c>
      <c r="AD72" t="s">
        <v>312</v>
      </c>
      <c r="AE72">
        <v>2.6800682476377721E-3</v>
      </c>
      <c r="AG72" t="s">
        <v>97</v>
      </c>
      <c r="AH72" t="s">
        <v>312</v>
      </c>
      <c r="AI72">
        <v>3.7143697841996781E-2</v>
      </c>
      <c r="AK72">
        <v>2027</v>
      </c>
      <c r="AL72" t="s">
        <v>156</v>
      </c>
      <c r="AM72">
        <v>0.31319999999999998</v>
      </c>
      <c r="AN72" t="s">
        <v>430</v>
      </c>
    </row>
    <row r="73" spans="9:40" x14ac:dyDescent="0.45">
      <c r="I73" t="s">
        <v>249</v>
      </c>
      <c r="J73" t="s">
        <v>313</v>
      </c>
      <c r="K73">
        <v>1.3841012654518725E-3</v>
      </c>
      <c r="L73" t="s">
        <v>251</v>
      </c>
      <c r="N73" t="s">
        <v>419</v>
      </c>
      <c r="O73" t="s">
        <v>313</v>
      </c>
      <c r="P73">
        <v>5.3786304431929447E-3</v>
      </c>
      <c r="Q73" t="s">
        <v>251</v>
      </c>
      <c r="S73" t="s">
        <v>420</v>
      </c>
      <c r="T73" t="s">
        <v>313</v>
      </c>
      <c r="U73">
        <v>5.334976031101309E-3</v>
      </c>
      <c r="V73" t="s">
        <v>251</v>
      </c>
      <c r="X73">
        <v>3.5388127853881279E-3</v>
      </c>
      <c r="Y73">
        <v>5.3435430806586613E-3</v>
      </c>
      <c r="Z73" t="s">
        <v>313</v>
      </c>
      <c r="AA73" t="s">
        <v>25</v>
      </c>
      <c r="AC73" t="s">
        <v>22</v>
      </c>
      <c r="AD73" t="s">
        <v>313</v>
      </c>
      <c r="AE73">
        <v>1.7413203865086287E-3</v>
      </c>
      <c r="AG73" t="s">
        <v>97</v>
      </c>
      <c r="AH73" t="s">
        <v>313</v>
      </c>
      <c r="AI73">
        <v>4.123341282076165E-2</v>
      </c>
      <c r="AK73">
        <v>2027</v>
      </c>
      <c r="AL73" t="s">
        <v>159</v>
      </c>
      <c r="AM73">
        <v>0.33789999999999998</v>
      </c>
      <c r="AN73" t="s">
        <v>430</v>
      </c>
    </row>
    <row r="74" spans="9:40" x14ac:dyDescent="0.45">
      <c r="I74" t="s">
        <v>249</v>
      </c>
      <c r="J74" t="s">
        <v>314</v>
      </c>
      <c r="K74">
        <v>1.8663862342043286E-4</v>
      </c>
      <c r="L74" t="s">
        <v>251</v>
      </c>
      <c r="N74" t="s">
        <v>419</v>
      </c>
      <c r="O74" t="s">
        <v>314</v>
      </c>
      <c r="P74">
        <v>2.6659009404087886E-2</v>
      </c>
      <c r="Q74" t="s">
        <v>251</v>
      </c>
      <c r="S74" t="s">
        <v>420</v>
      </c>
      <c r="T74" t="s">
        <v>314</v>
      </c>
      <c r="U74">
        <v>2.6876378134086457E-2</v>
      </c>
      <c r="V74" t="s">
        <v>251</v>
      </c>
      <c r="X74">
        <v>1.7694063926940638E-2</v>
      </c>
      <c r="Y74">
        <v>1.3358857701646654E-2</v>
      </c>
      <c r="Z74" t="s">
        <v>314</v>
      </c>
      <c r="AA74" t="s">
        <v>25</v>
      </c>
      <c r="AC74" t="s">
        <v>22</v>
      </c>
      <c r="AD74" t="s">
        <v>314</v>
      </c>
      <c r="AE74">
        <v>9.097681604861239E-3</v>
      </c>
      <c r="AG74" t="s">
        <v>97</v>
      </c>
      <c r="AH74" t="s">
        <v>314</v>
      </c>
      <c r="AI74">
        <v>0.17022533477813839</v>
      </c>
      <c r="AK74">
        <v>2027</v>
      </c>
      <c r="AL74" t="s">
        <v>163</v>
      </c>
      <c r="AM74">
        <v>0.3553</v>
      </c>
      <c r="AN74" t="s">
        <v>430</v>
      </c>
    </row>
    <row r="75" spans="9:40" x14ac:dyDescent="0.45">
      <c r="I75" t="s">
        <v>249</v>
      </c>
      <c r="J75" t="s">
        <v>339</v>
      </c>
      <c r="K75">
        <v>4.8036425087640667E-4</v>
      </c>
      <c r="L75" t="s">
        <v>251</v>
      </c>
      <c r="N75" t="s">
        <v>419</v>
      </c>
      <c r="O75" t="s">
        <v>339</v>
      </c>
      <c r="P75">
        <v>2.2218056232612447E-2</v>
      </c>
      <c r="Q75" t="s">
        <v>251</v>
      </c>
      <c r="S75" t="s">
        <v>420</v>
      </c>
      <c r="T75" t="s">
        <v>339</v>
      </c>
      <c r="U75">
        <v>2.1333212003720476E-2</v>
      </c>
      <c r="V75" t="s">
        <v>251</v>
      </c>
      <c r="X75">
        <v>2.3972602739726026E-2</v>
      </c>
      <c r="Y75">
        <v>9.4672202471222967E-3</v>
      </c>
      <c r="Z75" t="s">
        <v>339</v>
      </c>
      <c r="AA75" t="s">
        <v>25</v>
      </c>
      <c r="AC75" t="s">
        <v>22</v>
      </c>
      <c r="AD75" t="s">
        <v>339</v>
      </c>
      <c r="AE75">
        <v>2.479801325847876E-2</v>
      </c>
      <c r="AG75" t="s">
        <v>97</v>
      </c>
      <c r="AH75" t="s">
        <v>339</v>
      </c>
      <c r="AI75">
        <v>0.11873084055346217</v>
      </c>
      <c r="AK75">
        <v>2027</v>
      </c>
      <c r="AL75" t="s">
        <v>167</v>
      </c>
      <c r="AM75">
        <v>0.46789999999999998</v>
      </c>
      <c r="AN75" t="s">
        <v>430</v>
      </c>
    </row>
    <row r="76" spans="9:40" x14ac:dyDescent="0.45">
      <c r="I76" t="s">
        <v>249</v>
      </c>
      <c r="J76" t="s">
        <v>340</v>
      </c>
      <c r="K76">
        <v>2.6737579325745247E-3</v>
      </c>
      <c r="L76" t="s">
        <v>251</v>
      </c>
      <c r="N76" t="s">
        <v>419</v>
      </c>
      <c r="O76" t="s">
        <v>340</v>
      </c>
      <c r="P76">
        <v>2.7657812640603397E-3</v>
      </c>
      <c r="Q76" t="s">
        <v>251</v>
      </c>
      <c r="S76" t="s">
        <v>420</v>
      </c>
      <c r="T76" t="s">
        <v>340</v>
      </c>
      <c r="U76">
        <v>2.8122559328442984E-3</v>
      </c>
      <c r="V76" t="s">
        <v>251</v>
      </c>
      <c r="X76">
        <v>3.4246575342465752E-3</v>
      </c>
      <c r="Y76">
        <v>5.7181214727892006E-3</v>
      </c>
      <c r="Z76" t="s">
        <v>340</v>
      </c>
      <c r="AA76" t="s">
        <v>25</v>
      </c>
      <c r="AC76" t="s">
        <v>22</v>
      </c>
      <c r="AD76" t="s">
        <v>340</v>
      </c>
      <c r="AE76">
        <v>4.0903914423662405E-3</v>
      </c>
      <c r="AG76" t="s">
        <v>97</v>
      </c>
      <c r="AH76" t="s">
        <v>340</v>
      </c>
      <c r="AI76">
        <v>5.9529546434148539E-2</v>
      </c>
      <c r="AK76">
        <v>2027</v>
      </c>
      <c r="AL76" t="s">
        <v>169</v>
      </c>
      <c r="AM76">
        <v>0.5282</v>
      </c>
      <c r="AN76" t="s">
        <v>430</v>
      </c>
    </row>
    <row r="77" spans="9:40" x14ac:dyDescent="0.45">
      <c r="I77" t="s">
        <v>249</v>
      </c>
      <c r="J77" t="s">
        <v>341</v>
      </c>
      <c r="K77">
        <v>5.0872602575584595E-3</v>
      </c>
      <c r="L77" t="s">
        <v>251</v>
      </c>
      <c r="N77" t="s">
        <v>419</v>
      </c>
      <c r="O77" t="s">
        <v>341</v>
      </c>
      <c r="P77">
        <v>2.9609691843650704E-3</v>
      </c>
      <c r="Q77" t="s">
        <v>251</v>
      </c>
      <c r="S77" t="s">
        <v>420</v>
      </c>
      <c r="T77" t="s">
        <v>341</v>
      </c>
      <c r="U77">
        <v>2.7468828959333635E-3</v>
      </c>
      <c r="V77" t="s">
        <v>251</v>
      </c>
      <c r="X77">
        <v>3.4246575342465752E-3</v>
      </c>
      <c r="Y77">
        <v>4.3756059965691279E-3</v>
      </c>
      <c r="Z77" t="s">
        <v>341</v>
      </c>
      <c r="AA77" t="s">
        <v>25</v>
      </c>
      <c r="AC77" t="s">
        <v>22</v>
      </c>
      <c r="AD77" t="s">
        <v>341</v>
      </c>
      <c r="AE77">
        <v>4.1577220422169573E-3</v>
      </c>
      <c r="AG77" t="s">
        <v>97</v>
      </c>
      <c r="AH77" t="s">
        <v>341</v>
      </c>
      <c r="AI77">
        <v>6.0284732903687965E-2</v>
      </c>
      <c r="AK77">
        <v>2027</v>
      </c>
      <c r="AL77" t="s">
        <v>171</v>
      </c>
      <c r="AM77">
        <v>0.57779999999999998</v>
      </c>
      <c r="AN77" t="s">
        <v>430</v>
      </c>
    </row>
    <row r="78" spans="9:40" x14ac:dyDescent="0.45">
      <c r="I78" t="s">
        <v>249</v>
      </c>
      <c r="J78" t="s">
        <v>342</v>
      </c>
      <c r="K78">
        <v>6.7634266830591001E-3</v>
      </c>
      <c r="L78" t="s">
        <v>251</v>
      </c>
      <c r="N78" t="s">
        <v>419</v>
      </c>
      <c r="O78" t="s">
        <v>342</v>
      </c>
      <c r="P78">
        <v>2.9475488100523055E-3</v>
      </c>
      <c r="Q78" t="s">
        <v>251</v>
      </c>
      <c r="S78" t="s">
        <v>420</v>
      </c>
      <c r="T78" t="s">
        <v>342</v>
      </c>
      <c r="U78">
        <v>2.7031950431327689E-3</v>
      </c>
      <c r="V78" t="s">
        <v>251</v>
      </c>
      <c r="X78">
        <v>3.4246575342465752E-3</v>
      </c>
      <c r="Y78">
        <v>4.3358277602366805E-3</v>
      </c>
      <c r="Z78" t="s">
        <v>342</v>
      </c>
      <c r="AA78" t="s">
        <v>25</v>
      </c>
      <c r="AC78" t="s">
        <v>22</v>
      </c>
      <c r="AD78" t="s">
        <v>342</v>
      </c>
      <c r="AE78">
        <v>4.1645427847299245E-3</v>
      </c>
      <c r="AG78" t="s">
        <v>97</v>
      </c>
      <c r="AH78" t="s">
        <v>342</v>
      </c>
      <c r="AI78">
        <v>5.7452323734495492E-2</v>
      </c>
      <c r="AK78">
        <v>2027</v>
      </c>
      <c r="AL78" t="s">
        <v>158</v>
      </c>
      <c r="AM78">
        <v>0.80389999999999995</v>
      </c>
      <c r="AN78" t="s">
        <v>430</v>
      </c>
    </row>
    <row r="79" spans="9:40" x14ac:dyDescent="0.45">
      <c r="I79" t="s">
        <v>249</v>
      </c>
      <c r="J79" t="s">
        <v>343</v>
      </c>
      <c r="K79">
        <v>5.2055495216302698E-2</v>
      </c>
      <c r="L79" t="s">
        <v>251</v>
      </c>
      <c r="N79" t="s">
        <v>419</v>
      </c>
      <c r="O79" t="s">
        <v>343</v>
      </c>
      <c r="P79">
        <v>2.1354717532064284E-2</v>
      </c>
      <c r="Q79" t="s">
        <v>251</v>
      </c>
      <c r="S79" t="s">
        <v>420</v>
      </c>
      <c r="T79" t="s">
        <v>343</v>
      </c>
      <c r="U79">
        <v>2.1485763777733306E-2</v>
      </c>
      <c r="V79" t="s">
        <v>251</v>
      </c>
      <c r="X79">
        <v>2.3972602739726026E-2</v>
      </c>
      <c r="Y79">
        <v>3.3533053228252493E-2</v>
      </c>
      <c r="Z79" t="s">
        <v>343</v>
      </c>
      <c r="AA79" t="s">
        <v>25</v>
      </c>
      <c r="AC79" t="s">
        <v>22</v>
      </c>
      <c r="AD79" t="s">
        <v>343</v>
      </c>
      <c r="AE79">
        <v>3.0052416038899462E-2</v>
      </c>
      <c r="AG79" t="s">
        <v>97</v>
      </c>
      <c r="AH79" t="s">
        <v>343</v>
      </c>
      <c r="AI79">
        <v>0.13831363842302236</v>
      </c>
      <c r="AK79">
        <v>2027</v>
      </c>
      <c r="AL79" t="s">
        <v>162</v>
      </c>
      <c r="AM79">
        <v>0.73660000000000003</v>
      </c>
      <c r="AN79" t="s">
        <v>430</v>
      </c>
    </row>
    <row r="80" spans="9:40" x14ac:dyDescent="0.45">
      <c r="I80" t="s">
        <v>249</v>
      </c>
      <c r="J80" t="s">
        <v>344</v>
      </c>
      <c r="K80">
        <v>3.8015886530664736E-3</v>
      </c>
      <c r="L80" t="s">
        <v>251</v>
      </c>
      <c r="N80" t="s">
        <v>419</v>
      </c>
      <c r="O80" t="s">
        <v>344</v>
      </c>
      <c r="P80">
        <v>3.2853587354604373E-3</v>
      </c>
      <c r="Q80" t="s">
        <v>251</v>
      </c>
      <c r="S80" t="s">
        <v>420</v>
      </c>
      <c r="T80" t="s">
        <v>344</v>
      </c>
      <c r="U80">
        <v>3.5179091356963214E-3</v>
      </c>
      <c r="V80" t="s">
        <v>251</v>
      </c>
      <c r="X80">
        <v>3.4246575342465752E-3</v>
      </c>
      <c r="Y80">
        <v>6.662854585684809E-3</v>
      </c>
      <c r="Z80" t="s">
        <v>344</v>
      </c>
      <c r="AA80" t="s">
        <v>25</v>
      </c>
      <c r="AC80" t="s">
        <v>22</v>
      </c>
      <c r="AD80" t="s">
        <v>344</v>
      </c>
      <c r="AE80">
        <v>2.0473205801080424E-3</v>
      </c>
      <c r="AG80" t="s">
        <v>97</v>
      </c>
      <c r="AH80" t="s">
        <v>344</v>
      </c>
      <c r="AI80">
        <v>6.0476550817863295E-2</v>
      </c>
      <c r="AK80">
        <v>2027</v>
      </c>
      <c r="AL80" t="s">
        <v>175</v>
      </c>
      <c r="AM80">
        <v>0.4753</v>
      </c>
      <c r="AN80" t="s">
        <v>430</v>
      </c>
    </row>
    <row r="81" spans="9:40" x14ac:dyDescent="0.45">
      <c r="I81" t="s">
        <v>249</v>
      </c>
      <c r="J81" t="s">
        <v>345</v>
      </c>
      <c r="K81">
        <v>1.460444015450549E-3</v>
      </c>
      <c r="L81" t="s">
        <v>251</v>
      </c>
      <c r="N81" t="s">
        <v>419</v>
      </c>
      <c r="O81" t="s">
        <v>345</v>
      </c>
      <c r="P81">
        <v>3.5280298980588662E-3</v>
      </c>
      <c r="Q81" t="s">
        <v>251</v>
      </c>
      <c r="S81" t="s">
        <v>420</v>
      </c>
      <c r="T81" t="s">
        <v>345</v>
      </c>
      <c r="U81">
        <v>3.4983633838829727E-3</v>
      </c>
      <c r="V81" t="s">
        <v>251</v>
      </c>
      <c r="X81">
        <v>3.4246575342465752E-3</v>
      </c>
      <c r="Y81">
        <v>5.1711707232180593E-3</v>
      </c>
      <c r="Z81" t="s">
        <v>345</v>
      </c>
      <c r="AA81" t="s">
        <v>25</v>
      </c>
      <c r="AC81" t="s">
        <v>22</v>
      </c>
      <c r="AD81" t="s">
        <v>345</v>
      </c>
      <c r="AE81">
        <v>1.7386513426476894E-3</v>
      </c>
      <c r="AG81" t="s">
        <v>97</v>
      </c>
      <c r="AH81" t="s">
        <v>345</v>
      </c>
      <c r="AI81">
        <v>4.5942355101804999E-2</v>
      </c>
      <c r="AK81">
        <v>2027</v>
      </c>
      <c r="AL81" t="s">
        <v>166</v>
      </c>
      <c r="AM81">
        <v>0.31719999999999998</v>
      </c>
      <c r="AN81" t="s">
        <v>430</v>
      </c>
    </row>
    <row r="82" spans="9:40" x14ac:dyDescent="0.45">
      <c r="I82" t="s">
        <v>249</v>
      </c>
      <c r="J82" t="s">
        <v>346</v>
      </c>
      <c r="K82">
        <v>0</v>
      </c>
      <c r="L82" t="s">
        <v>251</v>
      </c>
      <c r="N82" t="s">
        <v>419</v>
      </c>
      <c r="O82" t="s">
        <v>346</v>
      </c>
      <c r="P82">
        <v>1.8521877865411613E-2</v>
      </c>
      <c r="Q82" t="s">
        <v>251</v>
      </c>
      <c r="S82" t="s">
        <v>420</v>
      </c>
      <c r="T82" t="s">
        <v>346</v>
      </c>
      <c r="U82">
        <v>1.6294644862876205E-2</v>
      </c>
      <c r="V82" t="s">
        <v>251</v>
      </c>
      <c r="X82">
        <v>1.7123287671232876E-2</v>
      </c>
      <c r="Y82">
        <v>1.2927926808045149E-2</v>
      </c>
      <c r="Z82" t="s">
        <v>346</v>
      </c>
      <c r="AA82" t="s">
        <v>25</v>
      </c>
      <c r="AC82" t="s">
        <v>22</v>
      </c>
      <c r="AD82" t="s">
        <v>346</v>
      </c>
      <c r="AE82">
        <v>8.3144303120993128E-3</v>
      </c>
      <c r="AG82" t="s">
        <v>97</v>
      </c>
      <c r="AH82" t="s">
        <v>346</v>
      </c>
      <c r="AI82">
        <v>0.13771850336164992</v>
      </c>
      <c r="AK82">
        <v>2027</v>
      </c>
      <c r="AL82" t="s">
        <v>178</v>
      </c>
      <c r="AM82">
        <v>0.28510000000000002</v>
      </c>
      <c r="AN82" t="s">
        <v>430</v>
      </c>
    </row>
    <row r="83" spans="9:40" x14ac:dyDescent="0.45">
      <c r="I83" t="s">
        <v>249</v>
      </c>
      <c r="J83" t="s">
        <v>371</v>
      </c>
      <c r="K83">
        <v>6.3403489372097896E-4</v>
      </c>
      <c r="L83" t="s">
        <v>251</v>
      </c>
      <c r="N83" t="s">
        <v>419</v>
      </c>
      <c r="O83" t="s">
        <v>371</v>
      </c>
      <c r="P83">
        <v>1.2435653056473135E-2</v>
      </c>
      <c r="Q83" t="s">
        <v>251</v>
      </c>
      <c r="S83" t="s">
        <v>420</v>
      </c>
      <c r="T83" t="s">
        <v>371</v>
      </c>
      <c r="U83">
        <v>1.5488070688631525E-2</v>
      </c>
      <c r="V83" t="s">
        <v>251</v>
      </c>
      <c r="X83">
        <v>2.4771689497716895E-2</v>
      </c>
      <c r="Y83">
        <v>9.7827942553597048E-3</v>
      </c>
      <c r="Z83" t="s">
        <v>371</v>
      </c>
      <c r="AA83" t="s">
        <v>25</v>
      </c>
      <c r="AC83" t="s">
        <v>22</v>
      </c>
      <c r="AD83" t="s">
        <v>371</v>
      </c>
      <c r="AE83">
        <v>2.3934028632773042E-2</v>
      </c>
      <c r="AG83" t="s">
        <v>97</v>
      </c>
      <c r="AH83" t="s">
        <v>371</v>
      </c>
      <c r="AI83">
        <v>0.13679072694273109</v>
      </c>
      <c r="AK83">
        <v>2028</v>
      </c>
      <c r="AL83" t="s">
        <v>151</v>
      </c>
      <c r="AM83">
        <v>0.26629999999999998</v>
      </c>
      <c r="AN83" t="s">
        <v>430</v>
      </c>
    </row>
    <row r="84" spans="9:40" x14ac:dyDescent="0.45">
      <c r="I84" t="s">
        <v>249</v>
      </c>
      <c r="J84" t="s">
        <v>372</v>
      </c>
      <c r="K84">
        <v>3.8263330103221272E-3</v>
      </c>
      <c r="L84" t="s">
        <v>251</v>
      </c>
      <c r="N84" t="s">
        <v>419</v>
      </c>
      <c r="O84" t="s">
        <v>372</v>
      </c>
      <c r="P84">
        <v>1.3649581269337327E-3</v>
      </c>
      <c r="Q84" t="s">
        <v>251</v>
      </c>
      <c r="S84" t="s">
        <v>420</v>
      </c>
      <c r="T84" t="s">
        <v>372</v>
      </c>
      <c r="U84">
        <v>1.995264486450884E-3</v>
      </c>
      <c r="V84" t="s">
        <v>251</v>
      </c>
      <c r="X84">
        <v>3.5388127853881279E-3</v>
      </c>
      <c r="Y84">
        <v>5.9087255218821738E-3</v>
      </c>
      <c r="Z84" t="s">
        <v>372</v>
      </c>
      <c r="AA84" t="s">
        <v>25</v>
      </c>
      <c r="AC84" t="s">
        <v>22</v>
      </c>
      <c r="AD84" t="s">
        <v>372</v>
      </c>
      <c r="AE84">
        <v>3.9657988848695565E-3</v>
      </c>
      <c r="AG84" t="s">
        <v>97</v>
      </c>
      <c r="AH84" t="s">
        <v>372</v>
      </c>
      <c r="AI84">
        <v>5.6729088378576265E-2</v>
      </c>
      <c r="AK84">
        <v>2028</v>
      </c>
      <c r="AL84" t="s">
        <v>156</v>
      </c>
      <c r="AM84">
        <v>0.26090000000000002</v>
      </c>
      <c r="AN84" t="s">
        <v>430</v>
      </c>
    </row>
    <row r="85" spans="9:40" x14ac:dyDescent="0.45">
      <c r="I85" t="s">
        <v>249</v>
      </c>
      <c r="J85" t="s">
        <v>373</v>
      </c>
      <c r="K85">
        <v>6.7150870858792002E-3</v>
      </c>
      <c r="L85" t="s">
        <v>251</v>
      </c>
      <c r="N85" t="s">
        <v>419</v>
      </c>
      <c r="O85" t="s">
        <v>373</v>
      </c>
      <c r="P85">
        <v>1.3225329764351757E-3</v>
      </c>
      <c r="Q85" t="s">
        <v>251</v>
      </c>
      <c r="S85" t="s">
        <v>420</v>
      </c>
      <c r="T85" t="s">
        <v>373</v>
      </c>
      <c r="U85">
        <v>1.9162130597774412E-3</v>
      </c>
      <c r="V85" t="s">
        <v>251</v>
      </c>
      <c r="X85">
        <v>3.5388127853881279E-3</v>
      </c>
      <c r="Y85">
        <v>4.521459529788099E-3</v>
      </c>
      <c r="Z85" t="s">
        <v>373</v>
      </c>
      <c r="AA85" t="s">
        <v>25</v>
      </c>
      <c r="AC85" t="s">
        <v>22</v>
      </c>
      <c r="AD85" t="s">
        <v>373</v>
      </c>
      <c r="AE85">
        <v>4.0884697495620825E-3</v>
      </c>
      <c r="AG85" t="s">
        <v>97</v>
      </c>
      <c r="AH85" t="s">
        <v>373</v>
      </c>
      <c r="AI85">
        <v>5.4226425435626613E-2</v>
      </c>
      <c r="AK85">
        <v>2028</v>
      </c>
      <c r="AL85" t="s">
        <v>159</v>
      </c>
      <c r="AM85">
        <v>0.27379999999999999</v>
      </c>
      <c r="AN85" t="s">
        <v>430</v>
      </c>
    </row>
    <row r="86" spans="9:40" x14ac:dyDescent="0.45">
      <c r="I86" t="s">
        <v>249</v>
      </c>
      <c r="J86" t="s">
        <v>374</v>
      </c>
      <c r="K86">
        <v>8.6003159860488006E-3</v>
      </c>
      <c r="L86" t="s">
        <v>251</v>
      </c>
      <c r="N86" t="s">
        <v>419</v>
      </c>
      <c r="O86" t="s">
        <v>374</v>
      </c>
      <c r="P86">
        <v>1.2776880862943592E-3</v>
      </c>
      <c r="Q86" t="s">
        <v>251</v>
      </c>
      <c r="S86" t="s">
        <v>420</v>
      </c>
      <c r="T86" t="s">
        <v>374</v>
      </c>
      <c r="U86">
        <v>1.8593174914847584E-3</v>
      </c>
      <c r="V86" t="s">
        <v>251</v>
      </c>
      <c r="X86">
        <v>3.5388127853881279E-3</v>
      </c>
      <c r="Y86">
        <v>4.4803553522445696E-3</v>
      </c>
      <c r="Z86" t="s">
        <v>374</v>
      </c>
      <c r="AA86" t="s">
        <v>25</v>
      </c>
      <c r="AC86" t="s">
        <v>22</v>
      </c>
      <c r="AD86" t="s">
        <v>374</v>
      </c>
      <c r="AE86">
        <v>4.1133094186778258E-3</v>
      </c>
      <c r="AG86" t="s">
        <v>97</v>
      </c>
      <c r="AH86" t="s">
        <v>374</v>
      </c>
      <c r="AI86">
        <v>5.6011285725877658E-2</v>
      </c>
      <c r="AK86">
        <v>2028</v>
      </c>
      <c r="AL86" t="s">
        <v>163</v>
      </c>
      <c r="AM86">
        <v>0.29549999999999998</v>
      </c>
      <c r="AN86" t="s">
        <v>430</v>
      </c>
    </row>
    <row r="87" spans="9:40" x14ac:dyDescent="0.45">
      <c r="I87" t="s">
        <v>249</v>
      </c>
      <c r="J87" t="s">
        <v>375</v>
      </c>
      <c r="K87">
        <v>6.1191362657387602E-2</v>
      </c>
      <c r="L87" t="s">
        <v>251</v>
      </c>
      <c r="N87" t="s">
        <v>419</v>
      </c>
      <c r="O87" t="s">
        <v>375</v>
      </c>
      <c r="P87">
        <v>9.5770533182397716E-3</v>
      </c>
      <c r="Q87" t="s">
        <v>251</v>
      </c>
      <c r="S87" t="s">
        <v>420</v>
      </c>
      <c r="T87" t="s">
        <v>375</v>
      </c>
      <c r="U87">
        <v>1.3953211337061788E-2</v>
      </c>
      <c r="V87" t="s">
        <v>251</v>
      </c>
      <c r="X87">
        <v>2.4771689497716895E-2</v>
      </c>
      <c r="Y87">
        <v>3.4650821669194247E-2</v>
      </c>
      <c r="Z87" t="s">
        <v>375</v>
      </c>
      <c r="AA87" t="s">
        <v>25</v>
      </c>
      <c r="AC87" t="s">
        <v>22</v>
      </c>
      <c r="AD87" t="s">
        <v>375</v>
      </c>
      <c r="AE87">
        <v>3.0280118994388212E-2</v>
      </c>
      <c r="AG87" t="s">
        <v>97</v>
      </c>
      <c r="AH87" t="s">
        <v>375</v>
      </c>
      <c r="AI87">
        <v>0.17824252174205646</v>
      </c>
      <c r="AK87">
        <v>2028</v>
      </c>
      <c r="AL87" t="s">
        <v>167</v>
      </c>
      <c r="AM87">
        <v>0.372</v>
      </c>
      <c r="AN87" t="s">
        <v>430</v>
      </c>
    </row>
    <row r="88" spans="9:40" x14ac:dyDescent="0.45">
      <c r="I88" t="s">
        <v>249</v>
      </c>
      <c r="J88" t="s">
        <v>376</v>
      </c>
      <c r="K88">
        <v>4.3842810569849856E-3</v>
      </c>
      <c r="L88" t="s">
        <v>251</v>
      </c>
      <c r="N88" t="s">
        <v>419</v>
      </c>
      <c r="O88" t="s">
        <v>376</v>
      </c>
      <c r="P88">
        <v>1.6358779065967408E-3</v>
      </c>
      <c r="Q88" t="s">
        <v>251</v>
      </c>
      <c r="S88" t="s">
        <v>420</v>
      </c>
      <c r="T88" t="s">
        <v>376</v>
      </c>
      <c r="U88">
        <v>2.2921375853948737E-3</v>
      </c>
      <c r="V88" t="s">
        <v>251</v>
      </c>
      <c r="X88">
        <v>3.5388127853881279E-3</v>
      </c>
      <c r="Y88">
        <v>6.8849497385409693E-3</v>
      </c>
      <c r="Z88" t="s">
        <v>376</v>
      </c>
      <c r="AA88" t="s">
        <v>25</v>
      </c>
      <c r="AC88" t="s">
        <v>22</v>
      </c>
      <c r="AD88" t="s">
        <v>376</v>
      </c>
      <c r="AE88">
        <v>1.7822153789899473E-3</v>
      </c>
      <c r="AG88" t="s">
        <v>97</v>
      </c>
      <c r="AH88" t="s">
        <v>376</v>
      </c>
      <c r="AI88">
        <v>7.3099190615680376E-2</v>
      </c>
      <c r="AK88">
        <v>2028</v>
      </c>
      <c r="AL88" t="s">
        <v>169</v>
      </c>
      <c r="AM88">
        <v>0.45579999999999998</v>
      </c>
      <c r="AN88" t="s">
        <v>430</v>
      </c>
    </row>
    <row r="89" spans="9:40" x14ac:dyDescent="0.45">
      <c r="I89" t="s">
        <v>249</v>
      </c>
      <c r="J89" t="s">
        <v>377</v>
      </c>
      <c r="K89">
        <v>1.0263553428467634E-3</v>
      </c>
      <c r="L89" t="s">
        <v>251</v>
      </c>
      <c r="N89" t="s">
        <v>419</v>
      </c>
      <c r="O89" t="s">
        <v>377</v>
      </c>
      <c r="P89">
        <v>1.8979731676521288E-3</v>
      </c>
      <c r="Q89" t="s">
        <v>251</v>
      </c>
      <c r="S89" t="s">
        <v>420</v>
      </c>
      <c r="T89" t="s">
        <v>377</v>
      </c>
      <c r="U89">
        <v>2.3093357354052341E-3</v>
      </c>
      <c r="V89" t="s">
        <v>251</v>
      </c>
      <c r="X89">
        <v>3.5388127853881279E-3</v>
      </c>
      <c r="Y89">
        <v>5.3435430806586613E-3</v>
      </c>
      <c r="Z89" t="s">
        <v>377</v>
      </c>
      <c r="AA89" t="s">
        <v>25</v>
      </c>
      <c r="AC89" t="s">
        <v>22</v>
      </c>
      <c r="AD89" t="s">
        <v>377</v>
      </c>
      <c r="AE89">
        <v>1.1503686209911866E-3</v>
      </c>
      <c r="AG89" t="s">
        <v>97</v>
      </c>
      <c r="AH89" t="s">
        <v>377</v>
      </c>
      <c r="AI89">
        <v>3.5983219578911374E-2</v>
      </c>
      <c r="AK89">
        <v>2028</v>
      </c>
      <c r="AL89" t="s">
        <v>171</v>
      </c>
      <c r="AM89">
        <v>0.59230000000000005</v>
      </c>
      <c r="AN89" t="s">
        <v>430</v>
      </c>
    </row>
    <row r="90" spans="9:40" x14ac:dyDescent="0.45">
      <c r="I90" t="s">
        <v>249</v>
      </c>
      <c r="J90" t="s">
        <v>378</v>
      </c>
      <c r="K90">
        <v>0</v>
      </c>
      <c r="L90" t="s">
        <v>251</v>
      </c>
      <c r="N90" t="s">
        <v>419</v>
      </c>
      <c r="O90" t="s">
        <v>378</v>
      </c>
      <c r="P90">
        <v>1.0784711380233942E-2</v>
      </c>
      <c r="Q90" t="s">
        <v>251</v>
      </c>
      <c r="S90" t="s">
        <v>420</v>
      </c>
      <c r="T90" t="s">
        <v>378</v>
      </c>
      <c r="U90">
        <v>1.1047602570597012E-2</v>
      </c>
      <c r="V90" t="s">
        <v>251</v>
      </c>
      <c r="X90">
        <v>1.7694063926940638E-2</v>
      </c>
      <c r="Y90">
        <v>1.3358857701646654E-2</v>
      </c>
      <c r="Z90" t="s">
        <v>378</v>
      </c>
      <c r="AA90" t="s">
        <v>25</v>
      </c>
      <c r="AC90" t="s">
        <v>22</v>
      </c>
      <c r="AD90" t="s">
        <v>378</v>
      </c>
      <c r="AE90">
        <v>6.4498617610390784E-3</v>
      </c>
      <c r="AG90" t="s">
        <v>97</v>
      </c>
      <c r="AH90" t="s">
        <v>378</v>
      </c>
      <c r="AI90">
        <v>0.17538812015677752</v>
      </c>
      <c r="AK90">
        <v>2028</v>
      </c>
      <c r="AL90" t="s">
        <v>158</v>
      </c>
      <c r="AM90">
        <v>0.58360000000000001</v>
      </c>
      <c r="AN90" t="s">
        <v>430</v>
      </c>
    </row>
    <row r="91" spans="9:40" x14ac:dyDescent="0.45">
      <c r="I91" t="s">
        <v>249</v>
      </c>
      <c r="J91" t="s">
        <v>379</v>
      </c>
      <c r="K91">
        <v>1.9482941716715063E-5</v>
      </c>
      <c r="L91" t="s">
        <v>251</v>
      </c>
      <c r="N91" t="s">
        <v>419</v>
      </c>
      <c r="O91" t="s">
        <v>379</v>
      </c>
      <c r="P91">
        <v>1.3153699780610236E-2</v>
      </c>
      <c r="Q91" t="s">
        <v>251</v>
      </c>
      <c r="S91" t="s">
        <v>420</v>
      </c>
      <c r="T91" t="s">
        <v>379</v>
      </c>
      <c r="U91">
        <v>1.3586976600322679E-2</v>
      </c>
      <c r="V91" t="s">
        <v>251</v>
      </c>
      <c r="X91">
        <v>2.3972602739726026E-2</v>
      </c>
      <c r="Y91">
        <v>9.4672202471222967E-3</v>
      </c>
      <c r="Z91" t="s">
        <v>379</v>
      </c>
      <c r="AA91" t="s">
        <v>25</v>
      </c>
      <c r="AC91" t="s">
        <v>22</v>
      </c>
      <c r="AD91" t="s">
        <v>379</v>
      </c>
      <c r="AE91">
        <v>1.9893003489543905E-2</v>
      </c>
      <c r="AG91" t="s">
        <v>97</v>
      </c>
      <c r="AH91" t="s">
        <v>379</v>
      </c>
      <c r="AI91">
        <v>0.12071448710066535</v>
      </c>
      <c r="AK91">
        <v>2028</v>
      </c>
      <c r="AL91" t="s">
        <v>162</v>
      </c>
      <c r="AM91">
        <v>0.60609999999999997</v>
      </c>
      <c r="AN91" t="s">
        <v>430</v>
      </c>
    </row>
    <row r="92" spans="9:40" x14ac:dyDescent="0.45">
      <c r="I92" t="s">
        <v>249</v>
      </c>
      <c r="J92" t="s">
        <v>380</v>
      </c>
      <c r="K92">
        <v>2.6033399125763301E-3</v>
      </c>
      <c r="L92" t="s">
        <v>251</v>
      </c>
      <c r="N92" t="s">
        <v>419</v>
      </c>
      <c r="O92" t="s">
        <v>380</v>
      </c>
      <c r="P92">
        <v>1.5945234636038359E-3</v>
      </c>
      <c r="Q92" t="s">
        <v>251</v>
      </c>
      <c r="S92" t="s">
        <v>420</v>
      </c>
      <c r="T92" t="s">
        <v>380</v>
      </c>
      <c r="U92">
        <v>2.1899527058046996E-3</v>
      </c>
      <c r="V92" t="s">
        <v>251</v>
      </c>
      <c r="X92">
        <v>3.4246575342465752E-3</v>
      </c>
      <c r="Y92">
        <v>5.7181214727892006E-3</v>
      </c>
      <c r="Z92" t="s">
        <v>380</v>
      </c>
      <c r="AA92" t="s">
        <v>25</v>
      </c>
      <c r="AC92" t="s">
        <v>22</v>
      </c>
      <c r="AD92" t="s">
        <v>380</v>
      </c>
      <c r="AE92">
        <v>3.4633448415919798E-3</v>
      </c>
      <c r="AG92" t="s">
        <v>97</v>
      </c>
      <c r="AH92" t="s">
        <v>380</v>
      </c>
      <c r="AI92">
        <v>2.4424973822853469E-2</v>
      </c>
      <c r="AK92">
        <v>2028</v>
      </c>
      <c r="AL92" t="s">
        <v>175</v>
      </c>
      <c r="AM92">
        <v>0.42270000000000002</v>
      </c>
      <c r="AN92" t="s">
        <v>430</v>
      </c>
    </row>
    <row r="93" spans="9:40" x14ac:dyDescent="0.45">
      <c r="I93" t="s">
        <v>249</v>
      </c>
      <c r="J93" t="s">
        <v>381</v>
      </c>
      <c r="K93">
        <v>6.8886166088816996E-3</v>
      </c>
      <c r="L93" t="s">
        <v>251</v>
      </c>
      <c r="N93" t="s">
        <v>419</v>
      </c>
      <c r="O93" t="s">
        <v>381</v>
      </c>
      <c r="P93">
        <v>1.2286945357890488E-3</v>
      </c>
      <c r="Q93" t="s">
        <v>251</v>
      </c>
      <c r="S93" t="s">
        <v>420</v>
      </c>
      <c r="T93" t="s">
        <v>381</v>
      </c>
      <c r="U93">
        <v>2.2081893103214167E-3</v>
      </c>
      <c r="V93" t="s">
        <v>251</v>
      </c>
      <c r="X93">
        <v>3.4246575342465752E-3</v>
      </c>
      <c r="Y93">
        <v>4.3756059965691279E-3</v>
      </c>
      <c r="Z93" t="s">
        <v>381</v>
      </c>
      <c r="AA93" t="s">
        <v>25</v>
      </c>
      <c r="AC93" t="s">
        <v>22</v>
      </c>
      <c r="AD93" t="s">
        <v>381</v>
      </c>
      <c r="AE93">
        <v>3.4988779910473927E-3</v>
      </c>
      <c r="AG93" t="s">
        <v>97</v>
      </c>
      <c r="AH93" t="s">
        <v>381</v>
      </c>
      <c r="AI93">
        <v>3.5086542729831249E-2</v>
      </c>
      <c r="AK93">
        <v>2028</v>
      </c>
      <c r="AL93" t="s">
        <v>166</v>
      </c>
      <c r="AM93">
        <v>0.28589999999999999</v>
      </c>
      <c r="AN93" t="s">
        <v>430</v>
      </c>
    </row>
    <row r="94" spans="9:40" x14ac:dyDescent="0.45">
      <c r="I94" t="s">
        <v>249</v>
      </c>
      <c r="J94" t="s">
        <v>382</v>
      </c>
      <c r="K94">
        <v>8.9099181820073009E-3</v>
      </c>
      <c r="L94" t="s">
        <v>251</v>
      </c>
      <c r="N94" t="s">
        <v>419</v>
      </c>
      <c r="O94" t="s">
        <v>382</v>
      </c>
      <c r="P94">
        <v>1.2278248675456694E-3</v>
      </c>
      <c r="Q94" t="s">
        <v>251</v>
      </c>
      <c r="S94" t="s">
        <v>420</v>
      </c>
      <c r="T94" t="s">
        <v>382</v>
      </c>
      <c r="U94">
        <v>2.1791779415469034E-3</v>
      </c>
      <c r="V94" t="s">
        <v>251</v>
      </c>
      <c r="X94">
        <v>3.4246575342465752E-3</v>
      </c>
      <c r="Y94">
        <v>4.3358277602366805E-3</v>
      </c>
      <c r="Z94" t="s">
        <v>382</v>
      </c>
      <c r="AA94" t="s">
        <v>25</v>
      </c>
      <c r="AC94" t="s">
        <v>22</v>
      </c>
      <c r="AD94" t="s">
        <v>382</v>
      </c>
      <c r="AE94">
        <v>3.5052252256270017E-3</v>
      </c>
      <c r="AG94" t="s">
        <v>97</v>
      </c>
      <c r="AH94" t="s">
        <v>382</v>
      </c>
      <c r="AI94">
        <v>4.0467275831858718E-2</v>
      </c>
      <c r="AK94">
        <v>2028</v>
      </c>
      <c r="AL94" t="s">
        <v>178</v>
      </c>
      <c r="AM94">
        <v>0.252</v>
      </c>
      <c r="AN94" t="s">
        <v>430</v>
      </c>
    </row>
    <row r="95" spans="9:40" x14ac:dyDescent="0.45">
      <c r="I95" t="s">
        <v>249</v>
      </c>
      <c r="J95" t="s">
        <v>383</v>
      </c>
      <c r="K95">
        <v>6.2473075400478098E-2</v>
      </c>
      <c r="L95" t="s">
        <v>251</v>
      </c>
      <c r="N95" t="s">
        <v>419</v>
      </c>
      <c r="O95" t="s">
        <v>383</v>
      </c>
      <c r="P95">
        <v>7.0774065848758453E-3</v>
      </c>
      <c r="Q95" t="s">
        <v>251</v>
      </c>
      <c r="S95" t="s">
        <v>420</v>
      </c>
      <c r="T95" t="s">
        <v>383</v>
      </c>
      <c r="U95">
        <v>1.1090112327354915E-2</v>
      </c>
      <c r="V95" t="s">
        <v>251</v>
      </c>
      <c r="X95">
        <v>2.3972602739726026E-2</v>
      </c>
      <c r="Y95">
        <v>3.3533053228252493E-2</v>
      </c>
      <c r="Z95" t="s">
        <v>383</v>
      </c>
      <c r="AA95" t="s">
        <v>25</v>
      </c>
      <c r="AC95" t="s">
        <v>22</v>
      </c>
      <c r="AD95" t="s">
        <v>383</v>
      </c>
      <c r="AE95">
        <v>2.5131362707046166E-2</v>
      </c>
      <c r="AG95" t="s">
        <v>97</v>
      </c>
      <c r="AH95" t="s">
        <v>383</v>
      </c>
      <c r="AI95">
        <v>0.17804101251486038</v>
      </c>
      <c r="AK95">
        <v>2029</v>
      </c>
      <c r="AL95" t="s">
        <v>151</v>
      </c>
      <c r="AM95">
        <v>0.26419999999999999</v>
      </c>
      <c r="AN95" t="s">
        <v>430</v>
      </c>
    </row>
    <row r="96" spans="9:40" x14ac:dyDescent="0.45">
      <c r="I96" t="s">
        <v>249</v>
      </c>
      <c r="J96" t="s">
        <v>384</v>
      </c>
      <c r="K96">
        <v>3.770368738009022E-3</v>
      </c>
      <c r="L96" t="s">
        <v>251</v>
      </c>
      <c r="N96" t="s">
        <v>419</v>
      </c>
      <c r="O96" t="s">
        <v>384</v>
      </c>
      <c r="P96">
        <v>1.1287268352343767E-3</v>
      </c>
      <c r="Q96" t="s">
        <v>251</v>
      </c>
      <c r="S96" t="s">
        <v>420</v>
      </c>
      <c r="T96" t="s">
        <v>384</v>
      </c>
      <c r="U96">
        <v>1.3284374603490527E-3</v>
      </c>
      <c r="V96" t="s">
        <v>251</v>
      </c>
      <c r="X96">
        <v>3.4246575342465752E-3</v>
      </c>
      <c r="Y96">
        <v>6.662854585684809E-3</v>
      </c>
      <c r="Z96" t="s">
        <v>384</v>
      </c>
      <c r="AA96" t="s">
        <v>25</v>
      </c>
      <c r="AC96" t="s">
        <v>22</v>
      </c>
      <c r="AD96" t="s">
        <v>384</v>
      </c>
      <c r="AE96">
        <v>1.7141318886387327E-3</v>
      </c>
      <c r="AG96" t="s">
        <v>97</v>
      </c>
      <c r="AH96" t="s">
        <v>384</v>
      </c>
      <c r="AI96">
        <v>3.1627555184013056E-2</v>
      </c>
      <c r="AK96">
        <v>2029</v>
      </c>
      <c r="AL96" t="s">
        <v>156</v>
      </c>
      <c r="AM96">
        <v>0.26429999999999998</v>
      </c>
      <c r="AN96" t="s">
        <v>430</v>
      </c>
    </row>
    <row r="97" spans="9:40" x14ac:dyDescent="0.45">
      <c r="I97" t="s">
        <v>249</v>
      </c>
      <c r="J97" t="s">
        <v>385</v>
      </c>
      <c r="K97">
        <v>5.4434138824243538E-6</v>
      </c>
      <c r="L97" t="s">
        <v>251</v>
      </c>
      <c r="N97" t="s">
        <v>419</v>
      </c>
      <c r="O97" t="s">
        <v>385</v>
      </c>
      <c r="P97">
        <v>1.6062734813735286E-3</v>
      </c>
      <c r="Q97" t="s">
        <v>251</v>
      </c>
      <c r="S97" t="s">
        <v>420</v>
      </c>
      <c r="T97" t="s">
        <v>385</v>
      </c>
      <c r="U97">
        <v>1.3904729415381214E-3</v>
      </c>
      <c r="V97" t="s">
        <v>251</v>
      </c>
      <c r="X97">
        <v>3.4246575342465752E-3</v>
      </c>
      <c r="Y97">
        <v>5.1711707232180593E-3</v>
      </c>
      <c r="Z97" t="s">
        <v>385</v>
      </c>
      <c r="AA97" t="s">
        <v>25</v>
      </c>
      <c r="AC97" t="s">
        <v>22</v>
      </c>
      <c r="AD97" t="s">
        <v>385</v>
      </c>
      <c r="AE97">
        <v>9.7962972482451994E-4</v>
      </c>
      <c r="AG97" t="s">
        <v>97</v>
      </c>
      <c r="AH97" t="s">
        <v>385</v>
      </c>
      <c r="AI97">
        <v>2.5760892893481158E-2</v>
      </c>
      <c r="AK97">
        <v>2029</v>
      </c>
      <c r="AL97" t="s">
        <v>159</v>
      </c>
      <c r="AM97">
        <v>0.28649999999999998</v>
      </c>
      <c r="AN97" t="s">
        <v>430</v>
      </c>
    </row>
    <row r="98" spans="9:40" x14ac:dyDescent="0.45">
      <c r="I98" t="s">
        <v>249</v>
      </c>
      <c r="J98" t="s">
        <v>386</v>
      </c>
      <c r="K98">
        <v>0</v>
      </c>
      <c r="L98" t="s">
        <v>251</v>
      </c>
      <c r="N98" t="s">
        <v>419</v>
      </c>
      <c r="O98" t="s">
        <v>386</v>
      </c>
      <c r="P98">
        <v>1.14434305219419E-2</v>
      </c>
      <c r="Q98" t="s">
        <v>251</v>
      </c>
      <c r="S98" t="s">
        <v>420</v>
      </c>
      <c r="T98" t="s">
        <v>386</v>
      </c>
      <c r="U98">
        <v>8.037961113677607E-3</v>
      </c>
      <c r="V98" t="s">
        <v>251</v>
      </c>
      <c r="X98">
        <v>1.7123287671232876E-2</v>
      </c>
      <c r="Y98">
        <v>1.2927926808045149E-2</v>
      </c>
      <c r="Z98" t="s">
        <v>386</v>
      </c>
      <c r="AA98" t="s">
        <v>25</v>
      </c>
      <c r="AC98" t="s">
        <v>22</v>
      </c>
      <c r="AD98" t="s">
        <v>386</v>
      </c>
      <c r="AE98">
        <v>4.8136781512206767E-3</v>
      </c>
      <c r="AG98" t="s">
        <v>97</v>
      </c>
      <c r="AH98" t="s">
        <v>386</v>
      </c>
      <c r="AI98">
        <v>0.15741855227331314</v>
      </c>
      <c r="AK98">
        <v>2029</v>
      </c>
      <c r="AL98" t="s">
        <v>163</v>
      </c>
      <c r="AM98">
        <v>0.3397</v>
      </c>
      <c r="AN98" t="s">
        <v>430</v>
      </c>
    </row>
    <row r="99" spans="9:40" x14ac:dyDescent="0.45">
      <c r="I99" t="s">
        <v>249</v>
      </c>
      <c r="J99" t="s">
        <v>411</v>
      </c>
      <c r="K99">
        <v>0</v>
      </c>
      <c r="L99" t="s">
        <v>251</v>
      </c>
      <c r="N99" t="s">
        <v>419</v>
      </c>
      <c r="O99" t="s">
        <v>411</v>
      </c>
      <c r="P99">
        <v>1.7735101237087186E-2</v>
      </c>
      <c r="Q99" t="s">
        <v>251</v>
      </c>
      <c r="S99" t="s">
        <v>420</v>
      </c>
      <c r="T99" t="s">
        <v>411</v>
      </c>
      <c r="U99">
        <v>1.9042613608245312E-2</v>
      </c>
      <c r="V99" t="s">
        <v>251</v>
      </c>
      <c r="X99">
        <v>2.4771689497716895E-2</v>
      </c>
      <c r="Y99">
        <v>9.7827942553597048E-3</v>
      </c>
      <c r="Z99" t="s">
        <v>411</v>
      </c>
      <c r="AA99" t="s">
        <v>25</v>
      </c>
      <c r="AC99" t="s">
        <v>22</v>
      </c>
      <c r="AD99" t="s">
        <v>411</v>
      </c>
      <c r="AE99">
        <v>1.9478113082872076E-2</v>
      </c>
      <c r="AG99" t="s">
        <v>97</v>
      </c>
      <c r="AH99" t="s">
        <v>411</v>
      </c>
      <c r="AI99">
        <v>0.14355804807208594</v>
      </c>
      <c r="AK99">
        <v>2029</v>
      </c>
      <c r="AL99" t="s">
        <v>167</v>
      </c>
      <c r="AM99">
        <v>0.35770000000000002</v>
      </c>
      <c r="AN99" t="s">
        <v>430</v>
      </c>
    </row>
    <row r="100" spans="9:40" x14ac:dyDescent="0.45">
      <c r="I100" t="s">
        <v>249</v>
      </c>
      <c r="J100" t="s">
        <v>412</v>
      </c>
      <c r="K100">
        <v>1.6154898979569435E-3</v>
      </c>
      <c r="L100" t="s">
        <v>251</v>
      </c>
      <c r="N100" t="s">
        <v>419</v>
      </c>
      <c r="O100" t="s">
        <v>412</v>
      </c>
      <c r="P100">
        <v>2.1091163348133345E-3</v>
      </c>
      <c r="Q100" t="s">
        <v>251</v>
      </c>
      <c r="S100" t="s">
        <v>420</v>
      </c>
      <c r="T100" t="s">
        <v>412</v>
      </c>
      <c r="U100">
        <v>2.8319565126200888E-3</v>
      </c>
      <c r="V100" t="s">
        <v>251</v>
      </c>
      <c r="X100">
        <v>3.5388127853881279E-3</v>
      </c>
      <c r="Y100">
        <v>5.9087255218821738E-3</v>
      </c>
      <c r="Z100" t="s">
        <v>412</v>
      </c>
      <c r="AA100" t="s">
        <v>25</v>
      </c>
      <c r="AC100" t="s">
        <v>22</v>
      </c>
      <c r="AD100" t="s">
        <v>412</v>
      </c>
      <c r="AE100">
        <v>3.3359779761860673E-3</v>
      </c>
      <c r="AG100" t="s">
        <v>97</v>
      </c>
      <c r="AH100" t="s">
        <v>412</v>
      </c>
      <c r="AI100">
        <v>5.3950509689007609E-2</v>
      </c>
      <c r="AK100">
        <v>2029</v>
      </c>
      <c r="AL100" t="s">
        <v>169</v>
      </c>
      <c r="AM100">
        <v>0.48080000000000001</v>
      </c>
      <c r="AN100" t="s">
        <v>430</v>
      </c>
    </row>
    <row r="101" spans="9:40" x14ac:dyDescent="0.45">
      <c r="I101" t="s">
        <v>249</v>
      </c>
      <c r="J101" t="s">
        <v>413</v>
      </c>
      <c r="K101">
        <v>6.4351954201609003E-3</v>
      </c>
      <c r="L101" t="s">
        <v>251</v>
      </c>
      <c r="N101" t="s">
        <v>419</v>
      </c>
      <c r="O101" t="s">
        <v>413</v>
      </c>
      <c r="P101">
        <v>1.5760119165755596E-3</v>
      </c>
      <c r="Q101" t="s">
        <v>251</v>
      </c>
      <c r="S101" t="s">
        <v>420</v>
      </c>
      <c r="T101" t="s">
        <v>413</v>
      </c>
      <c r="U101">
        <v>2.813179783114835E-3</v>
      </c>
      <c r="V101" t="s">
        <v>251</v>
      </c>
      <c r="X101">
        <v>3.5388127853881279E-3</v>
      </c>
      <c r="Y101">
        <v>4.521459529788099E-3</v>
      </c>
      <c r="Z101" t="s">
        <v>413</v>
      </c>
      <c r="AA101" t="s">
        <v>25</v>
      </c>
      <c r="AC101" t="s">
        <v>22</v>
      </c>
      <c r="AD101" t="s">
        <v>413</v>
      </c>
      <c r="AE101">
        <v>3.4423111459733102E-3</v>
      </c>
      <c r="AG101" t="s">
        <v>97</v>
      </c>
      <c r="AH101" t="s">
        <v>413</v>
      </c>
      <c r="AI101">
        <v>4.4327068300555439E-2</v>
      </c>
      <c r="AK101">
        <v>2029</v>
      </c>
      <c r="AL101" t="s">
        <v>171</v>
      </c>
      <c r="AM101">
        <v>0.57240000000000002</v>
      </c>
      <c r="AN101" t="s">
        <v>430</v>
      </c>
    </row>
    <row r="102" spans="9:40" x14ac:dyDescent="0.45">
      <c r="I102" t="s">
        <v>249</v>
      </c>
      <c r="J102" t="s">
        <v>414</v>
      </c>
      <c r="K102">
        <v>8.9729054957335998E-3</v>
      </c>
      <c r="L102" t="s">
        <v>251</v>
      </c>
      <c r="N102" t="s">
        <v>419</v>
      </c>
      <c r="O102" t="s">
        <v>414</v>
      </c>
      <c r="P102">
        <v>1.5050852864421545E-3</v>
      </c>
      <c r="Q102" t="s">
        <v>251</v>
      </c>
      <c r="S102" t="s">
        <v>420</v>
      </c>
      <c r="T102" t="s">
        <v>414</v>
      </c>
      <c r="U102">
        <v>2.7724472396623155E-3</v>
      </c>
      <c r="V102" t="s">
        <v>251</v>
      </c>
      <c r="X102">
        <v>3.5388127853881279E-3</v>
      </c>
      <c r="Y102">
        <v>4.4803553522445696E-3</v>
      </c>
      <c r="Z102" t="s">
        <v>414</v>
      </c>
      <c r="AA102" t="s">
        <v>25</v>
      </c>
      <c r="AC102" t="s">
        <v>22</v>
      </c>
      <c r="AD102" t="s">
        <v>414</v>
      </c>
      <c r="AE102">
        <v>3.4828434250686571E-3</v>
      </c>
      <c r="AG102" t="s">
        <v>97</v>
      </c>
      <c r="AH102" t="s">
        <v>414</v>
      </c>
      <c r="AI102">
        <v>3.9833092462189912E-2</v>
      </c>
      <c r="AK102">
        <v>2029</v>
      </c>
      <c r="AL102" t="s">
        <v>158</v>
      </c>
      <c r="AM102">
        <v>0.5887</v>
      </c>
      <c r="AN102" t="s">
        <v>430</v>
      </c>
    </row>
    <row r="103" spans="9:40" x14ac:dyDescent="0.45">
      <c r="I103" t="s">
        <v>249</v>
      </c>
      <c r="J103" t="s">
        <v>415</v>
      </c>
      <c r="K103">
        <v>6.5275103843921906E-2</v>
      </c>
      <c r="L103" t="s">
        <v>251</v>
      </c>
      <c r="N103" t="s">
        <v>419</v>
      </c>
      <c r="O103" t="s">
        <v>415</v>
      </c>
      <c r="P103">
        <v>9.2336310891315606E-3</v>
      </c>
      <c r="Q103" t="s">
        <v>251</v>
      </c>
      <c r="S103" t="s">
        <v>420</v>
      </c>
      <c r="T103" t="s">
        <v>415</v>
      </c>
      <c r="U103">
        <v>1.5945517424689779E-2</v>
      </c>
      <c r="V103" t="s">
        <v>251</v>
      </c>
      <c r="X103">
        <v>2.4771689497716895E-2</v>
      </c>
      <c r="Y103">
        <v>3.4650821669194247E-2</v>
      </c>
      <c r="Z103" t="s">
        <v>415</v>
      </c>
      <c r="AA103" t="s">
        <v>25</v>
      </c>
      <c r="AC103" t="s">
        <v>22</v>
      </c>
      <c r="AD103" t="s">
        <v>415</v>
      </c>
      <c r="AE103">
        <v>2.521487226725368E-2</v>
      </c>
      <c r="AG103" t="s">
        <v>97</v>
      </c>
      <c r="AH103" t="s">
        <v>415</v>
      </c>
      <c r="AI103">
        <v>0.12757569100527655</v>
      </c>
      <c r="AK103">
        <v>2029</v>
      </c>
      <c r="AL103" t="s">
        <v>162</v>
      </c>
      <c r="AM103">
        <v>0.5867</v>
      </c>
      <c r="AN103" t="s">
        <v>430</v>
      </c>
    </row>
    <row r="104" spans="9:40" x14ac:dyDescent="0.45">
      <c r="I104" t="s">
        <v>249</v>
      </c>
      <c r="J104" t="s">
        <v>416</v>
      </c>
      <c r="K104">
        <v>4.4126755720041997E-3</v>
      </c>
      <c r="L104" t="s">
        <v>251</v>
      </c>
      <c r="N104" t="s">
        <v>419</v>
      </c>
      <c r="O104" t="s">
        <v>416</v>
      </c>
      <c r="P104">
        <v>1.415502718704622E-3</v>
      </c>
      <c r="Q104" t="s">
        <v>251</v>
      </c>
      <c r="S104" t="s">
        <v>420</v>
      </c>
      <c r="T104" t="s">
        <v>416</v>
      </c>
      <c r="U104">
        <v>2.1843778148423437E-3</v>
      </c>
      <c r="V104" t="s">
        <v>251</v>
      </c>
      <c r="X104">
        <v>3.5388127853881279E-3</v>
      </c>
      <c r="Y104">
        <v>6.8849497385409693E-3</v>
      </c>
      <c r="Z104" t="s">
        <v>416</v>
      </c>
      <c r="AA104" t="s">
        <v>25</v>
      </c>
      <c r="AC104" t="s">
        <v>22</v>
      </c>
      <c r="AD104" t="s">
        <v>416</v>
      </c>
      <c r="AE104">
        <v>1.784427289069619E-3</v>
      </c>
      <c r="AG104" t="s">
        <v>97</v>
      </c>
      <c r="AH104" t="s">
        <v>416</v>
      </c>
      <c r="AI104">
        <v>7.7669055708102785E-3</v>
      </c>
      <c r="AK104">
        <v>2029</v>
      </c>
      <c r="AL104" t="s">
        <v>175</v>
      </c>
      <c r="AM104">
        <v>0.47220000000000001</v>
      </c>
      <c r="AN104" t="s">
        <v>430</v>
      </c>
    </row>
    <row r="105" spans="9:40" x14ac:dyDescent="0.45">
      <c r="I105" t="s">
        <v>249</v>
      </c>
      <c r="J105" t="s">
        <v>417</v>
      </c>
      <c r="K105">
        <v>4.942434988509928E-5</v>
      </c>
      <c r="L105" t="s">
        <v>251</v>
      </c>
      <c r="N105" t="s">
        <v>419</v>
      </c>
      <c r="O105" t="s">
        <v>417</v>
      </c>
      <c r="P105">
        <v>1.9914673929772148E-3</v>
      </c>
      <c r="Q105" t="s">
        <v>251</v>
      </c>
      <c r="S105" t="s">
        <v>420</v>
      </c>
      <c r="T105" t="s">
        <v>417</v>
      </c>
      <c r="U105">
        <v>2.3204971359952224E-3</v>
      </c>
      <c r="V105" t="s">
        <v>251</v>
      </c>
      <c r="X105">
        <v>3.5388127853881279E-3</v>
      </c>
      <c r="Y105">
        <v>5.3435430806586613E-3</v>
      </c>
      <c r="Z105" t="s">
        <v>417</v>
      </c>
      <c r="AA105" t="s">
        <v>25</v>
      </c>
      <c r="AC105" t="s">
        <v>22</v>
      </c>
      <c r="AD105" t="s">
        <v>417</v>
      </c>
      <c r="AE105">
        <v>9.384691566973987E-4</v>
      </c>
      <c r="AG105" t="s">
        <v>97</v>
      </c>
      <c r="AH105" t="s">
        <v>417</v>
      </c>
      <c r="AI105">
        <v>1.8056274068608102E-2</v>
      </c>
      <c r="AK105">
        <v>2029</v>
      </c>
      <c r="AL105" t="s">
        <v>166</v>
      </c>
      <c r="AM105">
        <v>0.31269999999999998</v>
      </c>
      <c r="AN105" t="s">
        <v>430</v>
      </c>
    </row>
    <row r="106" spans="9:40" x14ac:dyDescent="0.45">
      <c r="I106" t="s">
        <v>249</v>
      </c>
      <c r="J106" t="s">
        <v>418</v>
      </c>
      <c r="K106">
        <v>0</v>
      </c>
      <c r="L106" t="s">
        <v>251</v>
      </c>
      <c r="N106" t="s">
        <v>419</v>
      </c>
      <c r="O106" t="s">
        <v>418</v>
      </c>
      <c r="P106">
        <v>1.5166151400172592E-2</v>
      </c>
      <c r="Q106" t="s">
        <v>251</v>
      </c>
      <c r="S106" t="s">
        <v>420</v>
      </c>
      <c r="T106" t="s">
        <v>418</v>
      </c>
      <c r="U106">
        <v>1.3111703027212691E-2</v>
      </c>
      <c r="V106" t="s">
        <v>251</v>
      </c>
      <c r="X106">
        <v>1.7694063926940638E-2</v>
      </c>
      <c r="Y106">
        <v>1.3358857701646654E-2</v>
      </c>
      <c r="Z106" t="s">
        <v>418</v>
      </c>
      <c r="AA106" t="s">
        <v>25</v>
      </c>
      <c r="AC106" t="s">
        <v>22</v>
      </c>
      <c r="AD106" t="s">
        <v>418</v>
      </c>
      <c r="AE106">
        <v>4.5197694108912835E-3</v>
      </c>
      <c r="AG106" t="s">
        <v>97</v>
      </c>
      <c r="AH106" t="s">
        <v>418</v>
      </c>
      <c r="AI106">
        <v>0.13031366973009884</v>
      </c>
      <c r="AK106">
        <v>2029</v>
      </c>
      <c r="AL106" t="s">
        <v>178</v>
      </c>
      <c r="AM106">
        <v>0.2626</v>
      </c>
      <c r="AN106" t="s">
        <v>430</v>
      </c>
    </row>
    <row r="107" spans="9:40" x14ac:dyDescent="0.45">
      <c r="AC107" t="s">
        <v>19</v>
      </c>
      <c r="AD107" t="s">
        <v>250</v>
      </c>
      <c r="AE107">
        <v>2.4807105468120417E-2</v>
      </c>
      <c r="AK107">
        <v>2030</v>
      </c>
      <c r="AL107" t="s">
        <v>151</v>
      </c>
      <c r="AM107">
        <v>0.26500000000000001</v>
      </c>
      <c r="AN107" t="s">
        <v>430</v>
      </c>
    </row>
    <row r="108" spans="9:40" x14ac:dyDescent="0.45">
      <c r="AC108" t="s">
        <v>19</v>
      </c>
      <c r="AD108" t="s">
        <v>252</v>
      </c>
      <c r="AE108">
        <v>3.5619570919209883E-3</v>
      </c>
      <c r="AK108">
        <v>2030</v>
      </c>
      <c r="AL108" t="s">
        <v>156</v>
      </c>
      <c r="AM108">
        <v>0.27139999999999997</v>
      </c>
      <c r="AN108" t="s">
        <v>430</v>
      </c>
    </row>
    <row r="109" spans="9:40" x14ac:dyDescent="0.45">
      <c r="AC109" t="s">
        <v>19</v>
      </c>
      <c r="AD109" t="s">
        <v>253</v>
      </c>
      <c r="AE109">
        <v>3.5667869659552921E-3</v>
      </c>
      <c r="AK109">
        <v>2030</v>
      </c>
      <c r="AL109" t="s">
        <v>159</v>
      </c>
      <c r="AM109">
        <v>0.28310000000000002</v>
      </c>
      <c r="AN109" t="s">
        <v>430</v>
      </c>
    </row>
    <row r="110" spans="9:40" x14ac:dyDescent="0.45">
      <c r="AC110" t="s">
        <v>19</v>
      </c>
      <c r="AD110" t="s">
        <v>254</v>
      </c>
      <c r="AE110">
        <v>3.5689405305789229E-3</v>
      </c>
      <c r="AK110">
        <v>2030</v>
      </c>
      <c r="AL110" t="s">
        <v>163</v>
      </c>
      <c r="AM110">
        <v>0.31440000000000001</v>
      </c>
      <c r="AN110" t="s">
        <v>430</v>
      </c>
    </row>
    <row r="111" spans="9:40" x14ac:dyDescent="0.45">
      <c r="AC111" t="s">
        <v>19</v>
      </c>
      <c r="AD111" t="s">
        <v>255</v>
      </c>
      <c r="AE111">
        <v>2.5071463818378881E-2</v>
      </c>
      <c r="AK111">
        <v>2030</v>
      </c>
      <c r="AL111" t="s">
        <v>167</v>
      </c>
      <c r="AM111">
        <v>0.40029999999999999</v>
      </c>
      <c r="AN111" t="s">
        <v>430</v>
      </c>
    </row>
    <row r="112" spans="9:40" x14ac:dyDescent="0.45">
      <c r="AC112" t="s">
        <v>19</v>
      </c>
      <c r="AD112" t="s">
        <v>256</v>
      </c>
      <c r="AE112">
        <v>3.5083301744215831E-3</v>
      </c>
      <c r="AK112">
        <v>2030</v>
      </c>
      <c r="AL112" t="s">
        <v>169</v>
      </c>
      <c r="AM112">
        <v>0.51500000000000001</v>
      </c>
      <c r="AN112" t="s">
        <v>430</v>
      </c>
    </row>
    <row r="113" spans="29:40" x14ac:dyDescent="0.45">
      <c r="AC113" t="s">
        <v>19</v>
      </c>
      <c r="AD113" t="s">
        <v>257</v>
      </c>
      <c r="AE113">
        <v>3.45492873392677E-3</v>
      </c>
      <c r="AK113">
        <v>2030</v>
      </c>
      <c r="AL113" t="s">
        <v>171</v>
      </c>
      <c r="AM113">
        <v>0.58689999999999998</v>
      </c>
      <c r="AN113" t="s">
        <v>430</v>
      </c>
    </row>
    <row r="114" spans="29:40" x14ac:dyDescent="0.45">
      <c r="AC114" t="s">
        <v>19</v>
      </c>
      <c r="AD114" t="s">
        <v>258</v>
      </c>
      <c r="AE114">
        <v>1.7289049174318342E-2</v>
      </c>
      <c r="AK114">
        <v>2030</v>
      </c>
      <c r="AL114" t="s">
        <v>158</v>
      </c>
      <c r="AM114">
        <v>0.63470000000000004</v>
      </c>
      <c r="AN114" t="s">
        <v>430</v>
      </c>
    </row>
    <row r="115" spans="29:40" x14ac:dyDescent="0.45">
      <c r="AC115" t="s">
        <v>19</v>
      </c>
      <c r="AD115" t="s">
        <v>259</v>
      </c>
      <c r="AE115">
        <v>2.2396102892648883E-2</v>
      </c>
      <c r="AK115">
        <v>2030</v>
      </c>
      <c r="AL115" t="s">
        <v>162</v>
      </c>
      <c r="AM115">
        <v>0.65669999999999995</v>
      </c>
      <c r="AN115" t="s">
        <v>430</v>
      </c>
    </row>
    <row r="116" spans="29:40" x14ac:dyDescent="0.45">
      <c r="AC116" t="s">
        <v>19</v>
      </c>
      <c r="AD116" t="s">
        <v>260</v>
      </c>
      <c r="AE116">
        <v>3.2256847155674282E-3</v>
      </c>
      <c r="AK116">
        <v>2030</v>
      </c>
      <c r="AL116" t="s">
        <v>175</v>
      </c>
      <c r="AM116">
        <v>0.43169999999999997</v>
      </c>
      <c r="AN116" t="s">
        <v>430</v>
      </c>
    </row>
    <row r="117" spans="29:40" x14ac:dyDescent="0.45">
      <c r="AC117" t="s">
        <v>19</v>
      </c>
      <c r="AD117" t="s">
        <v>261</v>
      </c>
      <c r="AE117">
        <v>3.2308029695060085E-3</v>
      </c>
      <c r="AK117">
        <v>2030</v>
      </c>
      <c r="AL117" t="s">
        <v>166</v>
      </c>
      <c r="AM117">
        <v>0.30980000000000002</v>
      </c>
      <c r="AN117" t="s">
        <v>430</v>
      </c>
    </row>
    <row r="118" spans="29:40" x14ac:dyDescent="0.45">
      <c r="AC118" t="s">
        <v>19</v>
      </c>
      <c r="AD118" t="s">
        <v>262</v>
      </c>
      <c r="AE118">
        <v>3.2332976593585478E-3</v>
      </c>
      <c r="AK118">
        <v>2030</v>
      </c>
      <c r="AL118" t="s">
        <v>178</v>
      </c>
      <c r="AM118">
        <v>0.247</v>
      </c>
      <c r="AN118" t="s">
        <v>430</v>
      </c>
    </row>
    <row r="119" spans="29:40" x14ac:dyDescent="0.45">
      <c r="AC119" t="s">
        <v>19</v>
      </c>
      <c r="AD119" t="s">
        <v>263</v>
      </c>
      <c r="AE119">
        <v>2.2675381292253185E-2</v>
      </c>
      <c r="AK119">
        <v>2031</v>
      </c>
      <c r="AL119" t="s">
        <v>151</v>
      </c>
      <c r="AM119">
        <v>0.23799999999999999</v>
      </c>
      <c r="AN119" t="s">
        <v>430</v>
      </c>
    </row>
    <row r="120" spans="29:40" x14ac:dyDescent="0.45">
      <c r="AC120" t="s">
        <v>19</v>
      </c>
      <c r="AD120" t="s">
        <v>264</v>
      </c>
      <c r="AE120">
        <v>3.1527306837495182E-3</v>
      </c>
      <c r="AK120">
        <v>2031</v>
      </c>
      <c r="AL120" t="s">
        <v>156</v>
      </c>
      <c r="AM120">
        <v>0.2364</v>
      </c>
      <c r="AN120" t="s">
        <v>430</v>
      </c>
    </row>
    <row r="121" spans="29:40" x14ac:dyDescent="0.45">
      <c r="AC121" t="s">
        <v>19</v>
      </c>
      <c r="AD121" t="s">
        <v>265</v>
      </c>
      <c r="AE121">
        <v>3.1203667450810579E-3</v>
      </c>
      <c r="AK121">
        <v>2031</v>
      </c>
      <c r="AL121" t="s">
        <v>159</v>
      </c>
      <c r="AM121">
        <v>0.26319999999999999</v>
      </c>
      <c r="AN121" t="s">
        <v>430</v>
      </c>
    </row>
    <row r="122" spans="29:40" x14ac:dyDescent="0.45">
      <c r="AC122" t="s">
        <v>19</v>
      </c>
      <c r="AD122" t="s">
        <v>266</v>
      </c>
      <c r="AE122">
        <v>1.5590950306966856E-2</v>
      </c>
      <c r="AK122">
        <v>2031</v>
      </c>
      <c r="AL122" t="s">
        <v>163</v>
      </c>
      <c r="AM122">
        <v>0.32319999999999999</v>
      </c>
      <c r="AN122" t="s">
        <v>430</v>
      </c>
    </row>
    <row r="123" spans="29:40" x14ac:dyDescent="0.45">
      <c r="AC123" t="s">
        <v>19</v>
      </c>
      <c r="AD123" t="s">
        <v>267</v>
      </c>
      <c r="AE123">
        <v>2.4817941741787808E-2</v>
      </c>
      <c r="AK123">
        <v>2031</v>
      </c>
      <c r="AL123" t="s">
        <v>167</v>
      </c>
      <c r="AM123">
        <v>0.38429999999999997</v>
      </c>
      <c r="AN123" t="s">
        <v>430</v>
      </c>
    </row>
    <row r="124" spans="29:40" x14ac:dyDescent="0.45">
      <c r="AC124" t="s">
        <v>19</v>
      </c>
      <c r="AD124" t="s">
        <v>268</v>
      </c>
      <c r="AE124">
        <v>3.5813431856435533E-3</v>
      </c>
      <c r="AK124">
        <v>2031</v>
      </c>
      <c r="AL124" t="s">
        <v>169</v>
      </c>
      <c r="AM124">
        <v>0.5121</v>
      </c>
      <c r="AN124" t="s">
        <v>430</v>
      </c>
    </row>
    <row r="125" spans="29:40" x14ac:dyDescent="0.45">
      <c r="AC125" t="s">
        <v>19</v>
      </c>
      <c r="AD125" t="s">
        <v>269</v>
      </c>
      <c r="AE125">
        <v>3.5935791486853184E-3</v>
      </c>
      <c r="AK125">
        <v>2031</v>
      </c>
      <c r="AL125" t="s">
        <v>171</v>
      </c>
      <c r="AM125">
        <v>0.56659999999999999</v>
      </c>
      <c r="AN125" t="s">
        <v>430</v>
      </c>
    </row>
    <row r="126" spans="29:40" x14ac:dyDescent="0.45">
      <c r="AC126" t="s">
        <v>19</v>
      </c>
      <c r="AD126" t="s">
        <v>270</v>
      </c>
      <c r="AE126">
        <v>3.5992108892045106E-3</v>
      </c>
      <c r="AK126">
        <v>2031</v>
      </c>
      <c r="AL126" t="s">
        <v>158</v>
      </c>
      <c r="AM126">
        <v>0.61370000000000002</v>
      </c>
      <c r="AN126" t="s">
        <v>430</v>
      </c>
    </row>
    <row r="127" spans="29:40" x14ac:dyDescent="0.45">
      <c r="AC127" t="s">
        <v>19</v>
      </c>
      <c r="AD127" t="s">
        <v>271</v>
      </c>
      <c r="AE127">
        <v>2.5159670658659424E-2</v>
      </c>
      <c r="AK127">
        <v>2031</v>
      </c>
      <c r="AL127" t="s">
        <v>162</v>
      </c>
      <c r="AM127">
        <v>0.57950000000000002</v>
      </c>
      <c r="AN127" t="s">
        <v>430</v>
      </c>
    </row>
    <row r="128" spans="29:40" x14ac:dyDescent="0.45">
      <c r="AC128" t="s">
        <v>19</v>
      </c>
      <c r="AD128" t="s">
        <v>272</v>
      </c>
      <c r="AE128">
        <v>3.4703547488830963E-3</v>
      </c>
      <c r="AK128">
        <v>2031</v>
      </c>
      <c r="AL128" t="s">
        <v>175</v>
      </c>
      <c r="AM128">
        <v>0.46810000000000002</v>
      </c>
      <c r="AN128" t="s">
        <v>430</v>
      </c>
    </row>
    <row r="129" spans="29:40" x14ac:dyDescent="0.45">
      <c r="AC129" t="s">
        <v>19</v>
      </c>
      <c r="AD129" t="s">
        <v>273</v>
      </c>
      <c r="AE129">
        <v>3.4449947227347894E-3</v>
      </c>
      <c r="AK129">
        <v>2031</v>
      </c>
      <c r="AL129" t="s">
        <v>166</v>
      </c>
      <c r="AM129">
        <v>0.29930000000000001</v>
      </c>
      <c r="AN129" t="s">
        <v>430</v>
      </c>
    </row>
    <row r="130" spans="29:40" x14ac:dyDescent="0.45">
      <c r="AC130" t="s">
        <v>19</v>
      </c>
      <c r="AD130" t="s">
        <v>274</v>
      </c>
      <c r="AE130">
        <v>1.7239740876161678E-2</v>
      </c>
      <c r="AK130">
        <v>2031</v>
      </c>
      <c r="AL130" t="s">
        <v>178</v>
      </c>
      <c r="AM130">
        <v>0.22739999999999999</v>
      </c>
      <c r="AN130" t="s">
        <v>430</v>
      </c>
    </row>
    <row r="131" spans="29:40" x14ac:dyDescent="0.45">
      <c r="AC131" t="s">
        <v>19</v>
      </c>
      <c r="AD131" t="s">
        <v>275</v>
      </c>
      <c r="AE131">
        <v>2.3992482297509075E-2</v>
      </c>
      <c r="AK131">
        <v>2032</v>
      </c>
      <c r="AL131" t="s">
        <v>151</v>
      </c>
      <c r="AM131">
        <v>0.22459999999999999</v>
      </c>
      <c r="AN131" t="s">
        <v>430</v>
      </c>
    </row>
    <row r="132" spans="29:40" x14ac:dyDescent="0.45">
      <c r="AC132" t="s">
        <v>19</v>
      </c>
      <c r="AD132" t="s">
        <v>276</v>
      </c>
      <c r="AE132">
        <v>3.4738704666897762E-3</v>
      </c>
      <c r="AK132">
        <v>2032</v>
      </c>
      <c r="AL132" t="s">
        <v>156</v>
      </c>
      <c r="AM132">
        <v>0.23699999999999999</v>
      </c>
      <c r="AN132" t="s">
        <v>430</v>
      </c>
    </row>
    <row r="133" spans="29:40" x14ac:dyDescent="0.45">
      <c r="AC133" t="s">
        <v>19</v>
      </c>
      <c r="AD133" t="s">
        <v>277</v>
      </c>
      <c r="AE133">
        <v>3.4801538791335491E-3</v>
      </c>
      <c r="AK133">
        <v>2032</v>
      </c>
      <c r="AL133" t="s">
        <v>159</v>
      </c>
      <c r="AM133">
        <v>0.26640000000000003</v>
      </c>
      <c r="AN133" t="s">
        <v>430</v>
      </c>
    </row>
    <row r="134" spans="29:40" x14ac:dyDescent="0.45">
      <c r="AC134" t="s">
        <v>19</v>
      </c>
      <c r="AD134" t="s">
        <v>278</v>
      </c>
      <c r="AE134">
        <v>3.4821192640984906E-3</v>
      </c>
      <c r="AK134">
        <v>2032</v>
      </c>
      <c r="AL134" t="s">
        <v>163</v>
      </c>
      <c r="AM134">
        <v>0.31390000000000001</v>
      </c>
      <c r="AN134" t="s">
        <v>430</v>
      </c>
    </row>
    <row r="135" spans="29:40" x14ac:dyDescent="0.45">
      <c r="AC135" t="s">
        <v>19</v>
      </c>
      <c r="AD135" t="s">
        <v>279</v>
      </c>
      <c r="AE135">
        <v>2.431802215590554E-2</v>
      </c>
      <c r="AK135">
        <v>2032</v>
      </c>
      <c r="AL135" t="s">
        <v>167</v>
      </c>
      <c r="AM135">
        <v>0.4194</v>
      </c>
      <c r="AN135" t="s">
        <v>430</v>
      </c>
    </row>
    <row r="136" spans="29:40" x14ac:dyDescent="0.45">
      <c r="AC136" t="s">
        <v>19</v>
      </c>
      <c r="AD136" t="s">
        <v>280</v>
      </c>
      <c r="AE136">
        <v>3.3586893850175658E-3</v>
      </c>
      <c r="AK136">
        <v>2032</v>
      </c>
      <c r="AL136" t="s">
        <v>169</v>
      </c>
      <c r="AM136">
        <v>0.4662</v>
      </c>
      <c r="AN136" t="s">
        <v>430</v>
      </c>
    </row>
    <row r="137" spans="29:40" x14ac:dyDescent="0.45">
      <c r="AC137" t="s">
        <v>19</v>
      </c>
      <c r="AD137" t="s">
        <v>281</v>
      </c>
      <c r="AE137">
        <v>3.384166540703218E-3</v>
      </c>
      <c r="AK137">
        <v>2032</v>
      </c>
      <c r="AL137" t="s">
        <v>171</v>
      </c>
      <c r="AM137">
        <v>0.57599999999999996</v>
      </c>
      <c r="AN137" t="s">
        <v>430</v>
      </c>
    </row>
    <row r="138" spans="29:40" x14ac:dyDescent="0.45">
      <c r="AC138" t="s">
        <v>19</v>
      </c>
      <c r="AD138" t="s">
        <v>282</v>
      </c>
      <c r="AE138">
        <v>1.6789908068262124E-2</v>
      </c>
      <c r="AK138">
        <v>2032</v>
      </c>
      <c r="AL138" t="s">
        <v>158</v>
      </c>
      <c r="AM138">
        <v>0.6825</v>
      </c>
      <c r="AN138" t="s">
        <v>430</v>
      </c>
    </row>
    <row r="139" spans="29:40" x14ac:dyDescent="0.45">
      <c r="AC139" t="s">
        <v>19</v>
      </c>
      <c r="AD139" t="s">
        <v>283</v>
      </c>
      <c r="AE139">
        <v>2.4805099440951852E-2</v>
      </c>
      <c r="AK139">
        <v>2032</v>
      </c>
      <c r="AL139" t="s">
        <v>162</v>
      </c>
      <c r="AM139">
        <v>0.58699999999999997</v>
      </c>
      <c r="AN139" t="s">
        <v>430</v>
      </c>
    </row>
    <row r="140" spans="29:40" x14ac:dyDescent="0.45">
      <c r="AC140" t="s">
        <v>19</v>
      </c>
      <c r="AD140" t="s">
        <v>284</v>
      </c>
      <c r="AE140">
        <v>3.5794377402909392E-3</v>
      </c>
      <c r="AK140">
        <v>2032</v>
      </c>
      <c r="AL140" t="s">
        <v>175</v>
      </c>
      <c r="AM140">
        <v>0.443</v>
      </c>
      <c r="AN140" t="s">
        <v>430</v>
      </c>
    </row>
    <row r="141" spans="29:40" x14ac:dyDescent="0.45">
      <c r="AC141" t="s">
        <v>19</v>
      </c>
      <c r="AD141" t="s">
        <v>285</v>
      </c>
      <c r="AE141">
        <v>3.5822695875696313E-3</v>
      </c>
      <c r="AK141">
        <v>2032</v>
      </c>
      <c r="AL141" t="s">
        <v>166</v>
      </c>
      <c r="AM141">
        <v>0.31480000000000002</v>
      </c>
      <c r="AN141" t="s">
        <v>430</v>
      </c>
    </row>
    <row r="142" spans="29:40" x14ac:dyDescent="0.45">
      <c r="AC142" t="s">
        <v>19</v>
      </c>
      <c r="AD142" t="s">
        <v>286</v>
      </c>
      <c r="AE142">
        <v>3.582425971902239E-3</v>
      </c>
      <c r="AK142">
        <v>2032</v>
      </c>
      <c r="AL142" t="s">
        <v>178</v>
      </c>
      <c r="AM142">
        <v>0.22770000000000001</v>
      </c>
      <c r="AN142" t="s">
        <v>430</v>
      </c>
    </row>
    <row r="143" spans="29:40" x14ac:dyDescent="0.45">
      <c r="AC143" t="s">
        <v>19</v>
      </c>
      <c r="AD143" t="s">
        <v>287</v>
      </c>
      <c r="AE143">
        <v>2.506980727527703E-2</v>
      </c>
      <c r="AK143">
        <v>2033</v>
      </c>
      <c r="AL143" t="s">
        <v>151</v>
      </c>
      <c r="AM143">
        <v>0.26679999999999998</v>
      </c>
      <c r="AN143" t="s">
        <v>430</v>
      </c>
    </row>
    <row r="144" spans="29:40" x14ac:dyDescent="0.45">
      <c r="AC144" t="s">
        <v>19</v>
      </c>
      <c r="AD144" t="s">
        <v>288</v>
      </c>
      <c r="AE144">
        <v>3.4736433689537133E-3</v>
      </c>
      <c r="AK144">
        <v>2033</v>
      </c>
      <c r="AL144" t="s">
        <v>156</v>
      </c>
      <c r="AM144">
        <v>0.26100000000000001</v>
      </c>
      <c r="AN144" t="s">
        <v>430</v>
      </c>
    </row>
    <row r="145" spans="29:40" x14ac:dyDescent="0.45">
      <c r="AC145" t="s">
        <v>19</v>
      </c>
      <c r="AD145" t="s">
        <v>289</v>
      </c>
      <c r="AE145">
        <v>3.5163132255955397E-3</v>
      </c>
      <c r="AK145">
        <v>2033</v>
      </c>
      <c r="AL145" t="s">
        <v>159</v>
      </c>
      <c r="AM145">
        <v>0.25169999999999998</v>
      </c>
      <c r="AN145" t="s">
        <v>430</v>
      </c>
    </row>
    <row r="146" spans="29:40" x14ac:dyDescent="0.45">
      <c r="AC146" t="s">
        <v>19</v>
      </c>
      <c r="AD146" t="s">
        <v>290</v>
      </c>
      <c r="AE146">
        <v>1.7465225760148372E-2</v>
      </c>
      <c r="AK146">
        <v>2033</v>
      </c>
      <c r="AL146" t="s">
        <v>163</v>
      </c>
      <c r="AM146">
        <v>0.31390000000000001</v>
      </c>
      <c r="AN146" t="s">
        <v>430</v>
      </c>
    </row>
    <row r="147" spans="29:40" x14ac:dyDescent="0.45">
      <c r="AC147" t="s">
        <v>19</v>
      </c>
      <c r="AD147" t="s">
        <v>291</v>
      </c>
      <c r="AE147">
        <v>2.4008373861375724E-2</v>
      </c>
      <c r="AK147">
        <v>2033</v>
      </c>
      <c r="AL147" t="s">
        <v>167</v>
      </c>
      <c r="AM147">
        <v>0.42299999999999999</v>
      </c>
      <c r="AN147" t="s">
        <v>430</v>
      </c>
    </row>
    <row r="148" spans="29:40" x14ac:dyDescent="0.45">
      <c r="AC148" t="s">
        <v>19</v>
      </c>
      <c r="AD148" t="s">
        <v>292</v>
      </c>
      <c r="AE148">
        <v>3.4559498795923922E-3</v>
      </c>
      <c r="AK148">
        <v>2033</v>
      </c>
      <c r="AL148" t="s">
        <v>169</v>
      </c>
      <c r="AM148">
        <v>0.50609999999999999</v>
      </c>
      <c r="AN148" t="s">
        <v>430</v>
      </c>
    </row>
    <row r="149" spans="29:40" x14ac:dyDescent="0.45">
      <c r="AC149" t="s">
        <v>19</v>
      </c>
      <c r="AD149" t="s">
        <v>293</v>
      </c>
      <c r="AE149">
        <v>3.4583274928116229E-3</v>
      </c>
      <c r="AK149">
        <v>2033</v>
      </c>
      <c r="AL149" t="s">
        <v>171</v>
      </c>
      <c r="AM149">
        <v>0.55689999999999995</v>
      </c>
      <c r="AN149" t="s">
        <v>430</v>
      </c>
    </row>
    <row r="150" spans="29:40" x14ac:dyDescent="0.45">
      <c r="AC150" t="s">
        <v>19</v>
      </c>
      <c r="AD150" t="s">
        <v>294</v>
      </c>
      <c r="AE150">
        <v>3.4586289400129751E-3</v>
      </c>
      <c r="AK150">
        <v>2033</v>
      </c>
      <c r="AL150" t="s">
        <v>158</v>
      </c>
      <c r="AM150">
        <v>0.60899999999999999</v>
      </c>
      <c r="AN150" t="s">
        <v>430</v>
      </c>
    </row>
    <row r="151" spans="29:40" x14ac:dyDescent="0.45">
      <c r="AC151" t="s">
        <v>19</v>
      </c>
      <c r="AD151" t="s">
        <v>295</v>
      </c>
      <c r="AE151">
        <v>2.4232325166451862E-2</v>
      </c>
      <c r="AK151">
        <v>2033</v>
      </c>
      <c r="AL151" t="s">
        <v>162</v>
      </c>
      <c r="AM151">
        <v>0.5504</v>
      </c>
      <c r="AN151" t="s">
        <v>430</v>
      </c>
    </row>
    <row r="152" spans="29:40" x14ac:dyDescent="0.45">
      <c r="AC152" t="s">
        <v>19</v>
      </c>
      <c r="AD152" t="s">
        <v>296</v>
      </c>
      <c r="AE152">
        <v>3.3662016200230443E-3</v>
      </c>
      <c r="AK152">
        <v>2033</v>
      </c>
      <c r="AL152" t="s">
        <v>175</v>
      </c>
      <c r="AM152">
        <v>0.45290000000000002</v>
      </c>
      <c r="AN152" t="s">
        <v>430</v>
      </c>
    </row>
    <row r="153" spans="29:40" x14ac:dyDescent="0.45">
      <c r="AC153" t="s">
        <v>19</v>
      </c>
      <c r="AD153" t="s">
        <v>297</v>
      </c>
      <c r="AE153">
        <v>3.4017293258967124E-3</v>
      </c>
      <c r="AK153">
        <v>2033</v>
      </c>
      <c r="AL153" t="s">
        <v>166</v>
      </c>
      <c r="AM153">
        <v>0.27800000000000002</v>
      </c>
      <c r="AN153" t="s">
        <v>430</v>
      </c>
    </row>
    <row r="154" spans="29:40" x14ac:dyDescent="0.45">
      <c r="AC154" t="s">
        <v>19</v>
      </c>
      <c r="AD154" t="s">
        <v>298</v>
      </c>
      <c r="AE154">
        <v>1.6923760039274597E-2</v>
      </c>
      <c r="AK154">
        <v>2033</v>
      </c>
      <c r="AL154" t="s">
        <v>178</v>
      </c>
      <c r="AM154">
        <v>0.2359</v>
      </c>
      <c r="AN154" t="s">
        <v>430</v>
      </c>
    </row>
    <row r="155" spans="29:40" x14ac:dyDescent="0.45">
      <c r="AC155" t="s">
        <v>19</v>
      </c>
      <c r="AD155" t="s">
        <v>299</v>
      </c>
      <c r="AE155">
        <v>2.4820133261090005E-2</v>
      </c>
      <c r="AK155">
        <v>2034</v>
      </c>
      <c r="AL155" t="s">
        <v>151</v>
      </c>
      <c r="AM155">
        <v>0.24709999999999999</v>
      </c>
      <c r="AN155" t="s">
        <v>430</v>
      </c>
    </row>
    <row r="156" spans="29:40" x14ac:dyDescent="0.45">
      <c r="AC156" t="s">
        <v>19</v>
      </c>
      <c r="AD156" t="s">
        <v>300</v>
      </c>
      <c r="AE156">
        <v>3.5651303084484587E-3</v>
      </c>
      <c r="AK156">
        <v>2034</v>
      </c>
      <c r="AL156" t="s">
        <v>156</v>
      </c>
      <c r="AM156">
        <v>0.254</v>
      </c>
      <c r="AN156" t="s">
        <v>430</v>
      </c>
    </row>
    <row r="157" spans="29:40" x14ac:dyDescent="0.45">
      <c r="AC157" t="s">
        <v>19</v>
      </c>
      <c r="AD157" t="s">
        <v>301</v>
      </c>
      <c r="AE157">
        <v>3.5674991925016271E-3</v>
      </c>
      <c r="AK157">
        <v>2034</v>
      </c>
      <c r="AL157" t="s">
        <v>159</v>
      </c>
      <c r="AM157">
        <v>0.27289999999999998</v>
      </c>
      <c r="AN157" t="s">
        <v>430</v>
      </c>
    </row>
    <row r="158" spans="29:40" x14ac:dyDescent="0.45">
      <c r="AC158" t="s">
        <v>19</v>
      </c>
      <c r="AD158" t="s">
        <v>302</v>
      </c>
      <c r="AE158">
        <v>3.5679085110338947E-3</v>
      </c>
      <c r="AK158">
        <v>2034</v>
      </c>
      <c r="AL158" t="s">
        <v>163</v>
      </c>
      <c r="AM158">
        <v>0.31069999999999998</v>
      </c>
      <c r="AN158" t="s">
        <v>430</v>
      </c>
    </row>
    <row r="159" spans="29:40" x14ac:dyDescent="0.45">
      <c r="AC159" t="s">
        <v>19</v>
      </c>
      <c r="AD159" t="s">
        <v>303</v>
      </c>
      <c r="AE159">
        <v>2.5025049535034486E-2</v>
      </c>
      <c r="AK159">
        <v>2034</v>
      </c>
      <c r="AL159" t="s">
        <v>167</v>
      </c>
      <c r="AM159">
        <v>0.41410000000000002</v>
      </c>
      <c r="AN159" t="s">
        <v>430</v>
      </c>
    </row>
    <row r="160" spans="29:40" x14ac:dyDescent="0.45">
      <c r="AC160" t="s">
        <v>19</v>
      </c>
      <c r="AD160" t="s">
        <v>304</v>
      </c>
      <c r="AE160">
        <v>3.479127390160216E-3</v>
      </c>
      <c r="AK160">
        <v>2034</v>
      </c>
      <c r="AL160" t="s">
        <v>169</v>
      </c>
      <c r="AM160">
        <v>0.46660000000000001</v>
      </c>
      <c r="AN160" t="s">
        <v>430</v>
      </c>
    </row>
    <row r="161" spans="29:40" x14ac:dyDescent="0.45">
      <c r="AC161" t="s">
        <v>19</v>
      </c>
      <c r="AD161" t="s">
        <v>305</v>
      </c>
      <c r="AE161">
        <v>3.5113373780817588E-3</v>
      </c>
      <c r="AK161">
        <v>2034</v>
      </c>
      <c r="AL161" t="s">
        <v>171</v>
      </c>
      <c r="AM161">
        <v>0.4995</v>
      </c>
      <c r="AN161" t="s">
        <v>430</v>
      </c>
    </row>
    <row r="162" spans="29:40" x14ac:dyDescent="0.45">
      <c r="AC162" t="s">
        <v>19</v>
      </c>
      <c r="AD162" t="s">
        <v>306</v>
      </c>
      <c r="AE162">
        <v>1.7489296829039009E-2</v>
      </c>
      <c r="AK162">
        <v>2034</v>
      </c>
      <c r="AL162" t="s">
        <v>158</v>
      </c>
      <c r="AM162">
        <v>0.60880000000000001</v>
      </c>
      <c r="AN162" t="s">
        <v>430</v>
      </c>
    </row>
    <row r="163" spans="29:40" x14ac:dyDescent="0.45">
      <c r="AC163" t="s">
        <v>19</v>
      </c>
      <c r="AD163" t="s">
        <v>307</v>
      </c>
      <c r="AE163">
        <v>2.4862960977425762E-2</v>
      </c>
      <c r="AK163">
        <v>2034</v>
      </c>
      <c r="AL163" t="s">
        <v>162</v>
      </c>
      <c r="AM163">
        <v>0.55869999999999997</v>
      </c>
      <c r="AN163" t="s">
        <v>430</v>
      </c>
    </row>
    <row r="164" spans="29:40" x14ac:dyDescent="0.45">
      <c r="AC164" t="s">
        <v>19</v>
      </c>
      <c r="AD164" t="s">
        <v>308</v>
      </c>
      <c r="AE164">
        <v>3.5820344397071236E-3</v>
      </c>
      <c r="AK164">
        <v>2034</v>
      </c>
      <c r="AL164" t="s">
        <v>175</v>
      </c>
      <c r="AM164">
        <v>0.44619999999999999</v>
      </c>
      <c r="AN164" t="s">
        <v>430</v>
      </c>
    </row>
    <row r="165" spans="29:40" x14ac:dyDescent="0.45">
      <c r="AC165" t="s">
        <v>19</v>
      </c>
      <c r="AD165" t="s">
        <v>309</v>
      </c>
      <c r="AE165">
        <v>3.5838890436191294E-3</v>
      </c>
      <c r="AK165">
        <v>2034</v>
      </c>
      <c r="AL165" t="s">
        <v>166</v>
      </c>
      <c r="AM165">
        <v>0.3</v>
      </c>
      <c r="AN165" t="s">
        <v>430</v>
      </c>
    </row>
    <row r="166" spans="29:40" x14ac:dyDescent="0.45">
      <c r="AC166" t="s">
        <v>19</v>
      </c>
      <c r="AD166" t="s">
        <v>310</v>
      </c>
      <c r="AE166">
        <v>3.5837255701455981E-3</v>
      </c>
      <c r="AK166">
        <v>2034</v>
      </c>
      <c r="AL166" t="s">
        <v>178</v>
      </c>
      <c r="AM166">
        <v>0.2324</v>
      </c>
      <c r="AN166" t="s">
        <v>430</v>
      </c>
    </row>
    <row r="167" spans="29:40" x14ac:dyDescent="0.45">
      <c r="AC167" t="s">
        <v>19</v>
      </c>
      <c r="AD167" t="s">
        <v>311</v>
      </c>
      <c r="AE167">
        <v>2.5157332263863935E-2</v>
      </c>
      <c r="AK167">
        <v>2035</v>
      </c>
      <c r="AL167" t="s">
        <v>151</v>
      </c>
      <c r="AM167">
        <v>0.22900000000000001</v>
      </c>
      <c r="AN167" t="s">
        <v>430</v>
      </c>
    </row>
    <row r="168" spans="29:40" x14ac:dyDescent="0.45">
      <c r="AC168" t="s">
        <v>19</v>
      </c>
      <c r="AD168" t="s">
        <v>312</v>
      </c>
      <c r="AE168">
        <v>3.4900732042808841E-3</v>
      </c>
      <c r="AK168">
        <v>2035</v>
      </c>
      <c r="AL168" t="s">
        <v>156</v>
      </c>
      <c r="AM168">
        <v>0.2535</v>
      </c>
      <c r="AN168" t="s">
        <v>430</v>
      </c>
    </row>
    <row r="169" spans="29:40" x14ac:dyDescent="0.45">
      <c r="AC169" t="s">
        <v>19</v>
      </c>
      <c r="AD169" t="s">
        <v>313</v>
      </c>
      <c r="AE169">
        <v>3.4454973739073765E-3</v>
      </c>
      <c r="AK169">
        <v>2035</v>
      </c>
      <c r="AL169" t="s">
        <v>159</v>
      </c>
      <c r="AM169">
        <v>0.26529999999999998</v>
      </c>
      <c r="AN169" t="s">
        <v>430</v>
      </c>
    </row>
    <row r="170" spans="29:40" x14ac:dyDescent="0.45">
      <c r="AC170" t="s">
        <v>19</v>
      </c>
      <c r="AD170" t="s">
        <v>314</v>
      </c>
      <c r="AE170">
        <v>1.7246057032897694E-2</v>
      </c>
      <c r="AK170">
        <v>2035</v>
      </c>
      <c r="AL170" t="s">
        <v>163</v>
      </c>
      <c r="AM170">
        <v>0.3246</v>
      </c>
      <c r="AN170" t="s">
        <v>430</v>
      </c>
    </row>
    <row r="171" spans="29:40" x14ac:dyDescent="0.45">
      <c r="AC171" t="s">
        <v>19</v>
      </c>
      <c r="AD171" t="s">
        <v>339</v>
      </c>
      <c r="AE171">
        <v>2.4047245922384015E-2</v>
      </c>
      <c r="AK171">
        <v>2035</v>
      </c>
      <c r="AL171" t="s">
        <v>167</v>
      </c>
      <c r="AM171">
        <v>0.37540000000000001</v>
      </c>
      <c r="AN171" t="s">
        <v>430</v>
      </c>
    </row>
    <row r="172" spans="29:40" x14ac:dyDescent="0.45">
      <c r="AC172" t="s">
        <v>19</v>
      </c>
      <c r="AD172" t="s">
        <v>340</v>
      </c>
      <c r="AE172">
        <v>3.4613336324393596E-3</v>
      </c>
      <c r="AK172">
        <v>2035</v>
      </c>
      <c r="AL172" t="s">
        <v>169</v>
      </c>
      <c r="AM172">
        <v>0.4985</v>
      </c>
      <c r="AN172" t="s">
        <v>430</v>
      </c>
    </row>
    <row r="173" spans="29:40" x14ac:dyDescent="0.45">
      <c r="AC173" t="s">
        <v>19</v>
      </c>
      <c r="AD173" t="s">
        <v>341</v>
      </c>
      <c r="AE173">
        <v>3.4645307820917511E-3</v>
      </c>
      <c r="AK173">
        <v>2035</v>
      </c>
      <c r="AL173" t="s">
        <v>171</v>
      </c>
      <c r="AM173">
        <v>0.51929999999999998</v>
      </c>
      <c r="AN173" t="s">
        <v>430</v>
      </c>
    </row>
    <row r="174" spans="29:40" x14ac:dyDescent="0.45">
      <c r="AC174" t="s">
        <v>19</v>
      </c>
      <c r="AD174" t="s">
        <v>342</v>
      </c>
      <c r="AE174">
        <v>3.4648546606046815E-3</v>
      </c>
      <c r="AK174">
        <v>2035</v>
      </c>
      <c r="AL174" t="s">
        <v>158</v>
      </c>
      <c r="AM174">
        <v>0.70030000000000003</v>
      </c>
      <c r="AN174" t="s">
        <v>430</v>
      </c>
    </row>
    <row r="175" spans="29:40" x14ac:dyDescent="0.45">
      <c r="AC175" t="s">
        <v>19</v>
      </c>
      <c r="AD175" t="s">
        <v>343</v>
      </c>
      <c r="AE175">
        <v>2.4296747813948808E-2</v>
      </c>
      <c r="AK175">
        <v>2035</v>
      </c>
      <c r="AL175" t="s">
        <v>162</v>
      </c>
      <c r="AM175">
        <v>0.60329999999999995</v>
      </c>
      <c r="AN175" t="s">
        <v>430</v>
      </c>
    </row>
    <row r="176" spans="29:40" x14ac:dyDescent="0.45">
      <c r="AC176" t="s">
        <v>19</v>
      </c>
      <c r="AD176" t="s">
        <v>344</v>
      </c>
      <c r="AE176">
        <v>3.3643197440800989E-3</v>
      </c>
      <c r="AK176">
        <v>2035</v>
      </c>
      <c r="AL176" t="s">
        <v>175</v>
      </c>
      <c r="AM176">
        <v>0.46779999999999999</v>
      </c>
      <c r="AN176" t="s">
        <v>430</v>
      </c>
    </row>
    <row r="177" spans="29:40" x14ac:dyDescent="0.45">
      <c r="AC177" t="s">
        <v>19</v>
      </c>
      <c r="AD177" t="s">
        <v>345</v>
      </c>
      <c r="AE177">
        <v>3.3496627865089753E-3</v>
      </c>
      <c r="AK177">
        <v>2035</v>
      </c>
      <c r="AL177" t="s">
        <v>166</v>
      </c>
      <c r="AM177">
        <v>0.30880000000000002</v>
      </c>
      <c r="AN177" t="s">
        <v>430</v>
      </c>
    </row>
    <row r="178" spans="29:40" x14ac:dyDescent="0.45">
      <c r="AC178" t="s">
        <v>19</v>
      </c>
      <c r="AD178" t="s">
        <v>346</v>
      </c>
      <c r="AE178">
        <v>1.673032560778015E-2</v>
      </c>
      <c r="AK178">
        <v>2035</v>
      </c>
      <c r="AL178" t="s">
        <v>178</v>
      </c>
      <c r="AM178">
        <v>0.26819999999999999</v>
      </c>
      <c r="AN178" t="s">
        <v>430</v>
      </c>
    </row>
    <row r="179" spans="29:40" x14ac:dyDescent="0.45">
      <c r="AC179" t="s">
        <v>19</v>
      </c>
      <c r="AD179" t="s">
        <v>371</v>
      </c>
      <c r="AE179">
        <v>2.4846814757333059E-2</v>
      </c>
      <c r="AK179">
        <v>2036</v>
      </c>
      <c r="AL179" t="s">
        <v>151</v>
      </c>
      <c r="AM179">
        <v>0.2225</v>
      </c>
      <c r="AN179" t="s">
        <v>430</v>
      </c>
    </row>
    <row r="180" spans="29:40" x14ac:dyDescent="0.45">
      <c r="AC180" t="s">
        <v>19</v>
      </c>
      <c r="AD180" t="s">
        <v>372</v>
      </c>
      <c r="AE180">
        <v>3.5755023763067648E-3</v>
      </c>
      <c r="AK180">
        <v>2036</v>
      </c>
      <c r="AL180" t="s">
        <v>156</v>
      </c>
      <c r="AM180">
        <v>0.25280000000000002</v>
      </c>
      <c r="AN180" t="s">
        <v>430</v>
      </c>
    </row>
    <row r="181" spans="29:40" x14ac:dyDescent="0.45">
      <c r="AC181" t="s">
        <v>19</v>
      </c>
      <c r="AD181" t="s">
        <v>373</v>
      </c>
      <c r="AE181">
        <v>3.5813273223681366E-3</v>
      </c>
      <c r="AK181">
        <v>2036</v>
      </c>
      <c r="AL181" t="s">
        <v>159</v>
      </c>
      <c r="AM181">
        <v>0.27100000000000002</v>
      </c>
      <c r="AN181" t="s">
        <v>430</v>
      </c>
    </row>
    <row r="182" spans="29:40" x14ac:dyDescent="0.45">
      <c r="AC182" t="s">
        <v>19</v>
      </c>
      <c r="AD182" t="s">
        <v>374</v>
      </c>
      <c r="AE182">
        <v>3.5825068178672857E-3</v>
      </c>
      <c r="AK182">
        <v>2036</v>
      </c>
      <c r="AL182" t="s">
        <v>163</v>
      </c>
      <c r="AM182">
        <v>0.33729999999999999</v>
      </c>
      <c r="AN182" t="s">
        <v>430</v>
      </c>
    </row>
    <row r="183" spans="29:40" x14ac:dyDescent="0.45">
      <c r="AC183" t="s">
        <v>19</v>
      </c>
      <c r="AD183" t="s">
        <v>375</v>
      </c>
      <c r="AE183">
        <v>2.5148154722202914E-2</v>
      </c>
      <c r="AK183">
        <v>2036</v>
      </c>
      <c r="AL183" t="s">
        <v>167</v>
      </c>
      <c r="AM183">
        <v>0.37280000000000002</v>
      </c>
      <c r="AN183" t="s">
        <v>430</v>
      </c>
    </row>
    <row r="184" spans="29:40" x14ac:dyDescent="0.45">
      <c r="AC184" t="s">
        <v>19</v>
      </c>
      <c r="AD184" t="s">
        <v>376</v>
      </c>
      <c r="AE184">
        <v>3.4718163366417561E-3</v>
      </c>
      <c r="AK184">
        <v>2036</v>
      </c>
      <c r="AL184" t="s">
        <v>169</v>
      </c>
      <c r="AM184">
        <v>0.44790000000000002</v>
      </c>
      <c r="AN184" t="s">
        <v>430</v>
      </c>
    </row>
    <row r="185" spans="29:40" x14ac:dyDescent="0.45">
      <c r="AC185" t="s">
        <v>19</v>
      </c>
      <c r="AD185" t="s">
        <v>377</v>
      </c>
      <c r="AE185">
        <v>3.4418135051330631E-3</v>
      </c>
      <c r="AK185">
        <v>2036</v>
      </c>
      <c r="AL185" t="s">
        <v>171</v>
      </c>
      <c r="AM185">
        <v>0.50160000000000005</v>
      </c>
      <c r="AN185" t="s">
        <v>430</v>
      </c>
    </row>
    <row r="186" spans="29:40" x14ac:dyDescent="0.45">
      <c r="AC186" t="s">
        <v>19</v>
      </c>
      <c r="AD186" t="s">
        <v>378</v>
      </c>
      <c r="AE186">
        <v>1.7242212486628189E-2</v>
      </c>
      <c r="AK186">
        <v>2036</v>
      </c>
      <c r="AL186" t="s">
        <v>158</v>
      </c>
      <c r="AM186">
        <v>0.63060000000000005</v>
      </c>
      <c r="AN186" t="s">
        <v>430</v>
      </c>
    </row>
    <row r="187" spans="29:40" x14ac:dyDescent="0.45">
      <c r="AC187" t="s">
        <v>19</v>
      </c>
      <c r="AD187" t="s">
        <v>379</v>
      </c>
      <c r="AE187">
        <v>2.4019439855612758E-2</v>
      </c>
      <c r="AK187">
        <v>2036</v>
      </c>
      <c r="AL187" t="s">
        <v>162</v>
      </c>
      <c r="AM187">
        <v>0.57789999999999997</v>
      </c>
      <c r="AN187" t="s">
        <v>430</v>
      </c>
    </row>
    <row r="188" spans="29:40" x14ac:dyDescent="0.45">
      <c r="AC188" t="s">
        <v>19</v>
      </c>
      <c r="AD188" t="s">
        <v>380</v>
      </c>
      <c r="AE188">
        <v>3.4608594654614547E-3</v>
      </c>
      <c r="AK188">
        <v>2036</v>
      </c>
      <c r="AL188" t="s">
        <v>175</v>
      </c>
      <c r="AM188">
        <v>0.48359999999999997</v>
      </c>
      <c r="AN188" t="s">
        <v>430</v>
      </c>
    </row>
    <row r="189" spans="29:40" x14ac:dyDescent="0.45">
      <c r="AC189" t="s">
        <v>19</v>
      </c>
      <c r="AD189" t="s">
        <v>381</v>
      </c>
      <c r="AE189">
        <v>3.4625467339052473E-3</v>
      </c>
      <c r="AK189">
        <v>2036</v>
      </c>
      <c r="AL189" t="s">
        <v>166</v>
      </c>
      <c r="AM189">
        <v>0.28060000000000002</v>
      </c>
      <c r="AN189" t="s">
        <v>430</v>
      </c>
    </row>
    <row r="190" spans="29:40" x14ac:dyDescent="0.45">
      <c r="AC190" t="s">
        <v>19</v>
      </c>
      <c r="AD190" t="s">
        <v>382</v>
      </c>
      <c r="AE190">
        <v>3.4628481282025633E-3</v>
      </c>
      <c r="AK190">
        <v>2036</v>
      </c>
      <c r="AL190" t="s">
        <v>178</v>
      </c>
      <c r="AM190">
        <v>0.24640000000000001</v>
      </c>
      <c r="AN190" t="s">
        <v>430</v>
      </c>
    </row>
    <row r="191" spans="29:40" x14ac:dyDescent="0.45">
      <c r="AC191" t="s">
        <v>19</v>
      </c>
      <c r="AD191" t="s">
        <v>383</v>
      </c>
      <c r="AE191">
        <v>2.4268179929048471E-2</v>
      </c>
      <c r="AK191">
        <v>2037</v>
      </c>
      <c r="AL191" t="s">
        <v>151</v>
      </c>
      <c r="AM191">
        <v>0.23180000000000001</v>
      </c>
      <c r="AN191" t="s">
        <v>430</v>
      </c>
    </row>
    <row r="192" spans="29:40" x14ac:dyDescent="0.45">
      <c r="AC192" t="s">
        <v>19</v>
      </c>
      <c r="AD192" t="s">
        <v>384</v>
      </c>
      <c r="AE192">
        <v>3.3777992284088777E-3</v>
      </c>
      <c r="AK192">
        <v>2037</v>
      </c>
      <c r="AL192" t="s">
        <v>156</v>
      </c>
      <c r="AM192">
        <v>0.28170000000000001</v>
      </c>
      <c r="AN192" t="s">
        <v>430</v>
      </c>
    </row>
    <row r="193" spans="29:40" x14ac:dyDescent="0.45">
      <c r="AC193" t="s">
        <v>19</v>
      </c>
      <c r="AD193" t="s">
        <v>385</v>
      </c>
      <c r="AE193">
        <v>3.342921871858872E-3</v>
      </c>
      <c r="AK193">
        <v>2037</v>
      </c>
      <c r="AL193" t="s">
        <v>159</v>
      </c>
      <c r="AM193">
        <v>0.27210000000000001</v>
      </c>
      <c r="AN193" t="s">
        <v>430</v>
      </c>
    </row>
    <row r="194" spans="29:40" x14ac:dyDescent="0.45">
      <c r="AC194" t="s">
        <v>19</v>
      </c>
      <c r="AD194" t="s">
        <v>386</v>
      </c>
      <c r="AE194">
        <v>1.671059833394074E-2</v>
      </c>
      <c r="AK194">
        <v>2037</v>
      </c>
      <c r="AL194" t="s">
        <v>163</v>
      </c>
      <c r="AM194">
        <v>0.30990000000000001</v>
      </c>
      <c r="AN194" t="s">
        <v>430</v>
      </c>
    </row>
    <row r="195" spans="29:40" x14ac:dyDescent="0.45">
      <c r="AC195" t="s">
        <v>19</v>
      </c>
      <c r="AD195" t="s">
        <v>411</v>
      </c>
      <c r="AE195">
        <v>2.4805278682473533E-2</v>
      </c>
      <c r="AK195">
        <v>2037</v>
      </c>
      <c r="AL195" t="s">
        <v>167</v>
      </c>
      <c r="AM195">
        <v>0.39589999999999997</v>
      </c>
      <c r="AN195" t="s">
        <v>430</v>
      </c>
    </row>
    <row r="196" spans="29:40" x14ac:dyDescent="0.45">
      <c r="AC196" t="s">
        <v>19</v>
      </c>
      <c r="AD196" t="s">
        <v>412</v>
      </c>
      <c r="AE196">
        <v>3.5698886224987637E-3</v>
      </c>
      <c r="AK196">
        <v>2037</v>
      </c>
      <c r="AL196" t="s">
        <v>169</v>
      </c>
      <c r="AM196">
        <v>0.48859999999999998</v>
      </c>
      <c r="AN196" t="s">
        <v>430</v>
      </c>
    </row>
    <row r="197" spans="29:40" x14ac:dyDescent="0.45">
      <c r="AC197" t="s">
        <v>19</v>
      </c>
      <c r="AD197" t="s">
        <v>413</v>
      </c>
      <c r="AE197">
        <v>3.5749377837653602E-3</v>
      </c>
      <c r="AK197">
        <v>2037</v>
      </c>
      <c r="AL197" t="s">
        <v>171</v>
      </c>
      <c r="AM197">
        <v>0.496</v>
      </c>
      <c r="AN197" t="s">
        <v>430</v>
      </c>
    </row>
    <row r="198" spans="29:40" x14ac:dyDescent="0.45">
      <c r="AC198" t="s">
        <v>19</v>
      </c>
      <c r="AD198" t="s">
        <v>414</v>
      </c>
      <c r="AE198">
        <v>3.5768624326220112E-3</v>
      </c>
      <c r="AK198">
        <v>2037</v>
      </c>
      <c r="AL198" t="s">
        <v>158</v>
      </c>
      <c r="AM198">
        <v>0.58209999999999995</v>
      </c>
      <c r="AN198" t="s">
        <v>430</v>
      </c>
    </row>
    <row r="199" spans="29:40" x14ac:dyDescent="0.45">
      <c r="AC199" t="s">
        <v>19</v>
      </c>
      <c r="AD199" t="s">
        <v>415</v>
      </c>
      <c r="AE199">
        <v>2.5077684953513202E-2</v>
      </c>
      <c r="AK199">
        <v>2037</v>
      </c>
      <c r="AL199" t="s">
        <v>162</v>
      </c>
      <c r="AM199">
        <v>0.57520000000000004</v>
      </c>
      <c r="AN199" t="s">
        <v>430</v>
      </c>
    </row>
    <row r="200" spans="29:40" x14ac:dyDescent="0.45">
      <c r="AC200" t="s">
        <v>19</v>
      </c>
      <c r="AD200" t="s">
        <v>416</v>
      </c>
      <c r="AE200">
        <v>3.4962142493165835E-3</v>
      </c>
      <c r="AK200">
        <v>2037</v>
      </c>
      <c r="AL200" t="s">
        <v>175</v>
      </c>
      <c r="AM200">
        <v>0.40500000000000003</v>
      </c>
      <c r="AN200" t="s">
        <v>430</v>
      </c>
    </row>
    <row r="201" spans="29:40" x14ac:dyDescent="0.45">
      <c r="AC201" t="s">
        <v>19</v>
      </c>
      <c r="AD201" t="s">
        <v>417</v>
      </c>
      <c r="AE201">
        <v>3.4560444787390446E-3</v>
      </c>
      <c r="AK201">
        <v>2037</v>
      </c>
      <c r="AL201" t="s">
        <v>166</v>
      </c>
      <c r="AM201">
        <v>0.29430000000000001</v>
      </c>
      <c r="AN201" t="s">
        <v>430</v>
      </c>
    </row>
    <row r="202" spans="29:40" x14ac:dyDescent="0.45">
      <c r="AC202" t="s">
        <v>19</v>
      </c>
      <c r="AD202" t="s">
        <v>418</v>
      </c>
      <c r="AE202">
        <v>1.7272027717116094E-2</v>
      </c>
      <c r="AK202">
        <v>2037</v>
      </c>
      <c r="AL202" t="s">
        <v>178</v>
      </c>
      <c r="AM202">
        <v>0.26750000000000002</v>
      </c>
      <c r="AN202" t="s">
        <v>430</v>
      </c>
    </row>
    <row r="203" spans="29:40" x14ac:dyDescent="0.45">
      <c r="AK203">
        <v>2038</v>
      </c>
      <c r="AL203" t="s">
        <v>151</v>
      </c>
      <c r="AM203">
        <v>0.22170000000000001</v>
      </c>
      <c r="AN203" t="s">
        <v>430</v>
      </c>
    </row>
    <row r="204" spans="29:40" x14ac:dyDescent="0.45">
      <c r="AK204">
        <v>2038</v>
      </c>
      <c r="AL204" t="s">
        <v>156</v>
      </c>
      <c r="AM204">
        <v>0.26690000000000003</v>
      </c>
      <c r="AN204" t="s">
        <v>430</v>
      </c>
    </row>
    <row r="205" spans="29:40" x14ac:dyDescent="0.45">
      <c r="AK205">
        <v>2038</v>
      </c>
      <c r="AL205" t="s">
        <v>159</v>
      </c>
      <c r="AM205">
        <v>0.28270000000000001</v>
      </c>
      <c r="AN205" t="s">
        <v>430</v>
      </c>
    </row>
    <row r="206" spans="29:40" x14ac:dyDescent="0.45">
      <c r="AK206">
        <v>2038</v>
      </c>
      <c r="AL206" t="s">
        <v>163</v>
      </c>
      <c r="AM206">
        <v>0.32079999999999997</v>
      </c>
      <c r="AN206" t="s">
        <v>430</v>
      </c>
    </row>
    <row r="207" spans="29:40" x14ac:dyDescent="0.45">
      <c r="AK207">
        <v>2038</v>
      </c>
      <c r="AL207" t="s">
        <v>167</v>
      </c>
      <c r="AM207">
        <v>0.35799999999999998</v>
      </c>
      <c r="AN207" t="s">
        <v>430</v>
      </c>
    </row>
    <row r="208" spans="29:40" x14ac:dyDescent="0.45">
      <c r="AK208">
        <v>2038</v>
      </c>
      <c r="AL208" t="s">
        <v>169</v>
      </c>
      <c r="AM208">
        <v>0.44319999999999998</v>
      </c>
      <c r="AN208" t="s">
        <v>430</v>
      </c>
    </row>
    <row r="209" spans="37:40" x14ac:dyDescent="0.45">
      <c r="AK209">
        <v>2038</v>
      </c>
      <c r="AL209" t="s">
        <v>171</v>
      </c>
      <c r="AM209">
        <v>0.57740000000000002</v>
      </c>
      <c r="AN209" t="s">
        <v>430</v>
      </c>
    </row>
    <row r="210" spans="37:40" x14ac:dyDescent="0.45">
      <c r="AK210">
        <v>2038</v>
      </c>
      <c r="AL210" t="s">
        <v>158</v>
      </c>
      <c r="AM210">
        <v>0.60509999999999997</v>
      </c>
      <c r="AN210" t="s">
        <v>430</v>
      </c>
    </row>
    <row r="211" spans="37:40" x14ac:dyDescent="0.45">
      <c r="AK211">
        <v>2038</v>
      </c>
      <c r="AL211" t="s">
        <v>162</v>
      </c>
      <c r="AM211">
        <v>0.64749999999999996</v>
      </c>
      <c r="AN211" t="s">
        <v>430</v>
      </c>
    </row>
    <row r="212" spans="37:40" x14ac:dyDescent="0.45">
      <c r="AK212">
        <v>2038</v>
      </c>
      <c r="AL212" t="s">
        <v>175</v>
      </c>
      <c r="AM212">
        <v>0.44950000000000001</v>
      </c>
      <c r="AN212" t="s">
        <v>430</v>
      </c>
    </row>
    <row r="213" spans="37:40" x14ac:dyDescent="0.45">
      <c r="AK213">
        <v>2038</v>
      </c>
      <c r="AL213" t="s">
        <v>166</v>
      </c>
      <c r="AM213">
        <v>0.31979999999999997</v>
      </c>
      <c r="AN213" t="s">
        <v>430</v>
      </c>
    </row>
    <row r="214" spans="37:40" x14ac:dyDescent="0.45">
      <c r="AK214">
        <v>2038</v>
      </c>
      <c r="AL214" t="s">
        <v>178</v>
      </c>
      <c r="AM214">
        <v>0.25640000000000002</v>
      </c>
      <c r="AN214" t="s">
        <v>430</v>
      </c>
    </row>
    <row r="215" spans="37:40" x14ac:dyDescent="0.45">
      <c r="AK215">
        <v>2039</v>
      </c>
      <c r="AL215" t="s">
        <v>151</v>
      </c>
      <c r="AM215">
        <v>0.25790000000000002</v>
      </c>
      <c r="AN215" t="s">
        <v>430</v>
      </c>
    </row>
    <row r="216" spans="37:40" x14ac:dyDescent="0.45">
      <c r="AK216">
        <v>2039</v>
      </c>
      <c r="AL216" t="s">
        <v>156</v>
      </c>
      <c r="AM216">
        <v>0.28089999999999998</v>
      </c>
      <c r="AN216" t="s">
        <v>430</v>
      </c>
    </row>
    <row r="217" spans="37:40" x14ac:dyDescent="0.45">
      <c r="AK217">
        <v>2039</v>
      </c>
      <c r="AL217" t="s">
        <v>159</v>
      </c>
      <c r="AM217">
        <v>0.26550000000000001</v>
      </c>
      <c r="AN217" t="s">
        <v>430</v>
      </c>
    </row>
    <row r="218" spans="37:40" x14ac:dyDescent="0.45">
      <c r="AK218">
        <v>2039</v>
      </c>
      <c r="AL218" t="s">
        <v>163</v>
      </c>
      <c r="AM218">
        <v>0.29720000000000002</v>
      </c>
      <c r="AN218" t="s">
        <v>430</v>
      </c>
    </row>
    <row r="219" spans="37:40" x14ac:dyDescent="0.45">
      <c r="AK219">
        <v>2039</v>
      </c>
      <c r="AL219" t="s">
        <v>167</v>
      </c>
      <c r="AM219">
        <v>0.37030000000000002</v>
      </c>
      <c r="AN219" t="s">
        <v>430</v>
      </c>
    </row>
    <row r="220" spans="37:40" x14ac:dyDescent="0.45">
      <c r="AK220">
        <v>2039</v>
      </c>
      <c r="AL220" t="s">
        <v>169</v>
      </c>
      <c r="AM220">
        <v>0.4672</v>
      </c>
      <c r="AN220" t="s">
        <v>430</v>
      </c>
    </row>
    <row r="221" spans="37:40" x14ac:dyDescent="0.45">
      <c r="AK221">
        <v>2039</v>
      </c>
      <c r="AL221" t="s">
        <v>171</v>
      </c>
      <c r="AM221">
        <v>0.52500000000000002</v>
      </c>
      <c r="AN221" t="s">
        <v>430</v>
      </c>
    </row>
    <row r="222" spans="37:40" x14ac:dyDescent="0.45">
      <c r="AK222">
        <v>2039</v>
      </c>
      <c r="AL222" t="s">
        <v>158</v>
      </c>
      <c r="AM222">
        <v>0.66459999999999997</v>
      </c>
      <c r="AN222" t="s">
        <v>430</v>
      </c>
    </row>
    <row r="223" spans="37:40" x14ac:dyDescent="0.45">
      <c r="AK223">
        <v>2039</v>
      </c>
      <c r="AL223" t="s">
        <v>162</v>
      </c>
      <c r="AM223">
        <v>0.5776</v>
      </c>
      <c r="AN223" t="s">
        <v>430</v>
      </c>
    </row>
    <row r="224" spans="37:40" x14ac:dyDescent="0.45">
      <c r="AK224">
        <v>2039</v>
      </c>
      <c r="AL224" t="s">
        <v>175</v>
      </c>
      <c r="AM224">
        <v>0.42649999999999999</v>
      </c>
      <c r="AN224" t="s">
        <v>430</v>
      </c>
    </row>
    <row r="225" spans="37:40" x14ac:dyDescent="0.45">
      <c r="AK225">
        <v>2039</v>
      </c>
      <c r="AL225" t="s">
        <v>166</v>
      </c>
      <c r="AM225">
        <v>0.30120000000000002</v>
      </c>
      <c r="AN225" t="s">
        <v>430</v>
      </c>
    </row>
    <row r="226" spans="37:40" x14ac:dyDescent="0.45">
      <c r="AK226">
        <v>2039</v>
      </c>
      <c r="AL226" t="s">
        <v>178</v>
      </c>
      <c r="AM226">
        <v>0.24360000000000001</v>
      </c>
      <c r="AN226" t="s">
        <v>430</v>
      </c>
    </row>
    <row r="227" spans="37:40" x14ac:dyDescent="0.45">
      <c r="AK227">
        <v>2040</v>
      </c>
      <c r="AL227" t="s">
        <v>151</v>
      </c>
      <c r="AM227">
        <v>0.24060000000000001</v>
      </c>
      <c r="AN227" t="s">
        <v>430</v>
      </c>
    </row>
    <row r="228" spans="37:40" x14ac:dyDescent="0.45">
      <c r="AK228">
        <v>2040</v>
      </c>
      <c r="AL228" t="s">
        <v>156</v>
      </c>
      <c r="AM228">
        <v>0.254</v>
      </c>
      <c r="AN228" t="s">
        <v>430</v>
      </c>
    </row>
    <row r="229" spans="37:40" x14ac:dyDescent="0.45">
      <c r="AK229">
        <v>2040</v>
      </c>
      <c r="AL229" t="s">
        <v>159</v>
      </c>
      <c r="AM229">
        <v>0.28970000000000001</v>
      </c>
      <c r="AN229" t="s">
        <v>430</v>
      </c>
    </row>
    <row r="230" spans="37:40" x14ac:dyDescent="0.45">
      <c r="AK230">
        <v>2040</v>
      </c>
      <c r="AL230" t="s">
        <v>163</v>
      </c>
      <c r="AM230">
        <v>0.29709999999999998</v>
      </c>
      <c r="AN230" t="s">
        <v>430</v>
      </c>
    </row>
    <row r="231" spans="37:40" x14ac:dyDescent="0.45">
      <c r="AK231">
        <v>2040</v>
      </c>
      <c r="AL231" t="s">
        <v>167</v>
      </c>
      <c r="AM231">
        <v>0.35120000000000001</v>
      </c>
      <c r="AN231" t="s">
        <v>430</v>
      </c>
    </row>
    <row r="232" spans="37:40" x14ac:dyDescent="0.45">
      <c r="AK232">
        <v>2040</v>
      </c>
      <c r="AL232" t="s">
        <v>169</v>
      </c>
      <c r="AM232">
        <v>0.45540000000000003</v>
      </c>
      <c r="AN232" t="s">
        <v>430</v>
      </c>
    </row>
    <row r="233" spans="37:40" x14ac:dyDescent="0.45">
      <c r="AK233">
        <v>2040</v>
      </c>
      <c r="AL233" t="s">
        <v>171</v>
      </c>
      <c r="AM233">
        <v>0.58360000000000001</v>
      </c>
      <c r="AN233" t="s">
        <v>430</v>
      </c>
    </row>
    <row r="234" spans="37:40" x14ac:dyDescent="0.45">
      <c r="AK234">
        <v>2040</v>
      </c>
      <c r="AL234" t="s">
        <v>158</v>
      </c>
      <c r="AM234">
        <v>0.58760000000000001</v>
      </c>
      <c r="AN234" t="s">
        <v>430</v>
      </c>
    </row>
    <row r="235" spans="37:40" x14ac:dyDescent="0.45">
      <c r="AK235">
        <v>2040</v>
      </c>
      <c r="AL235" t="s">
        <v>162</v>
      </c>
      <c r="AM235">
        <v>0.66069999999999995</v>
      </c>
      <c r="AN235" t="s">
        <v>430</v>
      </c>
    </row>
    <row r="236" spans="37:40" x14ac:dyDescent="0.45">
      <c r="AK236">
        <v>2040</v>
      </c>
      <c r="AL236" t="s">
        <v>175</v>
      </c>
      <c r="AM236">
        <v>0.46589999999999998</v>
      </c>
      <c r="AN236" t="s">
        <v>430</v>
      </c>
    </row>
    <row r="237" spans="37:40" x14ac:dyDescent="0.45">
      <c r="AK237">
        <v>2040</v>
      </c>
      <c r="AL237" t="s">
        <v>166</v>
      </c>
      <c r="AM237">
        <v>0.27979999999999999</v>
      </c>
      <c r="AN237" t="s">
        <v>430</v>
      </c>
    </row>
    <row r="238" spans="37:40" x14ac:dyDescent="0.45">
      <c r="AK238">
        <v>2040</v>
      </c>
      <c r="AL238" t="s">
        <v>178</v>
      </c>
      <c r="AM238">
        <v>0.22750000000000001</v>
      </c>
      <c r="AN238" t="s">
        <v>430</v>
      </c>
    </row>
    <row r="239" spans="37:40" x14ac:dyDescent="0.45">
      <c r="AK239">
        <v>2041</v>
      </c>
      <c r="AL239" t="s">
        <v>151</v>
      </c>
      <c r="AM239">
        <v>0.25369999999999998</v>
      </c>
      <c r="AN239" t="s">
        <v>430</v>
      </c>
    </row>
    <row r="240" spans="37:40" x14ac:dyDescent="0.45">
      <c r="AK240">
        <v>2041</v>
      </c>
      <c r="AL240" t="s">
        <v>156</v>
      </c>
      <c r="AM240">
        <v>0.26229999999999998</v>
      </c>
      <c r="AN240" t="s">
        <v>430</v>
      </c>
    </row>
    <row r="241" spans="37:40" x14ac:dyDescent="0.45">
      <c r="AK241">
        <v>2041</v>
      </c>
      <c r="AL241" t="s">
        <v>159</v>
      </c>
      <c r="AM241">
        <v>0.25109999999999999</v>
      </c>
      <c r="AN241" t="s">
        <v>430</v>
      </c>
    </row>
    <row r="242" spans="37:40" x14ac:dyDescent="0.45">
      <c r="AK242">
        <v>2041</v>
      </c>
      <c r="AL242" t="s">
        <v>163</v>
      </c>
      <c r="AM242">
        <v>0.30049999999999999</v>
      </c>
      <c r="AN242" t="s">
        <v>430</v>
      </c>
    </row>
    <row r="243" spans="37:40" x14ac:dyDescent="0.45">
      <c r="AK243">
        <v>2041</v>
      </c>
      <c r="AL243" t="s">
        <v>167</v>
      </c>
      <c r="AM243">
        <v>0.38140000000000002</v>
      </c>
      <c r="AN243" t="s">
        <v>430</v>
      </c>
    </row>
    <row r="244" spans="37:40" x14ac:dyDescent="0.45">
      <c r="AK244">
        <v>2041</v>
      </c>
      <c r="AL244" t="s">
        <v>169</v>
      </c>
      <c r="AM244">
        <v>0.50749999999999995</v>
      </c>
      <c r="AN244" t="s">
        <v>430</v>
      </c>
    </row>
    <row r="245" spans="37:40" x14ac:dyDescent="0.45">
      <c r="AK245">
        <v>2041</v>
      </c>
      <c r="AL245" t="s">
        <v>171</v>
      </c>
      <c r="AM245">
        <v>0.55759999999999998</v>
      </c>
      <c r="AN245" t="s">
        <v>430</v>
      </c>
    </row>
    <row r="246" spans="37:40" x14ac:dyDescent="0.45">
      <c r="AK246">
        <v>2041</v>
      </c>
      <c r="AL246" t="s">
        <v>158</v>
      </c>
      <c r="AM246">
        <v>0.63100000000000001</v>
      </c>
      <c r="AN246" t="s">
        <v>430</v>
      </c>
    </row>
    <row r="247" spans="37:40" x14ac:dyDescent="0.45">
      <c r="AK247">
        <v>2041</v>
      </c>
      <c r="AL247" t="s">
        <v>162</v>
      </c>
      <c r="AM247">
        <v>0.64729999999999999</v>
      </c>
      <c r="AN247" t="s">
        <v>430</v>
      </c>
    </row>
    <row r="248" spans="37:40" x14ac:dyDescent="0.45">
      <c r="AK248">
        <v>2041</v>
      </c>
      <c r="AL248" t="s">
        <v>175</v>
      </c>
      <c r="AM248">
        <v>0.39579999999999999</v>
      </c>
      <c r="AN248" t="s">
        <v>430</v>
      </c>
    </row>
    <row r="249" spans="37:40" x14ac:dyDescent="0.45">
      <c r="AK249">
        <v>2041</v>
      </c>
      <c r="AL249" t="s">
        <v>166</v>
      </c>
      <c r="AM249">
        <v>0.29170000000000001</v>
      </c>
      <c r="AN249" t="s">
        <v>430</v>
      </c>
    </row>
    <row r="250" spans="37:40" x14ac:dyDescent="0.45">
      <c r="AK250">
        <v>2041</v>
      </c>
      <c r="AL250" t="s">
        <v>178</v>
      </c>
      <c r="AM250">
        <v>0.2432</v>
      </c>
      <c r="AN250" t="s">
        <v>430</v>
      </c>
    </row>
    <row r="251" spans="37:40" x14ac:dyDescent="0.45">
      <c r="AK251">
        <v>2042</v>
      </c>
      <c r="AL251" t="s">
        <v>151</v>
      </c>
      <c r="AM251">
        <v>0.254</v>
      </c>
      <c r="AN251" t="s">
        <v>430</v>
      </c>
    </row>
    <row r="252" spans="37:40" x14ac:dyDescent="0.45">
      <c r="AK252">
        <v>2042</v>
      </c>
      <c r="AL252" t="s">
        <v>156</v>
      </c>
      <c r="AM252">
        <v>0.28220000000000001</v>
      </c>
      <c r="AN252" t="s">
        <v>430</v>
      </c>
    </row>
    <row r="253" spans="37:40" x14ac:dyDescent="0.45">
      <c r="AK253">
        <v>2042</v>
      </c>
      <c r="AL253" t="s">
        <v>159</v>
      </c>
      <c r="AM253">
        <v>0.29160000000000003</v>
      </c>
      <c r="AN253" t="s">
        <v>430</v>
      </c>
    </row>
    <row r="254" spans="37:40" x14ac:dyDescent="0.45">
      <c r="AK254">
        <v>2042</v>
      </c>
      <c r="AL254" t="s">
        <v>163</v>
      </c>
      <c r="AM254">
        <v>0.31619999999999998</v>
      </c>
      <c r="AN254" t="s">
        <v>430</v>
      </c>
    </row>
    <row r="255" spans="37:40" x14ac:dyDescent="0.45">
      <c r="AK255">
        <v>2042</v>
      </c>
      <c r="AL255" t="s">
        <v>167</v>
      </c>
      <c r="AM255">
        <v>0.42059999999999997</v>
      </c>
      <c r="AN255" t="s">
        <v>430</v>
      </c>
    </row>
    <row r="256" spans="37:40" x14ac:dyDescent="0.45">
      <c r="AK256">
        <v>2042</v>
      </c>
      <c r="AL256" t="s">
        <v>169</v>
      </c>
      <c r="AM256">
        <v>0.49340000000000001</v>
      </c>
      <c r="AN256" t="s">
        <v>430</v>
      </c>
    </row>
    <row r="257" spans="37:40" x14ac:dyDescent="0.45">
      <c r="AK257">
        <v>2042</v>
      </c>
      <c r="AL257" t="s">
        <v>171</v>
      </c>
      <c r="AM257">
        <v>0.58589999999999998</v>
      </c>
      <c r="AN257" t="s">
        <v>430</v>
      </c>
    </row>
    <row r="258" spans="37:40" x14ac:dyDescent="0.45">
      <c r="AK258">
        <v>2042</v>
      </c>
      <c r="AL258" t="s">
        <v>158</v>
      </c>
      <c r="AM258">
        <v>0.69589999999999996</v>
      </c>
      <c r="AN258" t="s">
        <v>430</v>
      </c>
    </row>
    <row r="259" spans="37:40" x14ac:dyDescent="0.45">
      <c r="AK259">
        <v>2042</v>
      </c>
      <c r="AL259" t="s">
        <v>162</v>
      </c>
      <c r="AM259">
        <v>0.56559999999999999</v>
      </c>
      <c r="AN259" t="s">
        <v>430</v>
      </c>
    </row>
    <row r="260" spans="37:40" x14ac:dyDescent="0.45">
      <c r="AK260">
        <v>2042</v>
      </c>
      <c r="AL260" t="s">
        <v>175</v>
      </c>
      <c r="AM260">
        <v>0.41970000000000002</v>
      </c>
      <c r="AN260" t="s">
        <v>430</v>
      </c>
    </row>
    <row r="261" spans="37:40" x14ac:dyDescent="0.45">
      <c r="AK261">
        <v>2042</v>
      </c>
      <c r="AL261" t="s">
        <v>166</v>
      </c>
      <c r="AM261">
        <v>0.2964</v>
      </c>
      <c r="AN261" t="s">
        <v>430</v>
      </c>
    </row>
    <row r="262" spans="37:40" x14ac:dyDescent="0.45">
      <c r="AK262">
        <v>2042</v>
      </c>
      <c r="AL262" t="s">
        <v>178</v>
      </c>
      <c r="AM262">
        <v>0.2278</v>
      </c>
      <c r="AN262" t="s">
        <v>430</v>
      </c>
    </row>
    <row r="263" spans="37:40" x14ac:dyDescent="0.45">
      <c r="AK263">
        <v>2043</v>
      </c>
      <c r="AL263" t="s">
        <v>151</v>
      </c>
      <c r="AM263">
        <v>0.25540000000000002</v>
      </c>
      <c r="AN263" t="s">
        <v>430</v>
      </c>
    </row>
    <row r="264" spans="37:40" x14ac:dyDescent="0.45">
      <c r="AK264">
        <v>2043</v>
      </c>
      <c r="AL264" t="s">
        <v>156</v>
      </c>
      <c r="AM264">
        <v>0.31169999999999998</v>
      </c>
      <c r="AN264" t="s">
        <v>430</v>
      </c>
    </row>
    <row r="265" spans="37:40" x14ac:dyDescent="0.45">
      <c r="AK265">
        <v>2043</v>
      </c>
      <c r="AL265" t="s">
        <v>159</v>
      </c>
      <c r="AM265">
        <v>0.30330000000000001</v>
      </c>
      <c r="AN265" t="s">
        <v>430</v>
      </c>
    </row>
    <row r="266" spans="37:40" x14ac:dyDescent="0.45">
      <c r="AK266">
        <v>2043</v>
      </c>
      <c r="AL266" t="s">
        <v>163</v>
      </c>
      <c r="AM266">
        <v>0.32450000000000001</v>
      </c>
      <c r="AN266" t="s">
        <v>430</v>
      </c>
    </row>
    <row r="267" spans="37:40" x14ac:dyDescent="0.45">
      <c r="AK267">
        <v>2043</v>
      </c>
      <c r="AL267" t="s">
        <v>167</v>
      </c>
      <c r="AM267">
        <v>0.41160000000000002</v>
      </c>
      <c r="AN267" t="s">
        <v>430</v>
      </c>
    </row>
    <row r="268" spans="37:40" x14ac:dyDescent="0.45">
      <c r="AK268">
        <v>2043</v>
      </c>
      <c r="AL268" t="s">
        <v>169</v>
      </c>
      <c r="AM268">
        <v>0.51449999999999996</v>
      </c>
      <c r="AN268" t="s">
        <v>430</v>
      </c>
    </row>
    <row r="269" spans="37:40" x14ac:dyDescent="0.45">
      <c r="AK269">
        <v>2043</v>
      </c>
      <c r="AL269" t="s">
        <v>171</v>
      </c>
      <c r="AM269">
        <v>0.62519999999999998</v>
      </c>
      <c r="AN269" t="s">
        <v>430</v>
      </c>
    </row>
    <row r="270" spans="37:40" x14ac:dyDescent="0.45">
      <c r="AK270">
        <v>2043</v>
      </c>
      <c r="AL270" t="s">
        <v>158</v>
      </c>
      <c r="AM270">
        <v>0.77980000000000005</v>
      </c>
      <c r="AN270" t="s">
        <v>430</v>
      </c>
    </row>
    <row r="271" spans="37:40" x14ac:dyDescent="0.45">
      <c r="AK271">
        <v>2043</v>
      </c>
      <c r="AL271" t="s">
        <v>162</v>
      </c>
      <c r="AM271">
        <v>0.7429</v>
      </c>
      <c r="AN271" t="s">
        <v>430</v>
      </c>
    </row>
    <row r="272" spans="37:40" x14ac:dyDescent="0.45">
      <c r="AK272">
        <v>2043</v>
      </c>
      <c r="AL272" t="s">
        <v>175</v>
      </c>
      <c r="AM272">
        <v>0.45569999999999999</v>
      </c>
      <c r="AN272" t="s">
        <v>430</v>
      </c>
    </row>
    <row r="273" spans="37:40" x14ac:dyDescent="0.45">
      <c r="AK273">
        <v>2043</v>
      </c>
      <c r="AL273" t="s">
        <v>166</v>
      </c>
      <c r="AM273">
        <v>0.32390000000000002</v>
      </c>
      <c r="AN273" t="s">
        <v>430</v>
      </c>
    </row>
    <row r="274" spans="37:40" x14ac:dyDescent="0.45">
      <c r="AK274">
        <v>2043</v>
      </c>
      <c r="AL274" t="s">
        <v>178</v>
      </c>
      <c r="AM274">
        <v>0.2712</v>
      </c>
      <c r="AN274" t="s">
        <v>430</v>
      </c>
    </row>
    <row r="275" spans="37:40" x14ac:dyDescent="0.45">
      <c r="AK275">
        <v>2044</v>
      </c>
      <c r="AL275" t="s">
        <v>151</v>
      </c>
      <c r="AM275">
        <v>0.2964</v>
      </c>
      <c r="AN275" t="s">
        <v>430</v>
      </c>
    </row>
    <row r="276" spans="37:40" x14ac:dyDescent="0.45">
      <c r="AK276">
        <v>2044</v>
      </c>
      <c r="AL276" t="s">
        <v>156</v>
      </c>
      <c r="AM276">
        <v>0.31090000000000001</v>
      </c>
      <c r="AN276" t="s">
        <v>430</v>
      </c>
    </row>
    <row r="277" spans="37:40" x14ac:dyDescent="0.45">
      <c r="AK277">
        <v>2044</v>
      </c>
      <c r="AL277" t="s">
        <v>159</v>
      </c>
      <c r="AM277">
        <v>0.3271</v>
      </c>
      <c r="AN277" t="s">
        <v>430</v>
      </c>
    </row>
    <row r="278" spans="37:40" x14ac:dyDescent="0.45">
      <c r="AK278">
        <v>2044</v>
      </c>
      <c r="AL278" t="s">
        <v>163</v>
      </c>
      <c r="AM278">
        <v>0.32850000000000001</v>
      </c>
      <c r="AN278" t="s">
        <v>430</v>
      </c>
    </row>
    <row r="279" spans="37:40" x14ac:dyDescent="0.45">
      <c r="AK279">
        <v>2044</v>
      </c>
      <c r="AL279" t="s">
        <v>167</v>
      </c>
      <c r="AM279">
        <v>0.48580000000000001</v>
      </c>
      <c r="AN279" t="s">
        <v>430</v>
      </c>
    </row>
    <row r="280" spans="37:40" x14ac:dyDescent="0.45">
      <c r="AK280">
        <v>2044</v>
      </c>
      <c r="AL280" t="s">
        <v>169</v>
      </c>
      <c r="AM280">
        <v>0.57989999999999997</v>
      </c>
      <c r="AN280" t="s">
        <v>430</v>
      </c>
    </row>
    <row r="281" spans="37:40" x14ac:dyDescent="0.45">
      <c r="AK281">
        <v>2044</v>
      </c>
      <c r="AL281" t="s">
        <v>171</v>
      </c>
      <c r="AM281">
        <v>0.62829999999999997</v>
      </c>
      <c r="AN281" t="s">
        <v>430</v>
      </c>
    </row>
    <row r="282" spans="37:40" x14ac:dyDescent="0.45">
      <c r="AK282">
        <v>2044</v>
      </c>
      <c r="AL282" t="s">
        <v>158</v>
      </c>
      <c r="AM282">
        <v>0.68169999999999997</v>
      </c>
      <c r="AN282" t="s">
        <v>430</v>
      </c>
    </row>
    <row r="283" spans="37:40" x14ac:dyDescent="0.45">
      <c r="AK283">
        <v>2044</v>
      </c>
      <c r="AL283" t="s">
        <v>162</v>
      </c>
      <c r="AM283">
        <v>0.75390000000000001</v>
      </c>
      <c r="AN283" t="s">
        <v>430</v>
      </c>
    </row>
    <row r="284" spans="37:40" x14ac:dyDescent="0.45">
      <c r="AK284">
        <v>2044</v>
      </c>
      <c r="AL284" t="s">
        <v>175</v>
      </c>
      <c r="AM284">
        <v>0.47210000000000002</v>
      </c>
      <c r="AN284" t="s">
        <v>430</v>
      </c>
    </row>
    <row r="285" spans="37:40" x14ac:dyDescent="0.45">
      <c r="AK285">
        <v>2044</v>
      </c>
      <c r="AL285" t="s">
        <v>166</v>
      </c>
      <c r="AM285">
        <v>0.36499999999999999</v>
      </c>
      <c r="AN285" t="s">
        <v>430</v>
      </c>
    </row>
    <row r="286" spans="37:40" x14ac:dyDescent="0.45">
      <c r="AK286">
        <v>2044</v>
      </c>
      <c r="AL286" t="s">
        <v>178</v>
      </c>
      <c r="AM286">
        <v>0.26079999999999998</v>
      </c>
      <c r="AN286" t="s">
        <v>430</v>
      </c>
    </row>
    <row r="287" spans="37:40" x14ac:dyDescent="0.45">
      <c r="AK287">
        <v>2045</v>
      </c>
      <c r="AL287" t="s">
        <v>151</v>
      </c>
      <c r="AM287">
        <v>0.26629999999999998</v>
      </c>
      <c r="AN287" t="s">
        <v>430</v>
      </c>
    </row>
    <row r="288" spans="37:40" x14ac:dyDescent="0.45">
      <c r="AK288">
        <v>2045</v>
      </c>
      <c r="AL288" t="s">
        <v>156</v>
      </c>
      <c r="AM288">
        <v>0.28520000000000001</v>
      </c>
      <c r="AN288" t="s">
        <v>430</v>
      </c>
    </row>
    <row r="289" spans="37:40" x14ac:dyDescent="0.45">
      <c r="AK289">
        <v>2045</v>
      </c>
      <c r="AL289" t="s">
        <v>159</v>
      </c>
      <c r="AM289">
        <v>0.28449999999999998</v>
      </c>
      <c r="AN289" t="s">
        <v>430</v>
      </c>
    </row>
    <row r="290" spans="37:40" x14ac:dyDescent="0.45">
      <c r="AK290">
        <v>2045</v>
      </c>
      <c r="AL290" t="s">
        <v>163</v>
      </c>
      <c r="AM290">
        <v>0.36449999999999999</v>
      </c>
      <c r="AN290" t="s">
        <v>430</v>
      </c>
    </row>
    <row r="291" spans="37:40" x14ac:dyDescent="0.45">
      <c r="AK291">
        <v>2045</v>
      </c>
      <c r="AL291" t="s">
        <v>167</v>
      </c>
      <c r="AM291">
        <v>0.41760000000000003</v>
      </c>
      <c r="AN291" t="s">
        <v>430</v>
      </c>
    </row>
    <row r="292" spans="37:40" x14ac:dyDescent="0.45">
      <c r="AK292">
        <v>2045</v>
      </c>
      <c r="AL292" t="s">
        <v>169</v>
      </c>
      <c r="AM292">
        <v>0.498</v>
      </c>
      <c r="AN292" t="s">
        <v>430</v>
      </c>
    </row>
    <row r="293" spans="37:40" x14ac:dyDescent="0.45">
      <c r="AK293">
        <v>2045</v>
      </c>
      <c r="AL293" t="s">
        <v>171</v>
      </c>
      <c r="AM293">
        <v>0.66459999999999997</v>
      </c>
      <c r="AN293" t="s">
        <v>430</v>
      </c>
    </row>
    <row r="294" spans="37:40" x14ac:dyDescent="0.45">
      <c r="AK294">
        <v>2045</v>
      </c>
      <c r="AL294" t="s">
        <v>158</v>
      </c>
      <c r="AM294">
        <v>0.66120000000000001</v>
      </c>
      <c r="AN294" t="s">
        <v>430</v>
      </c>
    </row>
    <row r="295" spans="37:40" x14ac:dyDescent="0.45">
      <c r="AK295">
        <v>2045</v>
      </c>
      <c r="AL295" t="s">
        <v>162</v>
      </c>
      <c r="AM295">
        <v>0.73909999999999998</v>
      </c>
      <c r="AN295" t="s">
        <v>430</v>
      </c>
    </row>
    <row r="296" spans="37:40" x14ac:dyDescent="0.45">
      <c r="AK296">
        <v>2045</v>
      </c>
      <c r="AL296" t="s">
        <v>175</v>
      </c>
      <c r="AM296">
        <v>0.53680000000000005</v>
      </c>
      <c r="AN296" t="s">
        <v>430</v>
      </c>
    </row>
    <row r="297" spans="37:40" x14ac:dyDescent="0.45">
      <c r="AK297">
        <v>2045</v>
      </c>
      <c r="AL297" t="s">
        <v>166</v>
      </c>
      <c r="AM297">
        <v>0.316</v>
      </c>
      <c r="AN297" t="s">
        <v>430</v>
      </c>
    </row>
    <row r="298" spans="37:40" x14ac:dyDescent="0.45">
      <c r="AK298">
        <v>2045</v>
      </c>
      <c r="AL298" t="s">
        <v>178</v>
      </c>
      <c r="AM298">
        <v>0.31080000000000002</v>
      </c>
      <c r="AN298" t="s">
        <v>430</v>
      </c>
    </row>
    <row r="299" spans="37:40" x14ac:dyDescent="0.45">
      <c r="AK299">
        <v>2046</v>
      </c>
      <c r="AL299" t="s">
        <v>151</v>
      </c>
      <c r="AM299">
        <v>0.28110000000000002</v>
      </c>
      <c r="AN299" t="s">
        <v>430</v>
      </c>
    </row>
    <row r="300" spans="37:40" x14ac:dyDescent="0.45">
      <c r="AK300">
        <v>2046</v>
      </c>
      <c r="AL300" t="s">
        <v>156</v>
      </c>
      <c r="AM300">
        <v>0.28000000000000003</v>
      </c>
      <c r="AN300" t="s">
        <v>430</v>
      </c>
    </row>
    <row r="301" spans="37:40" x14ac:dyDescent="0.45">
      <c r="AK301">
        <v>2046</v>
      </c>
      <c r="AL301" t="s">
        <v>159</v>
      </c>
      <c r="AM301">
        <v>0.30769999999999997</v>
      </c>
      <c r="AN301" t="s">
        <v>430</v>
      </c>
    </row>
    <row r="302" spans="37:40" x14ac:dyDescent="0.45">
      <c r="AK302">
        <v>2046</v>
      </c>
      <c r="AL302" t="s">
        <v>163</v>
      </c>
      <c r="AM302">
        <v>0.33600000000000002</v>
      </c>
      <c r="AN302" t="s">
        <v>430</v>
      </c>
    </row>
    <row r="303" spans="37:40" x14ac:dyDescent="0.45">
      <c r="AK303">
        <v>2046</v>
      </c>
      <c r="AL303" t="s">
        <v>167</v>
      </c>
      <c r="AM303">
        <v>0.48459999999999998</v>
      </c>
      <c r="AN303" t="s">
        <v>430</v>
      </c>
    </row>
    <row r="304" spans="37:40" x14ac:dyDescent="0.45">
      <c r="AK304">
        <v>2046</v>
      </c>
      <c r="AL304" t="s">
        <v>169</v>
      </c>
      <c r="AM304">
        <v>0.51539999999999997</v>
      </c>
      <c r="AN304" t="s">
        <v>430</v>
      </c>
    </row>
    <row r="305" spans="37:40" x14ac:dyDescent="0.45">
      <c r="AK305">
        <v>2046</v>
      </c>
      <c r="AL305" t="s">
        <v>171</v>
      </c>
      <c r="AM305">
        <v>0.66049999999999998</v>
      </c>
      <c r="AN305" t="s">
        <v>430</v>
      </c>
    </row>
    <row r="306" spans="37:40" x14ac:dyDescent="0.45">
      <c r="AK306">
        <v>2046</v>
      </c>
      <c r="AL306" t="s">
        <v>158</v>
      </c>
      <c r="AM306">
        <v>0.69169999999999998</v>
      </c>
      <c r="AN306" t="s">
        <v>430</v>
      </c>
    </row>
    <row r="307" spans="37:40" x14ac:dyDescent="0.45">
      <c r="AK307">
        <v>2046</v>
      </c>
      <c r="AL307" t="s">
        <v>162</v>
      </c>
      <c r="AM307">
        <v>0.64610000000000001</v>
      </c>
      <c r="AN307" t="s">
        <v>430</v>
      </c>
    </row>
    <row r="308" spans="37:40" x14ac:dyDescent="0.45">
      <c r="AK308">
        <v>2046</v>
      </c>
      <c r="AL308" t="s">
        <v>175</v>
      </c>
      <c r="AM308">
        <v>0.50260000000000005</v>
      </c>
      <c r="AN308" t="s">
        <v>430</v>
      </c>
    </row>
    <row r="309" spans="37:40" x14ac:dyDescent="0.45">
      <c r="AK309">
        <v>2046</v>
      </c>
      <c r="AL309" t="s">
        <v>166</v>
      </c>
      <c r="AM309">
        <v>0.32540000000000002</v>
      </c>
      <c r="AN309" t="s">
        <v>430</v>
      </c>
    </row>
    <row r="310" spans="37:40" x14ac:dyDescent="0.45">
      <c r="AK310">
        <v>2046</v>
      </c>
      <c r="AL310" t="s">
        <v>178</v>
      </c>
      <c r="AM310">
        <v>0.2591</v>
      </c>
      <c r="AN310" t="s">
        <v>430</v>
      </c>
    </row>
    <row r="311" spans="37:40" x14ac:dyDescent="0.45">
      <c r="AK311">
        <v>2047</v>
      </c>
      <c r="AL311" t="s">
        <v>151</v>
      </c>
      <c r="AM311">
        <v>0.22389999999999999</v>
      </c>
      <c r="AN311" t="s">
        <v>430</v>
      </c>
    </row>
    <row r="312" spans="37:40" x14ac:dyDescent="0.45">
      <c r="AK312">
        <v>2047</v>
      </c>
      <c r="AL312" t="s">
        <v>156</v>
      </c>
      <c r="AM312">
        <v>0.28349999999999997</v>
      </c>
      <c r="AN312" t="s">
        <v>430</v>
      </c>
    </row>
    <row r="313" spans="37:40" x14ac:dyDescent="0.45">
      <c r="AK313">
        <v>2047</v>
      </c>
      <c r="AL313" t="s">
        <v>159</v>
      </c>
      <c r="AM313">
        <v>0.27379999999999999</v>
      </c>
      <c r="AN313" t="s">
        <v>430</v>
      </c>
    </row>
    <row r="314" spans="37:40" x14ac:dyDescent="0.45">
      <c r="AK314">
        <v>2047</v>
      </c>
      <c r="AL314" t="s">
        <v>163</v>
      </c>
      <c r="AM314">
        <v>0.34050000000000002</v>
      </c>
      <c r="AN314" t="s">
        <v>430</v>
      </c>
    </row>
    <row r="315" spans="37:40" x14ac:dyDescent="0.45">
      <c r="AK315">
        <v>2047</v>
      </c>
      <c r="AL315" t="s">
        <v>167</v>
      </c>
      <c r="AM315">
        <v>0.38929999999999998</v>
      </c>
      <c r="AN315" t="s">
        <v>430</v>
      </c>
    </row>
    <row r="316" spans="37:40" x14ac:dyDescent="0.45">
      <c r="AK316">
        <v>2047</v>
      </c>
      <c r="AL316" t="s">
        <v>169</v>
      </c>
      <c r="AM316">
        <v>0.45479999999999998</v>
      </c>
      <c r="AN316" t="s">
        <v>430</v>
      </c>
    </row>
    <row r="317" spans="37:40" x14ac:dyDescent="0.45">
      <c r="AK317">
        <v>2047</v>
      </c>
      <c r="AL317" t="s">
        <v>171</v>
      </c>
      <c r="AM317">
        <v>0.54279999999999995</v>
      </c>
      <c r="AN317" t="s">
        <v>430</v>
      </c>
    </row>
    <row r="318" spans="37:40" x14ac:dyDescent="0.45">
      <c r="AK318">
        <v>2047</v>
      </c>
      <c r="AL318" t="s">
        <v>158</v>
      </c>
      <c r="AM318">
        <v>0.67469999999999997</v>
      </c>
      <c r="AN318" t="s">
        <v>430</v>
      </c>
    </row>
    <row r="319" spans="37:40" x14ac:dyDescent="0.45">
      <c r="AK319">
        <v>2047</v>
      </c>
      <c r="AL319" t="s">
        <v>162</v>
      </c>
      <c r="AM319">
        <v>0.61580000000000001</v>
      </c>
      <c r="AN319" t="s">
        <v>430</v>
      </c>
    </row>
    <row r="320" spans="37:40" x14ac:dyDescent="0.45">
      <c r="AK320">
        <v>2047</v>
      </c>
      <c r="AL320" t="s">
        <v>175</v>
      </c>
      <c r="AM320">
        <v>0.45929999999999999</v>
      </c>
      <c r="AN320" t="s">
        <v>430</v>
      </c>
    </row>
    <row r="321" spans="37:40" x14ac:dyDescent="0.45">
      <c r="AK321">
        <v>2047</v>
      </c>
      <c r="AL321" t="s">
        <v>166</v>
      </c>
      <c r="AM321">
        <v>0.26929999999999998</v>
      </c>
      <c r="AN321" t="s">
        <v>430</v>
      </c>
    </row>
    <row r="322" spans="37:40" x14ac:dyDescent="0.45">
      <c r="AK322">
        <v>2047</v>
      </c>
      <c r="AL322" t="s">
        <v>178</v>
      </c>
      <c r="AM322">
        <v>0.24260000000000001</v>
      </c>
      <c r="AN322" t="s">
        <v>430</v>
      </c>
    </row>
    <row r="323" spans="37:40" x14ac:dyDescent="0.45">
      <c r="AK323">
        <v>2048</v>
      </c>
      <c r="AL323" t="s">
        <v>151</v>
      </c>
      <c r="AM323">
        <v>0.2311</v>
      </c>
      <c r="AN323" t="s">
        <v>430</v>
      </c>
    </row>
    <row r="324" spans="37:40" x14ac:dyDescent="0.45">
      <c r="AK324">
        <v>2048</v>
      </c>
      <c r="AL324" t="s">
        <v>156</v>
      </c>
      <c r="AM324">
        <v>0.27289999999999998</v>
      </c>
      <c r="AN324" t="s">
        <v>430</v>
      </c>
    </row>
    <row r="325" spans="37:40" x14ac:dyDescent="0.45">
      <c r="AK325">
        <v>2048</v>
      </c>
      <c r="AL325" t="s">
        <v>159</v>
      </c>
      <c r="AM325">
        <v>0.25019999999999998</v>
      </c>
      <c r="AN325" t="s">
        <v>430</v>
      </c>
    </row>
    <row r="326" spans="37:40" x14ac:dyDescent="0.45">
      <c r="AK326">
        <v>2048</v>
      </c>
      <c r="AL326" t="s">
        <v>163</v>
      </c>
      <c r="AM326">
        <v>0.33950000000000002</v>
      </c>
      <c r="AN326" t="s">
        <v>430</v>
      </c>
    </row>
    <row r="327" spans="37:40" x14ac:dyDescent="0.45">
      <c r="AK327">
        <v>2048</v>
      </c>
      <c r="AL327" t="s">
        <v>167</v>
      </c>
      <c r="AM327">
        <v>0.39040000000000002</v>
      </c>
      <c r="AN327" t="s">
        <v>430</v>
      </c>
    </row>
    <row r="328" spans="37:40" x14ac:dyDescent="0.45">
      <c r="AK328">
        <v>2048</v>
      </c>
      <c r="AL328" t="s">
        <v>169</v>
      </c>
      <c r="AM328">
        <v>0.47920000000000001</v>
      </c>
      <c r="AN328" t="s">
        <v>430</v>
      </c>
    </row>
    <row r="329" spans="37:40" x14ac:dyDescent="0.45">
      <c r="AK329">
        <v>2048</v>
      </c>
      <c r="AL329" t="s">
        <v>171</v>
      </c>
      <c r="AM329">
        <v>0.56799999999999995</v>
      </c>
      <c r="AN329" t="s">
        <v>430</v>
      </c>
    </row>
    <row r="330" spans="37:40" x14ac:dyDescent="0.45">
      <c r="AK330">
        <v>2048</v>
      </c>
      <c r="AL330" t="s">
        <v>158</v>
      </c>
      <c r="AM330">
        <v>0.66710000000000003</v>
      </c>
      <c r="AN330" t="s">
        <v>430</v>
      </c>
    </row>
    <row r="331" spans="37:40" x14ac:dyDescent="0.45">
      <c r="AK331">
        <v>2048</v>
      </c>
      <c r="AL331" t="s">
        <v>162</v>
      </c>
      <c r="AM331">
        <v>0.59640000000000004</v>
      </c>
      <c r="AN331" t="s">
        <v>430</v>
      </c>
    </row>
    <row r="332" spans="37:40" x14ac:dyDescent="0.45">
      <c r="AK332">
        <v>2048</v>
      </c>
      <c r="AL332" t="s">
        <v>175</v>
      </c>
      <c r="AM332">
        <v>0.47020000000000001</v>
      </c>
      <c r="AN332" t="s">
        <v>430</v>
      </c>
    </row>
    <row r="333" spans="37:40" x14ac:dyDescent="0.45">
      <c r="AK333">
        <v>2048</v>
      </c>
      <c r="AL333" t="s">
        <v>166</v>
      </c>
      <c r="AM333">
        <v>0.28270000000000001</v>
      </c>
      <c r="AN333" t="s">
        <v>430</v>
      </c>
    </row>
    <row r="334" spans="37:40" x14ac:dyDescent="0.45">
      <c r="AK334">
        <v>2048</v>
      </c>
      <c r="AL334" t="s">
        <v>178</v>
      </c>
      <c r="AM334">
        <v>0.24879999999999999</v>
      </c>
      <c r="AN334" t="s">
        <v>430</v>
      </c>
    </row>
    <row r="335" spans="37:40" x14ac:dyDescent="0.45">
      <c r="AK335">
        <v>2049</v>
      </c>
      <c r="AL335" t="s">
        <v>151</v>
      </c>
      <c r="AM335">
        <v>0.25290000000000001</v>
      </c>
      <c r="AN335" t="s">
        <v>430</v>
      </c>
    </row>
    <row r="336" spans="37:40" x14ac:dyDescent="0.45">
      <c r="AK336">
        <v>2049</v>
      </c>
      <c r="AL336" t="s">
        <v>156</v>
      </c>
      <c r="AM336">
        <v>0.25819999999999999</v>
      </c>
      <c r="AN336" t="s">
        <v>430</v>
      </c>
    </row>
    <row r="337" spans="37:40" x14ac:dyDescent="0.45">
      <c r="AK337">
        <v>2049</v>
      </c>
      <c r="AL337" t="s">
        <v>159</v>
      </c>
      <c r="AM337">
        <v>0.28770000000000001</v>
      </c>
      <c r="AN337" t="s">
        <v>430</v>
      </c>
    </row>
    <row r="338" spans="37:40" x14ac:dyDescent="0.45">
      <c r="AK338">
        <v>2049</v>
      </c>
      <c r="AL338" t="s">
        <v>163</v>
      </c>
      <c r="AM338">
        <v>0.29849999999999999</v>
      </c>
      <c r="AN338" t="s">
        <v>430</v>
      </c>
    </row>
    <row r="339" spans="37:40" x14ac:dyDescent="0.45">
      <c r="AK339">
        <v>2049</v>
      </c>
      <c r="AL339" t="s">
        <v>167</v>
      </c>
      <c r="AM339">
        <v>0.40560000000000002</v>
      </c>
      <c r="AN339" t="s">
        <v>430</v>
      </c>
    </row>
    <row r="340" spans="37:40" x14ac:dyDescent="0.45">
      <c r="AK340">
        <v>2049</v>
      </c>
      <c r="AL340" t="s">
        <v>169</v>
      </c>
      <c r="AM340">
        <v>0.50649999999999995</v>
      </c>
      <c r="AN340" t="s">
        <v>430</v>
      </c>
    </row>
    <row r="341" spans="37:40" x14ac:dyDescent="0.45">
      <c r="AK341">
        <v>2049</v>
      </c>
      <c r="AL341" t="s">
        <v>171</v>
      </c>
      <c r="AM341">
        <v>0.53269999999999995</v>
      </c>
      <c r="AN341" t="s">
        <v>430</v>
      </c>
    </row>
    <row r="342" spans="37:40" x14ac:dyDescent="0.45">
      <c r="AK342">
        <v>2049</v>
      </c>
      <c r="AL342" t="s">
        <v>158</v>
      </c>
      <c r="AM342">
        <v>0.59350000000000003</v>
      </c>
      <c r="AN342" t="s">
        <v>430</v>
      </c>
    </row>
    <row r="343" spans="37:40" x14ac:dyDescent="0.45">
      <c r="AK343">
        <v>2049</v>
      </c>
      <c r="AL343" t="s">
        <v>162</v>
      </c>
      <c r="AM343">
        <v>0.59360000000000002</v>
      </c>
      <c r="AN343" t="s">
        <v>430</v>
      </c>
    </row>
    <row r="344" spans="37:40" x14ac:dyDescent="0.45">
      <c r="AK344">
        <v>2049</v>
      </c>
      <c r="AL344" t="s">
        <v>175</v>
      </c>
      <c r="AM344">
        <v>0.41589999999999999</v>
      </c>
      <c r="AN344" t="s">
        <v>430</v>
      </c>
    </row>
    <row r="345" spans="37:40" x14ac:dyDescent="0.45">
      <c r="AK345">
        <v>2049</v>
      </c>
      <c r="AL345" t="s">
        <v>166</v>
      </c>
      <c r="AM345">
        <v>0.27860000000000001</v>
      </c>
      <c r="AN345" t="s">
        <v>430</v>
      </c>
    </row>
    <row r="346" spans="37:40" x14ac:dyDescent="0.45">
      <c r="AK346">
        <v>2049</v>
      </c>
      <c r="AL346" t="s">
        <v>178</v>
      </c>
      <c r="AM346">
        <v>0.2253</v>
      </c>
      <c r="AN346" t="s">
        <v>430</v>
      </c>
    </row>
    <row r="347" spans="37:40" x14ac:dyDescent="0.45">
      <c r="AK347">
        <v>2050</v>
      </c>
      <c r="AL347" t="s">
        <v>151</v>
      </c>
      <c r="AM347">
        <v>0.22559999999999999</v>
      </c>
      <c r="AN347" t="s">
        <v>430</v>
      </c>
    </row>
    <row r="348" spans="37:40" x14ac:dyDescent="0.45">
      <c r="AK348">
        <v>2050</v>
      </c>
      <c r="AL348" t="s">
        <v>156</v>
      </c>
      <c r="AM348">
        <v>0.23380000000000001</v>
      </c>
      <c r="AN348" t="s">
        <v>430</v>
      </c>
    </row>
    <row r="349" spans="37:40" x14ac:dyDescent="0.45">
      <c r="AK349">
        <v>2050</v>
      </c>
      <c r="AL349" t="s">
        <v>159</v>
      </c>
      <c r="AM349">
        <v>0.27510000000000001</v>
      </c>
      <c r="AN349" t="s">
        <v>430</v>
      </c>
    </row>
    <row r="350" spans="37:40" x14ac:dyDescent="0.45">
      <c r="AK350">
        <v>2050</v>
      </c>
      <c r="AL350" t="s">
        <v>163</v>
      </c>
      <c r="AM350">
        <v>0.30690000000000001</v>
      </c>
      <c r="AN350" t="s">
        <v>430</v>
      </c>
    </row>
    <row r="351" spans="37:40" x14ac:dyDescent="0.45">
      <c r="AK351">
        <v>2050</v>
      </c>
      <c r="AL351" t="s">
        <v>167</v>
      </c>
      <c r="AM351">
        <v>0.39150000000000001</v>
      </c>
      <c r="AN351" t="s">
        <v>430</v>
      </c>
    </row>
    <row r="352" spans="37:40" x14ac:dyDescent="0.45">
      <c r="AK352">
        <v>2050</v>
      </c>
      <c r="AL352" t="s">
        <v>169</v>
      </c>
      <c r="AM352">
        <v>0.46970000000000001</v>
      </c>
      <c r="AN352" t="s">
        <v>430</v>
      </c>
    </row>
    <row r="353" spans="37:40" x14ac:dyDescent="0.45">
      <c r="AK353">
        <v>2050</v>
      </c>
      <c r="AL353" t="s">
        <v>171</v>
      </c>
      <c r="AM353">
        <v>0.50690000000000002</v>
      </c>
      <c r="AN353" t="s">
        <v>430</v>
      </c>
    </row>
    <row r="354" spans="37:40" x14ac:dyDescent="0.45">
      <c r="AK354">
        <v>2050</v>
      </c>
      <c r="AL354" t="s">
        <v>158</v>
      </c>
      <c r="AM354">
        <v>0.67720000000000002</v>
      </c>
      <c r="AN354" t="s">
        <v>430</v>
      </c>
    </row>
    <row r="355" spans="37:40" x14ac:dyDescent="0.45">
      <c r="AK355">
        <v>2050</v>
      </c>
      <c r="AL355" t="s">
        <v>162</v>
      </c>
      <c r="AM355">
        <v>0.59770000000000001</v>
      </c>
      <c r="AN355" t="s">
        <v>430</v>
      </c>
    </row>
    <row r="356" spans="37:40" x14ac:dyDescent="0.45">
      <c r="AK356">
        <v>2050</v>
      </c>
      <c r="AL356" t="s">
        <v>175</v>
      </c>
      <c r="AM356">
        <v>0.39910000000000001</v>
      </c>
      <c r="AN356" t="s">
        <v>430</v>
      </c>
    </row>
    <row r="357" spans="37:40" x14ac:dyDescent="0.45">
      <c r="AK357">
        <v>2050</v>
      </c>
      <c r="AL357" t="s">
        <v>166</v>
      </c>
      <c r="AM357">
        <v>0.27860000000000001</v>
      </c>
      <c r="AN357" t="s">
        <v>430</v>
      </c>
    </row>
    <row r="358" spans="37:40" x14ac:dyDescent="0.45">
      <c r="AK358">
        <v>2050</v>
      </c>
      <c r="AL358" t="s">
        <v>178</v>
      </c>
      <c r="AM358">
        <v>0.24179999999999999</v>
      </c>
      <c r="AN358" t="s">
        <v>430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1BECD-9A47-45B1-8886-4397200E1AC9}">
  <dimension ref="A9:AN39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107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122</v>
      </c>
      <c r="K10" t="s">
        <v>248</v>
      </c>
      <c r="L10" t="s">
        <v>30</v>
      </c>
      <c r="N10" t="s">
        <v>13</v>
      </c>
      <c r="O10" t="s">
        <v>122</v>
      </c>
      <c r="P10" t="s">
        <v>248</v>
      </c>
      <c r="Q10" t="s">
        <v>30</v>
      </c>
      <c r="S10" t="s">
        <v>13</v>
      </c>
      <c r="T10" t="s">
        <v>122</v>
      </c>
      <c r="U10" t="s">
        <v>248</v>
      </c>
      <c r="V10" t="s">
        <v>30</v>
      </c>
      <c r="X10" t="s">
        <v>421</v>
      </c>
      <c r="Y10" t="s">
        <v>248</v>
      </c>
      <c r="Z10" t="s">
        <v>122</v>
      </c>
      <c r="AA10" t="s">
        <v>13</v>
      </c>
      <c r="AC10" t="s">
        <v>13</v>
      </c>
      <c r="AD10" t="s">
        <v>122</v>
      </c>
      <c r="AE10" t="s">
        <v>248</v>
      </c>
      <c r="AG10" t="s">
        <v>13</v>
      </c>
      <c r="AH10" t="s">
        <v>122</v>
      </c>
      <c r="AI10" t="s">
        <v>427</v>
      </c>
      <c r="AK10" t="s">
        <v>47</v>
      </c>
      <c r="AL10" t="s">
        <v>122</v>
      </c>
      <c r="AM10" t="s">
        <v>428</v>
      </c>
      <c r="AN10" t="s">
        <v>429</v>
      </c>
    </row>
    <row r="11" spans="1:40" x14ac:dyDescent="0.45">
      <c r="A11" t="str">
        <f>IFERROR(IF(Veda!D5=A10,"ok","x"),"")</f>
        <v>ok</v>
      </c>
      <c r="C11" t="s">
        <v>2028</v>
      </c>
      <c r="D11" t="s">
        <v>152</v>
      </c>
      <c r="E11" t="s">
        <v>2029</v>
      </c>
      <c r="F11" t="s">
        <v>2028</v>
      </c>
      <c r="G11" t="s">
        <v>152</v>
      </c>
      <c r="I11" t="s">
        <v>249</v>
      </c>
      <c r="J11" t="s">
        <v>2030</v>
      </c>
      <c r="K11">
        <v>0.99999999999981126</v>
      </c>
      <c r="L11" t="s">
        <v>251</v>
      </c>
      <c r="N11" t="s">
        <v>419</v>
      </c>
      <c r="O11" t="s">
        <v>2030</v>
      </c>
      <c r="P11">
        <v>0.99999999999979794</v>
      </c>
      <c r="Q11" t="s">
        <v>251</v>
      </c>
      <c r="S11" t="s">
        <v>420</v>
      </c>
      <c r="T11" t="s">
        <v>2030</v>
      </c>
      <c r="U11">
        <v>0.9999999999997955</v>
      </c>
      <c r="V11" t="s">
        <v>251</v>
      </c>
      <c r="X11">
        <v>1</v>
      </c>
      <c r="Y11">
        <v>1.0000000000000002</v>
      </c>
      <c r="Z11" t="s">
        <v>2030</v>
      </c>
      <c r="AA11" t="s">
        <v>25</v>
      </c>
      <c r="AC11" t="s">
        <v>22</v>
      </c>
      <c r="AD11" t="s">
        <v>2030</v>
      </c>
      <c r="AE11">
        <v>1</v>
      </c>
      <c r="AG11" t="s">
        <v>97</v>
      </c>
      <c r="AH11" t="s">
        <v>2030</v>
      </c>
      <c r="AI11">
        <v>0.39875731634259948</v>
      </c>
      <c r="AK11">
        <v>2020</v>
      </c>
      <c r="AL11" t="s">
        <v>2028</v>
      </c>
      <c r="AM11">
        <v>0.40393549374487797</v>
      </c>
      <c r="AN11" t="s">
        <v>430</v>
      </c>
    </row>
    <row r="12" spans="1:40" x14ac:dyDescent="0.45">
      <c r="AC12" t="s">
        <v>19</v>
      </c>
      <c r="AD12" t="s">
        <v>2030</v>
      </c>
      <c r="AE12">
        <v>1</v>
      </c>
      <c r="AK12">
        <v>2021</v>
      </c>
      <c r="AL12" t="s">
        <v>2028</v>
      </c>
      <c r="AM12">
        <v>0.39017483580399909</v>
      </c>
      <c r="AN12" t="s">
        <v>430</v>
      </c>
    </row>
    <row r="13" spans="1:40" x14ac:dyDescent="0.45">
      <c r="AK13">
        <v>2022</v>
      </c>
      <c r="AL13" t="s">
        <v>2028</v>
      </c>
      <c r="AM13">
        <v>0.42094203276503689</v>
      </c>
      <c r="AN13" t="s">
        <v>430</v>
      </c>
    </row>
    <row r="14" spans="1:40" x14ac:dyDescent="0.45">
      <c r="AK14">
        <v>2025</v>
      </c>
      <c r="AL14" t="s">
        <v>2028</v>
      </c>
      <c r="AM14">
        <v>0.46044166666666664</v>
      </c>
      <c r="AN14" t="s">
        <v>430</v>
      </c>
    </row>
    <row r="15" spans="1:40" x14ac:dyDescent="0.45">
      <c r="AK15">
        <v>2026</v>
      </c>
      <c r="AL15" t="s">
        <v>2028</v>
      </c>
      <c r="AM15">
        <v>0.44534166666666675</v>
      </c>
      <c r="AN15" t="s">
        <v>430</v>
      </c>
    </row>
    <row r="16" spans="1:40" x14ac:dyDescent="0.45">
      <c r="AK16">
        <v>2027</v>
      </c>
      <c r="AL16" t="s">
        <v>2028</v>
      </c>
      <c r="AM16">
        <v>0.43370833333333336</v>
      </c>
      <c r="AN16" t="s">
        <v>430</v>
      </c>
    </row>
    <row r="17" spans="37:40" x14ac:dyDescent="0.45">
      <c r="AK17">
        <v>2028</v>
      </c>
      <c r="AL17" t="s">
        <v>2028</v>
      </c>
      <c r="AM17">
        <v>0.40334166666666671</v>
      </c>
      <c r="AN17" t="s">
        <v>430</v>
      </c>
    </row>
    <row r="18" spans="37:40" x14ac:dyDescent="0.45">
      <c r="AK18">
        <v>2029</v>
      </c>
      <c r="AL18" t="s">
        <v>2028</v>
      </c>
      <c r="AM18">
        <v>0.38215833333333332</v>
      </c>
      <c r="AN18" t="s">
        <v>430</v>
      </c>
    </row>
    <row r="19" spans="37:40" x14ac:dyDescent="0.45">
      <c r="AK19">
        <v>2030</v>
      </c>
      <c r="AL19" t="s">
        <v>2028</v>
      </c>
      <c r="AM19">
        <v>0.39528333333333326</v>
      </c>
      <c r="AN19" t="s">
        <v>430</v>
      </c>
    </row>
    <row r="20" spans="37:40" x14ac:dyDescent="0.45">
      <c r="AK20">
        <v>2031</v>
      </c>
      <c r="AL20" t="s">
        <v>2028</v>
      </c>
      <c r="AM20">
        <v>0.39325000000000004</v>
      </c>
      <c r="AN20" t="s">
        <v>430</v>
      </c>
    </row>
    <row r="21" spans="37:40" x14ac:dyDescent="0.45">
      <c r="AK21">
        <v>2032</v>
      </c>
      <c r="AL21" t="s">
        <v>2028</v>
      </c>
      <c r="AM21">
        <v>0.38550833333333334</v>
      </c>
      <c r="AN21" t="s">
        <v>430</v>
      </c>
    </row>
    <row r="22" spans="37:40" x14ac:dyDescent="0.45">
      <c r="AK22">
        <v>2033</v>
      </c>
      <c r="AL22" t="s">
        <v>2028</v>
      </c>
      <c r="AM22">
        <v>0.40385833333333337</v>
      </c>
      <c r="AN22" t="s">
        <v>430</v>
      </c>
    </row>
    <row r="23" spans="37:40" x14ac:dyDescent="0.45">
      <c r="AK23">
        <v>2034</v>
      </c>
      <c r="AL23" t="s">
        <v>2028</v>
      </c>
      <c r="AM23">
        <v>0.39671666666666666</v>
      </c>
      <c r="AN23" t="s">
        <v>430</v>
      </c>
    </row>
    <row r="24" spans="37:40" x14ac:dyDescent="0.45">
      <c r="AK24">
        <v>2035</v>
      </c>
      <c r="AL24" t="s">
        <v>2028</v>
      </c>
      <c r="AM24">
        <v>0.38849166666666662</v>
      </c>
      <c r="AN24" t="s">
        <v>430</v>
      </c>
    </row>
    <row r="25" spans="37:40" x14ac:dyDescent="0.45">
      <c r="AK25">
        <v>2036</v>
      </c>
      <c r="AL25" t="s">
        <v>2028</v>
      </c>
      <c r="AM25">
        <v>0.38614999999999994</v>
      </c>
      <c r="AN25" t="s">
        <v>430</v>
      </c>
    </row>
    <row r="26" spans="37:40" x14ac:dyDescent="0.45">
      <c r="AK26">
        <v>2037</v>
      </c>
      <c r="AL26" t="s">
        <v>2028</v>
      </c>
      <c r="AM26">
        <v>0.39253333333333323</v>
      </c>
      <c r="AN26" t="s">
        <v>430</v>
      </c>
    </row>
    <row r="27" spans="37:40" x14ac:dyDescent="0.45">
      <c r="AK27">
        <v>2038</v>
      </c>
      <c r="AL27" t="s">
        <v>2028</v>
      </c>
      <c r="AM27">
        <v>0.41317500000000001</v>
      </c>
      <c r="AN27" t="s">
        <v>430</v>
      </c>
    </row>
    <row r="28" spans="37:40" x14ac:dyDescent="0.45">
      <c r="AK28">
        <v>2039</v>
      </c>
      <c r="AL28" t="s">
        <v>2028</v>
      </c>
      <c r="AM28">
        <v>0.38524166666666665</v>
      </c>
      <c r="AN28" t="s">
        <v>430</v>
      </c>
    </row>
    <row r="29" spans="37:40" x14ac:dyDescent="0.45">
      <c r="AK29">
        <v>2040</v>
      </c>
      <c r="AL29" t="s">
        <v>2028</v>
      </c>
      <c r="AM29">
        <v>0.39233333333333337</v>
      </c>
      <c r="AN29" t="s">
        <v>430</v>
      </c>
    </row>
    <row r="30" spans="37:40" x14ac:dyDescent="0.45">
      <c r="AK30">
        <v>2041</v>
      </c>
      <c r="AL30" t="s">
        <v>2028</v>
      </c>
      <c r="AM30">
        <v>0.33180833333333332</v>
      </c>
      <c r="AN30" t="s">
        <v>430</v>
      </c>
    </row>
    <row r="31" spans="37:40" x14ac:dyDescent="0.45">
      <c r="AK31">
        <v>2042</v>
      </c>
      <c r="AL31" t="s">
        <v>2028</v>
      </c>
      <c r="AM31">
        <v>0.32300833333333334</v>
      </c>
      <c r="AN31" t="s">
        <v>430</v>
      </c>
    </row>
    <row r="32" spans="37:40" x14ac:dyDescent="0.45">
      <c r="AK32">
        <v>2043</v>
      </c>
      <c r="AL32" t="s">
        <v>2028</v>
      </c>
      <c r="AM32">
        <v>0.33950833333333336</v>
      </c>
      <c r="AN32" t="s">
        <v>430</v>
      </c>
    </row>
    <row r="33" spans="37:40" x14ac:dyDescent="0.45">
      <c r="AK33">
        <v>2044</v>
      </c>
      <c r="AL33" t="s">
        <v>2028</v>
      </c>
      <c r="AM33">
        <v>0.33240000000000003</v>
      </c>
      <c r="AN33" t="s">
        <v>430</v>
      </c>
    </row>
    <row r="34" spans="37:40" x14ac:dyDescent="0.45">
      <c r="AK34">
        <v>2045</v>
      </c>
      <c r="AL34" t="s">
        <v>2028</v>
      </c>
      <c r="AM34">
        <v>0.39241666666666664</v>
      </c>
      <c r="AN34" t="s">
        <v>430</v>
      </c>
    </row>
    <row r="35" spans="37:40" x14ac:dyDescent="0.45">
      <c r="AK35">
        <v>2046</v>
      </c>
      <c r="AL35" t="s">
        <v>2028</v>
      </c>
      <c r="AM35">
        <v>0.45469166666666666</v>
      </c>
      <c r="AN35" t="s">
        <v>430</v>
      </c>
    </row>
    <row r="36" spans="37:40" x14ac:dyDescent="0.45">
      <c r="AK36">
        <v>2047</v>
      </c>
      <c r="AL36" t="s">
        <v>2028</v>
      </c>
      <c r="AM36">
        <v>0.39891666666666664</v>
      </c>
      <c r="AN36" t="s">
        <v>430</v>
      </c>
    </row>
    <row r="37" spans="37:40" x14ac:dyDescent="0.45">
      <c r="AK37">
        <v>2048</v>
      </c>
      <c r="AL37" t="s">
        <v>2028</v>
      </c>
      <c r="AM37">
        <v>0.39758333333333334</v>
      </c>
      <c r="AN37" t="s">
        <v>430</v>
      </c>
    </row>
    <row r="38" spans="37:40" x14ac:dyDescent="0.45">
      <c r="AK38">
        <v>2049</v>
      </c>
      <c r="AL38" t="s">
        <v>2028</v>
      </c>
      <c r="AM38">
        <v>0.39640000000000003</v>
      </c>
      <c r="AN38" t="s">
        <v>430</v>
      </c>
    </row>
    <row r="39" spans="37:40" x14ac:dyDescent="0.45">
      <c r="AK39">
        <v>2050</v>
      </c>
      <c r="AL39" t="s">
        <v>2028</v>
      </c>
      <c r="AM39">
        <v>0.39781666666666671</v>
      </c>
      <c r="AN39" t="s">
        <v>430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E1D8A-EDEE-48F6-8302-560D42B006E4}">
  <dimension ref="A9:AN126"/>
  <sheetViews>
    <sheetView tabSelected="1"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132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122</v>
      </c>
      <c r="K10" t="s">
        <v>248</v>
      </c>
      <c r="L10" t="s">
        <v>30</v>
      </c>
      <c r="N10" t="s">
        <v>13</v>
      </c>
      <c r="O10" t="s">
        <v>122</v>
      </c>
      <c r="P10" t="s">
        <v>248</v>
      </c>
      <c r="Q10" t="s">
        <v>30</v>
      </c>
      <c r="S10" t="s">
        <v>13</v>
      </c>
      <c r="T10" t="s">
        <v>122</v>
      </c>
      <c r="U10" t="s">
        <v>248</v>
      </c>
      <c r="V10" t="s">
        <v>30</v>
      </c>
      <c r="X10" t="s">
        <v>421</v>
      </c>
      <c r="Y10" t="s">
        <v>248</v>
      </c>
      <c r="Z10" t="s">
        <v>122</v>
      </c>
      <c r="AA10" t="s">
        <v>13</v>
      </c>
      <c r="AC10" t="s">
        <v>13</v>
      </c>
      <c r="AD10" t="s">
        <v>122</v>
      </c>
      <c r="AE10" t="s">
        <v>248</v>
      </c>
      <c r="AG10" t="s">
        <v>13</v>
      </c>
      <c r="AH10" t="s">
        <v>122</v>
      </c>
      <c r="AI10" t="s">
        <v>427</v>
      </c>
      <c r="AK10" t="s">
        <v>47</v>
      </c>
      <c r="AL10" t="s">
        <v>122</v>
      </c>
      <c r="AM10" t="s">
        <v>428</v>
      </c>
      <c r="AN10" t="s">
        <v>429</v>
      </c>
    </row>
    <row r="11" spans="1:40" x14ac:dyDescent="0.45">
      <c r="A11" t="str">
        <f>IFERROR(IF(Veda!D5=A10,"ok","x"),"")</f>
        <v>x</v>
      </c>
      <c r="C11" t="s">
        <v>2031</v>
      </c>
      <c r="D11" t="s">
        <v>152</v>
      </c>
      <c r="E11" t="s">
        <v>423</v>
      </c>
      <c r="F11" t="s">
        <v>2032</v>
      </c>
      <c r="G11" t="s">
        <v>152</v>
      </c>
      <c r="I11" t="s">
        <v>249</v>
      </c>
      <c r="J11" t="s">
        <v>2037</v>
      </c>
      <c r="K11">
        <v>0.22892187101939004</v>
      </c>
      <c r="L11" t="s">
        <v>251</v>
      </c>
      <c r="N11" t="s">
        <v>419</v>
      </c>
      <c r="O11" t="s">
        <v>2037</v>
      </c>
      <c r="P11">
        <v>6.0587196849342884E-2</v>
      </c>
      <c r="Q11" t="s">
        <v>251</v>
      </c>
      <c r="S11" t="s">
        <v>420</v>
      </c>
      <c r="T11" t="s">
        <v>2037</v>
      </c>
      <c r="U11">
        <v>7.4238004045111286E-2</v>
      </c>
      <c r="V11" t="s">
        <v>251</v>
      </c>
      <c r="X11">
        <v>0.11426940639269406</v>
      </c>
      <c r="Y11">
        <v>0.16087081189037786</v>
      </c>
      <c r="Z11" t="s">
        <v>2037</v>
      </c>
      <c r="AA11" t="s">
        <v>25</v>
      </c>
      <c r="AC11" t="s">
        <v>22</v>
      </c>
      <c r="AD11" t="s">
        <v>2037</v>
      </c>
      <c r="AE11">
        <v>0.13201910267211542</v>
      </c>
      <c r="AG11" t="s">
        <v>97</v>
      </c>
      <c r="AH11" t="s">
        <v>2037</v>
      </c>
      <c r="AI11">
        <v>0.21263055394925612</v>
      </c>
      <c r="AK11">
        <v>2020</v>
      </c>
      <c r="AL11" t="s">
        <v>2031</v>
      </c>
      <c r="AM11">
        <v>0.43716087665771264</v>
      </c>
      <c r="AN11" t="s">
        <v>430</v>
      </c>
    </row>
    <row r="12" spans="1:40" x14ac:dyDescent="0.45">
      <c r="C12" t="s">
        <v>2033</v>
      </c>
      <c r="E12" t="s">
        <v>425</v>
      </c>
      <c r="G12" t="s">
        <v>152</v>
      </c>
      <c r="I12" t="s">
        <v>249</v>
      </c>
      <c r="J12" t="s">
        <v>2038</v>
      </c>
      <c r="K12">
        <v>0</v>
      </c>
      <c r="L12" t="s">
        <v>251</v>
      </c>
      <c r="N12" t="s">
        <v>419</v>
      </c>
      <c r="O12" t="s">
        <v>2038</v>
      </c>
      <c r="P12">
        <v>8.2669930738199837E-2</v>
      </c>
      <c r="Q12" t="s">
        <v>251</v>
      </c>
      <c r="S12" t="s">
        <v>420</v>
      </c>
      <c r="T12" t="s">
        <v>2038</v>
      </c>
      <c r="U12">
        <v>7.8690000104160759E-2</v>
      </c>
      <c r="V12" t="s">
        <v>251</v>
      </c>
      <c r="X12">
        <v>0.11426940639269406</v>
      </c>
      <c r="Y12">
        <v>5.2547713165767528E-2</v>
      </c>
      <c r="Z12" t="s">
        <v>2038</v>
      </c>
      <c r="AA12" t="s">
        <v>25</v>
      </c>
      <c r="AC12" t="s">
        <v>22</v>
      </c>
      <c r="AD12" t="s">
        <v>2038</v>
      </c>
      <c r="AE12">
        <v>7.6695493054062189E-2</v>
      </c>
      <c r="AG12" t="s">
        <v>97</v>
      </c>
      <c r="AH12" t="s">
        <v>2038</v>
      </c>
      <c r="AI12">
        <v>0.33133962465880051</v>
      </c>
      <c r="AK12">
        <v>2020</v>
      </c>
      <c r="AL12" t="s">
        <v>2033</v>
      </c>
      <c r="AM12">
        <v>0.3469867424567224</v>
      </c>
      <c r="AN12" t="s">
        <v>430</v>
      </c>
    </row>
    <row r="13" spans="1:40" x14ac:dyDescent="0.45">
      <c r="C13" t="s">
        <v>2034</v>
      </c>
      <c r="E13" t="s">
        <v>2035</v>
      </c>
      <c r="G13" t="s">
        <v>152</v>
      </c>
      <c r="I13" t="s">
        <v>249</v>
      </c>
      <c r="J13" t="s">
        <v>2039</v>
      </c>
      <c r="K13">
        <v>1.4448481220240218E-2</v>
      </c>
      <c r="L13" t="s">
        <v>251</v>
      </c>
      <c r="N13" t="s">
        <v>419</v>
      </c>
      <c r="O13" t="s">
        <v>2039</v>
      </c>
      <c r="P13">
        <v>1.3082240024376078E-2</v>
      </c>
      <c r="Q13" t="s">
        <v>251</v>
      </c>
      <c r="S13" t="s">
        <v>420</v>
      </c>
      <c r="T13" t="s">
        <v>2039</v>
      </c>
      <c r="U13">
        <v>1.4336656242266576E-2</v>
      </c>
      <c r="V13" t="s">
        <v>251</v>
      </c>
      <c r="X13">
        <v>2.0776255707762557E-2</v>
      </c>
      <c r="Y13">
        <v>3.5896543437005365E-2</v>
      </c>
      <c r="Z13" t="s">
        <v>2039</v>
      </c>
      <c r="AA13" t="s">
        <v>25</v>
      </c>
      <c r="AC13" t="s">
        <v>22</v>
      </c>
      <c r="AD13" t="s">
        <v>2039</v>
      </c>
      <c r="AE13">
        <v>9.4123175362001172E-3</v>
      </c>
      <c r="AG13" t="s">
        <v>97</v>
      </c>
      <c r="AH13" t="s">
        <v>2039</v>
      </c>
      <c r="AI13">
        <v>0.15550590993781066</v>
      </c>
      <c r="AK13">
        <v>2020</v>
      </c>
      <c r="AL13" t="s">
        <v>2034</v>
      </c>
      <c r="AM13">
        <v>0.56168582465078831</v>
      </c>
      <c r="AN13" t="s">
        <v>430</v>
      </c>
    </row>
    <row r="14" spans="1:40" x14ac:dyDescent="0.45">
      <c r="C14" t="s">
        <v>2036</v>
      </c>
      <c r="I14" t="s">
        <v>249</v>
      </c>
      <c r="J14" t="s">
        <v>2040</v>
      </c>
      <c r="K14">
        <v>0.27524756121470834</v>
      </c>
      <c r="L14" t="s">
        <v>251</v>
      </c>
      <c r="N14" t="s">
        <v>419</v>
      </c>
      <c r="O14" t="s">
        <v>2040</v>
      </c>
      <c r="P14">
        <v>7.0940830856374107E-2</v>
      </c>
      <c r="Q14" t="s">
        <v>251</v>
      </c>
      <c r="S14" t="s">
        <v>420</v>
      </c>
      <c r="T14" t="s">
        <v>2040</v>
      </c>
      <c r="U14">
        <v>8.032836088065444E-2</v>
      </c>
      <c r="V14" t="s">
        <v>251</v>
      </c>
      <c r="X14">
        <v>0.11552511415525114</v>
      </c>
      <c r="Y14">
        <v>0.16263862301005233</v>
      </c>
      <c r="Z14" t="s">
        <v>2040</v>
      </c>
      <c r="AA14" t="s">
        <v>25</v>
      </c>
      <c r="AC14" t="s">
        <v>22</v>
      </c>
      <c r="AD14" t="s">
        <v>2040</v>
      </c>
      <c r="AE14">
        <v>0.16832811432475922</v>
      </c>
      <c r="AG14" t="s">
        <v>97</v>
      </c>
      <c r="AH14" t="s">
        <v>2040</v>
      </c>
      <c r="AI14">
        <v>0.15337534139547904</v>
      </c>
      <c r="AK14">
        <v>2020</v>
      </c>
      <c r="AL14" t="s">
        <v>2036</v>
      </c>
      <c r="AM14">
        <v>0.26990853121428821</v>
      </c>
      <c r="AN14" t="s">
        <v>430</v>
      </c>
    </row>
    <row r="15" spans="1:40" x14ac:dyDescent="0.45">
      <c r="I15" t="s">
        <v>249</v>
      </c>
      <c r="J15" t="s">
        <v>2041</v>
      </c>
      <c r="K15">
        <v>1.6262638039275001E-3</v>
      </c>
      <c r="L15" t="s">
        <v>251</v>
      </c>
      <c r="N15" t="s">
        <v>419</v>
      </c>
      <c r="O15" t="s">
        <v>2041</v>
      </c>
      <c r="P15">
        <v>0.14032683826540737</v>
      </c>
      <c r="Q15" t="s">
        <v>251</v>
      </c>
      <c r="S15" t="s">
        <v>420</v>
      </c>
      <c r="T15" t="s">
        <v>2041</v>
      </c>
      <c r="U15">
        <v>0.10528833222581799</v>
      </c>
      <c r="V15" t="s">
        <v>251</v>
      </c>
      <c r="X15">
        <v>0.11552511415525114</v>
      </c>
      <c r="Y15">
        <v>5.3125160563193538E-2</v>
      </c>
      <c r="Z15" t="s">
        <v>2041</v>
      </c>
      <c r="AA15" t="s">
        <v>25</v>
      </c>
      <c r="AC15" t="s">
        <v>22</v>
      </c>
      <c r="AD15" t="s">
        <v>2041</v>
      </c>
      <c r="AE15">
        <v>0.11237883694870346</v>
      </c>
      <c r="AG15" t="s">
        <v>97</v>
      </c>
      <c r="AH15" t="s">
        <v>2041</v>
      </c>
      <c r="AI15">
        <v>0.30839531320548841</v>
      </c>
      <c r="AK15">
        <v>2021</v>
      </c>
      <c r="AL15" t="s">
        <v>2031</v>
      </c>
      <c r="AM15">
        <v>0.45660679159624112</v>
      </c>
      <c r="AN15" t="s">
        <v>430</v>
      </c>
    </row>
    <row r="16" spans="1:40" x14ac:dyDescent="0.45">
      <c r="I16" t="s">
        <v>249</v>
      </c>
      <c r="J16" t="s">
        <v>2042</v>
      </c>
      <c r="K16">
        <v>3.0825911424003122E-2</v>
      </c>
      <c r="L16" t="s">
        <v>251</v>
      </c>
      <c r="N16" t="s">
        <v>419</v>
      </c>
      <c r="O16" t="s">
        <v>2042</v>
      </c>
      <c r="P16">
        <v>2.026047324021742E-2</v>
      </c>
      <c r="Q16" t="s">
        <v>251</v>
      </c>
      <c r="S16" t="s">
        <v>420</v>
      </c>
      <c r="T16" t="s">
        <v>2042</v>
      </c>
      <c r="U16">
        <v>1.9184962197870681E-2</v>
      </c>
      <c r="V16" t="s">
        <v>251</v>
      </c>
      <c r="X16">
        <v>2.1004566210045664E-2</v>
      </c>
      <c r="Y16">
        <v>3.6291010947302131E-2</v>
      </c>
      <c r="Z16" t="s">
        <v>2042</v>
      </c>
      <c r="AA16" t="s">
        <v>25</v>
      </c>
      <c r="AC16" t="s">
        <v>22</v>
      </c>
      <c r="AD16" t="s">
        <v>2042</v>
      </c>
      <c r="AE16">
        <v>1.6936987872785941E-2</v>
      </c>
      <c r="AG16" t="s">
        <v>97</v>
      </c>
      <c r="AH16" t="s">
        <v>2042</v>
      </c>
      <c r="AI16">
        <v>0.21737402070323264</v>
      </c>
      <c r="AK16">
        <v>2021</v>
      </c>
      <c r="AL16" t="s">
        <v>2033</v>
      </c>
      <c r="AM16">
        <v>0.28866467661996492</v>
      </c>
      <c r="AN16" t="s">
        <v>430</v>
      </c>
    </row>
    <row r="17" spans="9:40" x14ac:dyDescent="0.45">
      <c r="I17" t="s">
        <v>249</v>
      </c>
      <c r="J17" t="s">
        <v>2043</v>
      </c>
      <c r="K17">
        <v>0.167281954510446</v>
      </c>
      <c r="L17" t="s">
        <v>251</v>
      </c>
      <c r="N17" t="s">
        <v>419</v>
      </c>
      <c r="O17" t="s">
        <v>2043</v>
      </c>
      <c r="P17">
        <v>0.21336850287126816</v>
      </c>
      <c r="Q17" t="s">
        <v>251</v>
      </c>
      <c r="S17" t="s">
        <v>420</v>
      </c>
      <c r="T17" t="s">
        <v>2043</v>
      </c>
      <c r="U17">
        <v>0.20379918227638175</v>
      </c>
      <c r="V17" t="s">
        <v>251</v>
      </c>
      <c r="X17">
        <v>0.11552511415525114</v>
      </c>
      <c r="Y17">
        <v>0.16263862301005233</v>
      </c>
      <c r="Z17" t="s">
        <v>2043</v>
      </c>
      <c r="AA17" t="s">
        <v>25</v>
      </c>
      <c r="AC17" t="s">
        <v>22</v>
      </c>
      <c r="AD17" t="s">
        <v>2043</v>
      </c>
      <c r="AE17">
        <v>0.16416722419293511</v>
      </c>
      <c r="AG17" t="s">
        <v>97</v>
      </c>
      <c r="AH17" t="s">
        <v>2043</v>
      </c>
      <c r="AI17">
        <v>0.16314594342851452</v>
      </c>
      <c r="AK17">
        <v>2021</v>
      </c>
      <c r="AL17" t="s">
        <v>2034</v>
      </c>
      <c r="AM17">
        <v>0.56513738013620773</v>
      </c>
      <c r="AN17" t="s">
        <v>430</v>
      </c>
    </row>
    <row r="18" spans="9:40" x14ac:dyDescent="0.45">
      <c r="I18" t="s">
        <v>249</v>
      </c>
      <c r="J18" t="s">
        <v>2044</v>
      </c>
      <c r="K18">
        <v>1.1681306629492563E-3</v>
      </c>
      <c r="L18" t="s">
        <v>251</v>
      </c>
      <c r="N18" t="s">
        <v>419</v>
      </c>
      <c r="O18" t="s">
        <v>2044</v>
      </c>
      <c r="P18">
        <v>0.21306290486292903</v>
      </c>
      <c r="Q18" t="s">
        <v>251</v>
      </c>
      <c r="S18" t="s">
        <v>420</v>
      </c>
      <c r="T18" t="s">
        <v>2044</v>
      </c>
      <c r="U18">
        <v>0.21941956419926026</v>
      </c>
      <c r="V18" t="s">
        <v>251</v>
      </c>
      <c r="X18">
        <v>0.11552511415525114</v>
      </c>
      <c r="Y18">
        <v>5.3125160563193538E-2</v>
      </c>
      <c r="Z18" t="s">
        <v>2044</v>
      </c>
      <c r="AA18" t="s">
        <v>25</v>
      </c>
      <c r="AC18" t="s">
        <v>22</v>
      </c>
      <c r="AD18" t="s">
        <v>2044</v>
      </c>
      <c r="AE18">
        <v>0.12005881152620454</v>
      </c>
      <c r="AG18" t="s">
        <v>97</v>
      </c>
      <c r="AH18" t="s">
        <v>2044</v>
      </c>
      <c r="AI18">
        <v>0.26579736832915013</v>
      </c>
      <c r="AK18">
        <v>2021</v>
      </c>
      <c r="AL18" t="s">
        <v>2036</v>
      </c>
      <c r="AM18">
        <v>0.25029049486358235</v>
      </c>
      <c r="AN18" t="s">
        <v>430</v>
      </c>
    </row>
    <row r="19" spans="9:40" x14ac:dyDescent="0.45">
      <c r="I19" t="s">
        <v>249</v>
      </c>
      <c r="J19" t="s">
        <v>2045</v>
      </c>
      <c r="K19">
        <v>1.526496773376769E-2</v>
      </c>
      <c r="L19" t="s">
        <v>251</v>
      </c>
      <c r="N19" t="s">
        <v>419</v>
      </c>
      <c r="O19" t="s">
        <v>2045</v>
      </c>
      <c r="P19">
        <v>4.0214761848889252E-2</v>
      </c>
      <c r="Q19" t="s">
        <v>251</v>
      </c>
      <c r="S19" t="s">
        <v>420</v>
      </c>
      <c r="T19" t="s">
        <v>2045</v>
      </c>
      <c r="U19">
        <v>3.9326362080978276E-2</v>
      </c>
      <c r="V19" t="s">
        <v>251</v>
      </c>
      <c r="X19">
        <v>2.1004566210045664E-2</v>
      </c>
      <c r="Y19">
        <v>3.6291010947302131E-2</v>
      </c>
      <c r="Z19" t="s">
        <v>2045</v>
      </c>
      <c r="AA19" t="s">
        <v>25</v>
      </c>
      <c r="AC19" t="s">
        <v>22</v>
      </c>
      <c r="AD19" t="s">
        <v>2045</v>
      </c>
      <c r="AE19">
        <v>1.8267330157595636E-2</v>
      </c>
      <c r="AG19" t="s">
        <v>97</v>
      </c>
      <c r="AH19" t="s">
        <v>2045</v>
      </c>
      <c r="AI19">
        <v>0.15126100012993127</v>
      </c>
      <c r="AK19">
        <v>2022</v>
      </c>
      <c r="AL19" t="s">
        <v>2031</v>
      </c>
      <c r="AM19">
        <v>0.5036131997609502</v>
      </c>
      <c r="AN19" t="s">
        <v>430</v>
      </c>
    </row>
    <row r="20" spans="9:40" x14ac:dyDescent="0.45">
      <c r="I20" t="s">
        <v>249</v>
      </c>
      <c r="J20" t="s">
        <v>2046</v>
      </c>
      <c r="K20">
        <v>0.24404768225706128</v>
      </c>
      <c r="L20" t="s">
        <v>251</v>
      </c>
      <c r="N20" t="s">
        <v>419</v>
      </c>
      <c r="O20" t="s">
        <v>2046</v>
      </c>
      <c r="P20">
        <v>4.3199722775366163E-2</v>
      </c>
      <c r="Q20" t="s">
        <v>251</v>
      </c>
      <c r="S20" t="s">
        <v>420</v>
      </c>
      <c r="T20" t="s">
        <v>2046</v>
      </c>
      <c r="U20">
        <v>7.1297546645008036E-2</v>
      </c>
      <c r="V20" t="s">
        <v>251</v>
      </c>
      <c r="X20">
        <v>0.11301369863013698</v>
      </c>
      <c r="Y20">
        <v>0.15910300077070333</v>
      </c>
      <c r="Z20" t="s">
        <v>2046</v>
      </c>
      <c r="AA20" t="s">
        <v>25</v>
      </c>
      <c r="AC20" t="s">
        <v>22</v>
      </c>
      <c r="AD20" t="s">
        <v>2046</v>
      </c>
      <c r="AE20">
        <v>0.11303219893564689</v>
      </c>
      <c r="AG20" t="s">
        <v>97</v>
      </c>
      <c r="AH20" t="s">
        <v>2046</v>
      </c>
      <c r="AI20">
        <v>0.2180580876997793</v>
      </c>
      <c r="AK20">
        <v>2022</v>
      </c>
      <c r="AL20" t="s">
        <v>2033</v>
      </c>
      <c r="AM20">
        <v>0.35464034487138418</v>
      </c>
      <c r="AN20" t="s">
        <v>430</v>
      </c>
    </row>
    <row r="21" spans="9:40" x14ac:dyDescent="0.45">
      <c r="I21" t="s">
        <v>249</v>
      </c>
      <c r="J21" t="s">
        <v>2047</v>
      </c>
      <c r="K21">
        <v>0</v>
      </c>
      <c r="L21" t="s">
        <v>251</v>
      </c>
      <c r="N21" t="s">
        <v>419</v>
      </c>
      <c r="O21" t="s">
        <v>2047</v>
      </c>
      <c r="P21">
        <v>9.2569608849613377E-2</v>
      </c>
      <c r="Q21" t="s">
        <v>251</v>
      </c>
      <c r="S21" t="s">
        <v>420</v>
      </c>
      <c r="T21" t="s">
        <v>2047</v>
      </c>
      <c r="U21">
        <v>8.1139932215594956E-2</v>
      </c>
      <c r="V21" t="s">
        <v>251</v>
      </c>
      <c r="X21">
        <v>0.11301369863013698</v>
      </c>
      <c r="Y21">
        <v>5.197026576834151E-2</v>
      </c>
      <c r="Z21" t="s">
        <v>2047</v>
      </c>
      <c r="AA21" t="s">
        <v>25</v>
      </c>
      <c r="AC21" t="s">
        <v>22</v>
      </c>
      <c r="AD21" t="s">
        <v>2047</v>
      </c>
      <c r="AE21">
        <v>6.0612903148312858E-2</v>
      </c>
      <c r="AG21" t="s">
        <v>97</v>
      </c>
      <c r="AH21" t="s">
        <v>2047</v>
      </c>
      <c r="AI21">
        <v>0.32038783620471678</v>
      </c>
      <c r="AK21">
        <v>2022</v>
      </c>
      <c r="AL21" t="s">
        <v>2034</v>
      </c>
      <c r="AM21">
        <v>0.5765736224399175</v>
      </c>
      <c r="AN21" t="s">
        <v>430</v>
      </c>
    </row>
    <row r="22" spans="9:40" x14ac:dyDescent="0.45">
      <c r="I22" t="s">
        <v>249</v>
      </c>
      <c r="J22" t="s">
        <v>2048</v>
      </c>
      <c r="K22">
        <v>2.1167176153317806E-2</v>
      </c>
      <c r="L22" t="s">
        <v>251</v>
      </c>
      <c r="N22" t="s">
        <v>419</v>
      </c>
      <c r="O22" t="s">
        <v>2048</v>
      </c>
      <c r="P22">
        <v>9.7169888178142375E-3</v>
      </c>
      <c r="Q22" t="s">
        <v>251</v>
      </c>
      <c r="S22" t="s">
        <v>420</v>
      </c>
      <c r="T22" t="s">
        <v>2048</v>
      </c>
      <c r="U22">
        <v>1.2951096886690506E-2</v>
      </c>
      <c r="V22" t="s">
        <v>251</v>
      </c>
      <c r="X22">
        <v>2.0547945205479451E-2</v>
      </c>
      <c r="Y22">
        <v>3.5502075926708607E-2</v>
      </c>
      <c r="Z22" t="s">
        <v>2048</v>
      </c>
      <c r="AA22" t="s">
        <v>25</v>
      </c>
      <c r="AC22" t="s">
        <v>22</v>
      </c>
      <c r="AD22" t="s">
        <v>2048</v>
      </c>
      <c r="AE22">
        <v>8.0906796306786672E-3</v>
      </c>
      <c r="AG22" t="s">
        <v>97</v>
      </c>
      <c r="AH22" t="s">
        <v>2048</v>
      </c>
      <c r="AI22">
        <v>0.26793251992398681</v>
      </c>
      <c r="AK22">
        <v>2022</v>
      </c>
      <c r="AL22" t="s">
        <v>2036</v>
      </c>
      <c r="AM22">
        <v>0.24894096398789589</v>
      </c>
      <c r="AN22" t="s">
        <v>430</v>
      </c>
    </row>
    <row r="23" spans="9:40" x14ac:dyDescent="0.45">
      <c r="AC23" t="s">
        <v>19</v>
      </c>
      <c r="AD23" t="s">
        <v>2037</v>
      </c>
      <c r="AE23">
        <v>0.11572651744733087</v>
      </c>
      <c r="AK23">
        <v>2025</v>
      </c>
      <c r="AL23" t="s">
        <v>2031</v>
      </c>
      <c r="AM23">
        <v>0.55593333333333328</v>
      </c>
      <c r="AN23" t="s">
        <v>430</v>
      </c>
    </row>
    <row r="24" spans="9:40" x14ac:dyDescent="0.45">
      <c r="AC24" t="s">
        <v>19</v>
      </c>
      <c r="AD24" t="s">
        <v>2038</v>
      </c>
      <c r="AE24">
        <v>0.11309951190079548</v>
      </c>
      <c r="AK24">
        <v>2025</v>
      </c>
      <c r="AL24" t="s">
        <v>2033</v>
      </c>
      <c r="AM24">
        <v>0.36226666666666668</v>
      </c>
      <c r="AN24" t="s">
        <v>430</v>
      </c>
    </row>
    <row r="25" spans="9:40" x14ac:dyDescent="0.45">
      <c r="AC25" t="s">
        <v>19</v>
      </c>
      <c r="AD25" t="s">
        <v>2039</v>
      </c>
      <c r="AE25">
        <v>2.0348333472631642E-2</v>
      </c>
      <c r="AK25">
        <v>2025</v>
      </c>
      <c r="AL25" t="s">
        <v>2034</v>
      </c>
      <c r="AM25">
        <v>0.62226666666666663</v>
      </c>
      <c r="AN25" t="s">
        <v>430</v>
      </c>
    </row>
    <row r="26" spans="9:40" x14ac:dyDescent="0.45">
      <c r="AC26" t="s">
        <v>19</v>
      </c>
      <c r="AD26" t="s">
        <v>2040</v>
      </c>
      <c r="AE26">
        <v>0.11713451169006861</v>
      </c>
      <c r="AK26">
        <v>2025</v>
      </c>
      <c r="AL26" t="s">
        <v>2036</v>
      </c>
      <c r="AM26">
        <v>0.30129999999999996</v>
      </c>
      <c r="AN26" t="s">
        <v>430</v>
      </c>
    </row>
    <row r="27" spans="9:40" x14ac:dyDescent="0.45">
      <c r="AC27" t="s">
        <v>19</v>
      </c>
      <c r="AD27" t="s">
        <v>2041</v>
      </c>
      <c r="AE27">
        <v>0.1144777967178123</v>
      </c>
      <c r="AK27">
        <v>2026</v>
      </c>
      <c r="AL27" t="s">
        <v>2031</v>
      </c>
      <c r="AM27">
        <v>0.53300000000000003</v>
      </c>
      <c r="AN27" t="s">
        <v>430</v>
      </c>
    </row>
    <row r="28" spans="9:40" x14ac:dyDescent="0.45">
      <c r="AC28" t="s">
        <v>19</v>
      </c>
      <c r="AD28" t="s">
        <v>2042</v>
      </c>
      <c r="AE28">
        <v>2.0648161991887924E-2</v>
      </c>
      <c r="AK28">
        <v>2026</v>
      </c>
      <c r="AL28" t="s">
        <v>2033</v>
      </c>
      <c r="AM28">
        <v>0.35416666666666669</v>
      </c>
      <c r="AN28" t="s">
        <v>430</v>
      </c>
    </row>
    <row r="29" spans="9:40" x14ac:dyDescent="0.45">
      <c r="AC29" t="s">
        <v>19</v>
      </c>
      <c r="AD29" t="s">
        <v>2043</v>
      </c>
      <c r="AE29">
        <v>0.11684142078646637</v>
      </c>
      <c r="AK29">
        <v>2026</v>
      </c>
      <c r="AL29" t="s">
        <v>2034</v>
      </c>
      <c r="AM29">
        <v>0.61353333333333337</v>
      </c>
      <c r="AN29" t="s">
        <v>430</v>
      </c>
    </row>
    <row r="30" spans="9:40" x14ac:dyDescent="0.45">
      <c r="AC30" t="s">
        <v>19</v>
      </c>
      <c r="AD30" t="s">
        <v>2044</v>
      </c>
      <c r="AE30">
        <v>0.11474696155785953</v>
      </c>
      <c r="AK30">
        <v>2026</v>
      </c>
      <c r="AL30" t="s">
        <v>2036</v>
      </c>
      <c r="AM30">
        <v>0.28066666666666668</v>
      </c>
      <c r="AN30" t="s">
        <v>430</v>
      </c>
    </row>
    <row r="31" spans="9:40" x14ac:dyDescent="0.45">
      <c r="AC31" t="s">
        <v>19</v>
      </c>
      <c r="AD31" t="s">
        <v>2045</v>
      </c>
      <c r="AE31">
        <v>2.0693966292349993E-2</v>
      </c>
      <c r="AK31">
        <v>2027</v>
      </c>
      <c r="AL31" t="s">
        <v>2031</v>
      </c>
      <c r="AM31">
        <v>0.47420000000000001</v>
      </c>
      <c r="AN31" t="s">
        <v>430</v>
      </c>
    </row>
    <row r="32" spans="9:40" x14ac:dyDescent="0.45">
      <c r="AC32" t="s">
        <v>19</v>
      </c>
      <c r="AD32" t="s">
        <v>2046</v>
      </c>
      <c r="AE32">
        <v>0.11429164958734063</v>
      </c>
      <c r="AK32">
        <v>2027</v>
      </c>
      <c r="AL32" t="s">
        <v>2033</v>
      </c>
      <c r="AM32">
        <v>0.36726666666666663</v>
      </c>
      <c r="AN32" t="s">
        <v>430</v>
      </c>
    </row>
    <row r="33" spans="29:40" x14ac:dyDescent="0.45">
      <c r="AC33" t="s">
        <v>19</v>
      </c>
      <c r="AD33" t="s">
        <v>2047</v>
      </c>
      <c r="AE33">
        <v>0.1118025534902221</v>
      </c>
      <c r="AK33">
        <v>2027</v>
      </c>
      <c r="AL33" t="s">
        <v>2034</v>
      </c>
      <c r="AM33">
        <v>0.59419999999999995</v>
      </c>
      <c r="AN33" t="s">
        <v>430</v>
      </c>
    </row>
    <row r="34" spans="29:40" x14ac:dyDescent="0.45">
      <c r="AC34" t="s">
        <v>19</v>
      </c>
      <c r="AD34" t="s">
        <v>2048</v>
      </c>
      <c r="AE34">
        <v>2.0188615065234557E-2</v>
      </c>
      <c r="AK34">
        <v>2027</v>
      </c>
      <c r="AL34" t="s">
        <v>2036</v>
      </c>
      <c r="AM34">
        <v>0.29916666666666664</v>
      </c>
      <c r="AN34" t="s">
        <v>430</v>
      </c>
    </row>
    <row r="35" spans="29:40" x14ac:dyDescent="0.45">
      <c r="AK35">
        <v>2028</v>
      </c>
      <c r="AL35" t="s">
        <v>2031</v>
      </c>
      <c r="AM35">
        <v>0.47290000000000004</v>
      </c>
      <c r="AN35" t="s">
        <v>430</v>
      </c>
    </row>
    <row r="36" spans="29:40" x14ac:dyDescent="0.45">
      <c r="AK36">
        <v>2028</v>
      </c>
      <c r="AL36" t="s">
        <v>2033</v>
      </c>
      <c r="AM36">
        <v>0.32713333333333328</v>
      </c>
      <c r="AN36" t="s">
        <v>430</v>
      </c>
    </row>
    <row r="37" spans="29:40" x14ac:dyDescent="0.45">
      <c r="AK37">
        <v>2028</v>
      </c>
      <c r="AL37" t="s">
        <v>2034</v>
      </c>
      <c r="AM37">
        <v>0.56366666666666665</v>
      </c>
      <c r="AN37" t="s">
        <v>430</v>
      </c>
    </row>
    <row r="38" spans="29:40" x14ac:dyDescent="0.45">
      <c r="AK38">
        <v>2028</v>
      </c>
      <c r="AL38" t="s">
        <v>2036</v>
      </c>
      <c r="AM38">
        <v>0.24966666666666668</v>
      </c>
      <c r="AN38" t="s">
        <v>430</v>
      </c>
    </row>
    <row r="39" spans="29:40" x14ac:dyDescent="0.45">
      <c r="AK39">
        <v>2029</v>
      </c>
      <c r="AL39" t="s">
        <v>2031</v>
      </c>
      <c r="AM39">
        <v>0.41793333333333332</v>
      </c>
      <c r="AN39" t="s">
        <v>430</v>
      </c>
    </row>
    <row r="40" spans="29:40" x14ac:dyDescent="0.45">
      <c r="AK40">
        <v>2029</v>
      </c>
      <c r="AL40" t="s">
        <v>2033</v>
      </c>
      <c r="AM40">
        <v>0.30646666666666667</v>
      </c>
      <c r="AN40" t="s">
        <v>430</v>
      </c>
    </row>
    <row r="41" spans="29:40" x14ac:dyDescent="0.45">
      <c r="AK41">
        <v>2029</v>
      </c>
      <c r="AL41" t="s">
        <v>2034</v>
      </c>
      <c r="AM41">
        <v>0.55449999999999999</v>
      </c>
      <c r="AN41" t="s">
        <v>430</v>
      </c>
    </row>
    <row r="42" spans="29:40" x14ac:dyDescent="0.45">
      <c r="AK42">
        <v>2029</v>
      </c>
      <c r="AL42" t="s">
        <v>2036</v>
      </c>
      <c r="AM42">
        <v>0.24973333333333333</v>
      </c>
      <c r="AN42" t="s">
        <v>430</v>
      </c>
    </row>
    <row r="43" spans="29:40" x14ac:dyDescent="0.45">
      <c r="AK43">
        <v>2030</v>
      </c>
      <c r="AL43" t="s">
        <v>2031</v>
      </c>
      <c r="AM43">
        <v>0.43643333333333328</v>
      </c>
      <c r="AN43" t="s">
        <v>430</v>
      </c>
    </row>
    <row r="44" spans="29:40" x14ac:dyDescent="0.45">
      <c r="AK44">
        <v>2030</v>
      </c>
      <c r="AL44" t="s">
        <v>2033</v>
      </c>
      <c r="AM44">
        <v>0.33030000000000004</v>
      </c>
      <c r="AN44" t="s">
        <v>430</v>
      </c>
    </row>
    <row r="45" spans="29:40" x14ac:dyDescent="0.45">
      <c r="AK45">
        <v>2030</v>
      </c>
      <c r="AL45" t="s">
        <v>2034</v>
      </c>
      <c r="AM45">
        <v>0.55986666666666662</v>
      </c>
      <c r="AN45" t="s">
        <v>430</v>
      </c>
    </row>
    <row r="46" spans="29:40" x14ac:dyDescent="0.45">
      <c r="AK46">
        <v>2030</v>
      </c>
      <c r="AL46" t="s">
        <v>2036</v>
      </c>
      <c r="AM46">
        <v>0.25453333333333333</v>
      </c>
      <c r="AN46" t="s">
        <v>430</v>
      </c>
    </row>
    <row r="47" spans="29:40" x14ac:dyDescent="0.45">
      <c r="AK47">
        <v>2031</v>
      </c>
      <c r="AL47" t="s">
        <v>2031</v>
      </c>
      <c r="AM47">
        <v>0.42219999999999996</v>
      </c>
      <c r="AN47" t="s">
        <v>430</v>
      </c>
    </row>
    <row r="48" spans="29:40" x14ac:dyDescent="0.45">
      <c r="AK48">
        <v>2031</v>
      </c>
      <c r="AL48" t="s">
        <v>2033</v>
      </c>
      <c r="AM48">
        <v>0.3352</v>
      </c>
      <c r="AN48" t="s">
        <v>430</v>
      </c>
    </row>
    <row r="49" spans="37:40" x14ac:dyDescent="0.45">
      <c r="AK49">
        <v>2031</v>
      </c>
      <c r="AL49" t="s">
        <v>2034</v>
      </c>
      <c r="AM49">
        <v>0.56230000000000002</v>
      </c>
      <c r="AN49" t="s">
        <v>430</v>
      </c>
    </row>
    <row r="50" spans="37:40" x14ac:dyDescent="0.45">
      <c r="AK50">
        <v>2031</v>
      </c>
      <c r="AL50" t="s">
        <v>2036</v>
      </c>
      <c r="AM50">
        <v>0.25329999999999997</v>
      </c>
      <c r="AN50" t="s">
        <v>430</v>
      </c>
    </row>
    <row r="51" spans="37:40" x14ac:dyDescent="0.45">
      <c r="AK51">
        <v>2032</v>
      </c>
      <c r="AL51" t="s">
        <v>2031</v>
      </c>
      <c r="AM51">
        <v>0.42126666666666668</v>
      </c>
      <c r="AN51" t="s">
        <v>430</v>
      </c>
    </row>
    <row r="52" spans="37:40" x14ac:dyDescent="0.45">
      <c r="AK52">
        <v>2032</v>
      </c>
      <c r="AL52" t="s">
        <v>2033</v>
      </c>
      <c r="AM52">
        <v>0.32829999999999998</v>
      </c>
      <c r="AN52" t="s">
        <v>430</v>
      </c>
    </row>
    <row r="53" spans="37:40" x14ac:dyDescent="0.45">
      <c r="AK53">
        <v>2032</v>
      </c>
      <c r="AL53" t="s">
        <v>2034</v>
      </c>
      <c r="AM53">
        <v>0.54549999999999998</v>
      </c>
      <c r="AN53" t="s">
        <v>430</v>
      </c>
    </row>
    <row r="54" spans="37:40" x14ac:dyDescent="0.45">
      <c r="AK54">
        <v>2032</v>
      </c>
      <c r="AL54" t="s">
        <v>2036</v>
      </c>
      <c r="AM54">
        <v>0.24696666666666667</v>
      </c>
      <c r="AN54" t="s">
        <v>430</v>
      </c>
    </row>
    <row r="55" spans="37:40" x14ac:dyDescent="0.45">
      <c r="AK55">
        <v>2033</v>
      </c>
      <c r="AL55" t="s">
        <v>2031</v>
      </c>
      <c r="AM55">
        <v>0.44933333333333336</v>
      </c>
      <c r="AN55" t="s">
        <v>430</v>
      </c>
    </row>
    <row r="56" spans="37:40" x14ac:dyDescent="0.45">
      <c r="AK56">
        <v>2033</v>
      </c>
      <c r="AL56" t="s">
        <v>2033</v>
      </c>
      <c r="AM56">
        <v>0.32700000000000001</v>
      </c>
      <c r="AN56" t="s">
        <v>430</v>
      </c>
    </row>
    <row r="57" spans="37:40" x14ac:dyDescent="0.45">
      <c r="AK57">
        <v>2033</v>
      </c>
      <c r="AL57" t="s">
        <v>2034</v>
      </c>
      <c r="AM57">
        <v>0.57353333333333334</v>
      </c>
      <c r="AN57" t="s">
        <v>430</v>
      </c>
    </row>
    <row r="58" spans="37:40" x14ac:dyDescent="0.45">
      <c r="AK58">
        <v>2033</v>
      </c>
      <c r="AL58" t="s">
        <v>2036</v>
      </c>
      <c r="AM58">
        <v>0.26556666666666667</v>
      </c>
      <c r="AN58" t="s">
        <v>430</v>
      </c>
    </row>
    <row r="59" spans="37:40" x14ac:dyDescent="0.45">
      <c r="AK59">
        <v>2034</v>
      </c>
      <c r="AL59" t="s">
        <v>2031</v>
      </c>
      <c r="AM59">
        <v>0.43849999999999995</v>
      </c>
      <c r="AN59" t="s">
        <v>430</v>
      </c>
    </row>
    <row r="60" spans="37:40" x14ac:dyDescent="0.45">
      <c r="AK60">
        <v>2034</v>
      </c>
      <c r="AL60" t="s">
        <v>2033</v>
      </c>
      <c r="AM60">
        <v>0.32326666666666665</v>
      </c>
      <c r="AN60" t="s">
        <v>430</v>
      </c>
    </row>
    <row r="61" spans="37:40" x14ac:dyDescent="0.45">
      <c r="AK61">
        <v>2034</v>
      </c>
      <c r="AL61" t="s">
        <v>2034</v>
      </c>
      <c r="AM61">
        <v>0.56130000000000002</v>
      </c>
      <c r="AN61" t="s">
        <v>430</v>
      </c>
    </row>
    <row r="62" spans="37:40" x14ac:dyDescent="0.45">
      <c r="AK62">
        <v>2034</v>
      </c>
      <c r="AL62" t="s">
        <v>2036</v>
      </c>
      <c r="AM62">
        <v>0.26379999999999998</v>
      </c>
      <c r="AN62" t="s">
        <v>430</v>
      </c>
    </row>
    <row r="63" spans="37:40" x14ac:dyDescent="0.45">
      <c r="AK63">
        <v>2035</v>
      </c>
      <c r="AL63" t="s">
        <v>2031</v>
      </c>
      <c r="AM63">
        <v>0.435</v>
      </c>
      <c r="AN63" t="s">
        <v>430</v>
      </c>
    </row>
    <row r="64" spans="37:40" x14ac:dyDescent="0.45">
      <c r="AK64">
        <v>2035</v>
      </c>
      <c r="AL64" t="s">
        <v>2033</v>
      </c>
      <c r="AM64">
        <v>0.31346666666666662</v>
      </c>
      <c r="AN64" t="s">
        <v>430</v>
      </c>
    </row>
    <row r="65" spans="37:40" x14ac:dyDescent="0.45">
      <c r="AK65">
        <v>2035</v>
      </c>
      <c r="AL65" t="s">
        <v>2034</v>
      </c>
      <c r="AM65">
        <v>0.54843333333333333</v>
      </c>
      <c r="AN65" t="s">
        <v>430</v>
      </c>
    </row>
    <row r="66" spans="37:40" x14ac:dyDescent="0.45">
      <c r="AK66">
        <v>2035</v>
      </c>
      <c r="AL66" t="s">
        <v>2036</v>
      </c>
      <c r="AM66">
        <v>0.25706666666666672</v>
      </c>
      <c r="AN66" t="s">
        <v>430</v>
      </c>
    </row>
    <row r="67" spans="37:40" x14ac:dyDescent="0.45">
      <c r="AK67">
        <v>2036</v>
      </c>
      <c r="AL67" t="s">
        <v>2031</v>
      </c>
      <c r="AM67">
        <v>0.43786666666666668</v>
      </c>
      <c r="AN67" t="s">
        <v>430</v>
      </c>
    </row>
    <row r="68" spans="37:40" x14ac:dyDescent="0.45">
      <c r="AK68">
        <v>2036</v>
      </c>
      <c r="AL68" t="s">
        <v>2033</v>
      </c>
      <c r="AM68">
        <v>0.30399999999999999</v>
      </c>
      <c r="AN68" t="s">
        <v>430</v>
      </c>
    </row>
    <row r="69" spans="37:40" x14ac:dyDescent="0.45">
      <c r="AK69">
        <v>2036</v>
      </c>
      <c r="AL69" t="s">
        <v>2034</v>
      </c>
      <c r="AM69">
        <v>0.55679999999999996</v>
      </c>
      <c r="AN69" t="s">
        <v>430</v>
      </c>
    </row>
    <row r="70" spans="37:40" x14ac:dyDescent="0.45">
      <c r="AK70">
        <v>2036</v>
      </c>
      <c r="AL70" t="s">
        <v>2036</v>
      </c>
      <c r="AM70">
        <v>0.24593333333333334</v>
      </c>
      <c r="AN70" t="s">
        <v>430</v>
      </c>
    </row>
    <row r="71" spans="37:40" x14ac:dyDescent="0.45">
      <c r="AK71">
        <v>2037</v>
      </c>
      <c r="AL71" t="s">
        <v>2031</v>
      </c>
      <c r="AM71">
        <v>0.44366666666666665</v>
      </c>
      <c r="AN71" t="s">
        <v>430</v>
      </c>
    </row>
    <row r="72" spans="37:40" x14ac:dyDescent="0.45">
      <c r="AK72">
        <v>2037</v>
      </c>
      <c r="AL72" t="s">
        <v>2033</v>
      </c>
      <c r="AM72">
        <v>0.32456666666666667</v>
      </c>
      <c r="AN72" t="s">
        <v>430</v>
      </c>
    </row>
    <row r="73" spans="37:40" x14ac:dyDescent="0.45">
      <c r="AK73">
        <v>2037</v>
      </c>
      <c r="AL73" t="s">
        <v>2034</v>
      </c>
      <c r="AM73">
        <v>0.54473333333333329</v>
      </c>
      <c r="AN73" t="s">
        <v>430</v>
      </c>
    </row>
    <row r="74" spans="37:40" x14ac:dyDescent="0.45">
      <c r="AK74">
        <v>2037</v>
      </c>
      <c r="AL74" t="s">
        <v>2036</v>
      </c>
      <c r="AM74">
        <v>0.25716666666666665</v>
      </c>
      <c r="AN74" t="s">
        <v>430</v>
      </c>
    </row>
    <row r="75" spans="37:40" x14ac:dyDescent="0.45">
      <c r="AK75">
        <v>2038</v>
      </c>
      <c r="AL75" t="s">
        <v>2031</v>
      </c>
      <c r="AM75">
        <v>0.47503333333333336</v>
      </c>
      <c r="AN75" t="s">
        <v>430</v>
      </c>
    </row>
    <row r="76" spans="37:40" x14ac:dyDescent="0.45">
      <c r="AK76">
        <v>2038</v>
      </c>
      <c r="AL76" t="s">
        <v>2033</v>
      </c>
      <c r="AM76">
        <v>0.32856666666666667</v>
      </c>
      <c r="AN76" t="s">
        <v>430</v>
      </c>
    </row>
    <row r="77" spans="37:40" x14ac:dyDescent="0.45">
      <c r="AK77">
        <v>2038</v>
      </c>
      <c r="AL77" t="s">
        <v>2034</v>
      </c>
      <c r="AM77">
        <v>0.5964666666666667</v>
      </c>
      <c r="AN77" t="s">
        <v>430</v>
      </c>
    </row>
    <row r="78" spans="37:40" x14ac:dyDescent="0.45">
      <c r="AK78">
        <v>2038</v>
      </c>
      <c r="AL78" t="s">
        <v>2036</v>
      </c>
      <c r="AM78">
        <v>0.25263333333333332</v>
      </c>
      <c r="AN78" t="s">
        <v>430</v>
      </c>
    </row>
    <row r="79" spans="37:40" x14ac:dyDescent="0.45">
      <c r="AK79">
        <v>2039</v>
      </c>
      <c r="AL79" t="s">
        <v>2031</v>
      </c>
      <c r="AM79">
        <v>0.42909999999999998</v>
      </c>
      <c r="AN79" t="s">
        <v>430</v>
      </c>
    </row>
    <row r="80" spans="37:40" x14ac:dyDescent="0.45">
      <c r="AK80">
        <v>2039</v>
      </c>
      <c r="AL80" t="s">
        <v>2033</v>
      </c>
      <c r="AM80">
        <v>0.32556666666666667</v>
      </c>
      <c r="AN80" t="s">
        <v>430</v>
      </c>
    </row>
    <row r="81" spans="37:40" x14ac:dyDescent="0.45">
      <c r="AK81">
        <v>2039</v>
      </c>
      <c r="AL81" t="s">
        <v>2034</v>
      </c>
      <c r="AM81">
        <v>0.52539999999999998</v>
      </c>
      <c r="AN81" t="s">
        <v>430</v>
      </c>
    </row>
    <row r="82" spans="37:40" x14ac:dyDescent="0.45">
      <c r="AK82">
        <v>2039</v>
      </c>
      <c r="AL82" t="s">
        <v>2036</v>
      </c>
      <c r="AM82">
        <v>0.26089999999999997</v>
      </c>
      <c r="AN82" t="s">
        <v>430</v>
      </c>
    </row>
    <row r="83" spans="37:40" x14ac:dyDescent="0.45">
      <c r="AK83">
        <v>2040</v>
      </c>
      <c r="AL83" t="s">
        <v>2031</v>
      </c>
      <c r="AM83">
        <v>0.45606666666666662</v>
      </c>
      <c r="AN83" t="s">
        <v>430</v>
      </c>
    </row>
    <row r="84" spans="37:40" x14ac:dyDescent="0.45">
      <c r="AK84">
        <v>2040</v>
      </c>
      <c r="AL84" t="s">
        <v>2033</v>
      </c>
      <c r="AM84">
        <v>0.30156666666666671</v>
      </c>
      <c r="AN84" t="s">
        <v>430</v>
      </c>
    </row>
    <row r="85" spans="37:40" x14ac:dyDescent="0.45">
      <c r="AK85">
        <v>2040</v>
      </c>
      <c r="AL85" t="s">
        <v>2034</v>
      </c>
      <c r="AM85">
        <v>0.55886666666666651</v>
      </c>
      <c r="AN85" t="s">
        <v>430</v>
      </c>
    </row>
    <row r="86" spans="37:40" x14ac:dyDescent="0.45">
      <c r="AK86">
        <v>2040</v>
      </c>
      <c r="AL86" t="s">
        <v>2036</v>
      </c>
      <c r="AM86">
        <v>0.2528333333333333</v>
      </c>
      <c r="AN86" t="s">
        <v>430</v>
      </c>
    </row>
    <row r="87" spans="37:40" x14ac:dyDescent="0.45">
      <c r="AK87">
        <v>2041</v>
      </c>
      <c r="AL87" t="s">
        <v>2031</v>
      </c>
      <c r="AM87">
        <v>0.38266666666666671</v>
      </c>
      <c r="AN87" t="s">
        <v>430</v>
      </c>
    </row>
    <row r="88" spans="37:40" x14ac:dyDescent="0.45">
      <c r="AK88">
        <v>2041</v>
      </c>
      <c r="AL88" t="s">
        <v>2033</v>
      </c>
      <c r="AM88">
        <v>0.27519999999999994</v>
      </c>
      <c r="AN88" t="s">
        <v>430</v>
      </c>
    </row>
    <row r="89" spans="37:40" x14ac:dyDescent="0.45">
      <c r="AK89">
        <v>2041</v>
      </c>
      <c r="AL89" t="s">
        <v>2034</v>
      </c>
      <c r="AM89">
        <v>0.46700000000000003</v>
      </c>
      <c r="AN89" t="s">
        <v>430</v>
      </c>
    </row>
    <row r="90" spans="37:40" x14ac:dyDescent="0.45">
      <c r="AK90">
        <v>2041</v>
      </c>
      <c r="AL90" t="s">
        <v>2036</v>
      </c>
      <c r="AM90">
        <v>0.20236666666666667</v>
      </c>
      <c r="AN90" t="s">
        <v>430</v>
      </c>
    </row>
    <row r="91" spans="37:40" x14ac:dyDescent="0.45">
      <c r="AK91">
        <v>2042</v>
      </c>
      <c r="AL91" t="s">
        <v>2031</v>
      </c>
      <c r="AM91">
        <v>0.36873333333333336</v>
      </c>
      <c r="AN91" t="s">
        <v>430</v>
      </c>
    </row>
    <row r="92" spans="37:40" x14ac:dyDescent="0.45">
      <c r="AK92">
        <v>2042</v>
      </c>
      <c r="AL92" t="s">
        <v>2033</v>
      </c>
      <c r="AM92">
        <v>0.27029999999999998</v>
      </c>
      <c r="AN92" t="s">
        <v>430</v>
      </c>
    </row>
    <row r="93" spans="37:40" x14ac:dyDescent="0.45">
      <c r="AK93">
        <v>2042</v>
      </c>
      <c r="AL93" t="s">
        <v>2034</v>
      </c>
      <c r="AM93">
        <v>0.45096666666666668</v>
      </c>
      <c r="AN93" t="s">
        <v>430</v>
      </c>
    </row>
    <row r="94" spans="37:40" x14ac:dyDescent="0.45">
      <c r="AK94">
        <v>2042</v>
      </c>
      <c r="AL94" t="s">
        <v>2036</v>
      </c>
      <c r="AM94">
        <v>0.20203333333333337</v>
      </c>
      <c r="AN94" t="s">
        <v>430</v>
      </c>
    </row>
    <row r="95" spans="37:40" x14ac:dyDescent="0.45">
      <c r="AK95">
        <v>2043</v>
      </c>
      <c r="AL95" t="s">
        <v>2031</v>
      </c>
      <c r="AM95">
        <v>0.39066666666666672</v>
      </c>
      <c r="AN95" t="s">
        <v>430</v>
      </c>
    </row>
    <row r="96" spans="37:40" x14ac:dyDescent="0.45">
      <c r="AK96">
        <v>2043</v>
      </c>
      <c r="AL96" t="s">
        <v>2033</v>
      </c>
      <c r="AM96">
        <v>0.27106666666666668</v>
      </c>
      <c r="AN96" t="s">
        <v>430</v>
      </c>
    </row>
    <row r="97" spans="37:40" x14ac:dyDescent="0.45">
      <c r="AK97">
        <v>2043</v>
      </c>
      <c r="AL97" t="s">
        <v>2034</v>
      </c>
      <c r="AM97">
        <v>0.47156666666666663</v>
      </c>
      <c r="AN97" t="s">
        <v>430</v>
      </c>
    </row>
    <row r="98" spans="37:40" x14ac:dyDescent="0.45">
      <c r="AK98">
        <v>2043</v>
      </c>
      <c r="AL98" t="s">
        <v>2036</v>
      </c>
      <c r="AM98">
        <v>0.22473333333333334</v>
      </c>
      <c r="AN98" t="s">
        <v>430</v>
      </c>
    </row>
    <row r="99" spans="37:40" x14ac:dyDescent="0.45">
      <c r="AK99">
        <v>2044</v>
      </c>
      <c r="AL99" t="s">
        <v>2031</v>
      </c>
      <c r="AM99">
        <v>0.37179999999999996</v>
      </c>
      <c r="AN99" t="s">
        <v>430</v>
      </c>
    </row>
    <row r="100" spans="37:40" x14ac:dyDescent="0.45">
      <c r="AK100">
        <v>2044</v>
      </c>
      <c r="AL100" t="s">
        <v>2033</v>
      </c>
      <c r="AM100">
        <v>0.28163333333333335</v>
      </c>
      <c r="AN100" t="s">
        <v>430</v>
      </c>
    </row>
    <row r="101" spans="37:40" x14ac:dyDescent="0.45">
      <c r="AK101">
        <v>2044</v>
      </c>
      <c r="AL101" t="s">
        <v>2034</v>
      </c>
      <c r="AM101">
        <v>0.46373333333333333</v>
      </c>
      <c r="AN101" t="s">
        <v>430</v>
      </c>
    </row>
    <row r="102" spans="37:40" x14ac:dyDescent="0.45">
      <c r="AK102">
        <v>2044</v>
      </c>
      <c r="AL102" t="s">
        <v>2036</v>
      </c>
      <c r="AM102">
        <v>0.21243333333333334</v>
      </c>
      <c r="AN102" t="s">
        <v>430</v>
      </c>
    </row>
    <row r="103" spans="37:40" x14ac:dyDescent="0.45">
      <c r="AK103">
        <v>2045</v>
      </c>
      <c r="AL103" t="s">
        <v>2031</v>
      </c>
      <c r="AM103">
        <v>0.45603333333333335</v>
      </c>
      <c r="AN103" t="s">
        <v>430</v>
      </c>
    </row>
    <row r="104" spans="37:40" x14ac:dyDescent="0.45">
      <c r="AK104">
        <v>2045</v>
      </c>
      <c r="AL104" t="s">
        <v>2033</v>
      </c>
      <c r="AM104">
        <v>0.31030000000000002</v>
      </c>
      <c r="AN104" t="s">
        <v>430</v>
      </c>
    </row>
    <row r="105" spans="37:40" x14ac:dyDescent="0.45">
      <c r="AK105">
        <v>2045</v>
      </c>
      <c r="AL105" t="s">
        <v>2034</v>
      </c>
      <c r="AM105">
        <v>0.53953333333333331</v>
      </c>
      <c r="AN105" t="s">
        <v>430</v>
      </c>
    </row>
    <row r="106" spans="37:40" x14ac:dyDescent="0.45">
      <c r="AK106">
        <v>2045</v>
      </c>
      <c r="AL106" t="s">
        <v>2036</v>
      </c>
      <c r="AM106">
        <v>0.26379999999999998</v>
      </c>
      <c r="AN106" t="s">
        <v>430</v>
      </c>
    </row>
    <row r="107" spans="37:40" x14ac:dyDescent="0.45">
      <c r="AK107">
        <v>2046</v>
      </c>
      <c r="AL107" t="s">
        <v>2031</v>
      </c>
      <c r="AM107">
        <v>0.49889999999999995</v>
      </c>
      <c r="AN107" t="s">
        <v>430</v>
      </c>
    </row>
    <row r="108" spans="37:40" x14ac:dyDescent="0.45">
      <c r="AK108">
        <v>2046</v>
      </c>
      <c r="AL108" t="s">
        <v>2033</v>
      </c>
      <c r="AM108">
        <v>0.38033333333333336</v>
      </c>
      <c r="AN108" t="s">
        <v>430</v>
      </c>
    </row>
    <row r="109" spans="37:40" x14ac:dyDescent="0.45">
      <c r="AK109">
        <v>2046</v>
      </c>
      <c r="AL109" t="s">
        <v>2034</v>
      </c>
      <c r="AM109">
        <v>0.64653333333333329</v>
      </c>
      <c r="AN109" t="s">
        <v>430</v>
      </c>
    </row>
    <row r="110" spans="37:40" x14ac:dyDescent="0.45">
      <c r="AK110">
        <v>2046</v>
      </c>
      <c r="AL110" t="s">
        <v>2036</v>
      </c>
      <c r="AM110">
        <v>0.29299999999999998</v>
      </c>
      <c r="AN110" t="s">
        <v>430</v>
      </c>
    </row>
    <row r="111" spans="37:40" x14ac:dyDescent="0.45">
      <c r="AK111">
        <v>2047</v>
      </c>
      <c r="AL111" t="s">
        <v>2031</v>
      </c>
      <c r="AM111">
        <v>0.45950000000000002</v>
      </c>
      <c r="AN111" t="s">
        <v>430</v>
      </c>
    </row>
    <row r="112" spans="37:40" x14ac:dyDescent="0.45">
      <c r="AK112">
        <v>2047</v>
      </c>
      <c r="AL112" t="s">
        <v>2033</v>
      </c>
      <c r="AM112">
        <v>0.33069999999999999</v>
      </c>
      <c r="AN112" t="s">
        <v>430</v>
      </c>
    </row>
    <row r="113" spans="37:40" x14ac:dyDescent="0.45">
      <c r="AK113">
        <v>2047</v>
      </c>
      <c r="AL113" t="s">
        <v>2034</v>
      </c>
      <c r="AM113">
        <v>0.54623333333333335</v>
      </c>
      <c r="AN113" t="s">
        <v>430</v>
      </c>
    </row>
    <row r="114" spans="37:40" x14ac:dyDescent="0.45">
      <c r="AK114">
        <v>2047</v>
      </c>
      <c r="AL114" t="s">
        <v>2036</v>
      </c>
      <c r="AM114">
        <v>0.25923333333333337</v>
      </c>
      <c r="AN114" t="s">
        <v>430</v>
      </c>
    </row>
    <row r="115" spans="37:40" x14ac:dyDescent="0.45">
      <c r="AK115">
        <v>2048</v>
      </c>
      <c r="AL115" t="s">
        <v>2031</v>
      </c>
      <c r="AM115">
        <v>0.44803333333333334</v>
      </c>
      <c r="AN115" t="s">
        <v>430</v>
      </c>
    </row>
    <row r="116" spans="37:40" x14ac:dyDescent="0.45">
      <c r="AK116">
        <v>2048</v>
      </c>
      <c r="AL116" t="s">
        <v>2033</v>
      </c>
      <c r="AM116">
        <v>0.33779999999999993</v>
      </c>
      <c r="AN116" t="s">
        <v>430</v>
      </c>
    </row>
    <row r="117" spans="37:40" x14ac:dyDescent="0.45">
      <c r="AK117">
        <v>2048</v>
      </c>
      <c r="AL117" t="s">
        <v>2034</v>
      </c>
      <c r="AM117">
        <v>0.56416666666666659</v>
      </c>
      <c r="AN117" t="s">
        <v>430</v>
      </c>
    </row>
    <row r="118" spans="37:40" x14ac:dyDescent="0.45">
      <c r="AK118">
        <v>2048</v>
      </c>
      <c r="AL118" t="s">
        <v>2036</v>
      </c>
      <c r="AM118">
        <v>0.24033333333333332</v>
      </c>
      <c r="AN118" t="s">
        <v>430</v>
      </c>
    </row>
    <row r="119" spans="37:40" x14ac:dyDescent="0.45">
      <c r="AK119">
        <v>2049</v>
      </c>
      <c r="AL119" t="s">
        <v>2031</v>
      </c>
      <c r="AM119">
        <v>0.46463333333333329</v>
      </c>
      <c r="AN119" t="s">
        <v>430</v>
      </c>
    </row>
    <row r="120" spans="37:40" x14ac:dyDescent="0.45">
      <c r="AK120">
        <v>2049</v>
      </c>
      <c r="AL120" t="s">
        <v>2033</v>
      </c>
      <c r="AM120">
        <v>0.33353333333333329</v>
      </c>
      <c r="AN120" t="s">
        <v>430</v>
      </c>
    </row>
    <row r="121" spans="37:40" x14ac:dyDescent="0.45">
      <c r="AK121">
        <v>2049</v>
      </c>
      <c r="AL121" t="s">
        <v>2034</v>
      </c>
      <c r="AM121">
        <v>0.55033333333333334</v>
      </c>
      <c r="AN121" t="s">
        <v>430</v>
      </c>
    </row>
    <row r="122" spans="37:40" x14ac:dyDescent="0.45">
      <c r="AK122">
        <v>2049</v>
      </c>
      <c r="AL122" t="s">
        <v>2036</v>
      </c>
      <c r="AM122">
        <v>0.23710000000000001</v>
      </c>
      <c r="AN122" t="s">
        <v>430</v>
      </c>
    </row>
    <row r="123" spans="37:40" x14ac:dyDescent="0.45">
      <c r="AK123">
        <v>2050</v>
      </c>
      <c r="AL123" t="s">
        <v>2031</v>
      </c>
      <c r="AM123">
        <v>0.46029999999999999</v>
      </c>
      <c r="AN123" t="s">
        <v>430</v>
      </c>
    </row>
    <row r="124" spans="37:40" x14ac:dyDescent="0.45">
      <c r="AK124">
        <v>2050</v>
      </c>
      <c r="AL124" t="s">
        <v>2033</v>
      </c>
      <c r="AM124">
        <v>0.3294333333333333</v>
      </c>
      <c r="AN124" t="s">
        <v>430</v>
      </c>
    </row>
    <row r="125" spans="37:40" x14ac:dyDescent="0.45">
      <c r="AK125">
        <v>2050</v>
      </c>
      <c r="AL125" t="s">
        <v>2034</v>
      </c>
      <c r="AM125">
        <v>0.54703333333333337</v>
      </c>
      <c r="AN125" t="s">
        <v>430</v>
      </c>
    </row>
    <row r="126" spans="37:40" x14ac:dyDescent="0.45">
      <c r="AK126">
        <v>2050</v>
      </c>
      <c r="AL126" t="s">
        <v>2036</v>
      </c>
      <c r="AM126">
        <v>0.2545</v>
      </c>
      <c r="AN126" t="s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Veda</vt:lpstr>
      <vt:lpstr>fuel_prices</vt:lpstr>
      <vt:lpstr>iea_data</vt:lpstr>
      <vt:lpstr>ar6_r10</vt:lpstr>
      <vt:lpstr>ev_charging_uc</vt:lpstr>
      <vt:lpstr>s1p1v1_d</vt:lpstr>
      <vt:lpstr>s3p3v3_d</vt:lpstr>
      <vt:lpstr>s5p5v5_d</vt:lpstr>
      <vt:lpstr>s2_w</vt:lpstr>
      <vt:lpstr>s2_w_p2_d</vt:lpstr>
      <vt:lpstr>ts_012</vt:lpstr>
      <vt:lpstr>ts_024</vt:lpstr>
      <vt:lpstr>ts_048</vt:lpstr>
      <vt:lpstr>ts_064</vt:lpstr>
      <vt:lpstr>ts_096P50</vt:lpstr>
      <vt:lpstr>ts_096P10</vt:lpstr>
      <vt:lpstr>ts_096P90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2025-09-11T13:50:36Z</dcterms:modified>
</cp:coreProperties>
</file>