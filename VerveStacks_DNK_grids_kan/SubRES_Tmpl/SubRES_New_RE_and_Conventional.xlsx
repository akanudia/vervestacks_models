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DNK_grids_kan\SubRES_Tmpl\"/>
    </mc:Choice>
  </mc:AlternateContent>
  <xr:revisionPtr revIDLastSave="0" documentId="8_{5135B94A-EB6B-4051-9E4F-3E627AC08875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  <sheet name="grid_transformers" sheetId="15" r:id="rId8"/>
  </sheets>
  <externalReferences>
    <externalReference r:id="rId9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7" l="1"/>
  <c r="L27" i="7"/>
  <c r="J24" i="7"/>
  <c r="J26" i="7"/>
  <c r="J25" i="7"/>
  <c r="J23" i="7"/>
  <c r="J20" i="7"/>
  <c r="O26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F8" i="10" l="1"/>
  <c r="G8" i="10"/>
  <c r="J28" i="7" l="1"/>
  <c r="J27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25" i="7"/>
  <c r="O24" i="7"/>
  <c r="O19" i="7"/>
  <c r="O23" i="7"/>
  <c r="O21" i="7"/>
  <c r="O20" i="7"/>
  <c r="O18" i="7"/>
  <c r="O17" i="7"/>
  <c r="O22" i="7"/>
  <c r="J17" i="7"/>
  <c r="J15" i="7"/>
  <c r="J14" i="7"/>
  <c r="J13" i="7"/>
</calcChain>
</file>

<file path=xl/sharedStrings.xml><?xml version="1.0" encoding="utf-8"?>
<sst xmlns="http://schemas.openxmlformats.org/spreadsheetml/2006/main" count="1504" uniqueCount="428">
  <si>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</si>
  <si>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</si>
  <si>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</si>
  <si>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</si>
  <si>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</si>
  <si>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</si>
  <si>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</si>
  <si>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</si>
  <si>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</si>
  <si>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</si>
  <si>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</si>
  <si>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</si>
  <si>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</si>
  <si>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</si>
  <si>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</si>
  <si>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</si>
  <si>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</si>
  <si>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</si>
  <si>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</si>
  <si>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</si>
  <si>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</si>
  <si>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</si>
  <si>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</si>
  <si>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</si>
  <si>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</si>
  <si>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</si>
  <si>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</si>
  <si>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</si>
  <si>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</si>
  <si>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</si>
  <si>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</si>
  <si>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</si>
  <si>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</si>
  <si>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</si>
  <si>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</si>
  <si>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</si>
  <si>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</si>
  <si>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</si>
  <si>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</si>
  <si>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</si>
  <si>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</si>
  <si>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</si>
  <si>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</si>
  <si>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</si>
  <si>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</si>
  <si>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</si>
  <si>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</si>
  <si>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</si>
  <si>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</si>
  <si>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</si>
  <si>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</si>
  <si>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</si>
  <si>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</si>
  <si>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</si>
  <si>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</si>
  <si>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</si>
  <si>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</si>
  <si>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</si>
  <si>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</si>
  <si>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</si>
  <si>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</si>
  <si>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</si>
  <si>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</si>
  <si>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</si>
  <si>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</si>
  <si>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</si>
  <si>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</si>
  <si>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</si>
  <si>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</si>
  <si>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</si>
  <si>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</si>
  <si>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</si>
  <si>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</si>
  <si>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</si>
  <si>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</si>
  <si>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</si>
  <si>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</si>
  <si>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</si>
  <si>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</si>
  <si>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</si>
  <si>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</si>
  <si>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</si>
  <si>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</si>
  <si>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</si>
  <si>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</si>
  <si>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</si>
  <si>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</si>
  <si>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</si>
  <si>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</si>
  <si>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</si>
  <si>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</si>
  <si>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</si>
  <si>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</si>
  <si>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</si>
  <si>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</si>
  <si>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</si>
  <si>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</si>
  <si>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</si>
  <si>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</si>
  <si>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</si>
  <si>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</si>
  <si>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</si>
  <si>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</si>
  <si>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</si>
  <si>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</si>
  <si>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</si>
  <si>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</si>
  <si>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</si>
  <si>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</si>
  <si>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</si>
  <si>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</si>
  <si>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</si>
  <si>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</si>
  <si>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</si>
  <si>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</si>
  <si>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</si>
  <si>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</si>
  <si>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</si>
  <si>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</si>
  <si>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</si>
  <si>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</si>
  <si>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</si>
  <si>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</si>
  <si>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</si>
  <si>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</si>
  <si>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</si>
  <si>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</si>
  <si>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</si>
  <si>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</si>
  <si>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</si>
  <si>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</si>
  <si>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</si>
  <si>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</si>
  <si>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</si>
  <si>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</si>
  <si>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</si>
  <si>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</si>
  <si>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</si>
  <si>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</si>
  <si>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</si>
  <si>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</si>
  <si>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</si>
  <si>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</si>
  <si>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</si>
  <si>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</si>
  <si>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</si>
  <si>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</si>
  <si>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</si>
  <si>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</si>
  <si>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</si>
  <si>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</si>
  <si>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</si>
  <si>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</si>
  <si>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</si>
  <si>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</si>
  <si>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</si>
  <si>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</si>
  <si>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</si>
  <si>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</si>
  <si>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</si>
  <si>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</si>
  <si>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</si>
  <si>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</si>
  <si>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</si>
  <si>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</si>
  <si>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</si>
  <si>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</si>
  <si>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</si>
  <si>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</si>
  <si>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</si>
  <si>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</si>
  <si>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</si>
  <si>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e_spv_001</t>
  </si>
  <si>
    <t>solar resource in cluster 1</t>
  </si>
  <si>
    <t>annual</t>
  </si>
  <si>
    <t>no</t>
  </si>
  <si>
    <t>e_spv_002</t>
  </si>
  <si>
    <t>solar resource in cluster 2</t>
  </si>
  <si>
    <t>e_spv_003</t>
  </si>
  <si>
    <t>solar resource in cluster 3</t>
  </si>
  <si>
    <t>e_spv_004</t>
  </si>
  <si>
    <t>solar resource in cluster 4</t>
  </si>
  <si>
    <t>e_spv_005</t>
  </si>
  <si>
    <t>solar resource in cluster 5</t>
  </si>
  <si>
    <t>e_spv_006</t>
  </si>
  <si>
    <t>solar resource in cluster 6</t>
  </si>
  <si>
    <t>e_spv_007</t>
  </si>
  <si>
    <t>solar resource in cluster 7</t>
  </si>
  <si>
    <t>e_spv_008</t>
  </si>
  <si>
    <t>solar resource in cluster 8</t>
  </si>
  <si>
    <t>e_spv_009</t>
  </si>
  <si>
    <t>solar resource in cluster 9</t>
  </si>
  <si>
    <t>e_spv_010</t>
  </si>
  <si>
    <t>solar resource in cluster 10</t>
  </si>
  <si>
    <t>~fi_t</t>
  </si>
  <si>
    <t>comm-out</t>
  </si>
  <si>
    <t>cap_bnd</t>
  </si>
  <si>
    <t>af~fx</t>
  </si>
  <si>
    <t>elc_spv_001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</si>
  <si>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</si>
  <si>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</si>
  <si>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</si>
  <si>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</si>
  <si>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</si>
  <si>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</si>
  <si>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</si>
  <si>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</si>
  <si>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</si>
  <si>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primarycg</t>
  </si>
  <si>
    <t>pre</t>
  </si>
  <si>
    <t>distr_solelc_spv_006</t>
  </si>
  <si>
    <t>connecting solar to buses in cluster 6</t>
  </si>
  <si>
    <t>NRGI</t>
  </si>
  <si>
    <t>daynite</t>
  </si>
  <si>
    <t>distr_solelc_spv_002</t>
  </si>
  <si>
    <t>connecting solar to buses in cluster 2</t>
  </si>
  <si>
    <t>distr_solelc_spv_010</t>
  </si>
  <si>
    <t>connecting solar to buses in cluster 10</t>
  </si>
  <si>
    <t>distr_solelc_spv_009</t>
  </si>
  <si>
    <t>connecting solar to buses in cluster 9</t>
  </si>
  <si>
    <t>distr_solelc_spv_008</t>
  </si>
  <si>
    <t>connecting solar to buses in cluster 8</t>
  </si>
  <si>
    <t>distr_solelc_spv_001</t>
  </si>
  <si>
    <t>connecting solar to buses in cluster 1</t>
  </si>
  <si>
    <t>distr_solelc_spv_005</t>
  </si>
  <si>
    <t>connecting solar to buses in cluster 5</t>
  </si>
  <si>
    <t>distr_solelc_spv_003</t>
  </si>
  <si>
    <t>connecting solar to buses in cluster 3</t>
  </si>
  <si>
    <t>distr_solelc_spv_004</t>
  </si>
  <si>
    <t>connecting solar to buses in cluster 4</t>
  </si>
  <si>
    <t>distr_solelc_spv_007</t>
  </si>
  <si>
    <t>connecting solar to buses in cluster 7</t>
  </si>
  <si>
    <t>comm-in</t>
  </si>
  <si>
    <t>ncap_cost~USD21_alt</t>
  </si>
  <si>
    <t>e_w98524305-400,e_w98216482,e_DK6-220,e_w214266451-220</t>
  </si>
  <si>
    <t>e_w160792651-400,e_w133082281-400,e_w214266451-220,e_w25637523-400,e_w131339683-400</t>
  </si>
  <si>
    <t>e_DK26-400,e_DK18-400,e_DK27-400,e_w95840891-400</t>
  </si>
  <si>
    <t>e_DK15-400,e_DK8-400,e_DK16-400,e_w95868396-400</t>
  </si>
  <si>
    <t>e_w69424173-400,e_w1384028957-400,e_w1384028957</t>
  </si>
  <si>
    <t>e_w142321228,e_w26953215-220,e_DK22-220</t>
  </si>
  <si>
    <t>e_w98212652-400,e_w98216482-400</t>
  </si>
  <si>
    <t>e_w97010538-400,e_w1271587272</t>
  </si>
  <si>
    <t>e_w97010538-400,e_w98033206-400,e_DK3-400</t>
  </si>
  <si>
    <t>e_w69424173-400,e_w95713495-400,e_w94092312-400,e_DK6-220</t>
  </si>
  <si>
    <t>distr_wonelc_won_006</t>
  </si>
  <si>
    <t>connecting wind onshore to buses in cluster 6</t>
  </si>
  <si>
    <t>distr_wonelc_won_005</t>
  </si>
  <si>
    <t>connecting wind onshore to buses in cluster 5</t>
  </si>
  <si>
    <t>distr_wonelc_won_007</t>
  </si>
  <si>
    <t>connecting wind onshore to buses in cluster 7</t>
  </si>
  <si>
    <t>distr_wonelc_won_008</t>
  </si>
  <si>
    <t>connecting wind onshore to buses in cluster 8</t>
  </si>
  <si>
    <t>distr_wonelc_won_002</t>
  </si>
  <si>
    <t>connecting wind onshore to buses in cluster 2</t>
  </si>
  <si>
    <t>distr_wonelc_won_009</t>
  </si>
  <si>
    <t>connecting wind onshore to buses in cluster 9</t>
  </si>
  <si>
    <t>distr_wonelc_won_001</t>
  </si>
  <si>
    <t>connecting wind onshore to buses in cluster 1</t>
  </si>
  <si>
    <t>distr_wonelc_won_010</t>
  </si>
  <si>
    <t>connecting wind onshore to buses in cluster 10</t>
  </si>
  <si>
    <t>distr_wonelc_won_004</t>
  </si>
  <si>
    <t>connecting wind onshore to buses in cluster 4</t>
  </si>
  <si>
    <t>distr_wonelc_won_003</t>
  </si>
  <si>
    <t>connecting wind onshore to buses in cluster 3</t>
  </si>
  <si>
    <t>elc_won_006</t>
  </si>
  <si>
    <t>elc_won_005</t>
  </si>
  <si>
    <t>elc_won_007</t>
  </si>
  <si>
    <t>elc_won_008</t>
  </si>
  <si>
    <t>e_DK15-400,e_DK8-400,e_w97010538-400,e_DK16-400,e_w95868396-400,e_w1271587272</t>
  </si>
  <si>
    <t>elc_won_002</t>
  </si>
  <si>
    <t>elc_won_009</t>
  </si>
  <si>
    <t>e_DK27-400,e_w95840891-400</t>
  </si>
  <si>
    <t>elc_won_001</t>
  </si>
  <si>
    <t>elc_won_010</t>
  </si>
  <si>
    <t>e_DK26-400,e_DK18-400</t>
  </si>
  <si>
    <t>elc_won_004</t>
  </si>
  <si>
    <t>elc_won_003</t>
  </si>
  <si>
    <t>distr_wofelc_wof_005</t>
  </si>
  <si>
    <t>connecting wind offshore to buses in cluster 5</t>
  </si>
  <si>
    <t>distr_wofelc_wof_009</t>
  </si>
  <si>
    <t>connecting wind offshore to buses in cluster 9</t>
  </si>
  <si>
    <t>distr_wofelc_wof_007</t>
  </si>
  <si>
    <t>connecting wind offshore to buses in cluster 7</t>
  </si>
  <si>
    <t>distr_wofelc_wof_008</t>
  </si>
  <si>
    <t>connecting wind offshore to buses in cluster 8</t>
  </si>
  <si>
    <t>distr_wofelc_wof_010</t>
  </si>
  <si>
    <t>connecting wind offshore to buses in cluster 10</t>
  </si>
  <si>
    <t>distr_wofelc_wof_004</t>
  </si>
  <si>
    <t>connecting wind offshore to buses in cluster 4</t>
  </si>
  <si>
    <t>distr_wofelc_wof_002</t>
  </si>
  <si>
    <t>connecting wind offshore to buses in cluster 2</t>
  </si>
  <si>
    <t>distr_wofelc_wof_006</t>
  </si>
  <si>
    <t>connecting wind offshore to buses in cluster 6</t>
  </si>
  <si>
    <t>distr_wofelc_wof_003</t>
  </si>
  <si>
    <t>connecting wind offshore to buses in cluster 3</t>
  </si>
  <si>
    <t>distr_wofelc_wof_001</t>
  </si>
  <si>
    <t>connecting wind offshore to buses in cluster 1</t>
  </si>
  <si>
    <t>elc_wof_005</t>
  </si>
  <si>
    <t>e_w98216482-400,e_w214266451-220</t>
  </si>
  <si>
    <t>elc_wof_009</t>
  </si>
  <si>
    <t>e_DK14-220</t>
  </si>
  <si>
    <t>elc_wof_007</t>
  </si>
  <si>
    <t>elc_wof_008</t>
  </si>
  <si>
    <t>e_w97010538-400</t>
  </si>
  <si>
    <t>elc_wof_010</t>
  </si>
  <si>
    <t>elc_wof_004</t>
  </si>
  <si>
    <t>e_w97010538-400,e_DK3-400,e_w98212652-400</t>
  </si>
  <si>
    <t>elc_wof_002</t>
  </si>
  <si>
    <t>e_DK9-400</t>
  </si>
  <si>
    <t>elc_wof_006</t>
  </si>
  <si>
    <t>e_w214266451-220,e_w131339683-400</t>
  </si>
  <si>
    <t>elc_wof_003</t>
  </si>
  <si>
    <t>e_DK23-220</t>
  </si>
  <si>
    <t>elc_wof_001</t>
  </si>
  <si>
    <t>e_w1384028957-400,e_w1384028957,e_w160792651</t>
  </si>
  <si>
    <t>e_won_001</t>
  </si>
  <si>
    <t>wind resource in cluster 1</t>
  </si>
  <si>
    <t>e_won_002</t>
  </si>
  <si>
    <t>wind resource in cluster 2</t>
  </si>
  <si>
    <t>e_won_003</t>
  </si>
  <si>
    <t>wind resource in cluster 3</t>
  </si>
  <si>
    <t>e_won_004</t>
  </si>
  <si>
    <t>wind resource in cluster 4</t>
  </si>
  <si>
    <t>e_won_005</t>
  </si>
  <si>
    <t>wind resource in cluster 5</t>
  </si>
  <si>
    <t>e_won_006</t>
  </si>
  <si>
    <t>wind resource in cluster 6</t>
  </si>
  <si>
    <t>e_won_007</t>
  </si>
  <si>
    <t>wind resource in cluster 7</t>
  </si>
  <si>
    <t>e_won_008</t>
  </si>
  <si>
    <t>wind resource in cluster 8</t>
  </si>
  <si>
    <t>e_won_009</t>
  </si>
  <si>
    <t>wind resource in cluster 9</t>
  </si>
  <si>
    <t>e_won_010</t>
  </si>
  <si>
    <t>wind resource in cluster 10</t>
  </si>
  <si>
    <t>e_wof_001</t>
  </si>
  <si>
    <t>wind offshore resource in cluster 1</t>
  </si>
  <si>
    <t>e_wof_002</t>
  </si>
  <si>
    <t>wind offshore resource in cluster 2</t>
  </si>
  <si>
    <t>e_wof_003</t>
  </si>
  <si>
    <t>wind offshore resource in cluster 3</t>
  </si>
  <si>
    <t>e_wof_004</t>
  </si>
  <si>
    <t>wind offshore resource in cluster 4</t>
  </si>
  <si>
    <t>e_wof_005</t>
  </si>
  <si>
    <t>wind offshore resource in cluster 5</t>
  </si>
  <si>
    <t>e_wof_006</t>
  </si>
  <si>
    <t>wind offshore resource in cluster 6</t>
  </si>
  <si>
    <t>e_wof_007</t>
  </si>
  <si>
    <t>wind offshore resource in cluster 7</t>
  </si>
  <si>
    <t>e_wof_008</t>
  </si>
  <si>
    <t>wind offshore resource in cluster 8</t>
  </si>
  <si>
    <t>e_wof_009</t>
  </si>
  <si>
    <t>wind offshore resource in cluster 9</t>
  </si>
  <si>
    <t>e_wof_010</t>
  </si>
  <si>
    <t>wind offshore resource in cluster 10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</si>
  <si>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</si>
  <si>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</si>
  <si>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</si>
  <si>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</si>
  <si>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</si>
  <si>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</si>
  <si>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</si>
  <si>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</si>
  <si>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</si>
  <si>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</si>
  <si>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</si>
  <si>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</si>
  <si>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</si>
  <si>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</si>
  <si>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</si>
  <si>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</si>
  <si>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</si>
  <si>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</si>
  <si>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</si>
  <si>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</si>
  <si>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</si>
  <si>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</si>
  <si>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yes</t>
  </si>
  <si>
    <t>stepdown_w1271587268_400to350</t>
  </si>
  <si>
    <t>e_w1271587268-400</t>
  </si>
  <si>
    <t>e_w1271587268</t>
  </si>
  <si>
    <t>stepup_w1271587268_350to400</t>
  </si>
  <si>
    <t>stepdown_w1284726676_400to220</t>
  </si>
  <si>
    <t>e_w1284726676-400</t>
  </si>
  <si>
    <t>e_w1284726676-220</t>
  </si>
  <si>
    <t>stepup_w1284726676_220to400</t>
  </si>
  <si>
    <t>stepdown_w1384028957_400to400</t>
  </si>
  <si>
    <t>e_w1384028957-400</t>
  </si>
  <si>
    <t>e_w1384028957</t>
  </si>
  <si>
    <t>stepup_w1384028957_400to400</t>
  </si>
  <si>
    <t>stepdown_w160792651_400to400</t>
  </si>
  <si>
    <t>e_w160792651-400</t>
  </si>
  <si>
    <t>e_w160792651</t>
  </si>
  <si>
    <t>stepup_w160792651_400to400</t>
  </si>
  <si>
    <t>stepdown_w26931725_400to220</t>
  </si>
  <si>
    <t>e_w26931725-400</t>
  </si>
  <si>
    <t>e_w26931725-220</t>
  </si>
  <si>
    <t>stepup_w26931725_220to400</t>
  </si>
  <si>
    <t>stepdown_w26953215_400to220</t>
  </si>
  <si>
    <t>e_w26953215-400</t>
  </si>
  <si>
    <t>e_w26953215-220</t>
  </si>
  <si>
    <t>stepup_w26953215_220to400</t>
  </si>
  <si>
    <t>stepdown_w98216482_400to300</t>
  </si>
  <si>
    <t>e_w98216482-400</t>
  </si>
  <si>
    <t>e_w98216482</t>
  </si>
  <si>
    <t>stepup_w98216482_300to400</t>
  </si>
  <si>
    <t>stepdown_w98526640_400to220</t>
  </si>
  <si>
    <t>e_w98526640-400</t>
  </si>
  <si>
    <t>e_w98526640-220</t>
  </si>
  <si>
    <t>stepup_w98526640_220to400</t>
  </si>
  <si>
    <t>activityunit</t>
  </si>
  <si>
    <t>capacityunit</t>
  </si>
  <si>
    <t>Transformer: e_w1271587268-400 → e_w1271587268</t>
  </si>
  <si>
    <t>Transformer: e_w1271587268 → e_w1271587268-400</t>
  </si>
  <si>
    <t>Transformer: e_w1284726676-400 → e_w1284726676-220</t>
  </si>
  <si>
    <t>Transformer: e_w1284726676-220 → e_w1284726676-400</t>
  </si>
  <si>
    <t>Transformer: e_w1384028957-400 → e_w1384028957</t>
  </si>
  <si>
    <t>Transformer: e_w1384028957 → e_w1384028957-400</t>
  </si>
  <si>
    <t>Transformer: e_w160792651-400 → e_w160792651</t>
  </si>
  <si>
    <t>Transformer: e_w160792651 → e_w160792651-400</t>
  </si>
  <si>
    <t>Transformer: e_w26931725-400 → e_w26931725-220</t>
  </si>
  <si>
    <t>Transformer: e_w26931725-220 → e_w26931725-400</t>
  </si>
  <si>
    <t>Transformer: e_w26953215-400 → e_w26953215-220</t>
  </si>
  <si>
    <t>Transformer: e_w26953215-220 → e_w26953215-400</t>
  </si>
  <si>
    <t>Transformer: e_w98216482-400 → e_w98216482</t>
  </si>
  <si>
    <t>Transformer: e_w98216482 → e_w98216482-400</t>
  </si>
  <si>
    <t>Transformer: e_w98526640-400 → e_w98526640-220</t>
  </si>
  <si>
    <t>Transformer: e_w98526640-220 → e_w98526640-400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</si>
</sst>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21" fillId="17" borderId="0" applyNumberFormat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21" fillId="17" borderId="0" xfId="19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8"/>
  <sheetViews>
    <sheetView workbookViewId="0">
      <selection activeCell="V28" sqref="V28"/>
    </sheetView>
  </sheetViews>
  <sheetFormatPr defaultRowHeight="14.25"/>
  <cols>
    <col min="2" max="2" width="12.19921875" bestFit="1" customWidth="1"/>
    <col min="3" max="3" width="17.9296875" bestFit="1" customWidth="1"/>
    <col min="4" max="4" width="19.33203125" bestFit="1" customWidth="1"/>
    <col min="5" max="5" width="4.3984375" bestFit="1" customWidth="1"/>
    <col min="6" max="6" width="4.6640625" bestFit="1" customWidth="1"/>
    <col min="7" max="7" width="7.59765625" bestFit="1" customWidth="1"/>
    <col min="10" max="10" width="17.9296875" bestFit="1" customWidth="1"/>
    <col min="11" max="11" width="8.3984375" bestFit="1" customWidth="1"/>
    <col min="12" max="12" width="32.19921875" bestFit="1" customWidth="1"/>
    <col min="13" max="13" width="3.3984375" bestFit="1" customWidth="1"/>
    <col min="14" max="14" width="7.86328125" bestFit="1" customWidth="1"/>
    <col min="15" max="15" width="7.1328125" bestFit="1" customWidth="1"/>
    <col min="16" max="16" width="4.73046875" bestFit="1" customWidth="1"/>
    <col min="17" max="17" width="1.73046875" bestFit="1" customWidth="1"/>
    <col min="18" max="18" width="6.53125" bestFit="1" customWidth="1"/>
    <col min="19" max="19" width="3.265625" bestFit="1" customWidth="1"/>
    <col min="22" max="22" width="4.265625" bestFit="1" customWidth="1"/>
  </cols>
  <sheetData>
    <row r="11" spans="2:22" ht="17.25" thickBot="1">
      <c r="B11" s="143" t="s">
        <v>0</v>
      </c>
      <c r="L11" s="143" t="s">
        <v>102</v>
      </c>
      <c r="N11" s="1"/>
      <c r="O11" s="1"/>
      <c r="P11" s="1"/>
      <c r="Q11" s="1"/>
    </row>
    <row r="12" spans="2:22" ht="1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30</v>
      </c>
      <c r="P12" s="2">
        <v>2022</v>
      </c>
      <c r="Q12" s="2">
        <v>0</v>
      </c>
      <c r="R12" s="2" t="s">
        <v>101</v>
      </c>
      <c r="S12" s="2" t="s">
        <v>105</v>
      </c>
    </row>
    <row r="13" spans="2:22">
      <c r="B13" s="1" t="s">
        <v>17</v>
      </c>
      <c r="C13" s="1" t="s">
        <v>13</v>
      </c>
      <c r="E13" s="1" t="s">
        <v>21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21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20</v>
      </c>
      <c r="C15" t="s">
        <v>104</v>
      </c>
      <c r="D15" s="1" t="s">
        <v>106</v>
      </c>
      <c r="E15" s="1" t="s">
        <v>21</v>
      </c>
      <c r="F15" t="s">
        <v>10</v>
      </c>
      <c r="G15" s="1"/>
      <c r="H15" s="1"/>
      <c r="I15" s="1"/>
      <c r="J15" s="1" t="str">
        <f>C15</f>
        <v>e_demand</v>
      </c>
      <c r="K15" s="1" t="s">
        <v>19</v>
      </c>
      <c r="L15" t="s">
        <v>22</v>
      </c>
      <c r="M15" s="1">
        <v>1</v>
      </c>
      <c r="N15" s="1">
        <v>8.76</v>
      </c>
      <c r="O15" s="1"/>
      <c r="P15" s="1"/>
      <c r="Q15" s="1"/>
      <c r="V15" t="s">
        <v>100</v>
      </c>
    </row>
    <row r="16" spans="2:22">
      <c r="B16" t="s">
        <v>20</v>
      </c>
      <c r="C16" t="s">
        <v>147</v>
      </c>
      <c r="D16" s="1" t="s">
        <v>148</v>
      </c>
      <c r="E16" s="1" t="s">
        <v>21</v>
      </c>
      <c r="F16" t="s">
        <v>10</v>
      </c>
      <c r="G16" s="1"/>
      <c r="H16" s="1"/>
      <c r="I16" s="1"/>
      <c r="J16" s="1" t="str">
        <f>C16</f>
        <v>h_demand</v>
      </c>
      <c r="K16" s="1" t="s">
        <v>35</v>
      </c>
      <c r="L16" t="s">
        <v>149</v>
      </c>
      <c r="M16" s="1">
        <v>1</v>
      </c>
      <c r="N16" s="1">
        <v>8.76</v>
      </c>
      <c r="O16" s="1"/>
      <c r="P16" s="1"/>
      <c r="Q16" s="1"/>
    </row>
    <row r="17" spans="2:22">
      <c r="B17" t="s">
        <v>29</v>
      </c>
      <c r="C17" t="s">
        <v>98</v>
      </c>
      <c r="D17" s="1"/>
      <c r="E17" s="1" t="s">
        <v>21</v>
      </c>
      <c r="F17" t="s">
        <v>10</v>
      </c>
      <c r="G17" t="s">
        <v>14</v>
      </c>
      <c r="H17" s="1"/>
      <c r="I17" s="1"/>
      <c r="J17" s="1" t="str">
        <f>C19</f>
        <v>fossil_supply</v>
      </c>
      <c r="K17" s="1"/>
      <c r="L17" s="1" t="s">
        <v>32</v>
      </c>
      <c r="M17" s="1"/>
      <c r="N17" s="1"/>
      <c r="O17" s="1">
        <f t="shared" ref="O17:O21" si="0">V17*3.6</f>
        <v>7.2</v>
      </c>
      <c r="P17" s="1"/>
      <c r="V17" s="1">
        <v>2</v>
      </c>
    </row>
    <row r="18" spans="2:22">
      <c r="B18" t="s">
        <v>97</v>
      </c>
      <c r="C18" t="s">
        <v>99</v>
      </c>
      <c r="D18" s="1"/>
      <c r="E18" s="1" t="s">
        <v>21</v>
      </c>
      <c r="F18" t="s">
        <v>10</v>
      </c>
      <c r="G18" t="s">
        <v>14</v>
      </c>
      <c r="H18" s="1"/>
      <c r="I18" s="1"/>
      <c r="K18" s="1"/>
      <c r="L18" s="1" t="s">
        <v>33</v>
      </c>
      <c r="M18" s="1"/>
      <c r="N18" s="1"/>
      <c r="O18" s="1">
        <f t="shared" si="0"/>
        <v>18</v>
      </c>
      <c r="P18" s="1"/>
      <c r="V18" s="1">
        <v>5</v>
      </c>
    </row>
    <row r="19" spans="2:22">
      <c r="B19" s="1" t="s">
        <v>29</v>
      </c>
      <c r="C19" s="1" t="s">
        <v>152</v>
      </c>
      <c r="D19" s="1" t="s">
        <v>107</v>
      </c>
      <c r="E19" s="1" t="s">
        <v>21</v>
      </c>
      <c r="F19" t="s">
        <v>10</v>
      </c>
      <c r="G19" s="1"/>
      <c r="H19" s="1"/>
      <c r="I19" s="1"/>
      <c r="K19" s="1"/>
      <c r="L19" s="1" t="s">
        <v>37</v>
      </c>
      <c r="M19" s="1"/>
      <c r="N19" s="1"/>
      <c r="O19" s="1">
        <f>V19*3.6</f>
        <v>36</v>
      </c>
      <c r="P19" s="1"/>
      <c r="V19">
        <v>10</v>
      </c>
    </row>
    <row r="20" spans="2:22">
      <c r="B20" s="1" t="s">
        <v>29</v>
      </c>
      <c r="C20" s="1" t="s">
        <v>154</v>
      </c>
      <c r="D20" s="1" t="s">
        <v>153</v>
      </c>
      <c r="E20" s="1" t="s">
        <v>21</v>
      </c>
      <c r="F20" t="s">
        <v>10</v>
      </c>
      <c r="G20" s="1"/>
      <c r="H20" s="1"/>
      <c r="I20" s="1"/>
      <c r="J20" s="1" t="str">
        <f>C20</f>
        <v>renewable</v>
      </c>
      <c r="K20" s="1"/>
      <c r="L20" s="1" t="s">
        <v>34</v>
      </c>
      <c r="M20" s="1"/>
      <c r="N20" s="1"/>
      <c r="O20" s="1">
        <f t="shared" si="0"/>
        <v>0.36000000000000004</v>
      </c>
      <c r="P20" s="1"/>
      <c r="V20">
        <v>0.1</v>
      </c>
    </row>
    <row r="21" spans="2:22">
      <c r="B21" s="1" t="s">
        <v>29</v>
      </c>
      <c r="C21" s="1" t="s">
        <v>155</v>
      </c>
      <c r="D21" s="1" t="s">
        <v>156</v>
      </c>
      <c r="E21" s="1" t="s">
        <v>21</v>
      </c>
      <c r="F21" t="s">
        <v>10</v>
      </c>
      <c r="G21" s="1"/>
      <c r="H21" s="1"/>
      <c r="I21" s="1"/>
      <c r="K21" s="1"/>
      <c r="L21" s="1" t="s">
        <v>28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29</v>
      </c>
      <c r="C22" s="1" t="s">
        <v>157</v>
      </c>
      <c r="D22" s="1" t="s">
        <v>160</v>
      </c>
      <c r="E22" s="1" t="s">
        <v>21</v>
      </c>
      <c r="F22" t="s">
        <v>10</v>
      </c>
      <c r="G22" s="1"/>
      <c r="H22" s="1"/>
      <c r="I22" s="1"/>
      <c r="L22" s="1" t="s">
        <v>31</v>
      </c>
      <c r="M22" s="1"/>
      <c r="N22" s="1"/>
      <c r="O22" s="1">
        <f>V22*3.6</f>
        <v>25.2</v>
      </c>
      <c r="P22" s="1"/>
      <c r="V22" s="1">
        <v>7</v>
      </c>
    </row>
    <row r="23" spans="2:22">
      <c r="B23" s="1" t="s">
        <v>29</v>
      </c>
      <c r="C23" t="s">
        <v>158</v>
      </c>
      <c r="D23" t="s">
        <v>161</v>
      </c>
      <c r="E23" s="1" t="s">
        <v>21</v>
      </c>
      <c r="F23" t="s">
        <v>10</v>
      </c>
      <c r="G23" s="1"/>
      <c r="H23" s="1"/>
      <c r="I23" s="1"/>
      <c r="J23" s="1" t="str">
        <f>C21</f>
        <v>nuclear_fuel</v>
      </c>
      <c r="K23" s="1"/>
      <c r="L23" s="1" t="s">
        <v>36</v>
      </c>
      <c r="M23" s="1"/>
      <c r="N23" s="1"/>
      <c r="O23" s="1">
        <f>V23*3.6</f>
        <v>0.36000000000000004</v>
      </c>
      <c r="P23" s="1"/>
      <c r="V23">
        <v>0.1</v>
      </c>
    </row>
    <row r="24" spans="2:22">
      <c r="B24" s="1" t="s">
        <v>29</v>
      </c>
      <c r="C24" t="s">
        <v>159</v>
      </c>
      <c r="D24" t="s">
        <v>162</v>
      </c>
      <c r="E24" s="1" t="s">
        <v>21</v>
      </c>
      <c r="F24" t="s">
        <v>10</v>
      </c>
      <c r="G24" s="1"/>
      <c r="H24" s="1"/>
      <c r="I24" s="1"/>
      <c r="J24" s="1" t="str">
        <f>C22</f>
        <v>solar_potential</v>
      </c>
      <c r="K24" s="1"/>
      <c r="L24" s="1" t="s">
        <v>27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/>
      <c r="C25" s="1"/>
      <c r="D25" s="1"/>
      <c r="E25" s="1"/>
      <c r="F25" s="1"/>
      <c r="G25" s="1"/>
      <c r="H25" s="1"/>
      <c r="I25" s="1"/>
      <c r="J25" s="1" t="str">
        <f>C23</f>
        <v>winon_potential</v>
      </c>
      <c r="K25" s="1"/>
      <c r="L25" s="1" t="s">
        <v>150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winoff_potential</v>
      </c>
      <c r="K26" s="1"/>
      <c r="L26" s="1" t="s">
        <v>151</v>
      </c>
      <c r="M26" s="1"/>
      <c r="N26" s="1"/>
      <c r="O26" s="1">
        <f t="shared" ref="O26" si="1">V26*3.6</f>
        <v>0.36000000000000004</v>
      </c>
      <c r="P26" s="1"/>
      <c r="V26">
        <v>0.1</v>
      </c>
    </row>
    <row r="27" spans="2:22">
      <c r="J27" t="str">
        <f>C17</f>
        <v>Trd_electricity import</v>
      </c>
      <c r="L27" t="str">
        <f>$V$28</f>
        <v>ELC</v>
      </c>
      <c r="P27">
        <v>0</v>
      </c>
      <c r="Q27">
        <v>3</v>
      </c>
      <c r="R27">
        <v>1000</v>
      </c>
      <c r="S27">
        <v>50</v>
      </c>
    </row>
    <row r="28" spans="2:22">
      <c r="J28" t="str">
        <f>C18</f>
        <v>Trd_electricity export</v>
      </c>
      <c r="K28" t="str">
        <f>$V$28</f>
        <v>ELC</v>
      </c>
      <c r="P28">
        <v>0</v>
      </c>
      <c r="Q28">
        <v>3</v>
      </c>
      <c r="R28">
        <v>1000</v>
      </c>
      <c r="S28">
        <v>50</v>
      </c>
      <c r="V28" s="147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B5" sqref="B5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tr">
        <f>C5</f>
        <v>ELC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8" t="s">
        <v>109</v>
      </c>
      <c r="D1" s="148"/>
      <c r="E1" s="148"/>
      <c r="F1" s="149" t="s">
        <v>110</v>
      </c>
      <c r="G1" s="148"/>
      <c r="H1" s="150"/>
      <c r="I1" s="148" t="s">
        <v>111</v>
      </c>
      <c r="J1" s="148"/>
      <c r="K1" s="148"/>
      <c r="L1" s="148"/>
      <c r="M1" s="148"/>
      <c r="N1" s="148"/>
      <c r="O1" s="151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2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2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3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3092A-71D4-4E3C-835B-27FF5AA3F510}">
  <dimension ref="B9:BD20"/>
  <sheetViews>
    <sheetView workbookViewId="0"/>
  </sheetViews>
  <sheetFormatPr defaultRowHeight="14.25"/>
  <sheetData>
    <row r="9" spans="2:56">
      <c r="B9" t="s">
        <v>163</v>
      </c>
      <c r="J9" t="s">
        <v>194</v>
      </c>
      <c r="O9" t="s">
        <v>163</v>
      </c>
      <c r="X9" t="s">
        <v>194</v>
      </c>
      <c r="AD9" t="s">
        <v>163</v>
      </c>
      <c r="AL9" t="s">
        <v>194</v>
      </c>
      <c r="AR9" t="s">
        <v>163</v>
      </c>
      <c r="AZ9" t="s">
        <v>194</v>
      </c>
    </row>
    <row r="10" spans="2:56">
      <c r="B10" t="s">
        <v>164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170</v>
      </c>
      <c r="J10" t="s">
        <v>165</v>
      </c>
      <c r="K10" t="s">
        <v>195</v>
      </c>
      <c r="L10" t="s">
        <v>196</v>
      </c>
      <c r="M10" t="s">
        <v>197</v>
      </c>
      <c r="O10" t="s">
        <v>164</v>
      </c>
      <c r="P10" t="s">
        <v>165</v>
      </c>
      <c r="Q10" t="s">
        <v>166</v>
      </c>
      <c r="R10" t="s">
        <v>167</v>
      </c>
      <c r="S10" t="s">
        <v>168</v>
      </c>
      <c r="T10" t="s">
        <v>208</v>
      </c>
      <c r="U10" t="s">
        <v>169</v>
      </c>
      <c r="V10" t="s">
        <v>170</v>
      </c>
      <c r="X10" t="s">
        <v>165</v>
      </c>
      <c r="Y10" t="s">
        <v>232</v>
      </c>
      <c r="Z10" t="s">
        <v>195</v>
      </c>
      <c r="AA10" t="s">
        <v>146</v>
      </c>
      <c r="AB10" t="s">
        <v>233</v>
      </c>
      <c r="AD10" t="s">
        <v>164</v>
      </c>
      <c r="AE10" t="s">
        <v>165</v>
      </c>
      <c r="AF10" t="s">
        <v>166</v>
      </c>
      <c r="AG10" t="s">
        <v>167</v>
      </c>
      <c r="AH10" t="s">
        <v>168</v>
      </c>
      <c r="AI10" t="s">
        <v>169</v>
      </c>
      <c r="AJ10" t="s">
        <v>170</v>
      </c>
      <c r="AL10" t="s">
        <v>165</v>
      </c>
      <c r="AM10" t="s">
        <v>232</v>
      </c>
      <c r="AN10" t="s">
        <v>195</v>
      </c>
      <c r="AO10" t="s">
        <v>146</v>
      </c>
      <c r="AP10" t="s">
        <v>233</v>
      </c>
      <c r="AR10" t="s">
        <v>164</v>
      </c>
      <c r="AS10" t="s">
        <v>165</v>
      </c>
      <c r="AT10" t="s">
        <v>166</v>
      </c>
      <c r="AU10" t="s">
        <v>167</v>
      </c>
      <c r="AV10" t="s">
        <v>168</v>
      </c>
      <c r="AW10" t="s">
        <v>169</v>
      </c>
      <c r="AX10" t="s">
        <v>170</v>
      </c>
      <c r="AZ10" t="s">
        <v>165</v>
      </c>
      <c r="BA10" t="s">
        <v>232</v>
      </c>
      <c r="BB10" t="s">
        <v>195</v>
      </c>
      <c r="BC10" t="s">
        <v>146</v>
      </c>
      <c r="BD10" t="s">
        <v>233</v>
      </c>
    </row>
    <row r="11" spans="2:56">
      <c r="B11" t="s">
        <v>171</v>
      </c>
      <c r="C11" t="s">
        <v>172</v>
      </c>
      <c r="D11" t="s">
        <v>173</v>
      </c>
      <c r="E11" t="s">
        <v>10</v>
      </c>
      <c r="F11" t="s">
        <v>21</v>
      </c>
      <c r="G11" t="s">
        <v>174</v>
      </c>
      <c r="H11" t="s">
        <v>175</v>
      </c>
      <c r="J11" t="s">
        <v>172</v>
      </c>
      <c r="K11" t="s">
        <v>198</v>
      </c>
      <c r="L11">
        <v>5.7613996825096701</v>
      </c>
      <c r="M11">
        <v>0.15871637952672141</v>
      </c>
      <c r="O11" t="s">
        <v>209</v>
      </c>
      <c r="P11" t="s">
        <v>210</v>
      </c>
      <c r="Q11" t="s">
        <v>211</v>
      </c>
      <c r="R11" t="s">
        <v>10</v>
      </c>
      <c r="S11" t="s">
        <v>21</v>
      </c>
      <c r="T11" t="s">
        <v>212</v>
      </c>
      <c r="U11" t="s">
        <v>213</v>
      </c>
      <c r="V11" t="s">
        <v>175</v>
      </c>
      <c r="X11" t="s">
        <v>210</v>
      </c>
      <c r="Y11" t="s">
        <v>203</v>
      </c>
      <c r="Z11" t="s">
        <v>234</v>
      </c>
      <c r="AA11">
        <v>0.99928321238975426</v>
      </c>
      <c r="AB11">
        <v>13.141106187837934</v>
      </c>
      <c r="AD11" t="s">
        <v>209</v>
      </c>
      <c r="AE11" t="s">
        <v>244</v>
      </c>
      <c r="AF11" t="s">
        <v>245</v>
      </c>
      <c r="AG11" t="s">
        <v>10</v>
      </c>
      <c r="AH11" t="s">
        <v>21</v>
      </c>
      <c r="AI11" t="s">
        <v>213</v>
      </c>
      <c r="AJ11" t="s">
        <v>175</v>
      </c>
      <c r="AL11" t="s">
        <v>244</v>
      </c>
      <c r="AM11" t="s">
        <v>264</v>
      </c>
      <c r="AN11" t="s">
        <v>238</v>
      </c>
      <c r="AO11">
        <v>0.99743943665744517</v>
      </c>
      <c r="AP11">
        <v>46.943661280172378</v>
      </c>
      <c r="AR11" t="s">
        <v>209</v>
      </c>
      <c r="AS11" t="s">
        <v>277</v>
      </c>
      <c r="AT11" t="s">
        <v>278</v>
      </c>
      <c r="AU11" t="s">
        <v>10</v>
      </c>
      <c r="AV11" t="s">
        <v>21</v>
      </c>
      <c r="AW11" t="s">
        <v>213</v>
      </c>
      <c r="AX11" t="s">
        <v>175</v>
      </c>
      <c r="AZ11" t="s">
        <v>277</v>
      </c>
      <c r="BA11" t="s">
        <v>297</v>
      </c>
      <c r="BB11" t="s">
        <v>298</v>
      </c>
      <c r="BC11">
        <v>0.99263940112867866</v>
      </c>
      <c r="BD11">
        <v>134.94431264089158</v>
      </c>
    </row>
    <row r="12" spans="2:56">
      <c r="B12" t="s">
        <v>171</v>
      </c>
      <c r="C12" t="s">
        <v>176</v>
      </c>
      <c r="D12" t="s">
        <v>177</v>
      </c>
      <c r="E12" t="s">
        <v>10</v>
      </c>
      <c r="F12" t="s">
        <v>21</v>
      </c>
      <c r="G12" t="s">
        <v>174</v>
      </c>
      <c r="H12" t="s">
        <v>175</v>
      </c>
      <c r="J12" t="s">
        <v>176</v>
      </c>
      <c r="K12" t="s">
        <v>199</v>
      </c>
      <c r="L12">
        <v>6.7229517928965992</v>
      </c>
      <c r="M12">
        <v>0.15519155145567889</v>
      </c>
      <c r="O12" t="s">
        <v>209</v>
      </c>
      <c r="P12" t="s">
        <v>214</v>
      </c>
      <c r="Q12" t="s">
        <v>215</v>
      </c>
      <c r="R12" t="s">
        <v>10</v>
      </c>
      <c r="S12" t="s">
        <v>21</v>
      </c>
      <c r="T12" t="s">
        <v>212</v>
      </c>
      <c r="U12" t="s">
        <v>213</v>
      </c>
      <c r="V12" t="s">
        <v>175</v>
      </c>
      <c r="X12" t="s">
        <v>214</v>
      </c>
      <c r="Y12" t="s">
        <v>199</v>
      </c>
      <c r="Z12" t="s">
        <v>235</v>
      </c>
      <c r="AA12">
        <v>0.99858667845048643</v>
      </c>
      <c r="AB12">
        <v>25.910895074415073</v>
      </c>
      <c r="AD12" t="s">
        <v>209</v>
      </c>
      <c r="AE12" t="s">
        <v>246</v>
      </c>
      <c r="AF12" t="s">
        <v>247</v>
      </c>
      <c r="AG12" t="s">
        <v>10</v>
      </c>
      <c r="AH12" t="s">
        <v>21</v>
      </c>
      <c r="AI12" t="s">
        <v>213</v>
      </c>
      <c r="AJ12" t="s">
        <v>175</v>
      </c>
      <c r="AL12" t="s">
        <v>246</v>
      </c>
      <c r="AM12" t="s">
        <v>265</v>
      </c>
      <c r="AN12" t="s">
        <v>235</v>
      </c>
      <c r="AO12">
        <v>0.99840929002282552</v>
      </c>
      <c r="AP12">
        <v>29.163016248199714</v>
      </c>
      <c r="AR12" t="s">
        <v>209</v>
      </c>
      <c r="AS12" t="s">
        <v>279</v>
      </c>
      <c r="AT12" t="s">
        <v>280</v>
      </c>
      <c r="AU12" t="s">
        <v>10</v>
      </c>
      <c r="AV12" t="s">
        <v>21</v>
      </c>
      <c r="AW12" t="s">
        <v>213</v>
      </c>
      <c r="AX12" t="s">
        <v>175</v>
      </c>
      <c r="AZ12" t="s">
        <v>279</v>
      </c>
      <c r="BA12" t="s">
        <v>299</v>
      </c>
      <c r="BB12" t="s">
        <v>300</v>
      </c>
      <c r="BC12">
        <v>0.98435877189649112</v>
      </c>
      <c r="BD12">
        <v>286.75584856432874</v>
      </c>
    </row>
    <row r="13" spans="2:56">
      <c r="B13" t="s">
        <v>171</v>
      </c>
      <c r="C13" t="s">
        <v>178</v>
      </c>
      <c r="D13" t="s">
        <v>179</v>
      </c>
      <c r="E13" t="s">
        <v>10</v>
      </c>
      <c r="F13" t="s">
        <v>21</v>
      </c>
      <c r="G13" t="s">
        <v>174</v>
      </c>
      <c r="H13" t="s">
        <v>175</v>
      </c>
      <c r="J13" t="s">
        <v>178</v>
      </c>
      <c r="K13" t="s">
        <v>200</v>
      </c>
      <c r="L13">
        <v>4.7679009735123357</v>
      </c>
      <c r="M13">
        <v>0.15210587726586849</v>
      </c>
      <c r="O13" t="s">
        <v>209</v>
      </c>
      <c r="P13" t="s">
        <v>216</v>
      </c>
      <c r="Q13" t="s">
        <v>217</v>
      </c>
      <c r="R13" t="s">
        <v>10</v>
      </c>
      <c r="S13" t="s">
        <v>21</v>
      </c>
      <c r="T13" t="s">
        <v>212</v>
      </c>
      <c r="U13" t="s">
        <v>213</v>
      </c>
      <c r="V13" t="s">
        <v>175</v>
      </c>
      <c r="X13" t="s">
        <v>216</v>
      </c>
      <c r="Y13" t="s">
        <v>207</v>
      </c>
      <c r="Z13" t="s">
        <v>236</v>
      </c>
      <c r="AA13">
        <v>0.9986593539746913</v>
      </c>
      <c r="AB13">
        <v>24.578510463993343</v>
      </c>
      <c r="AD13" t="s">
        <v>209</v>
      </c>
      <c r="AE13" t="s">
        <v>248</v>
      </c>
      <c r="AF13" t="s">
        <v>249</v>
      </c>
      <c r="AG13" t="s">
        <v>10</v>
      </c>
      <c r="AH13" t="s">
        <v>21</v>
      </c>
      <c r="AI13" t="s">
        <v>213</v>
      </c>
      <c r="AJ13" t="s">
        <v>175</v>
      </c>
      <c r="AL13" t="s">
        <v>248</v>
      </c>
      <c r="AM13" t="s">
        <v>266</v>
      </c>
      <c r="AN13" t="s">
        <v>243</v>
      </c>
      <c r="AO13">
        <v>0.99863448290102985</v>
      </c>
      <c r="AP13">
        <v>25.034480147786855</v>
      </c>
      <c r="AR13" t="s">
        <v>209</v>
      </c>
      <c r="AS13" t="s">
        <v>281</v>
      </c>
      <c r="AT13" t="s">
        <v>282</v>
      </c>
      <c r="AU13" t="s">
        <v>10</v>
      </c>
      <c r="AV13" t="s">
        <v>21</v>
      </c>
      <c r="AW13" t="s">
        <v>213</v>
      </c>
      <c r="AX13" t="s">
        <v>175</v>
      </c>
      <c r="AZ13" t="s">
        <v>281</v>
      </c>
      <c r="BA13" t="s">
        <v>301</v>
      </c>
      <c r="BB13" t="s">
        <v>300</v>
      </c>
      <c r="BC13">
        <v>0.98768742587060776</v>
      </c>
      <c r="BD13">
        <v>225.73052570552366</v>
      </c>
    </row>
    <row r="14" spans="2:56">
      <c r="B14" t="s">
        <v>171</v>
      </c>
      <c r="C14" t="s">
        <v>180</v>
      </c>
      <c r="D14" t="s">
        <v>181</v>
      </c>
      <c r="E14" t="s">
        <v>10</v>
      </c>
      <c r="F14" t="s">
        <v>21</v>
      </c>
      <c r="G14" t="s">
        <v>174</v>
      </c>
      <c r="H14" t="s">
        <v>175</v>
      </c>
      <c r="J14" t="s">
        <v>180</v>
      </c>
      <c r="K14" t="s">
        <v>201</v>
      </c>
      <c r="L14">
        <v>2.8757892637402747</v>
      </c>
      <c r="M14">
        <v>0.15620906962098119</v>
      </c>
      <c r="O14" t="s">
        <v>209</v>
      </c>
      <c r="P14" t="s">
        <v>218</v>
      </c>
      <c r="Q14" t="s">
        <v>219</v>
      </c>
      <c r="R14" t="s">
        <v>10</v>
      </c>
      <c r="S14" t="s">
        <v>21</v>
      </c>
      <c r="T14" t="s">
        <v>212</v>
      </c>
      <c r="U14" t="s">
        <v>213</v>
      </c>
      <c r="V14" t="s">
        <v>175</v>
      </c>
      <c r="X14" t="s">
        <v>218</v>
      </c>
      <c r="Y14" t="s">
        <v>206</v>
      </c>
      <c r="Z14" t="s">
        <v>237</v>
      </c>
      <c r="AA14">
        <v>0.99900592189150306</v>
      </c>
      <c r="AB14">
        <v>18.22476532244297</v>
      </c>
      <c r="AD14" t="s">
        <v>209</v>
      </c>
      <c r="AE14" t="s">
        <v>250</v>
      </c>
      <c r="AF14" t="s">
        <v>251</v>
      </c>
      <c r="AG14" t="s">
        <v>10</v>
      </c>
      <c r="AH14" t="s">
        <v>21</v>
      </c>
      <c r="AI14" t="s">
        <v>213</v>
      </c>
      <c r="AJ14" t="s">
        <v>175</v>
      </c>
      <c r="AL14" t="s">
        <v>250</v>
      </c>
      <c r="AM14" t="s">
        <v>267</v>
      </c>
      <c r="AN14" t="s">
        <v>268</v>
      </c>
      <c r="AO14">
        <v>0.99875952211398422</v>
      </c>
      <c r="AP14">
        <v>22.742094576955722</v>
      </c>
      <c r="AR14" t="s">
        <v>209</v>
      </c>
      <c r="AS14" t="s">
        <v>283</v>
      </c>
      <c r="AT14" t="s">
        <v>284</v>
      </c>
      <c r="AU14" t="s">
        <v>10</v>
      </c>
      <c r="AV14" t="s">
        <v>21</v>
      </c>
      <c r="AW14" t="s">
        <v>213</v>
      </c>
      <c r="AX14" t="s">
        <v>175</v>
      </c>
      <c r="AZ14" t="s">
        <v>283</v>
      </c>
      <c r="BA14" t="s">
        <v>302</v>
      </c>
      <c r="BB14" t="s">
        <v>303</v>
      </c>
      <c r="BC14">
        <v>0.9911782203336218</v>
      </c>
      <c r="BD14">
        <v>161.73262721693357</v>
      </c>
    </row>
    <row r="15" spans="2:56">
      <c r="B15" t="s">
        <v>171</v>
      </c>
      <c r="C15" t="s">
        <v>182</v>
      </c>
      <c r="D15" t="s">
        <v>183</v>
      </c>
      <c r="E15" t="s">
        <v>10</v>
      </c>
      <c r="F15" t="s">
        <v>21</v>
      </c>
      <c r="G15" t="s">
        <v>174</v>
      </c>
      <c r="H15" t="s">
        <v>175</v>
      </c>
      <c r="J15" t="s">
        <v>182</v>
      </c>
      <c r="K15" t="s">
        <v>202</v>
      </c>
      <c r="L15">
        <v>2.2966199900056807</v>
      </c>
      <c r="M15">
        <v>0.1681175144277807</v>
      </c>
      <c r="O15" t="s">
        <v>209</v>
      </c>
      <c r="P15" t="s">
        <v>220</v>
      </c>
      <c r="Q15" t="s">
        <v>221</v>
      </c>
      <c r="R15" t="s">
        <v>10</v>
      </c>
      <c r="S15" t="s">
        <v>21</v>
      </c>
      <c r="T15" t="s">
        <v>212</v>
      </c>
      <c r="U15" t="s">
        <v>213</v>
      </c>
      <c r="V15" t="s">
        <v>175</v>
      </c>
      <c r="X15" t="s">
        <v>220</v>
      </c>
      <c r="Y15" t="s">
        <v>205</v>
      </c>
      <c r="Z15" t="s">
        <v>238</v>
      </c>
      <c r="AA15">
        <v>0.99745855478370271</v>
      </c>
      <c r="AB15">
        <v>46.59316229878403</v>
      </c>
      <c r="AD15" t="s">
        <v>209</v>
      </c>
      <c r="AE15" t="s">
        <v>252</v>
      </c>
      <c r="AF15" t="s">
        <v>253</v>
      </c>
      <c r="AG15" t="s">
        <v>10</v>
      </c>
      <c r="AH15" t="s">
        <v>21</v>
      </c>
      <c r="AI15" t="s">
        <v>213</v>
      </c>
      <c r="AJ15" t="s">
        <v>175</v>
      </c>
      <c r="AL15" t="s">
        <v>252</v>
      </c>
      <c r="AM15" t="s">
        <v>269</v>
      </c>
      <c r="AN15" t="s">
        <v>240</v>
      </c>
      <c r="AO15">
        <v>0.99683219791337363</v>
      </c>
      <c r="AP15">
        <v>58.076371588150003</v>
      </c>
      <c r="AR15" t="s">
        <v>209</v>
      </c>
      <c r="AS15" t="s">
        <v>285</v>
      </c>
      <c r="AT15" t="s">
        <v>286</v>
      </c>
      <c r="AU15" t="s">
        <v>10</v>
      </c>
      <c r="AV15" t="s">
        <v>21</v>
      </c>
      <c r="AW15" t="s">
        <v>213</v>
      </c>
      <c r="AX15" t="s">
        <v>175</v>
      </c>
      <c r="AZ15" t="s">
        <v>285</v>
      </c>
      <c r="BA15" t="s">
        <v>304</v>
      </c>
      <c r="BB15" t="s">
        <v>300</v>
      </c>
      <c r="BC15">
        <v>0.98430903034242556</v>
      </c>
      <c r="BD15">
        <v>287.66777705553199</v>
      </c>
    </row>
    <row r="16" spans="2:56">
      <c r="B16" t="s">
        <v>171</v>
      </c>
      <c r="C16" t="s">
        <v>184</v>
      </c>
      <c r="D16" t="s">
        <v>185</v>
      </c>
      <c r="E16" t="s">
        <v>10</v>
      </c>
      <c r="F16" t="s">
        <v>21</v>
      </c>
      <c r="G16" t="s">
        <v>174</v>
      </c>
      <c r="H16" t="s">
        <v>175</v>
      </c>
      <c r="J16" t="s">
        <v>184</v>
      </c>
      <c r="K16" t="s">
        <v>203</v>
      </c>
      <c r="L16">
        <v>6.2465380295437516</v>
      </c>
      <c r="M16">
        <v>0.15762708784659801</v>
      </c>
      <c r="O16" t="s">
        <v>209</v>
      </c>
      <c r="P16" t="s">
        <v>222</v>
      </c>
      <c r="Q16" t="s">
        <v>223</v>
      </c>
      <c r="R16" t="s">
        <v>10</v>
      </c>
      <c r="S16" t="s">
        <v>21</v>
      </c>
      <c r="T16" t="s">
        <v>212</v>
      </c>
      <c r="U16" t="s">
        <v>213</v>
      </c>
      <c r="V16" t="s">
        <v>175</v>
      </c>
      <c r="X16" t="s">
        <v>222</v>
      </c>
      <c r="Y16" t="s">
        <v>198</v>
      </c>
      <c r="Z16" t="s">
        <v>239</v>
      </c>
      <c r="AA16">
        <v>0.99701027796432562</v>
      </c>
      <c r="AB16">
        <v>54.811570654029865</v>
      </c>
      <c r="AD16" t="s">
        <v>209</v>
      </c>
      <c r="AE16" t="s">
        <v>254</v>
      </c>
      <c r="AF16" t="s">
        <v>255</v>
      </c>
      <c r="AG16" t="s">
        <v>10</v>
      </c>
      <c r="AH16" t="s">
        <v>21</v>
      </c>
      <c r="AI16" t="s">
        <v>213</v>
      </c>
      <c r="AJ16" t="s">
        <v>175</v>
      </c>
      <c r="AL16" t="s">
        <v>254</v>
      </c>
      <c r="AM16" t="s">
        <v>270</v>
      </c>
      <c r="AN16" t="s">
        <v>271</v>
      </c>
      <c r="AO16">
        <v>0.99923937738434276</v>
      </c>
      <c r="AP16">
        <v>13.944747953716531</v>
      </c>
      <c r="AR16" t="s">
        <v>209</v>
      </c>
      <c r="AS16" t="s">
        <v>287</v>
      </c>
      <c r="AT16" t="s">
        <v>288</v>
      </c>
      <c r="AU16" t="s">
        <v>10</v>
      </c>
      <c r="AV16" t="s">
        <v>21</v>
      </c>
      <c r="AW16" t="s">
        <v>213</v>
      </c>
      <c r="AX16" t="s">
        <v>175</v>
      </c>
      <c r="AZ16" t="s">
        <v>287</v>
      </c>
      <c r="BA16" t="s">
        <v>305</v>
      </c>
      <c r="BB16" t="s">
        <v>306</v>
      </c>
      <c r="BC16">
        <v>0.99194348571566626</v>
      </c>
      <c r="BD16">
        <v>147.70276187945186</v>
      </c>
    </row>
    <row r="17" spans="2:56">
      <c r="B17" t="s">
        <v>171</v>
      </c>
      <c r="C17" t="s">
        <v>186</v>
      </c>
      <c r="D17" t="s">
        <v>187</v>
      </c>
      <c r="E17" t="s">
        <v>10</v>
      </c>
      <c r="F17" t="s">
        <v>21</v>
      </c>
      <c r="G17" t="s">
        <v>174</v>
      </c>
      <c r="H17" t="s">
        <v>175</v>
      </c>
      <c r="J17" t="s">
        <v>186</v>
      </c>
      <c r="K17" t="s">
        <v>204</v>
      </c>
      <c r="L17">
        <v>5.5453108630735635</v>
      </c>
      <c r="M17">
        <v>0.1554482197401493</v>
      </c>
      <c r="O17" t="s">
        <v>209</v>
      </c>
      <c r="P17" t="s">
        <v>224</v>
      </c>
      <c r="Q17" t="s">
        <v>225</v>
      </c>
      <c r="R17" t="s">
        <v>10</v>
      </c>
      <c r="S17" t="s">
        <v>21</v>
      </c>
      <c r="T17" t="s">
        <v>212</v>
      </c>
      <c r="U17" t="s">
        <v>213</v>
      </c>
      <c r="V17" t="s">
        <v>175</v>
      </c>
      <c r="X17" t="s">
        <v>224</v>
      </c>
      <c r="Y17" t="s">
        <v>202</v>
      </c>
      <c r="Z17" t="s">
        <v>240</v>
      </c>
      <c r="AA17">
        <v>0.99684208246668826</v>
      </c>
      <c r="AB17">
        <v>57.895154777382864</v>
      </c>
      <c r="AD17" t="s">
        <v>209</v>
      </c>
      <c r="AE17" t="s">
        <v>256</v>
      </c>
      <c r="AF17" t="s">
        <v>257</v>
      </c>
      <c r="AG17" t="s">
        <v>10</v>
      </c>
      <c r="AH17" t="s">
        <v>21</v>
      </c>
      <c r="AI17" t="s">
        <v>213</v>
      </c>
      <c r="AJ17" t="s">
        <v>175</v>
      </c>
      <c r="AL17" t="s">
        <v>256</v>
      </c>
      <c r="AM17" t="s">
        <v>272</v>
      </c>
      <c r="AN17" t="s">
        <v>242</v>
      </c>
      <c r="AO17">
        <v>0.99579892755811783</v>
      </c>
      <c r="AP17">
        <v>77.019661434506233</v>
      </c>
      <c r="AR17" t="s">
        <v>209</v>
      </c>
      <c r="AS17" t="s">
        <v>289</v>
      </c>
      <c r="AT17" t="s">
        <v>290</v>
      </c>
      <c r="AU17" t="s">
        <v>10</v>
      </c>
      <c r="AV17" t="s">
        <v>21</v>
      </c>
      <c r="AW17" t="s">
        <v>213</v>
      </c>
      <c r="AX17" t="s">
        <v>175</v>
      </c>
      <c r="AZ17" t="s">
        <v>289</v>
      </c>
      <c r="BA17" t="s">
        <v>307</v>
      </c>
      <c r="BB17" t="s">
        <v>308</v>
      </c>
      <c r="BC17">
        <v>0.9831591601939017</v>
      </c>
      <c r="BD17">
        <v>308.74872977846894</v>
      </c>
    </row>
    <row r="18" spans="2:56">
      <c r="B18" t="s">
        <v>171</v>
      </c>
      <c r="C18" t="s">
        <v>188</v>
      </c>
      <c r="D18" t="s">
        <v>189</v>
      </c>
      <c r="E18" t="s">
        <v>10</v>
      </c>
      <c r="F18" t="s">
        <v>21</v>
      </c>
      <c r="G18" t="s">
        <v>174</v>
      </c>
      <c r="H18" t="s">
        <v>175</v>
      </c>
      <c r="J18" t="s">
        <v>188</v>
      </c>
      <c r="K18" t="s">
        <v>205</v>
      </c>
      <c r="L18">
        <v>5.4597552566050442</v>
      </c>
      <c r="M18">
        <v>0.1532389197711691</v>
      </c>
      <c r="O18" t="s">
        <v>209</v>
      </c>
      <c r="P18" t="s">
        <v>226</v>
      </c>
      <c r="Q18" t="s">
        <v>227</v>
      </c>
      <c r="R18" t="s">
        <v>10</v>
      </c>
      <c r="S18" t="s">
        <v>21</v>
      </c>
      <c r="T18" t="s">
        <v>212</v>
      </c>
      <c r="U18" t="s">
        <v>213</v>
      </c>
      <c r="V18" t="s">
        <v>175</v>
      </c>
      <c r="X18" t="s">
        <v>226</v>
      </c>
      <c r="Y18" t="s">
        <v>200</v>
      </c>
      <c r="Z18" t="s">
        <v>241</v>
      </c>
      <c r="AA18">
        <v>0.99817611018937247</v>
      </c>
      <c r="AB18">
        <v>33.437979861503806</v>
      </c>
      <c r="AD18" t="s">
        <v>209</v>
      </c>
      <c r="AE18" t="s">
        <v>258</v>
      </c>
      <c r="AF18" t="s">
        <v>259</v>
      </c>
      <c r="AG18" t="s">
        <v>10</v>
      </c>
      <c r="AH18" t="s">
        <v>21</v>
      </c>
      <c r="AI18" t="s">
        <v>213</v>
      </c>
      <c r="AJ18" t="s">
        <v>175</v>
      </c>
      <c r="AL18" t="s">
        <v>258</v>
      </c>
      <c r="AM18" t="s">
        <v>273</v>
      </c>
      <c r="AN18" t="s">
        <v>274</v>
      </c>
      <c r="AO18">
        <v>0.99713045718534898</v>
      </c>
      <c r="AP18">
        <v>52.608284935269452</v>
      </c>
      <c r="AR18" t="s">
        <v>209</v>
      </c>
      <c r="AS18" t="s">
        <v>291</v>
      </c>
      <c r="AT18" t="s">
        <v>292</v>
      </c>
      <c r="AU18" t="s">
        <v>10</v>
      </c>
      <c r="AV18" t="s">
        <v>21</v>
      </c>
      <c r="AW18" t="s">
        <v>213</v>
      </c>
      <c r="AX18" t="s">
        <v>175</v>
      </c>
      <c r="AZ18" t="s">
        <v>291</v>
      </c>
      <c r="BA18" t="s">
        <v>309</v>
      </c>
      <c r="BB18" t="s">
        <v>310</v>
      </c>
      <c r="BC18">
        <v>0.99451109282567007</v>
      </c>
      <c r="BD18">
        <v>100.62996486271511</v>
      </c>
    </row>
    <row r="19" spans="2:56">
      <c r="B19" t="s">
        <v>171</v>
      </c>
      <c r="C19" t="s">
        <v>190</v>
      </c>
      <c r="D19" t="s">
        <v>191</v>
      </c>
      <c r="E19" t="s">
        <v>10</v>
      </c>
      <c r="F19" t="s">
        <v>21</v>
      </c>
      <c r="G19" t="s">
        <v>174</v>
      </c>
      <c r="H19" t="s">
        <v>175</v>
      </c>
      <c r="J19" t="s">
        <v>190</v>
      </c>
      <c r="K19" t="s">
        <v>206</v>
      </c>
      <c r="L19">
        <v>12.393674974283114</v>
      </c>
      <c r="M19">
        <v>0.14977901074277281</v>
      </c>
      <c r="O19" t="s">
        <v>209</v>
      </c>
      <c r="P19" t="s">
        <v>228</v>
      </c>
      <c r="Q19" t="s">
        <v>229</v>
      </c>
      <c r="R19" t="s">
        <v>10</v>
      </c>
      <c r="S19" t="s">
        <v>21</v>
      </c>
      <c r="T19" t="s">
        <v>212</v>
      </c>
      <c r="U19" t="s">
        <v>213</v>
      </c>
      <c r="V19" t="s">
        <v>175</v>
      </c>
      <c r="X19" t="s">
        <v>228</v>
      </c>
      <c r="Y19" t="s">
        <v>201</v>
      </c>
      <c r="Z19" t="s">
        <v>242</v>
      </c>
      <c r="AA19">
        <v>0.99580192979475324</v>
      </c>
      <c r="AB19">
        <v>76.964620429523976</v>
      </c>
      <c r="AD19" t="s">
        <v>209</v>
      </c>
      <c r="AE19" t="s">
        <v>260</v>
      </c>
      <c r="AF19" t="s">
        <v>261</v>
      </c>
      <c r="AG19" t="s">
        <v>10</v>
      </c>
      <c r="AH19" t="s">
        <v>21</v>
      </c>
      <c r="AI19" t="s">
        <v>213</v>
      </c>
      <c r="AJ19" t="s">
        <v>175</v>
      </c>
      <c r="AL19" t="s">
        <v>260</v>
      </c>
      <c r="AM19" t="s">
        <v>275</v>
      </c>
      <c r="AN19" t="s">
        <v>239</v>
      </c>
      <c r="AO19">
        <v>0.99695135250321987</v>
      </c>
      <c r="AP19">
        <v>55.891870774302092</v>
      </c>
      <c r="AR19" t="s">
        <v>209</v>
      </c>
      <c r="AS19" t="s">
        <v>293</v>
      </c>
      <c r="AT19" t="s">
        <v>294</v>
      </c>
      <c r="AU19" t="s">
        <v>10</v>
      </c>
      <c r="AV19" t="s">
        <v>21</v>
      </c>
      <c r="AW19" t="s">
        <v>213</v>
      </c>
      <c r="AX19" t="s">
        <v>175</v>
      </c>
      <c r="AZ19" t="s">
        <v>293</v>
      </c>
      <c r="BA19" t="s">
        <v>311</v>
      </c>
      <c r="BB19" t="s">
        <v>312</v>
      </c>
      <c r="BC19">
        <v>0.98241537546600266</v>
      </c>
      <c r="BD19">
        <v>322.38478312328368</v>
      </c>
    </row>
    <row r="20" spans="2:56">
      <c r="B20" t="s">
        <v>171</v>
      </c>
      <c r="C20" t="s">
        <v>192</v>
      </c>
      <c r="D20" t="s">
        <v>193</v>
      </c>
      <c r="E20" t="s">
        <v>10</v>
      </c>
      <c r="F20" t="s">
        <v>21</v>
      </c>
      <c r="G20" t="s">
        <v>174</v>
      </c>
      <c r="H20" t="s">
        <v>175</v>
      </c>
      <c r="J20" t="s">
        <v>192</v>
      </c>
      <c r="K20" t="s">
        <v>207</v>
      </c>
      <c r="L20">
        <v>7.9075538715335485</v>
      </c>
      <c r="M20">
        <v>0.1467761074344151</v>
      </c>
      <c r="O20" t="s">
        <v>209</v>
      </c>
      <c r="P20" t="s">
        <v>230</v>
      </c>
      <c r="Q20" t="s">
        <v>231</v>
      </c>
      <c r="R20" t="s">
        <v>10</v>
      </c>
      <c r="S20" t="s">
        <v>21</v>
      </c>
      <c r="T20" t="s">
        <v>212</v>
      </c>
      <c r="U20" t="s">
        <v>213</v>
      </c>
      <c r="V20" t="s">
        <v>175</v>
      </c>
      <c r="X20" t="s">
        <v>230</v>
      </c>
      <c r="Y20" t="s">
        <v>204</v>
      </c>
      <c r="Z20" t="s">
        <v>243</v>
      </c>
      <c r="AA20">
        <v>0.99859044610970715</v>
      </c>
      <c r="AB20">
        <v>25.841821322035944</v>
      </c>
      <c r="AD20" t="s">
        <v>209</v>
      </c>
      <c r="AE20" t="s">
        <v>262</v>
      </c>
      <c r="AF20" t="s">
        <v>263</v>
      </c>
      <c r="AG20" t="s">
        <v>10</v>
      </c>
      <c r="AH20" t="s">
        <v>21</v>
      </c>
      <c r="AI20" t="s">
        <v>213</v>
      </c>
      <c r="AJ20" t="s">
        <v>175</v>
      </c>
      <c r="AL20" t="s">
        <v>262</v>
      </c>
      <c r="AM20" t="s">
        <v>276</v>
      </c>
      <c r="AN20" t="s">
        <v>234</v>
      </c>
      <c r="AO20">
        <v>0.99925144331673821</v>
      </c>
      <c r="AP20">
        <v>13.723539193133069</v>
      </c>
      <c r="AR20" t="s">
        <v>209</v>
      </c>
      <c r="AS20" t="s">
        <v>295</v>
      </c>
      <c r="AT20" t="s">
        <v>296</v>
      </c>
      <c r="AU20" t="s">
        <v>10</v>
      </c>
      <c r="AV20" t="s">
        <v>21</v>
      </c>
      <c r="AW20" t="s">
        <v>213</v>
      </c>
      <c r="AX20" t="s">
        <v>175</v>
      </c>
      <c r="AZ20" t="s">
        <v>295</v>
      </c>
      <c r="BA20" t="s">
        <v>313</v>
      </c>
      <c r="BB20" t="s">
        <v>314</v>
      </c>
      <c r="BC20">
        <v>0.99811927479667562</v>
      </c>
      <c r="BD20">
        <v>34.479962060946946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070E8-BAAA-4EF6-8BD7-D67FDD3C685F}">
  <dimension ref="B9:Z20"/>
  <sheetViews>
    <sheetView workbookViewId="0"/>
  </sheetViews>
  <sheetFormatPr defaultRowHeight="14.25"/>
  <sheetData>
    <row r="9" spans="2:26">
      <c r="B9" t="s">
        <v>163</v>
      </c>
      <c r="J9" t="s">
        <v>194</v>
      </c>
      <c r="O9" t="s">
        <v>163</v>
      </c>
      <c r="W9" t="s">
        <v>194</v>
      </c>
    </row>
    <row r="10" spans="2:26">
      <c r="B10" t="s">
        <v>164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170</v>
      </c>
      <c r="J10" t="s">
        <v>165</v>
      </c>
      <c r="K10" t="s">
        <v>195</v>
      </c>
      <c r="L10" t="s">
        <v>196</v>
      </c>
      <c r="M10" t="s">
        <v>197</v>
      </c>
      <c r="O10" t="s">
        <v>164</v>
      </c>
      <c r="P10" t="s">
        <v>165</v>
      </c>
      <c r="Q10" t="s">
        <v>166</v>
      </c>
      <c r="R10" t="s">
        <v>167</v>
      </c>
      <c r="S10" t="s">
        <v>168</v>
      </c>
      <c r="T10" t="s">
        <v>169</v>
      </c>
      <c r="U10" t="s">
        <v>170</v>
      </c>
      <c r="W10" t="s">
        <v>165</v>
      </c>
      <c r="X10" t="s">
        <v>195</v>
      </c>
      <c r="Y10" t="s">
        <v>196</v>
      </c>
      <c r="Z10" t="s">
        <v>197</v>
      </c>
    </row>
    <row r="11" spans="2:26">
      <c r="B11" t="s">
        <v>171</v>
      </c>
      <c r="C11" t="s">
        <v>315</v>
      </c>
      <c r="D11" t="s">
        <v>316</v>
      </c>
      <c r="E11" t="s">
        <v>10</v>
      </c>
      <c r="F11" t="s">
        <v>21</v>
      </c>
      <c r="G11" t="s">
        <v>174</v>
      </c>
      <c r="H11" t="s">
        <v>175</v>
      </c>
      <c r="J11" t="s">
        <v>315</v>
      </c>
      <c r="K11" t="s">
        <v>272</v>
      </c>
      <c r="L11">
        <v>6.0292238955210484</v>
      </c>
      <c r="M11">
        <v>0.52769414142602589</v>
      </c>
      <c r="O11" t="s">
        <v>171</v>
      </c>
      <c r="P11" t="s">
        <v>335</v>
      </c>
      <c r="Q11" t="s">
        <v>336</v>
      </c>
      <c r="R11" t="s">
        <v>10</v>
      </c>
      <c r="S11" t="s">
        <v>21</v>
      </c>
      <c r="T11" t="s">
        <v>174</v>
      </c>
      <c r="U11" t="s">
        <v>175</v>
      </c>
      <c r="W11" t="s">
        <v>335</v>
      </c>
      <c r="X11" t="s">
        <v>313</v>
      </c>
      <c r="Y11">
        <v>6.0000000000000001E-3</v>
      </c>
      <c r="Z11">
        <v>0.4454074820855719</v>
      </c>
    </row>
    <row r="12" spans="2:26">
      <c r="B12" t="s">
        <v>171</v>
      </c>
      <c r="C12" t="s">
        <v>317</v>
      </c>
      <c r="D12" t="s">
        <v>318</v>
      </c>
      <c r="E12" t="s">
        <v>10</v>
      </c>
      <c r="F12" t="s">
        <v>21</v>
      </c>
      <c r="G12" t="s">
        <v>174</v>
      </c>
      <c r="H12" t="s">
        <v>175</v>
      </c>
      <c r="J12" t="s">
        <v>317</v>
      </c>
      <c r="K12" t="s">
        <v>269</v>
      </c>
      <c r="L12">
        <v>4.5846289218114329</v>
      </c>
      <c r="M12">
        <v>0.53032421263523988</v>
      </c>
      <c r="O12" t="s">
        <v>171</v>
      </c>
      <c r="P12" t="s">
        <v>337</v>
      </c>
      <c r="Q12" t="s">
        <v>338</v>
      </c>
      <c r="R12" t="s">
        <v>10</v>
      </c>
      <c r="S12" t="s">
        <v>21</v>
      </c>
      <c r="T12" t="s">
        <v>174</v>
      </c>
      <c r="U12" t="s">
        <v>175</v>
      </c>
      <c r="W12" t="s">
        <v>337</v>
      </c>
      <c r="X12" t="s">
        <v>307</v>
      </c>
      <c r="Y12">
        <v>21.8415</v>
      </c>
      <c r="Z12">
        <v>0.4993404660243459</v>
      </c>
    </row>
    <row r="13" spans="2:26">
      <c r="B13" t="s">
        <v>171</v>
      </c>
      <c r="C13" t="s">
        <v>319</v>
      </c>
      <c r="D13" t="s">
        <v>320</v>
      </c>
      <c r="E13" t="s">
        <v>10</v>
      </c>
      <c r="F13" t="s">
        <v>21</v>
      </c>
      <c r="G13" t="s">
        <v>174</v>
      </c>
      <c r="H13" t="s">
        <v>175</v>
      </c>
      <c r="J13" t="s">
        <v>319</v>
      </c>
      <c r="K13" t="s">
        <v>276</v>
      </c>
      <c r="L13">
        <v>12.205944724413202</v>
      </c>
      <c r="M13">
        <v>0.47818695015269391</v>
      </c>
      <c r="O13" t="s">
        <v>171</v>
      </c>
      <c r="P13" t="s">
        <v>339</v>
      </c>
      <c r="Q13" t="s">
        <v>340</v>
      </c>
      <c r="R13" t="s">
        <v>10</v>
      </c>
      <c r="S13" t="s">
        <v>21</v>
      </c>
      <c r="T13" t="s">
        <v>174</v>
      </c>
      <c r="U13" t="s">
        <v>175</v>
      </c>
      <c r="W13" t="s">
        <v>339</v>
      </c>
      <c r="X13" t="s">
        <v>311</v>
      </c>
      <c r="Y13">
        <v>32.305500000000002</v>
      </c>
      <c r="Z13">
        <v>0.5179775638068157</v>
      </c>
    </row>
    <row r="14" spans="2:26">
      <c r="B14" t="s">
        <v>171</v>
      </c>
      <c r="C14" t="s">
        <v>321</v>
      </c>
      <c r="D14" t="s">
        <v>322</v>
      </c>
      <c r="E14" t="s">
        <v>10</v>
      </c>
      <c r="F14" t="s">
        <v>21</v>
      </c>
      <c r="G14" t="s">
        <v>174</v>
      </c>
      <c r="H14" t="s">
        <v>175</v>
      </c>
      <c r="J14" t="s">
        <v>321</v>
      </c>
      <c r="K14" t="s">
        <v>275</v>
      </c>
      <c r="L14">
        <v>10.74511803408717</v>
      </c>
      <c r="M14">
        <v>0.53035736294085856</v>
      </c>
      <c r="O14" t="s">
        <v>171</v>
      </c>
      <c r="P14" t="s">
        <v>341</v>
      </c>
      <c r="Q14" t="s">
        <v>342</v>
      </c>
      <c r="R14" t="s">
        <v>10</v>
      </c>
      <c r="S14" t="s">
        <v>21</v>
      </c>
      <c r="T14" t="s">
        <v>174</v>
      </c>
      <c r="U14" t="s">
        <v>175</v>
      </c>
      <c r="W14" t="s">
        <v>341</v>
      </c>
      <c r="X14" t="s">
        <v>305</v>
      </c>
      <c r="Y14">
        <v>26.546250000000001</v>
      </c>
      <c r="Z14">
        <v>0.53143001359931252</v>
      </c>
    </row>
    <row r="15" spans="2:26">
      <c r="B15" t="s">
        <v>171</v>
      </c>
      <c r="C15" t="s">
        <v>323</v>
      </c>
      <c r="D15" t="s">
        <v>324</v>
      </c>
      <c r="E15" t="s">
        <v>10</v>
      </c>
      <c r="F15" t="s">
        <v>21</v>
      </c>
      <c r="G15" t="s">
        <v>174</v>
      </c>
      <c r="H15" t="s">
        <v>175</v>
      </c>
      <c r="J15" t="s">
        <v>323</v>
      </c>
      <c r="K15" t="s">
        <v>265</v>
      </c>
      <c r="L15">
        <v>10.802593011732272</v>
      </c>
      <c r="M15">
        <v>0.48018093311080767</v>
      </c>
      <c r="O15" t="s">
        <v>171</v>
      </c>
      <c r="P15" t="s">
        <v>343</v>
      </c>
      <c r="Q15" t="s">
        <v>344</v>
      </c>
      <c r="R15" t="s">
        <v>10</v>
      </c>
      <c r="S15" t="s">
        <v>21</v>
      </c>
      <c r="T15" t="s">
        <v>174</v>
      </c>
      <c r="U15" t="s">
        <v>175</v>
      </c>
      <c r="W15" t="s">
        <v>343</v>
      </c>
      <c r="X15" t="s">
        <v>297</v>
      </c>
      <c r="Y15">
        <v>11.01825</v>
      </c>
      <c r="Z15">
        <v>0.4978568209758194</v>
      </c>
    </row>
    <row r="16" spans="2:26">
      <c r="B16" t="s">
        <v>171</v>
      </c>
      <c r="C16" t="s">
        <v>325</v>
      </c>
      <c r="D16" t="s">
        <v>326</v>
      </c>
      <c r="E16" t="s">
        <v>10</v>
      </c>
      <c r="F16" t="s">
        <v>21</v>
      </c>
      <c r="G16" t="s">
        <v>174</v>
      </c>
      <c r="H16" t="s">
        <v>175</v>
      </c>
      <c r="J16" t="s">
        <v>325</v>
      </c>
      <c r="K16" t="s">
        <v>264</v>
      </c>
      <c r="L16">
        <v>10.374223926155251</v>
      </c>
      <c r="M16">
        <v>0.51660289145878313</v>
      </c>
      <c r="O16" t="s">
        <v>171</v>
      </c>
      <c r="P16" t="s">
        <v>345</v>
      </c>
      <c r="Q16" t="s">
        <v>346</v>
      </c>
      <c r="R16" t="s">
        <v>10</v>
      </c>
      <c r="S16" t="s">
        <v>21</v>
      </c>
      <c r="T16" t="s">
        <v>174</v>
      </c>
      <c r="U16" t="s">
        <v>175</v>
      </c>
      <c r="W16" t="s">
        <v>345</v>
      </c>
      <c r="X16" t="s">
        <v>309</v>
      </c>
      <c r="Y16">
        <v>5.9377500000000003</v>
      </c>
      <c r="Z16">
        <v>0.45847534674778989</v>
      </c>
    </row>
    <row r="17" spans="2:26">
      <c r="B17" t="s">
        <v>171</v>
      </c>
      <c r="C17" t="s">
        <v>327</v>
      </c>
      <c r="D17" t="s">
        <v>328</v>
      </c>
      <c r="E17" t="s">
        <v>10</v>
      </c>
      <c r="F17" t="s">
        <v>21</v>
      </c>
      <c r="G17" t="s">
        <v>174</v>
      </c>
      <c r="H17" t="s">
        <v>175</v>
      </c>
      <c r="J17" t="s">
        <v>327</v>
      </c>
      <c r="K17" t="s">
        <v>266</v>
      </c>
      <c r="L17">
        <v>10.791988160628394</v>
      </c>
      <c r="M17">
        <v>0.4970646723112111</v>
      </c>
      <c r="O17" t="s">
        <v>171</v>
      </c>
      <c r="P17" t="s">
        <v>347</v>
      </c>
      <c r="Q17" t="s">
        <v>348</v>
      </c>
      <c r="R17" t="s">
        <v>10</v>
      </c>
      <c r="S17" t="s">
        <v>21</v>
      </c>
      <c r="T17" t="s">
        <v>174</v>
      </c>
      <c r="U17" t="s">
        <v>175</v>
      </c>
      <c r="W17" t="s">
        <v>347</v>
      </c>
      <c r="X17" t="s">
        <v>301</v>
      </c>
      <c r="Y17">
        <v>14.273250000000001</v>
      </c>
      <c r="Z17">
        <v>0.61591123453523788</v>
      </c>
    </row>
    <row r="18" spans="2:26">
      <c r="B18" t="s">
        <v>171</v>
      </c>
      <c r="C18" t="s">
        <v>329</v>
      </c>
      <c r="D18" t="s">
        <v>330</v>
      </c>
      <c r="E18" t="s">
        <v>10</v>
      </c>
      <c r="F18" t="s">
        <v>21</v>
      </c>
      <c r="G18" t="s">
        <v>174</v>
      </c>
      <c r="H18" t="s">
        <v>175</v>
      </c>
      <c r="J18" t="s">
        <v>329</v>
      </c>
      <c r="K18" t="s">
        <v>267</v>
      </c>
      <c r="L18">
        <v>34.289698668171084</v>
      </c>
      <c r="M18">
        <v>0.47337587348524018</v>
      </c>
      <c r="O18" t="s">
        <v>171</v>
      </c>
      <c r="P18" t="s">
        <v>349</v>
      </c>
      <c r="Q18" t="s">
        <v>350</v>
      </c>
      <c r="R18" t="s">
        <v>10</v>
      </c>
      <c r="S18" t="s">
        <v>21</v>
      </c>
      <c r="T18" t="s">
        <v>174</v>
      </c>
      <c r="U18" t="s">
        <v>175</v>
      </c>
      <c r="W18" t="s">
        <v>349</v>
      </c>
      <c r="X18" t="s">
        <v>302</v>
      </c>
      <c r="Y18">
        <v>17.136749999999999</v>
      </c>
      <c r="Z18">
        <v>0.59595031678850363</v>
      </c>
    </row>
    <row r="19" spans="2:26">
      <c r="B19" t="s">
        <v>171</v>
      </c>
      <c r="C19" t="s">
        <v>331</v>
      </c>
      <c r="D19" t="s">
        <v>332</v>
      </c>
      <c r="E19" t="s">
        <v>10</v>
      </c>
      <c r="F19" t="s">
        <v>21</v>
      </c>
      <c r="G19" t="s">
        <v>174</v>
      </c>
      <c r="H19" t="s">
        <v>175</v>
      </c>
      <c r="J19" t="s">
        <v>331</v>
      </c>
      <c r="K19" t="s">
        <v>270</v>
      </c>
      <c r="L19">
        <v>11.951858542826178</v>
      </c>
      <c r="M19">
        <v>0.44146241668468977</v>
      </c>
      <c r="O19" t="s">
        <v>171</v>
      </c>
      <c r="P19" t="s">
        <v>351</v>
      </c>
      <c r="Q19" t="s">
        <v>352</v>
      </c>
      <c r="R19" t="s">
        <v>10</v>
      </c>
      <c r="S19" t="s">
        <v>21</v>
      </c>
      <c r="T19" t="s">
        <v>174</v>
      </c>
      <c r="U19" t="s">
        <v>175</v>
      </c>
      <c r="W19" t="s">
        <v>351</v>
      </c>
      <c r="X19" t="s">
        <v>299</v>
      </c>
      <c r="Y19">
        <v>3.3795000000000002</v>
      </c>
      <c r="Z19">
        <v>0.58714818076672814</v>
      </c>
    </row>
    <row r="20" spans="2:26">
      <c r="B20" t="s">
        <v>171</v>
      </c>
      <c r="C20" t="s">
        <v>333</v>
      </c>
      <c r="D20" t="s">
        <v>334</v>
      </c>
      <c r="E20" t="s">
        <v>10</v>
      </c>
      <c r="F20" t="s">
        <v>21</v>
      </c>
      <c r="G20" t="s">
        <v>174</v>
      </c>
      <c r="H20" t="s">
        <v>175</v>
      </c>
      <c r="J20" t="s">
        <v>333</v>
      </c>
      <c r="K20" t="s">
        <v>273</v>
      </c>
      <c r="L20">
        <v>3.8935383274770667</v>
      </c>
      <c r="M20">
        <v>0.52346957269510408</v>
      </c>
      <c r="O20" t="s">
        <v>171</v>
      </c>
      <c r="P20" t="s">
        <v>353</v>
      </c>
      <c r="Q20" t="s">
        <v>354</v>
      </c>
      <c r="R20" t="s">
        <v>10</v>
      </c>
      <c r="S20" t="s">
        <v>21</v>
      </c>
      <c r="T20" t="s">
        <v>174</v>
      </c>
      <c r="U20" t="s">
        <v>175</v>
      </c>
      <c r="W20" t="s">
        <v>353</v>
      </c>
      <c r="X20" t="s">
        <v>304</v>
      </c>
      <c r="Y20">
        <v>20.786999999999999</v>
      </c>
      <c r="Z20">
        <v>0.61175594380172138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14E53-BDA6-449F-9A9B-4802618AB967}">
  <dimension ref="B9:P73"/>
  <sheetViews>
    <sheetView workbookViewId="0"/>
  </sheetViews>
  <sheetFormatPr defaultRowHeight="14.25"/>
  <sheetData>
    <row r="9" spans="2:16">
      <c r="B9" t="s">
        <v>194</v>
      </c>
      <c r="J9" t="s">
        <v>163</v>
      </c>
    </row>
    <row r="10" spans="2:16">
      <c r="B10" t="s">
        <v>165</v>
      </c>
      <c r="C10" t="s">
        <v>232</v>
      </c>
      <c r="D10" t="s">
        <v>195</v>
      </c>
      <c r="E10">
        <v>2023</v>
      </c>
      <c r="F10">
        <v>2030</v>
      </c>
      <c r="G10">
        <v>2050</v>
      </c>
      <c r="H10" t="s">
        <v>54</v>
      </c>
      <c r="J10" t="s">
        <v>164</v>
      </c>
      <c r="K10" t="s">
        <v>165</v>
      </c>
      <c r="L10" t="s">
        <v>166</v>
      </c>
      <c r="M10" t="s">
        <v>167</v>
      </c>
      <c r="N10" t="s">
        <v>168</v>
      </c>
      <c r="O10" t="s">
        <v>169</v>
      </c>
      <c r="P10" t="s">
        <v>170</v>
      </c>
    </row>
    <row r="11" spans="2:16">
      <c r="B11" t="s">
        <v>355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171</v>
      </c>
      <c r="K11" t="s">
        <v>355</v>
      </c>
      <c r="M11" t="s">
        <v>10</v>
      </c>
      <c r="N11" t="s">
        <v>21</v>
      </c>
      <c r="O11" t="s">
        <v>213</v>
      </c>
      <c r="P11" t="s">
        <v>377</v>
      </c>
    </row>
    <row r="12" spans="2:16">
      <c r="B12" t="s">
        <v>355</v>
      </c>
      <c r="C12" t="s">
        <v>31</v>
      </c>
      <c r="D12" t="s">
        <v>19</v>
      </c>
      <c r="E12">
        <v>0.60000000000000009</v>
      </c>
      <c r="F12">
        <v>0.60000000000000009</v>
      </c>
      <c r="G12">
        <v>0.60000000000000009</v>
      </c>
      <c r="H12" t="s">
        <v>356</v>
      </c>
      <c r="J12" t="s">
        <v>171</v>
      </c>
      <c r="K12" t="s">
        <v>360</v>
      </c>
      <c r="M12" t="s">
        <v>10</v>
      </c>
      <c r="N12" t="s">
        <v>21</v>
      </c>
      <c r="O12" t="s">
        <v>213</v>
      </c>
      <c r="P12" t="s">
        <v>377</v>
      </c>
    </row>
    <row r="13" spans="2:16">
      <c r="B13" t="s">
        <v>355</v>
      </c>
      <c r="C13" t="s">
        <v>31</v>
      </c>
      <c r="D13" t="s">
        <v>19</v>
      </c>
      <c r="E13">
        <v>5750</v>
      </c>
      <c r="F13">
        <v>5700</v>
      </c>
      <c r="G13">
        <v>5100</v>
      </c>
      <c r="H13" t="s">
        <v>357</v>
      </c>
      <c r="J13" t="s">
        <v>171</v>
      </c>
      <c r="K13" t="s">
        <v>361</v>
      </c>
      <c r="M13" t="s">
        <v>10</v>
      </c>
      <c r="N13" t="s">
        <v>21</v>
      </c>
      <c r="O13" t="s">
        <v>213</v>
      </c>
      <c r="P13" t="s">
        <v>377</v>
      </c>
    </row>
    <row r="14" spans="2:16">
      <c r="B14" t="s">
        <v>355</v>
      </c>
      <c r="C14" t="s">
        <v>31</v>
      </c>
      <c r="D14" t="s">
        <v>19</v>
      </c>
      <c r="E14">
        <v>200</v>
      </c>
      <c r="F14">
        <v>200</v>
      </c>
      <c r="G14">
        <v>175</v>
      </c>
      <c r="H14" t="s">
        <v>358</v>
      </c>
      <c r="J14" t="s">
        <v>171</v>
      </c>
      <c r="K14" t="s">
        <v>362</v>
      </c>
      <c r="M14" t="s">
        <v>10</v>
      </c>
      <c r="N14" t="s">
        <v>21</v>
      </c>
      <c r="O14" t="s">
        <v>213</v>
      </c>
      <c r="P14" t="s">
        <v>377</v>
      </c>
    </row>
    <row r="15" spans="2:16">
      <c r="B15" t="s">
        <v>355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359</v>
      </c>
      <c r="J15" t="s">
        <v>171</v>
      </c>
      <c r="K15" t="s">
        <v>363</v>
      </c>
      <c r="M15" t="s">
        <v>10</v>
      </c>
      <c r="N15" t="s">
        <v>21</v>
      </c>
      <c r="O15" t="s">
        <v>213</v>
      </c>
      <c r="P15" t="s">
        <v>377</v>
      </c>
    </row>
    <row r="16" spans="2:16">
      <c r="B16" t="s">
        <v>360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171</v>
      </c>
      <c r="K16" t="s">
        <v>364</v>
      </c>
      <c r="M16" t="s">
        <v>10</v>
      </c>
      <c r="N16" t="s">
        <v>21</v>
      </c>
      <c r="O16" t="s">
        <v>213</v>
      </c>
      <c r="P16" t="s">
        <v>377</v>
      </c>
    </row>
    <row r="17" spans="2:16">
      <c r="B17" t="s">
        <v>360</v>
      </c>
      <c r="C17" t="s">
        <v>31</v>
      </c>
      <c r="D17" t="s">
        <v>19</v>
      </c>
      <c r="E17">
        <v>0.60000000000000009</v>
      </c>
      <c r="F17">
        <v>0.60000000000000009</v>
      </c>
      <c r="G17">
        <v>0.60000000000000009</v>
      </c>
      <c r="H17" t="s">
        <v>356</v>
      </c>
      <c r="J17" t="s">
        <v>171</v>
      </c>
      <c r="K17" t="s">
        <v>365</v>
      </c>
      <c r="M17" t="s">
        <v>10</v>
      </c>
      <c r="N17" t="s">
        <v>21</v>
      </c>
      <c r="O17" t="s">
        <v>213</v>
      </c>
      <c r="P17" t="s">
        <v>377</v>
      </c>
    </row>
    <row r="18" spans="2:16">
      <c r="B18" t="s">
        <v>360</v>
      </c>
      <c r="C18" t="s">
        <v>31</v>
      </c>
      <c r="D18" t="s">
        <v>19</v>
      </c>
      <c r="E18">
        <v>2400</v>
      </c>
      <c r="F18">
        <v>2350</v>
      </c>
      <c r="G18">
        <v>2300</v>
      </c>
      <c r="H18" t="s">
        <v>357</v>
      </c>
      <c r="J18" t="s">
        <v>171</v>
      </c>
      <c r="K18" t="s">
        <v>366</v>
      </c>
      <c r="M18" t="s">
        <v>10</v>
      </c>
      <c r="N18" t="s">
        <v>21</v>
      </c>
      <c r="O18" t="s">
        <v>213</v>
      </c>
      <c r="P18" t="s">
        <v>377</v>
      </c>
    </row>
    <row r="19" spans="2:16">
      <c r="B19" t="s">
        <v>360</v>
      </c>
      <c r="C19" t="s">
        <v>31</v>
      </c>
      <c r="D19" t="s">
        <v>19</v>
      </c>
      <c r="E19">
        <v>85</v>
      </c>
      <c r="F19">
        <v>85</v>
      </c>
      <c r="G19">
        <v>80</v>
      </c>
      <c r="H19" t="s">
        <v>358</v>
      </c>
      <c r="J19" t="s">
        <v>171</v>
      </c>
      <c r="K19" t="s">
        <v>367</v>
      </c>
      <c r="M19" t="s">
        <v>10</v>
      </c>
      <c r="N19" t="s">
        <v>21</v>
      </c>
      <c r="O19" t="s">
        <v>213</v>
      </c>
      <c r="P19" t="s">
        <v>377</v>
      </c>
    </row>
    <row r="20" spans="2:16">
      <c r="B20" t="s">
        <v>360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359</v>
      </c>
      <c r="J20" t="s">
        <v>171</v>
      </c>
      <c r="K20" t="s">
        <v>368</v>
      </c>
      <c r="M20" t="s">
        <v>10</v>
      </c>
      <c r="N20" t="s">
        <v>21</v>
      </c>
      <c r="O20" t="s">
        <v>213</v>
      </c>
      <c r="P20" t="s">
        <v>377</v>
      </c>
    </row>
    <row r="21" spans="2:16">
      <c r="B21" t="s">
        <v>361</v>
      </c>
      <c r="C21" t="s">
        <v>33</v>
      </c>
      <c r="D21" t="s">
        <v>19</v>
      </c>
      <c r="E21">
        <v>0.59</v>
      </c>
      <c r="F21">
        <v>0.6</v>
      </c>
      <c r="G21">
        <v>0.61</v>
      </c>
      <c r="H21" t="s">
        <v>146</v>
      </c>
      <c r="J21" t="s">
        <v>171</v>
      </c>
      <c r="K21" t="s">
        <v>369</v>
      </c>
      <c r="M21" t="s">
        <v>10</v>
      </c>
      <c r="N21" t="s">
        <v>21</v>
      </c>
      <c r="O21" t="s">
        <v>213</v>
      </c>
      <c r="P21" t="s">
        <v>377</v>
      </c>
    </row>
    <row r="22" spans="2:16">
      <c r="B22" t="s">
        <v>361</v>
      </c>
      <c r="C22" t="s">
        <v>33</v>
      </c>
      <c r="D22" t="s">
        <v>19</v>
      </c>
      <c r="E22">
        <v>1000</v>
      </c>
      <c r="F22">
        <v>1000</v>
      </c>
      <c r="G22">
        <v>1000</v>
      </c>
      <c r="H22" t="s">
        <v>357</v>
      </c>
      <c r="J22" t="s">
        <v>171</v>
      </c>
      <c r="K22" t="s">
        <v>370</v>
      </c>
      <c r="M22" t="s">
        <v>10</v>
      </c>
      <c r="N22" t="s">
        <v>21</v>
      </c>
      <c r="O22" t="s">
        <v>213</v>
      </c>
      <c r="P22" t="s">
        <v>377</v>
      </c>
    </row>
    <row r="23" spans="2:16">
      <c r="B23" t="s">
        <v>361</v>
      </c>
      <c r="C23" t="s">
        <v>33</v>
      </c>
      <c r="D23" t="s">
        <v>19</v>
      </c>
      <c r="E23">
        <v>25</v>
      </c>
      <c r="F23">
        <v>25</v>
      </c>
      <c r="G23">
        <v>25</v>
      </c>
      <c r="H23" t="s">
        <v>358</v>
      </c>
      <c r="J23" t="s">
        <v>171</v>
      </c>
      <c r="K23" t="s">
        <v>371</v>
      </c>
      <c r="M23" t="s">
        <v>10</v>
      </c>
      <c r="N23" t="s">
        <v>21</v>
      </c>
      <c r="O23" t="s">
        <v>213</v>
      </c>
      <c r="P23" t="s">
        <v>377</v>
      </c>
    </row>
    <row r="24" spans="2:16">
      <c r="B24" t="s">
        <v>362</v>
      </c>
      <c r="C24" t="s">
        <v>33</v>
      </c>
      <c r="D24" t="s">
        <v>19</v>
      </c>
      <c r="E24">
        <v>0.51</v>
      </c>
      <c r="F24">
        <v>0.52</v>
      </c>
      <c r="G24">
        <v>0.54</v>
      </c>
      <c r="H24" t="s">
        <v>146</v>
      </c>
      <c r="J24" t="s">
        <v>171</v>
      </c>
      <c r="K24" t="s">
        <v>372</v>
      </c>
      <c r="M24" t="s">
        <v>10</v>
      </c>
      <c r="N24" t="s">
        <v>21</v>
      </c>
      <c r="O24" t="s">
        <v>213</v>
      </c>
      <c r="P24" t="s">
        <v>377</v>
      </c>
    </row>
    <row r="25" spans="2:16">
      <c r="B25" t="s">
        <v>362</v>
      </c>
      <c r="C25" t="s">
        <v>33</v>
      </c>
      <c r="D25" t="s">
        <v>19</v>
      </c>
      <c r="E25">
        <v>3100</v>
      </c>
      <c r="F25">
        <v>3100</v>
      </c>
      <c r="G25">
        <v>2400</v>
      </c>
      <c r="H25" t="s">
        <v>357</v>
      </c>
      <c r="J25" t="s">
        <v>171</v>
      </c>
      <c r="K25" t="s">
        <v>373</v>
      </c>
      <c r="M25" t="s">
        <v>10</v>
      </c>
      <c r="N25" t="s">
        <v>21</v>
      </c>
      <c r="O25" t="s">
        <v>213</v>
      </c>
      <c r="P25" t="s">
        <v>377</v>
      </c>
    </row>
    <row r="26" spans="2:16">
      <c r="B26" t="s">
        <v>362</v>
      </c>
      <c r="C26" t="s">
        <v>33</v>
      </c>
      <c r="D26" t="s">
        <v>19</v>
      </c>
      <c r="E26">
        <v>75</v>
      </c>
      <c r="F26">
        <v>75</v>
      </c>
      <c r="G26">
        <v>60</v>
      </c>
      <c r="H26" t="s">
        <v>358</v>
      </c>
      <c r="J26" t="s">
        <v>171</v>
      </c>
      <c r="K26" t="s">
        <v>374</v>
      </c>
      <c r="M26" t="s">
        <v>10</v>
      </c>
      <c r="N26" t="s">
        <v>21</v>
      </c>
      <c r="O26" t="s">
        <v>213</v>
      </c>
      <c r="P26" t="s">
        <v>377</v>
      </c>
    </row>
    <row r="27" spans="2:16">
      <c r="B27" t="s">
        <v>363</v>
      </c>
      <c r="C27" t="s">
        <v>32</v>
      </c>
      <c r="D27" t="s">
        <v>19</v>
      </c>
      <c r="E27">
        <v>0.37</v>
      </c>
      <c r="F27">
        <v>0.38</v>
      </c>
      <c r="G27">
        <v>0.39</v>
      </c>
      <c r="H27" t="s">
        <v>146</v>
      </c>
      <c r="J27" t="s">
        <v>171</v>
      </c>
      <c r="K27" t="s">
        <v>376</v>
      </c>
      <c r="M27" t="s">
        <v>10</v>
      </c>
      <c r="N27" t="s">
        <v>21</v>
      </c>
      <c r="O27" t="s">
        <v>213</v>
      </c>
      <c r="P27" t="s">
        <v>377</v>
      </c>
    </row>
    <row r="28" spans="2:16">
      <c r="B28" t="s">
        <v>363</v>
      </c>
      <c r="C28" t="s">
        <v>32</v>
      </c>
      <c r="D28" t="s">
        <v>19</v>
      </c>
      <c r="E28">
        <v>5500</v>
      </c>
      <c r="F28">
        <v>5500</v>
      </c>
      <c r="G28">
        <v>4350</v>
      </c>
      <c r="H28" t="s">
        <v>357</v>
      </c>
    </row>
    <row r="29" spans="2:16">
      <c r="B29" t="s">
        <v>363</v>
      </c>
      <c r="C29" t="s">
        <v>32</v>
      </c>
      <c r="D29" t="s">
        <v>19</v>
      </c>
      <c r="E29">
        <v>165</v>
      </c>
      <c r="F29">
        <v>165</v>
      </c>
      <c r="G29">
        <v>130</v>
      </c>
      <c r="H29" t="s">
        <v>358</v>
      </c>
    </row>
    <row r="30" spans="2:16">
      <c r="B30" t="s">
        <v>364</v>
      </c>
      <c r="C30" t="s">
        <v>33</v>
      </c>
      <c r="D30" t="s">
        <v>19</v>
      </c>
      <c r="E30">
        <v>0.4</v>
      </c>
      <c r="F30">
        <v>0.41000000000000003</v>
      </c>
      <c r="G30">
        <v>0.42</v>
      </c>
      <c r="H30" t="s">
        <v>146</v>
      </c>
    </row>
    <row r="31" spans="2:16">
      <c r="B31" t="s">
        <v>364</v>
      </c>
      <c r="C31" t="s">
        <v>33</v>
      </c>
      <c r="D31" t="s">
        <v>19</v>
      </c>
      <c r="E31">
        <v>500</v>
      </c>
      <c r="F31">
        <v>500</v>
      </c>
      <c r="G31">
        <v>500</v>
      </c>
      <c r="H31" t="s">
        <v>357</v>
      </c>
    </row>
    <row r="32" spans="2:16">
      <c r="B32" t="s">
        <v>364</v>
      </c>
      <c r="C32" t="s">
        <v>33</v>
      </c>
      <c r="D32" t="s">
        <v>19</v>
      </c>
      <c r="E32">
        <v>20</v>
      </c>
      <c r="F32">
        <v>20</v>
      </c>
      <c r="G32">
        <v>20</v>
      </c>
      <c r="H32" t="s">
        <v>358</v>
      </c>
    </row>
    <row r="33" spans="2:8">
      <c r="B33" t="s">
        <v>365</v>
      </c>
      <c r="C33" t="s">
        <v>28</v>
      </c>
      <c r="D33" t="s">
        <v>19</v>
      </c>
      <c r="E33">
        <v>1</v>
      </c>
      <c r="F33">
        <v>1</v>
      </c>
      <c r="G33">
        <v>1</v>
      </c>
      <c r="H33" t="s">
        <v>146</v>
      </c>
    </row>
    <row r="34" spans="2:8">
      <c r="B34" t="s">
        <v>365</v>
      </c>
      <c r="C34" t="s">
        <v>28</v>
      </c>
      <c r="D34" t="s">
        <v>19</v>
      </c>
      <c r="E34">
        <v>0.35000000000000003</v>
      </c>
      <c r="F34">
        <v>0.35000000000000003</v>
      </c>
      <c r="G34">
        <v>0.35000000000000003</v>
      </c>
      <c r="H34" t="s">
        <v>356</v>
      </c>
    </row>
    <row r="35" spans="2:8">
      <c r="B35" t="s">
        <v>365</v>
      </c>
      <c r="C35" t="s">
        <v>28</v>
      </c>
      <c r="D35" t="s">
        <v>19</v>
      </c>
      <c r="E35">
        <v>2650</v>
      </c>
      <c r="F35">
        <v>2650</v>
      </c>
      <c r="G35">
        <v>2650</v>
      </c>
      <c r="H35" t="s">
        <v>357</v>
      </c>
    </row>
    <row r="36" spans="2:8">
      <c r="B36" t="s">
        <v>365</v>
      </c>
      <c r="C36" t="s">
        <v>28</v>
      </c>
      <c r="D36" t="s">
        <v>19</v>
      </c>
      <c r="E36">
        <v>65</v>
      </c>
      <c r="F36">
        <v>65</v>
      </c>
      <c r="G36">
        <v>65</v>
      </c>
      <c r="H36" t="s">
        <v>358</v>
      </c>
    </row>
    <row r="37" spans="2:8">
      <c r="B37" t="s">
        <v>365</v>
      </c>
      <c r="C37" t="s">
        <v>28</v>
      </c>
      <c r="D37" t="s">
        <v>19</v>
      </c>
      <c r="E37">
        <v>4</v>
      </c>
      <c r="F37">
        <v>4</v>
      </c>
      <c r="G37">
        <v>4</v>
      </c>
      <c r="H37" t="s">
        <v>359</v>
      </c>
    </row>
    <row r="38" spans="2:8">
      <c r="B38" t="s">
        <v>366</v>
      </c>
      <c r="C38" t="s">
        <v>33</v>
      </c>
      <c r="D38" t="s">
        <v>19</v>
      </c>
      <c r="E38">
        <v>0.45</v>
      </c>
      <c r="F38">
        <v>0.47000000000000003</v>
      </c>
      <c r="G38">
        <v>0.5</v>
      </c>
      <c r="H38" t="s">
        <v>146</v>
      </c>
    </row>
    <row r="39" spans="2:8">
      <c r="B39" t="s">
        <v>366</v>
      </c>
      <c r="C39" t="s">
        <v>33</v>
      </c>
      <c r="D39" t="s">
        <v>19</v>
      </c>
      <c r="E39">
        <v>2500</v>
      </c>
      <c r="F39">
        <v>2350</v>
      </c>
      <c r="G39">
        <v>2300</v>
      </c>
      <c r="H39" t="s">
        <v>357</v>
      </c>
    </row>
    <row r="40" spans="2:8">
      <c r="B40" t="s">
        <v>366</v>
      </c>
      <c r="C40" t="s">
        <v>33</v>
      </c>
      <c r="D40" t="s">
        <v>19</v>
      </c>
      <c r="E40">
        <v>95</v>
      </c>
      <c r="F40">
        <v>85</v>
      </c>
      <c r="G40">
        <v>80</v>
      </c>
      <c r="H40" t="s">
        <v>358</v>
      </c>
    </row>
    <row r="41" spans="2:8">
      <c r="B41" t="s">
        <v>367</v>
      </c>
      <c r="C41" t="s">
        <v>32</v>
      </c>
      <c r="D41" t="s">
        <v>19</v>
      </c>
      <c r="E41">
        <v>0.36</v>
      </c>
      <c r="F41">
        <v>0.38</v>
      </c>
      <c r="G41">
        <v>0.43</v>
      </c>
      <c r="H41" t="s">
        <v>146</v>
      </c>
    </row>
    <row r="42" spans="2:8">
      <c r="B42" t="s">
        <v>367</v>
      </c>
      <c r="C42" t="s">
        <v>32</v>
      </c>
      <c r="D42" t="s">
        <v>19</v>
      </c>
      <c r="E42">
        <v>5850</v>
      </c>
      <c r="F42">
        <v>5700</v>
      </c>
      <c r="G42">
        <v>5100</v>
      </c>
      <c r="H42" t="s">
        <v>357</v>
      </c>
    </row>
    <row r="43" spans="2:8">
      <c r="B43" t="s">
        <v>367</v>
      </c>
      <c r="C43" t="s">
        <v>32</v>
      </c>
      <c r="D43" t="s">
        <v>19</v>
      </c>
      <c r="E43">
        <v>205</v>
      </c>
      <c r="F43">
        <v>200</v>
      </c>
      <c r="G43">
        <v>180</v>
      </c>
      <c r="H43" t="s">
        <v>358</v>
      </c>
    </row>
    <row r="44" spans="2:8">
      <c r="B44" t="s">
        <v>368</v>
      </c>
      <c r="C44" t="s">
        <v>36</v>
      </c>
      <c r="D44" t="s">
        <v>19</v>
      </c>
      <c r="E44">
        <v>0.33</v>
      </c>
      <c r="F44">
        <v>0.33</v>
      </c>
      <c r="G44">
        <v>0.33</v>
      </c>
      <c r="H44" t="s">
        <v>146</v>
      </c>
    </row>
    <row r="45" spans="2:8">
      <c r="B45" t="s">
        <v>368</v>
      </c>
      <c r="C45" t="s">
        <v>36</v>
      </c>
      <c r="D45" t="s">
        <v>19</v>
      </c>
      <c r="E45">
        <v>6600</v>
      </c>
      <c r="F45">
        <v>5100</v>
      </c>
      <c r="G45">
        <v>4500</v>
      </c>
      <c r="H45" t="s">
        <v>357</v>
      </c>
    </row>
    <row r="46" spans="2:8">
      <c r="B46" t="s">
        <v>368</v>
      </c>
      <c r="C46" t="s">
        <v>36</v>
      </c>
      <c r="D46" t="s">
        <v>19</v>
      </c>
      <c r="E46">
        <v>165</v>
      </c>
      <c r="F46">
        <v>165</v>
      </c>
      <c r="G46">
        <v>160</v>
      </c>
      <c r="H46" t="s">
        <v>358</v>
      </c>
    </row>
    <row r="47" spans="2:8">
      <c r="B47" t="s">
        <v>369</v>
      </c>
      <c r="C47" t="s">
        <v>32</v>
      </c>
      <c r="D47" t="s">
        <v>19</v>
      </c>
      <c r="E47">
        <v>0.37</v>
      </c>
      <c r="F47">
        <v>0.38</v>
      </c>
      <c r="G47">
        <v>0.39</v>
      </c>
      <c r="H47" t="s">
        <v>146</v>
      </c>
    </row>
    <row r="48" spans="2:8">
      <c r="B48" t="s">
        <v>369</v>
      </c>
      <c r="C48" t="s">
        <v>32</v>
      </c>
      <c r="D48" t="s">
        <v>19</v>
      </c>
      <c r="E48">
        <v>5700</v>
      </c>
      <c r="F48">
        <v>5700</v>
      </c>
      <c r="G48">
        <v>5100</v>
      </c>
      <c r="H48" t="s">
        <v>357</v>
      </c>
    </row>
    <row r="49" spans="2:8">
      <c r="B49" t="s">
        <v>369</v>
      </c>
      <c r="C49" t="s">
        <v>32</v>
      </c>
      <c r="D49" t="s">
        <v>19</v>
      </c>
      <c r="E49">
        <v>170</v>
      </c>
      <c r="F49">
        <v>170</v>
      </c>
      <c r="G49">
        <v>155</v>
      </c>
      <c r="H49" t="s">
        <v>358</v>
      </c>
    </row>
    <row r="50" spans="2:8">
      <c r="B50" t="s">
        <v>370</v>
      </c>
      <c r="C50" t="s">
        <v>27</v>
      </c>
      <c r="D50" t="s">
        <v>19</v>
      </c>
      <c r="E50">
        <v>1</v>
      </c>
      <c r="F50">
        <v>1</v>
      </c>
      <c r="G50">
        <v>1</v>
      </c>
      <c r="H50" t="s">
        <v>146</v>
      </c>
    </row>
    <row r="51" spans="2:8">
      <c r="B51" t="s">
        <v>370</v>
      </c>
      <c r="C51" t="s">
        <v>27</v>
      </c>
      <c r="D51" t="s">
        <v>19</v>
      </c>
      <c r="E51">
        <v>0.14000000000000001</v>
      </c>
      <c r="F51">
        <v>0.14000000000000001</v>
      </c>
      <c r="G51">
        <v>0.14000000000000001</v>
      </c>
      <c r="H51" t="s">
        <v>356</v>
      </c>
    </row>
    <row r="52" spans="2:8">
      <c r="B52" t="s">
        <v>370</v>
      </c>
      <c r="C52" t="s">
        <v>27</v>
      </c>
      <c r="D52" t="s">
        <v>19</v>
      </c>
      <c r="E52">
        <v>750</v>
      </c>
      <c r="F52">
        <v>480</v>
      </c>
      <c r="G52">
        <v>340</v>
      </c>
      <c r="H52" t="s">
        <v>357</v>
      </c>
    </row>
    <row r="53" spans="2:8">
      <c r="B53" t="s">
        <v>370</v>
      </c>
      <c r="C53" t="s">
        <v>27</v>
      </c>
      <c r="D53" t="s">
        <v>19</v>
      </c>
      <c r="E53">
        <v>12</v>
      </c>
      <c r="F53">
        <v>10</v>
      </c>
      <c r="G53">
        <v>10</v>
      </c>
      <c r="H53" t="s">
        <v>358</v>
      </c>
    </row>
    <row r="54" spans="2:8">
      <c r="B54" t="s">
        <v>370</v>
      </c>
      <c r="C54" t="s">
        <v>27</v>
      </c>
      <c r="D54" t="s">
        <v>19</v>
      </c>
      <c r="E54">
        <v>1.5</v>
      </c>
      <c r="F54">
        <v>1.5</v>
      </c>
      <c r="G54">
        <v>1.5</v>
      </c>
      <c r="H54" t="s">
        <v>359</v>
      </c>
    </row>
    <row r="55" spans="2:8">
      <c r="B55" t="s">
        <v>371</v>
      </c>
      <c r="C55" t="s">
        <v>32</v>
      </c>
      <c r="D55" t="s">
        <v>19</v>
      </c>
      <c r="E55">
        <v>0.39</v>
      </c>
      <c r="F55">
        <v>0.39</v>
      </c>
      <c r="G55">
        <v>0.39</v>
      </c>
      <c r="H55" t="s">
        <v>146</v>
      </c>
    </row>
    <row r="56" spans="2:8">
      <c r="B56" t="s">
        <v>371</v>
      </c>
      <c r="C56" t="s">
        <v>32</v>
      </c>
      <c r="D56" t="s">
        <v>19</v>
      </c>
      <c r="E56">
        <v>1700</v>
      </c>
      <c r="F56">
        <v>1700</v>
      </c>
      <c r="G56">
        <v>1700</v>
      </c>
      <c r="H56" t="s">
        <v>357</v>
      </c>
    </row>
    <row r="57" spans="2:8">
      <c r="B57" t="s">
        <v>371</v>
      </c>
      <c r="C57" t="s">
        <v>32</v>
      </c>
      <c r="D57" t="s">
        <v>19</v>
      </c>
      <c r="E57">
        <v>45</v>
      </c>
      <c r="F57">
        <v>45</v>
      </c>
      <c r="G57">
        <v>45</v>
      </c>
      <c r="H57" t="s">
        <v>358</v>
      </c>
    </row>
    <row r="58" spans="2:8">
      <c r="B58" t="s">
        <v>372</v>
      </c>
      <c r="C58" t="s">
        <v>32</v>
      </c>
      <c r="D58" t="s">
        <v>19</v>
      </c>
      <c r="E58">
        <v>0.43</v>
      </c>
      <c r="F58">
        <v>0.43</v>
      </c>
      <c r="G58">
        <v>0.43</v>
      </c>
      <c r="H58" t="s">
        <v>146</v>
      </c>
    </row>
    <row r="59" spans="2:8">
      <c r="B59" t="s">
        <v>372</v>
      </c>
      <c r="C59" t="s">
        <v>32</v>
      </c>
      <c r="D59" t="s">
        <v>19</v>
      </c>
      <c r="E59">
        <v>2000</v>
      </c>
      <c r="F59">
        <v>2000</v>
      </c>
      <c r="G59">
        <v>2000</v>
      </c>
      <c r="H59" t="s">
        <v>357</v>
      </c>
    </row>
    <row r="60" spans="2:8">
      <c r="B60" t="s">
        <v>372</v>
      </c>
      <c r="C60" t="s">
        <v>32</v>
      </c>
      <c r="D60" t="s">
        <v>19</v>
      </c>
      <c r="E60">
        <v>60</v>
      </c>
      <c r="F60">
        <v>60</v>
      </c>
      <c r="G60">
        <v>60</v>
      </c>
      <c r="H60" t="s">
        <v>358</v>
      </c>
    </row>
    <row r="61" spans="2:8">
      <c r="B61" t="s">
        <v>373</v>
      </c>
      <c r="C61" t="s">
        <v>32</v>
      </c>
      <c r="D61" t="s">
        <v>19</v>
      </c>
      <c r="E61">
        <v>0.46</v>
      </c>
      <c r="F61">
        <v>0.46</v>
      </c>
      <c r="G61">
        <v>0.48</v>
      </c>
      <c r="H61" t="s">
        <v>146</v>
      </c>
    </row>
    <row r="62" spans="2:8">
      <c r="B62" t="s">
        <v>373</v>
      </c>
      <c r="C62" t="s">
        <v>32</v>
      </c>
      <c r="D62" t="s">
        <v>19</v>
      </c>
      <c r="E62">
        <v>2200</v>
      </c>
      <c r="F62">
        <v>2200</v>
      </c>
      <c r="G62">
        <v>2200</v>
      </c>
      <c r="H62" t="s">
        <v>357</v>
      </c>
    </row>
    <row r="63" spans="2:8">
      <c r="B63" t="s">
        <v>373</v>
      </c>
      <c r="C63" t="s">
        <v>32</v>
      </c>
      <c r="D63" t="s">
        <v>19</v>
      </c>
      <c r="E63">
        <v>65</v>
      </c>
      <c r="F63">
        <v>65</v>
      </c>
      <c r="G63">
        <v>65</v>
      </c>
      <c r="H63" t="s">
        <v>358</v>
      </c>
    </row>
    <row r="64" spans="2:8">
      <c r="B64" t="s">
        <v>374</v>
      </c>
      <c r="C64" t="s">
        <v>375</v>
      </c>
      <c r="D64" t="s">
        <v>19</v>
      </c>
      <c r="E64">
        <v>1</v>
      </c>
      <c r="F64">
        <v>1</v>
      </c>
      <c r="G64">
        <v>1</v>
      </c>
      <c r="H64" t="s">
        <v>146</v>
      </c>
    </row>
    <row r="65" spans="2:8">
      <c r="B65" t="s">
        <v>374</v>
      </c>
      <c r="C65" t="s">
        <v>375</v>
      </c>
      <c r="D65" t="s">
        <v>19</v>
      </c>
      <c r="E65">
        <v>0.5</v>
      </c>
      <c r="F65">
        <v>0.55000000000000004</v>
      </c>
      <c r="G65">
        <v>0.56000000000000005</v>
      </c>
      <c r="H65" t="s">
        <v>356</v>
      </c>
    </row>
    <row r="66" spans="2:8">
      <c r="B66" t="s">
        <v>374</v>
      </c>
      <c r="C66" t="s">
        <v>375</v>
      </c>
      <c r="D66" t="s">
        <v>19</v>
      </c>
      <c r="E66">
        <v>3120</v>
      </c>
      <c r="F66">
        <v>2280</v>
      </c>
      <c r="G66">
        <v>1660</v>
      </c>
      <c r="H66" t="s">
        <v>357</v>
      </c>
    </row>
    <row r="67" spans="2:8">
      <c r="B67" t="s">
        <v>374</v>
      </c>
      <c r="C67" t="s">
        <v>375</v>
      </c>
      <c r="D67" t="s">
        <v>19</v>
      </c>
      <c r="E67">
        <v>60</v>
      </c>
      <c r="F67">
        <v>50</v>
      </c>
      <c r="G67">
        <v>40</v>
      </c>
      <c r="H67" t="s">
        <v>358</v>
      </c>
    </row>
    <row r="68" spans="2:8">
      <c r="B68" t="s">
        <v>374</v>
      </c>
      <c r="C68" t="s">
        <v>375</v>
      </c>
      <c r="D68" t="s">
        <v>19</v>
      </c>
      <c r="E68">
        <v>3</v>
      </c>
      <c r="F68">
        <v>3</v>
      </c>
      <c r="G68">
        <v>3</v>
      </c>
      <c r="H68" t="s">
        <v>359</v>
      </c>
    </row>
    <row r="69" spans="2:8">
      <c r="B69" t="s">
        <v>376</v>
      </c>
      <c r="C69" t="s">
        <v>375</v>
      </c>
      <c r="D69" t="s">
        <v>19</v>
      </c>
      <c r="E69">
        <v>1</v>
      </c>
      <c r="F69">
        <v>1</v>
      </c>
      <c r="G69">
        <v>1</v>
      </c>
      <c r="H69" t="s">
        <v>146</v>
      </c>
    </row>
    <row r="70" spans="2:8">
      <c r="B70" t="s">
        <v>376</v>
      </c>
      <c r="C70" t="s">
        <v>375</v>
      </c>
      <c r="D70" t="s">
        <v>19</v>
      </c>
      <c r="E70">
        <v>0.28999999999999998</v>
      </c>
      <c r="F70">
        <v>0.3</v>
      </c>
      <c r="G70">
        <v>0.3</v>
      </c>
      <c r="H70" t="s">
        <v>356</v>
      </c>
    </row>
    <row r="71" spans="2:8">
      <c r="B71" t="s">
        <v>376</v>
      </c>
      <c r="C71" t="s">
        <v>375</v>
      </c>
      <c r="D71" t="s">
        <v>19</v>
      </c>
      <c r="E71">
        <v>1630</v>
      </c>
      <c r="F71">
        <v>1550</v>
      </c>
      <c r="G71">
        <v>1490</v>
      </c>
      <c r="H71" t="s">
        <v>357</v>
      </c>
    </row>
    <row r="72" spans="2:8">
      <c r="B72" t="s">
        <v>376</v>
      </c>
      <c r="C72" t="s">
        <v>375</v>
      </c>
      <c r="D72" t="s">
        <v>19</v>
      </c>
      <c r="E72">
        <v>42</v>
      </c>
      <c r="F72">
        <v>40</v>
      </c>
      <c r="G72">
        <v>38</v>
      </c>
      <c r="H72" t="s">
        <v>358</v>
      </c>
    </row>
    <row r="73" spans="2:8">
      <c r="B73" t="s">
        <v>376</v>
      </c>
      <c r="C73" t="s">
        <v>375</v>
      </c>
      <c r="D73" t="s">
        <v>19</v>
      </c>
      <c r="E73">
        <v>1.5</v>
      </c>
      <c r="F73">
        <v>1.5</v>
      </c>
      <c r="G73">
        <v>1.5</v>
      </c>
      <c r="H73" t="s">
        <v>359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07F8E-D198-4A4F-AF4B-38F5BD165C1C}">
  <dimension ref="B2:M19"/>
  <sheetViews>
    <sheetView tabSelected="1" workbookViewId="0"/>
  </sheetViews>
  <sheetFormatPr defaultRowHeight="14.25"/>
  <sheetData>
    <row r="2" spans="2:13">
      <c r="B2" t="s">
        <v>194</v>
      </c>
      <c r="H2" t="s">
        <v>163</v>
      </c>
    </row>
    <row r="3" spans="2:13">
      <c r="B3" t="s">
        <v>165</v>
      </c>
      <c r="C3" t="s">
        <v>232</v>
      </c>
      <c r="D3" t="s">
        <v>195</v>
      </c>
      <c r="E3" t="s">
        <v>146</v>
      </c>
      <c r="H3" t="s">
        <v>164</v>
      </c>
      <c r="I3" t="s">
        <v>165</v>
      </c>
      <c r="J3" t="s">
        <v>166</v>
      </c>
      <c r="K3" t="s">
        <v>410</v>
      </c>
      <c r="L3" t="s">
        <v>411</v>
      </c>
      <c r="M3" t="s">
        <v>169</v>
      </c>
    </row>
    <row r="4" spans="2:13">
      <c r="B4" t="s">
        <v>378</v>
      </c>
      <c r="C4" t="s">
        <v>379</v>
      </c>
      <c r="D4" t="s">
        <v>380</v>
      </c>
      <c r="E4">
        <v>1</v>
      </c>
      <c r="H4" t="s">
        <v>209</v>
      </c>
      <c r="I4" t="s">
        <v>378</v>
      </c>
      <c r="J4" t="s">
        <v>412</v>
      </c>
      <c r="K4" t="s">
        <v>21</v>
      </c>
      <c r="L4" t="s">
        <v>10</v>
      </c>
      <c r="M4" t="s">
        <v>213</v>
      </c>
    </row>
    <row r="5" spans="2:13">
      <c r="B5" t="s">
        <v>381</v>
      </c>
      <c r="C5" t="s">
        <v>380</v>
      </c>
      <c r="D5" t="s">
        <v>379</v>
      </c>
      <c r="E5">
        <v>1</v>
      </c>
      <c r="H5" t="s">
        <v>209</v>
      </c>
      <c r="I5" t="s">
        <v>381</v>
      </c>
      <c r="J5" t="s">
        <v>413</v>
      </c>
      <c r="K5" t="s">
        <v>21</v>
      </c>
      <c r="L5" t="s">
        <v>10</v>
      </c>
      <c r="M5" t="s">
        <v>213</v>
      </c>
    </row>
    <row r="6" spans="2:13">
      <c r="B6" t="s">
        <v>382</v>
      </c>
      <c r="C6" t="s">
        <v>383</v>
      </c>
      <c r="D6" t="s">
        <v>384</v>
      </c>
      <c r="E6">
        <v>1</v>
      </c>
      <c r="H6" t="s">
        <v>209</v>
      </c>
      <c r="I6" t="s">
        <v>382</v>
      </c>
      <c r="J6" t="s">
        <v>414</v>
      </c>
      <c r="K6" t="s">
        <v>21</v>
      </c>
      <c r="L6" t="s">
        <v>10</v>
      </c>
      <c r="M6" t="s">
        <v>213</v>
      </c>
    </row>
    <row r="7" spans="2:13">
      <c r="B7" t="s">
        <v>385</v>
      </c>
      <c r="C7" t="s">
        <v>384</v>
      </c>
      <c r="D7" t="s">
        <v>383</v>
      </c>
      <c r="E7">
        <v>1</v>
      </c>
      <c r="H7" t="s">
        <v>209</v>
      </c>
      <c r="I7" t="s">
        <v>385</v>
      </c>
      <c r="J7" t="s">
        <v>415</v>
      </c>
      <c r="K7" t="s">
        <v>21</v>
      </c>
      <c r="L7" t="s">
        <v>10</v>
      </c>
      <c r="M7" t="s">
        <v>213</v>
      </c>
    </row>
    <row r="8" spans="2:13">
      <c r="B8" t="s">
        <v>386</v>
      </c>
      <c r="C8" t="s">
        <v>387</v>
      </c>
      <c r="D8" t="s">
        <v>388</v>
      </c>
      <c r="E8">
        <v>1</v>
      </c>
      <c r="H8" t="s">
        <v>209</v>
      </c>
      <c r="I8" t="s">
        <v>386</v>
      </c>
      <c r="J8" t="s">
        <v>416</v>
      </c>
      <c r="K8" t="s">
        <v>21</v>
      </c>
      <c r="L8" t="s">
        <v>10</v>
      </c>
      <c r="M8" t="s">
        <v>213</v>
      </c>
    </row>
    <row r="9" spans="2:13">
      <c r="B9" t="s">
        <v>389</v>
      </c>
      <c r="C9" t="s">
        <v>388</v>
      </c>
      <c r="D9" t="s">
        <v>387</v>
      </c>
      <c r="E9">
        <v>1</v>
      </c>
      <c r="H9" t="s">
        <v>209</v>
      </c>
      <c r="I9" t="s">
        <v>389</v>
      </c>
      <c r="J9" t="s">
        <v>417</v>
      </c>
      <c r="K9" t="s">
        <v>21</v>
      </c>
      <c r="L9" t="s">
        <v>10</v>
      </c>
      <c r="M9" t="s">
        <v>213</v>
      </c>
    </row>
    <row r="10" spans="2:13">
      <c r="B10" t="s">
        <v>390</v>
      </c>
      <c r="C10" t="s">
        <v>391</v>
      </c>
      <c r="D10" t="s">
        <v>392</v>
      </c>
      <c r="E10">
        <v>1</v>
      </c>
      <c r="H10" t="s">
        <v>209</v>
      </c>
      <c r="I10" t="s">
        <v>390</v>
      </c>
      <c r="J10" t="s">
        <v>418</v>
      </c>
      <c r="K10" t="s">
        <v>21</v>
      </c>
      <c r="L10" t="s">
        <v>10</v>
      </c>
      <c r="M10" t="s">
        <v>213</v>
      </c>
    </row>
    <row r="11" spans="2:13">
      <c r="B11" t="s">
        <v>393</v>
      </c>
      <c r="C11" t="s">
        <v>392</v>
      </c>
      <c r="D11" t="s">
        <v>391</v>
      </c>
      <c r="E11">
        <v>1</v>
      </c>
      <c r="H11" t="s">
        <v>209</v>
      </c>
      <c r="I11" t="s">
        <v>393</v>
      </c>
      <c r="J11" t="s">
        <v>419</v>
      </c>
      <c r="K11" t="s">
        <v>21</v>
      </c>
      <c r="L11" t="s">
        <v>10</v>
      </c>
      <c r="M11" t="s">
        <v>213</v>
      </c>
    </row>
    <row r="12" spans="2:13">
      <c r="B12" t="s">
        <v>394</v>
      </c>
      <c r="C12" t="s">
        <v>395</v>
      </c>
      <c r="D12" t="s">
        <v>396</v>
      </c>
      <c r="E12">
        <v>1</v>
      </c>
      <c r="H12" t="s">
        <v>209</v>
      </c>
      <c r="I12" t="s">
        <v>394</v>
      </c>
      <c r="J12" t="s">
        <v>420</v>
      </c>
      <c r="K12" t="s">
        <v>21</v>
      </c>
      <c r="L12" t="s">
        <v>10</v>
      </c>
      <c r="M12" t="s">
        <v>213</v>
      </c>
    </row>
    <row r="13" spans="2:13">
      <c r="B13" t="s">
        <v>397</v>
      </c>
      <c r="C13" t="s">
        <v>396</v>
      </c>
      <c r="D13" t="s">
        <v>395</v>
      </c>
      <c r="E13">
        <v>1</v>
      </c>
      <c r="H13" t="s">
        <v>209</v>
      </c>
      <c r="I13" t="s">
        <v>397</v>
      </c>
      <c r="J13" t="s">
        <v>421</v>
      </c>
      <c r="K13" t="s">
        <v>21</v>
      </c>
      <c r="L13" t="s">
        <v>10</v>
      </c>
      <c r="M13" t="s">
        <v>213</v>
      </c>
    </row>
    <row r="14" spans="2:13">
      <c r="B14" t="s">
        <v>398</v>
      </c>
      <c r="C14" t="s">
        <v>399</v>
      </c>
      <c r="D14" t="s">
        <v>400</v>
      </c>
      <c r="E14">
        <v>1</v>
      </c>
      <c r="H14" t="s">
        <v>209</v>
      </c>
      <c r="I14" t="s">
        <v>398</v>
      </c>
      <c r="J14" t="s">
        <v>422</v>
      </c>
      <c r="K14" t="s">
        <v>21</v>
      </c>
      <c r="L14" t="s">
        <v>10</v>
      </c>
      <c r="M14" t="s">
        <v>213</v>
      </c>
    </row>
    <row r="15" spans="2:13">
      <c r="B15" t="s">
        <v>401</v>
      </c>
      <c r="C15" t="s">
        <v>400</v>
      </c>
      <c r="D15" t="s">
        <v>399</v>
      </c>
      <c r="E15">
        <v>1</v>
      </c>
      <c r="H15" t="s">
        <v>209</v>
      </c>
      <c r="I15" t="s">
        <v>401</v>
      </c>
      <c r="J15" t="s">
        <v>423</v>
      </c>
      <c r="K15" t="s">
        <v>21</v>
      </c>
      <c r="L15" t="s">
        <v>10</v>
      </c>
      <c r="M15" t="s">
        <v>213</v>
      </c>
    </row>
    <row r="16" spans="2:13">
      <c r="B16" t="s">
        <v>402</v>
      </c>
      <c r="C16" t="s">
        <v>403</v>
      </c>
      <c r="D16" t="s">
        <v>404</v>
      </c>
      <c r="E16">
        <v>1</v>
      </c>
      <c r="H16" t="s">
        <v>209</v>
      </c>
      <c r="I16" t="s">
        <v>402</v>
      </c>
      <c r="J16" t="s">
        <v>424</v>
      </c>
      <c r="K16" t="s">
        <v>21</v>
      </c>
      <c r="L16" t="s">
        <v>10</v>
      </c>
      <c r="M16" t="s">
        <v>213</v>
      </c>
    </row>
    <row r="17" spans="2:13">
      <c r="B17" t="s">
        <v>405</v>
      </c>
      <c r="C17" t="s">
        <v>404</v>
      </c>
      <c r="D17" t="s">
        <v>403</v>
      </c>
      <c r="E17">
        <v>1</v>
      </c>
      <c r="H17" t="s">
        <v>209</v>
      </c>
      <c r="I17" t="s">
        <v>405</v>
      </c>
      <c r="J17" t="s">
        <v>425</v>
      </c>
      <c r="K17" t="s">
        <v>21</v>
      </c>
      <c r="L17" t="s">
        <v>10</v>
      </c>
      <c r="M17" t="s">
        <v>213</v>
      </c>
    </row>
    <row r="18" spans="2:13">
      <c r="B18" t="s">
        <v>406</v>
      </c>
      <c r="C18" t="s">
        <v>407</v>
      </c>
      <c r="D18" t="s">
        <v>408</v>
      </c>
      <c r="E18">
        <v>1</v>
      </c>
      <c r="H18" t="s">
        <v>209</v>
      </c>
      <c r="I18" t="s">
        <v>406</v>
      </c>
      <c r="J18" t="s">
        <v>426</v>
      </c>
      <c r="K18" t="s">
        <v>21</v>
      </c>
      <c r="L18" t="s">
        <v>10</v>
      </c>
      <c r="M18" t="s">
        <v>213</v>
      </c>
    </row>
    <row r="19" spans="2:13">
      <c r="B19" t="s">
        <v>409</v>
      </c>
      <c r="C19" t="s">
        <v>408</v>
      </c>
      <c r="D19" t="s">
        <v>407</v>
      </c>
      <c r="E19">
        <v>1</v>
      </c>
      <c r="H19" t="s">
        <v>209</v>
      </c>
      <c r="I19" t="s">
        <v>409</v>
      </c>
      <c r="J19" t="s">
        <v>427</v>
      </c>
      <c r="K19" t="s">
        <v>21</v>
      </c>
      <c r="L19" t="s">
        <v>10</v>
      </c>
      <c r="M19" t="s">
        <v>213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misc</vt:lpstr>
      <vt:lpstr>ELC_Storage</vt:lpstr>
      <vt:lpstr>EV Battery</vt:lpstr>
      <vt:lpstr>H2 prod</vt:lpstr>
      <vt:lpstr>solar</vt:lpstr>
      <vt:lpstr>wind</vt:lpstr>
      <vt:lpstr>conventional</vt:lpstr>
      <vt:lpstr>grid_transformers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2025-11-24T14:16:05Z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