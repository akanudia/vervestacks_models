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NK_grids_kan\SuppXLS\"/>
    </mc:Choice>
  </mc:AlternateContent>
  <xr:revisionPtr revIDLastSave="0" documentId="8_{B3569B06-9EF3-4ADE-8F95-E3FED5B6F6B6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H21" i="6" s="1"/>
  <c r="D5" i="1"/>
  <c r="AJ25" i="1" l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<sst xmlns="http://schemas.openxmlformats.org/spreadsheetml/2006/main" count="9195" uniqueCount="280">
  <si>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</si>
  <si>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</si>
  <si>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</si>
  <si>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</si>
  <si>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</si>
  <si>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</si>
  <si>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</si>
  <si>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</si>
  <si>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</si>
  <si>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</si>
  <si>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</si>
  <si>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</si>
  <si>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</si>
  <si>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</si>
  <si>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</si>
  <si>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</si>
  <si>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</si>
  <si>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</si>
  <si>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</si>
  <si>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</si>
  <si>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</si>
  <si>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</si>
  <si>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</si>
  <si>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</si>
  <si>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</si>
  <si>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</si>
  <si>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</si>
  <si>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</si>
  <si>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</si>
  <si>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</si>
  <si>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</si>
  <si>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</si>
  <si>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</si>
  <si>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</si>
  <si>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</si>
  <si>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</si>
  <si>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</si>
  <si>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</si>
  <si>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</si>
  <si>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</si>
  <si>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</si>
  <si>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</si>
  <si>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</si>
  <si>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</si>
  <si>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</si>
  <si>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</si>
  <si>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</si>
  <si>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</si>
  <si>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</si>
  <si>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</si>
  <si>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</si>
  <si>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</si>
  <si>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</si>
  <si>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</si>
  <si>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</si>
  <si>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</si>
  <si>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</si>
  <si>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</si>
  <si>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</si>
  <si>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</si>
  <si>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</si>
  <si>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</si>
  <si>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</si>
  <si>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</si>
  <si>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</si>
  <si>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</si>
  <si>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</si>
  <si>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</si>
  <si>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</si>
  <si>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</si>
  <si>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</si>
  <si>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</si>
  <si>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</si>
  <si>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</si>
  <si>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</si>
  <si>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</si>
  <si>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</si>
  <si>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</si>
  <si>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</si>
  <si>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</si>
  <si>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</si>
  <si>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</si>
  <si>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</si>
  <si>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</si>
  <si>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</si>
  <si>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</si>
  <si>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</si>
  <si>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</si>
  <si>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</si>
  <si>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</si>
  <si>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</si>
  <si>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</si>
  <si>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</si>
  <si>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</si>
  <si>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</si>
  <si>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</si>
  <si>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</si>
  <si>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</si>
  <si>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</si>
  <si>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</si>
  <si>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</si>
  <si>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</si>
  <si>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</si>
  <si>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</si>
  <si>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</si>
  <si>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</si>
  <si>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</si>
  <si>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</si>
  <si>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</si>
  <si>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</si>
  <si>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</si>
  <si>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</si>
  <si>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</si>
  <si>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</si>
  <si>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</si>
  <si>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</si>
  <si>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</si>
  <si>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</si>
  <si>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</si>
  <si>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</si>
  <si>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</si>
  <si>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</si>
  <si>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</si>
  <si>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</si>
  <si>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</si>
  <si>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</si>
  <si>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</si>
  <si>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</si>
  <si>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</si>
  <si>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</si>
  <si>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</si>
  <si>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</si>
  <si>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</si>
  <si>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</si>
  <si>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</si>
  <si>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</si>
  <si>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</si>
  <si>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</si>
  <si>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</si>
  <si>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</si>
  <si>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</si>
  <si>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</si>
  <si>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</si>
  <si>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DNK</t>
  </si>
  <si>
    <t>R10EUROPE</t>
  </si>
  <si>
    <t>North Sea gas declining, straw biomass</t>
  </si>
  <si>
    <t>1,2,3,4,5,6,7,8,9,10,11,12,13,14,15,21,22,23,24,25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</si>
  <si>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</si>
  <si>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</si>
  <si>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</si>
  <si>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</si>
  <si>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</si>
  <si>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</si>
  <si>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</si>
  <si>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</si>
  <si>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</si>
  <si>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</si>
  <si>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</si>
  <si>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</si>
  <si>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</si>
  <si>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</si>
  <si>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</si>
  <si>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</si>
  <si>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</si>
  <si>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</si>
  <si>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</si>
  <si>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</si>
  <si>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</si>
  <si>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</si>
  <si>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</si>
  <si>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</si>
  <si>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</si>
  <si>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</si>
  <si>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</si>
  <si>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</si>
  <si>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</si>
  <si>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</si>
  <si>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</si>
  <si>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</si>
  <si>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</si>
  <si>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</si>
  <si>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</si>
  <si>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</si>
  <si>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</si>
  <si>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</si>
  <si>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</si>
  <si>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</si>
  <si>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</si>
  <si>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</si>
  <si>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</si>
  <si>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</si>
  <si>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</si>
  <si>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</si>
  <si>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</si>
  <si>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</si>
  <si>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</si>
  <si>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</si>
  <si>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</si>
  <si>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</si>
  <si>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</si>
  <si>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</si>
  <si>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</si>
  <si>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</si>
  <si>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</si>
  <si>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</si>
  <si>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</si>
  <si>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</si>
  <si>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</si>
  <si>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</si>
  <si>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</si>
  <si>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</si>
  <si>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S01aH03,S01aH02,S04aH02,S04aH03,S03aH03,S02aH03,S03aH02,S02aH02</t>
  </si>
  <si>
    <t>N</t>
  </si>
  <si>
    <t>S02aH01,S01aH01,S04aH01,S03aH01</t>
  </si>
  <si>
    <t>com_pkflx</t>
  </si>
  <si>
    <t>ncap_afs</t>
  </si>
  <si>
    <t>pset_ci</t>
  </si>
  <si>
    <t>hydro</t>
  </si>
  <si>
    <t>S01,S02,S03,S04,S05,S06,S07</t>
  </si>
  <si>
    <t>H04</t>
  </si>
  <si>
    <t>S05</t>
  </si>
  <si>
    <t>H05</t>
  </si>
  <si>
    <t>S06</t>
  </si>
  <si>
    <t>H06</t>
  </si>
  <si>
    <t>S07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</si>
  <si>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</si>
  <si>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</si>
  <si>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</si>
  <si>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</si>
  <si>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</si>
  <si>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</si>
  <si>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</si>
  <si>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</si>
  <si>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</si>
  <si>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</si>
  <si>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</si>
  <si>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</si>
  <si>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</si>
  <si>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</si>
  <si>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</si>
  <si>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</si>
  <si>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</si>
  <si>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</si>
  <si>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</si>
  <si>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</si>
  <si>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</si>
  <si>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</si>
  <si>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</si>
  <si>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</si>
  <si>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</si>
  <si>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</si>
  <si>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</si>
  <si>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</si>
  <si>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</si>
  <si>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</si>
  <si>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S04aH03,S07aH04,S02aH03,S07aH03,S03aH03,S01aH05,S06aH05,S04aH04,S01aH04,S04aH05,S05aH04,S06aH03,S03aH04,S03aH05,S05aH05,S06aH04,S02aH04,S02aH05,S01aH03,S05aH03,S07aH05</t>
  </si>
  <si>
    <t>S03aH01,S02aH01,S05aH02,S05aH06,S01aH01,S04aH01,S04aH06,S06aH02,S02aH02,S06aH06,S01aH02,S03aH06,S03aH02,S01aH06,S07aH01,S05aH01,S07aH02,S07aH06,S06aH01,S02aH06,S04aH02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</si>
  <si>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</si>
  <si>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</si>
  <si>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</si>
  <si>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</si>
  <si>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</si>
  <si>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</si>
  <si>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</si>
  <si>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</si>
  <si>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</si>
  <si>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</si>
  <si>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</si>
  <si>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</si>
  <si>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</si>
  <si>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</si>
  <si>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</si>
  <si>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</si>
  <si>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</si>
  <si>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</si>
  <si>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</si>
  <si>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</si>
  <si>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</si>
  <si>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WaP,FaD,FaP,SaP,WaD,RaD,SaD,RaP</t>
  </si>
  <si>
    <t>RaN,RaP,WaP,SaN,WaN,FaN,FaP,SaP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</si>
</sst>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35.25</c:v>
                </c:pt>
                <c:pt idx="1">
                  <c:v>37.012500000000003</c:v>
                </c:pt>
                <c:pt idx="2">
                  <c:v>41.2425</c:v>
                </c:pt>
                <c:pt idx="3">
                  <c:v>46.53</c:v>
                </c:pt>
                <c:pt idx="4">
                  <c:v>52.875</c:v>
                </c:pt>
                <c:pt idx="5">
                  <c:v>59.22</c:v>
                </c:pt>
                <c:pt idx="6">
                  <c:v>63.802500000000002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35.25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35.25</v>
      </c>
      <c r="U14" s="8">
        <f t="shared" ref="U14:Z14" si="3">$S$12*J15</f>
        <v>37.012500000000003</v>
      </c>
      <c r="V14" s="8">
        <f t="shared" si="3"/>
        <v>41.2425</v>
      </c>
      <c r="W14" s="8">
        <f t="shared" si="3"/>
        <v>46.53</v>
      </c>
      <c r="X14" s="8">
        <f t="shared" si="3"/>
        <v>52.875</v>
      </c>
      <c r="Y14" s="8">
        <f t="shared" si="3"/>
        <v>59.22</v>
      </c>
      <c r="Z14" s="8">
        <f t="shared" si="3"/>
        <v>63.802500000000002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0.41242499999999999</v>
      </c>
      <c r="W18" s="6">
        <f t="shared" si="7"/>
        <v>0.46530000000000005</v>
      </c>
      <c r="X18" s="6">
        <f t="shared" si="7"/>
        <v>0.52875000000000005</v>
      </c>
      <c r="Y18" s="6">
        <f t="shared" si="7"/>
        <v>1.1843999999999999</v>
      </c>
      <c r="Z18" s="6">
        <f t="shared" si="7"/>
        <v>1.914075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12.69</v>
      </c>
      <c r="U19" s="6">
        <f t="shared" si="7"/>
        <v>11.844000000000001</v>
      </c>
      <c r="V19" s="6">
        <f t="shared" si="7"/>
        <v>12.785175000000001</v>
      </c>
      <c r="W19" s="6">
        <f t="shared" si="7"/>
        <v>13.493699999999999</v>
      </c>
      <c r="X19" s="6">
        <f t="shared" si="7"/>
        <v>15.333749999999998</v>
      </c>
      <c r="Y19" s="6">
        <f t="shared" si="7"/>
        <v>17.1738</v>
      </c>
      <c r="Z19" s="6">
        <f t="shared" si="7"/>
        <v>19.140750000000001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21.15</v>
      </c>
      <c r="U20" s="6">
        <f t="shared" si="7"/>
        <v>22.2075</v>
      </c>
      <c r="V20" s="6">
        <f t="shared" si="7"/>
        <v>24.7455</v>
      </c>
      <c r="W20" s="6">
        <f t="shared" si="7"/>
        <v>26.522099999999998</v>
      </c>
      <c r="X20" s="6">
        <f t="shared" si="7"/>
        <v>28.552500000000002</v>
      </c>
      <c r="Y20" s="6">
        <f t="shared" si="7"/>
        <v>30.7944</v>
      </c>
      <c r="Z20" s="6">
        <f t="shared" si="7"/>
        <v>33.815325000000001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1.0574999999999999</v>
      </c>
      <c r="U21" s="6">
        <f t="shared" ref="U21:Z21" si="8">T21</f>
        <v>1.0574999999999999</v>
      </c>
      <c r="V21" s="6">
        <f t="shared" si="8"/>
        <v>1.0574999999999999</v>
      </c>
      <c r="W21" s="6">
        <f t="shared" si="8"/>
        <v>1.0574999999999999</v>
      </c>
      <c r="X21" s="6">
        <f t="shared" si="8"/>
        <v>1.0574999999999999</v>
      </c>
      <c r="Y21" s="6">
        <f t="shared" si="8"/>
        <v>1.0574999999999999</v>
      </c>
      <c r="Z21" s="6">
        <f t="shared" si="8"/>
        <v>1.0574999999999999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0.35250000000000625</v>
      </c>
      <c r="U22" s="6">
        <f t="shared" si="9"/>
        <v>1.9035000000000011</v>
      </c>
      <c r="V22" s="6">
        <f t="shared" si="9"/>
        <v>2.654325</v>
      </c>
      <c r="W22" s="6">
        <f t="shared" si="9"/>
        <v>5.456700000000005</v>
      </c>
      <c r="X22" s="6">
        <f t="shared" si="9"/>
        <v>7.9312499999999986</v>
      </c>
      <c r="Y22" s="6">
        <f t="shared" si="9"/>
        <v>10.194300000000005</v>
      </c>
      <c r="Z22" s="6">
        <f t="shared" si="9"/>
        <v>9.7889250000000061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18.75</v>
      </c>
      <c r="S28" t="s">
        <v>32</v>
      </c>
      <c r="T28" s="3">
        <f>Q28</f>
        <v>18.75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-17.39</v>
      </c>
      <c r="S29" t="s">
        <v>35</v>
      </c>
      <c r="T29" s="3">
        <f>-1*Q29</f>
        <v>17.39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35.1</v>
      </c>
      <c r="J45">
        <f t="shared" si="12"/>
        <v>37.557000000000002</v>
      </c>
      <c r="K45">
        <f t="shared" si="12"/>
        <v>43.524000000000001</v>
      </c>
      <c r="L45">
        <f t="shared" si="12"/>
        <v>40.365000000000002</v>
      </c>
      <c r="M45">
        <f t="shared" si="12"/>
        <v>43.875</v>
      </c>
      <c r="N45">
        <f t="shared" si="12"/>
        <v>41.067</v>
      </c>
      <c r="O45">
        <f t="shared" si="12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16.75</v>
      </c>
      <c r="J46">
        <f t="shared" si="12"/>
        <v>17.085000000000001</v>
      </c>
      <c r="K46">
        <f t="shared" si="12"/>
        <v>17.755000000000003</v>
      </c>
      <c r="L46">
        <f t="shared" si="12"/>
        <v>17.922499999999999</v>
      </c>
      <c r="M46">
        <f t="shared" si="12"/>
        <v>18.09</v>
      </c>
      <c r="N46">
        <f t="shared" si="12"/>
        <v>18.425000000000001</v>
      </c>
      <c r="O46">
        <f t="shared" si="12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55</v>
      </c>
      <c r="J47">
        <f t="shared" si="12"/>
        <v>55.55</v>
      </c>
      <c r="K47">
        <f t="shared" si="12"/>
        <v>61.050000000000004</v>
      </c>
      <c r="L47">
        <f t="shared" si="12"/>
        <v>55.55</v>
      </c>
      <c r="M47">
        <f t="shared" si="12"/>
        <v>55.55</v>
      </c>
      <c r="N47">
        <f t="shared" si="12"/>
        <v>57.2</v>
      </c>
      <c r="O47">
        <f t="shared" si="12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28</v>
      </c>
      <c r="O48">
        <f>VLOOKUP($E$5,$AK$9:$AM$15,3,FALSE)*I48</f>
        <v>84</v>
      </c>
      <c r="R48">
        <f>HLOOKUP($G48&amp;"_"&amp;R$44,fuel_prices!$B$10:$I$11,2,FALSE)</f>
        <v>24</v>
      </c>
      <c r="S48">
        <f>HLOOKUP($G48&amp;"_"&amp;S$44,fuel_prices!$B$10:$I$11,2,FALSE)</f>
        <v>32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147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148</v>
      </c>
      <c r="C84">
        <v>5.5469999999999997</v>
      </c>
      <c r="D84">
        <v>6.1470000000000002</v>
      </c>
      <c r="E84">
        <v>8.9469999999999992</v>
      </c>
      <c r="F84" t="s">
        <v>149</v>
      </c>
    </row>
    <row r="85" spans="1:6" x14ac:dyDescent="0.45">
      <c r="A85" t="s">
        <v>32</v>
      </c>
      <c r="B85" t="s">
        <v>148</v>
      </c>
      <c r="C85">
        <v>3.5</v>
      </c>
      <c r="D85">
        <v>6.5</v>
      </c>
      <c r="E85">
        <v>6.5</v>
      </c>
      <c r="F85" t="s">
        <v>149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29.1</v>
      </c>
      <c r="C11">
        <v>41.1</v>
      </c>
      <c r="D11">
        <v>15.2</v>
      </c>
      <c r="E11">
        <v>18.3</v>
      </c>
      <c r="F11">
        <v>50</v>
      </c>
      <c r="G11">
        <v>60</v>
      </c>
      <c r="H11">
        <v>24</v>
      </c>
      <c r="I11">
        <v>32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13.92</v>
      </c>
      <c r="D11">
        <v>22.12</v>
      </c>
      <c r="E11">
        <v>0.35</v>
      </c>
      <c r="F11">
        <v>0</v>
      </c>
      <c r="G11">
        <v>8.42</v>
      </c>
      <c r="H11">
        <v>-7.75</v>
      </c>
      <c r="I11">
        <v>36.049999999999997</v>
      </c>
    </row>
    <row r="12" spans="1:9" x14ac:dyDescent="0.45">
      <c r="A12" t="s">
        <v>143</v>
      </c>
      <c r="B12">
        <v>2001</v>
      </c>
      <c r="C12">
        <v>14.21</v>
      </c>
      <c r="D12">
        <v>22.22</v>
      </c>
      <c r="E12">
        <v>0.35</v>
      </c>
      <c r="F12">
        <v>0</v>
      </c>
      <c r="G12">
        <v>8.1999999999999993</v>
      </c>
      <c r="H12">
        <v>-8.77</v>
      </c>
      <c r="I12">
        <v>37.729999999999997</v>
      </c>
    </row>
    <row r="13" spans="1:9" x14ac:dyDescent="0.45">
      <c r="A13" t="s">
        <v>143</v>
      </c>
      <c r="B13">
        <v>2002</v>
      </c>
      <c r="C13">
        <v>14.18</v>
      </c>
      <c r="D13">
        <v>22.29</v>
      </c>
      <c r="E13">
        <v>0.36</v>
      </c>
      <c r="F13">
        <v>0</v>
      </c>
      <c r="G13">
        <v>8.94</v>
      </c>
      <c r="H13">
        <v>-11.01</v>
      </c>
      <c r="I13">
        <v>39.29</v>
      </c>
    </row>
    <row r="14" spans="1:9" x14ac:dyDescent="0.45">
      <c r="A14" t="s">
        <v>143</v>
      </c>
      <c r="B14">
        <v>2003</v>
      </c>
      <c r="C14">
        <v>14.51</v>
      </c>
      <c r="D14">
        <v>22.36</v>
      </c>
      <c r="E14">
        <v>0.35</v>
      </c>
      <c r="F14">
        <v>0</v>
      </c>
      <c r="G14">
        <v>7.02</v>
      </c>
      <c r="H14">
        <v>-15.57</v>
      </c>
      <c r="I14">
        <v>46.19</v>
      </c>
    </row>
    <row r="15" spans="1:9" x14ac:dyDescent="0.45">
      <c r="A15" t="s">
        <v>143</v>
      </c>
      <c r="B15">
        <v>2004</v>
      </c>
      <c r="C15">
        <v>14.12</v>
      </c>
      <c r="D15">
        <v>22.63</v>
      </c>
      <c r="E15">
        <v>0.37</v>
      </c>
      <c r="F15">
        <v>0</v>
      </c>
      <c r="G15">
        <v>8.67</v>
      </c>
      <c r="H15">
        <v>-11.54</v>
      </c>
      <c r="I15">
        <v>40.43</v>
      </c>
    </row>
    <row r="16" spans="1:9" x14ac:dyDescent="0.45">
      <c r="A16" t="s">
        <v>143</v>
      </c>
      <c r="B16">
        <v>2005</v>
      </c>
      <c r="C16">
        <v>13.92</v>
      </c>
      <c r="D16">
        <v>22.83</v>
      </c>
      <c r="E16">
        <v>0.38</v>
      </c>
      <c r="F16">
        <v>0</v>
      </c>
      <c r="G16">
        <v>12.94</v>
      </c>
      <c r="H16">
        <v>-11.57</v>
      </c>
      <c r="I16">
        <v>36.24</v>
      </c>
    </row>
    <row r="17" spans="1:9" x14ac:dyDescent="0.45">
      <c r="A17" t="s">
        <v>143</v>
      </c>
      <c r="B17">
        <v>2006</v>
      </c>
      <c r="C17">
        <v>14.48</v>
      </c>
      <c r="D17">
        <v>23.27</v>
      </c>
      <c r="E17">
        <v>0.38</v>
      </c>
      <c r="F17">
        <v>0</v>
      </c>
      <c r="G17">
        <v>6.77</v>
      </c>
      <c r="H17">
        <v>-13.7</v>
      </c>
      <c r="I17">
        <v>45.61</v>
      </c>
    </row>
    <row r="18" spans="1:9" x14ac:dyDescent="0.45">
      <c r="A18" t="s">
        <v>143</v>
      </c>
      <c r="B18">
        <v>2007</v>
      </c>
      <c r="C18">
        <v>14.24</v>
      </c>
      <c r="D18">
        <v>23.23</v>
      </c>
      <c r="E18">
        <v>0.36</v>
      </c>
      <c r="F18">
        <v>0</v>
      </c>
      <c r="G18">
        <v>10.43</v>
      </c>
      <c r="H18">
        <v>-11.38</v>
      </c>
      <c r="I18">
        <v>39.31</v>
      </c>
    </row>
    <row r="19" spans="1:9" x14ac:dyDescent="0.45">
      <c r="A19" t="s">
        <v>143</v>
      </c>
      <c r="B19">
        <v>2008</v>
      </c>
      <c r="C19">
        <v>13.87</v>
      </c>
      <c r="D19">
        <v>23.18</v>
      </c>
      <c r="E19">
        <v>0.38</v>
      </c>
      <c r="F19">
        <v>0</v>
      </c>
      <c r="G19">
        <v>12.82</v>
      </c>
      <c r="H19">
        <v>-11.36</v>
      </c>
      <c r="I19">
        <v>36.619999999999997</v>
      </c>
    </row>
    <row r="20" spans="1:9" x14ac:dyDescent="0.45">
      <c r="A20" t="s">
        <v>143</v>
      </c>
      <c r="B20">
        <v>2009</v>
      </c>
      <c r="C20">
        <v>13</v>
      </c>
      <c r="D20">
        <v>22.65</v>
      </c>
      <c r="E20">
        <v>0.4</v>
      </c>
      <c r="F20">
        <v>0</v>
      </c>
      <c r="G20">
        <v>11.21</v>
      </c>
      <c r="H20">
        <v>-10.87</v>
      </c>
      <c r="I20">
        <v>36.380000000000003</v>
      </c>
    </row>
    <row r="21" spans="1:9" x14ac:dyDescent="0.45">
      <c r="A21" t="s">
        <v>143</v>
      </c>
      <c r="B21">
        <v>2010</v>
      </c>
      <c r="C21">
        <v>13.46</v>
      </c>
      <c r="D21">
        <v>23.14</v>
      </c>
      <c r="E21">
        <v>0.4</v>
      </c>
      <c r="F21">
        <v>0</v>
      </c>
      <c r="G21">
        <v>10.6</v>
      </c>
      <c r="H21">
        <v>-11.73</v>
      </c>
      <c r="I21">
        <v>38.83</v>
      </c>
    </row>
    <row r="22" spans="1:9" x14ac:dyDescent="0.45">
      <c r="A22" t="s">
        <v>143</v>
      </c>
      <c r="B22">
        <v>2011</v>
      </c>
      <c r="C22">
        <v>12.85</v>
      </c>
      <c r="D22">
        <v>22.61</v>
      </c>
      <c r="E22">
        <v>0.4</v>
      </c>
      <c r="F22">
        <v>0</v>
      </c>
      <c r="G22">
        <v>11.69</v>
      </c>
      <c r="H22">
        <v>-10.37</v>
      </c>
      <c r="I22">
        <v>35.17</v>
      </c>
    </row>
    <row r="23" spans="1:9" x14ac:dyDescent="0.45">
      <c r="A23" t="s">
        <v>143</v>
      </c>
      <c r="B23">
        <v>2012</v>
      </c>
      <c r="C23">
        <v>12.49</v>
      </c>
      <c r="D23">
        <v>22.25</v>
      </c>
      <c r="E23">
        <v>0.38</v>
      </c>
      <c r="F23">
        <v>0</v>
      </c>
      <c r="G23">
        <v>15.92</v>
      </c>
      <c r="H23">
        <v>-10.71</v>
      </c>
      <c r="I23">
        <v>30.52</v>
      </c>
    </row>
    <row r="24" spans="1:9" x14ac:dyDescent="0.45">
      <c r="A24" t="s">
        <v>143</v>
      </c>
      <c r="B24">
        <v>2013</v>
      </c>
      <c r="C24">
        <v>12.17</v>
      </c>
      <c r="D24">
        <v>22.36</v>
      </c>
      <c r="E24">
        <v>0.39</v>
      </c>
      <c r="F24">
        <v>0</v>
      </c>
      <c r="G24">
        <v>11.46</v>
      </c>
      <c r="H24">
        <v>-10.38</v>
      </c>
      <c r="I24">
        <v>34.6</v>
      </c>
    </row>
    <row r="25" spans="1:9" x14ac:dyDescent="0.45">
      <c r="A25" t="s">
        <v>143</v>
      </c>
      <c r="B25">
        <v>2014</v>
      </c>
      <c r="C25">
        <v>11.85</v>
      </c>
      <c r="D25">
        <v>22.18</v>
      </c>
      <c r="E25">
        <v>0.38</v>
      </c>
      <c r="F25">
        <v>0</v>
      </c>
      <c r="G25">
        <v>12.7</v>
      </c>
      <c r="H25">
        <v>-9.85</v>
      </c>
      <c r="I25">
        <v>32.07</v>
      </c>
    </row>
    <row r="26" spans="1:9" x14ac:dyDescent="0.45">
      <c r="A26" t="s">
        <v>143</v>
      </c>
      <c r="B26">
        <v>2015</v>
      </c>
      <c r="C26">
        <v>11.46</v>
      </c>
      <c r="D26">
        <v>22.05</v>
      </c>
      <c r="E26">
        <v>0.4</v>
      </c>
      <c r="F26">
        <v>0</v>
      </c>
      <c r="G26">
        <v>15.64</v>
      </c>
      <c r="H26">
        <v>-9.73</v>
      </c>
      <c r="I26">
        <v>28.64</v>
      </c>
    </row>
    <row r="27" spans="1:9" x14ac:dyDescent="0.45">
      <c r="A27" t="s">
        <v>143</v>
      </c>
      <c r="B27">
        <v>2016</v>
      </c>
      <c r="C27">
        <v>12.06</v>
      </c>
      <c r="D27">
        <v>22.23</v>
      </c>
      <c r="E27">
        <v>0.42</v>
      </c>
      <c r="F27">
        <v>0.03</v>
      </c>
      <c r="G27">
        <v>14.98</v>
      </c>
      <c r="H27">
        <v>-9.92</v>
      </c>
      <c r="I27">
        <v>30.33</v>
      </c>
    </row>
    <row r="28" spans="1:9" x14ac:dyDescent="0.45">
      <c r="A28" t="s">
        <v>143</v>
      </c>
      <c r="B28">
        <v>2017</v>
      </c>
      <c r="C28">
        <v>11.92</v>
      </c>
      <c r="D28">
        <v>22.06</v>
      </c>
      <c r="E28">
        <v>0.41</v>
      </c>
      <c r="F28">
        <v>0.03</v>
      </c>
      <c r="G28">
        <v>15.22</v>
      </c>
      <c r="H28">
        <v>-10.66</v>
      </c>
      <c r="I28">
        <v>30.74</v>
      </c>
    </row>
    <row r="29" spans="1:9" x14ac:dyDescent="0.45">
      <c r="A29" t="s">
        <v>143</v>
      </c>
      <c r="B29">
        <v>2018</v>
      </c>
      <c r="C29">
        <v>12.09</v>
      </c>
      <c r="D29">
        <v>21.84</v>
      </c>
      <c r="E29">
        <v>0.4</v>
      </c>
      <c r="F29">
        <v>0.04</v>
      </c>
      <c r="G29">
        <v>15.63</v>
      </c>
      <c r="H29">
        <v>-10.41</v>
      </c>
      <c r="I29">
        <v>30.04</v>
      </c>
    </row>
    <row r="30" spans="1:9" x14ac:dyDescent="0.45">
      <c r="A30" t="s">
        <v>143</v>
      </c>
      <c r="B30">
        <v>2019</v>
      </c>
      <c r="C30">
        <v>11.32</v>
      </c>
      <c r="D30">
        <v>21.97</v>
      </c>
      <c r="E30">
        <v>0.41</v>
      </c>
      <c r="F30">
        <v>0.05</v>
      </c>
      <c r="G30">
        <v>15.98</v>
      </c>
      <c r="H30">
        <v>-10.17</v>
      </c>
      <c r="I30">
        <v>29.08</v>
      </c>
    </row>
    <row r="31" spans="1:9" x14ac:dyDescent="0.45">
      <c r="A31" t="s">
        <v>143</v>
      </c>
      <c r="B31">
        <v>2020</v>
      </c>
      <c r="C31">
        <v>12.09</v>
      </c>
      <c r="D31">
        <v>21.19</v>
      </c>
      <c r="E31">
        <v>0.42</v>
      </c>
      <c r="F31">
        <v>0.1</v>
      </c>
      <c r="G31">
        <v>18.59</v>
      </c>
      <c r="H31">
        <v>-11.71</v>
      </c>
      <c r="I31">
        <v>27.88</v>
      </c>
    </row>
    <row r="32" spans="1:9" x14ac:dyDescent="0.45">
      <c r="A32" t="s">
        <v>143</v>
      </c>
      <c r="B32">
        <v>2021</v>
      </c>
      <c r="C32">
        <v>12.3</v>
      </c>
      <c r="D32">
        <v>22.39</v>
      </c>
      <c r="E32">
        <v>0.45</v>
      </c>
      <c r="F32">
        <v>0.23</v>
      </c>
      <c r="G32">
        <v>20.12</v>
      </c>
      <c r="H32">
        <v>-15.25</v>
      </c>
      <c r="I32">
        <v>31.85</v>
      </c>
    </row>
    <row r="33" spans="1:9" x14ac:dyDescent="0.45">
      <c r="A33" t="s">
        <v>143</v>
      </c>
      <c r="B33">
        <v>2022</v>
      </c>
      <c r="C33">
        <v>11.96</v>
      </c>
      <c r="D33">
        <v>20.92</v>
      </c>
      <c r="E33">
        <v>0.5</v>
      </c>
      <c r="F33">
        <v>0.39</v>
      </c>
      <c r="G33">
        <v>18.75</v>
      </c>
      <c r="H33">
        <v>-17.39</v>
      </c>
      <c r="I33">
        <v>33.89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3" x14ac:dyDescent="0.45">
      <c r="A10" t="str">
        <f>IFERROR(Veda!D5,"ts_12t")</f>
        <v>ts_annual</v>
      </c>
      <c r="B10" s="15"/>
      <c r="C10" s="15" t="s">
        <v>209</v>
      </c>
      <c r="D10" t="s">
        <v>124</v>
      </c>
      <c r="F10" t="s">
        <v>209</v>
      </c>
      <c r="G10" t="s">
        <v>126</v>
      </c>
      <c r="I10" t="s">
        <v>209</v>
      </c>
      <c r="J10" t="s">
        <v>106</v>
      </c>
      <c r="L10" t="s">
        <v>209</v>
      </c>
      <c r="M10" t="s">
        <v>131</v>
      </c>
    </row>
    <row r="11" spans="1:13" x14ac:dyDescent="0.45">
      <c r="B11" s="15"/>
      <c r="C11" s="15" t="s">
        <v>210</v>
      </c>
      <c r="D11" t="s">
        <v>211</v>
      </c>
      <c r="F11" t="s">
        <v>210</v>
      </c>
      <c r="G11" t="s">
        <v>255</v>
      </c>
      <c r="I11" t="s">
        <v>210</v>
      </c>
      <c r="J11" t="s">
        <v>259</v>
      </c>
      <c r="L11" t="s">
        <v>210</v>
      </c>
      <c r="M11" t="s">
        <v>278</v>
      </c>
    </row>
    <row r="12" spans="1:13" x14ac:dyDescent="0.45">
      <c r="B12" s="15"/>
      <c r="C12" s="15" t="s">
        <v>212</v>
      </c>
      <c r="D12" t="s">
        <v>213</v>
      </c>
      <c r="F12" t="s">
        <v>212</v>
      </c>
      <c r="G12" t="s">
        <v>256</v>
      </c>
      <c r="I12" t="s">
        <v>212</v>
      </c>
      <c r="J12" t="s">
        <v>259</v>
      </c>
      <c r="L12" t="s">
        <v>212</v>
      </c>
      <c r="M12" t="s">
        <v>279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F730-E229-49BF-BE75-57DEFE28B7D2}">
  <dimension ref="A9:AN1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164</v>
      </c>
      <c r="L10" t="s">
        <v>30</v>
      </c>
      <c r="N10" t="s">
        <v>13</v>
      </c>
      <c r="O10" t="s">
        <v>121</v>
      </c>
      <c r="P10" t="s">
        <v>164</v>
      </c>
      <c r="Q10" t="s">
        <v>30</v>
      </c>
      <c r="S10" t="s">
        <v>13</v>
      </c>
      <c r="T10" t="s">
        <v>121</v>
      </c>
      <c r="U10" t="s">
        <v>164</v>
      </c>
      <c r="V10" t="s">
        <v>30</v>
      </c>
      <c r="X10" t="s">
        <v>208</v>
      </c>
      <c r="Y10" t="s">
        <v>164</v>
      </c>
      <c r="Z10" t="s">
        <v>121</v>
      </c>
      <c r="AA10" t="s">
        <v>13</v>
      </c>
      <c r="AC10" t="s">
        <v>13</v>
      </c>
      <c r="AD10" t="s">
        <v>121</v>
      </c>
      <c r="AE10" t="s">
        <v>164</v>
      </c>
      <c r="AG10" t="s">
        <v>13</v>
      </c>
      <c r="AH10" t="s">
        <v>121</v>
      </c>
      <c r="AI10" t="s">
        <v>214</v>
      </c>
      <c r="AK10" t="s">
        <v>47</v>
      </c>
      <c r="AL10" t="s">
        <v>121</v>
      </c>
      <c r="AM10" t="s">
        <v>215</v>
      </c>
      <c r="AN10" t="s">
        <v>216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158</v>
      </c>
      <c r="G11" t="s">
        <v>156</v>
      </c>
      <c r="I11" t="s">
        <v>165</v>
      </c>
      <c r="J11" t="s">
        <v>166</v>
      </c>
      <c r="K11">
        <v>0</v>
      </c>
      <c r="L11" t="s">
        <v>167</v>
      </c>
      <c r="N11" t="s">
        <v>188</v>
      </c>
      <c r="O11" t="s">
        <v>166</v>
      </c>
      <c r="P11">
        <v>2.3206934594664073E-2</v>
      </c>
      <c r="Q11" t="s">
        <v>167</v>
      </c>
      <c r="S11" t="s">
        <v>198</v>
      </c>
      <c r="T11" t="s">
        <v>166</v>
      </c>
      <c r="U11">
        <v>2.7767833124285917E-2</v>
      </c>
      <c r="V11" t="s">
        <v>167</v>
      </c>
      <c r="X11">
        <v>2.6940639269406392E-2</v>
      </c>
      <c r="Y11">
        <v>3.9897571041443954E-3</v>
      </c>
      <c r="Z11" t="s">
        <v>166</v>
      </c>
      <c r="AA11" t="s">
        <v>25</v>
      </c>
      <c r="AC11" t="s">
        <v>22</v>
      </c>
      <c r="AD11" t="s">
        <v>166</v>
      </c>
      <c r="AE11">
        <v>2.4355229796714221E-2</v>
      </c>
      <c r="AG11" t="s">
        <v>96</v>
      </c>
      <c r="AH11" t="s">
        <v>166</v>
      </c>
      <c r="AI11">
        <v>7.0444861917935642E-2</v>
      </c>
      <c r="AK11">
        <v>2025</v>
      </c>
      <c r="AL11" t="s">
        <v>155</v>
      </c>
      <c r="AM11">
        <v>0.36070000000000002</v>
      </c>
      <c r="AN11" t="s">
        <v>217</v>
      </c>
    </row>
    <row r="12" spans="1:40" x14ac:dyDescent="0.45">
      <c r="C12" t="s">
        <v>159</v>
      </c>
      <c r="E12" t="s">
        <v>160</v>
      </c>
      <c r="G12" t="s">
        <v>156</v>
      </c>
      <c r="I12" t="s">
        <v>165</v>
      </c>
      <c r="J12" t="s">
        <v>168</v>
      </c>
      <c r="K12">
        <v>2.3657280887332815E-4</v>
      </c>
      <c r="L12" t="s">
        <v>167</v>
      </c>
      <c r="N12" t="s">
        <v>188</v>
      </c>
      <c r="O12" t="s">
        <v>168</v>
      </c>
      <c r="P12">
        <v>3.1947060692301459E-2</v>
      </c>
      <c r="Q12" t="s">
        <v>167</v>
      </c>
      <c r="S12" t="s">
        <v>198</v>
      </c>
      <c r="T12" t="s">
        <v>168</v>
      </c>
      <c r="U12">
        <v>3.5459451929036684E-2</v>
      </c>
      <c r="V12" t="s">
        <v>167</v>
      </c>
      <c r="X12">
        <v>3.3675799086757989E-2</v>
      </c>
      <c r="Y12">
        <v>3.4480106738267499E-2</v>
      </c>
      <c r="Z12" t="s">
        <v>168</v>
      </c>
      <c r="AA12" t="s">
        <v>25</v>
      </c>
      <c r="AC12" t="s">
        <v>22</v>
      </c>
      <c r="AD12" t="s">
        <v>168</v>
      </c>
      <c r="AE12">
        <v>4.0679503246788311E-2</v>
      </c>
      <c r="AG12" t="s">
        <v>96</v>
      </c>
      <c r="AH12" t="s">
        <v>168</v>
      </c>
      <c r="AI12">
        <v>0.18391421586100765</v>
      </c>
      <c r="AK12">
        <v>2025</v>
      </c>
      <c r="AL12" t="s">
        <v>159</v>
      </c>
      <c r="AM12">
        <v>0.3604</v>
      </c>
      <c r="AN12" t="s">
        <v>217</v>
      </c>
    </row>
    <row r="13" spans="1:40" x14ac:dyDescent="0.45">
      <c r="C13" t="s">
        <v>161</v>
      </c>
      <c r="E13" t="s">
        <v>162</v>
      </c>
      <c r="G13" t="s">
        <v>156</v>
      </c>
      <c r="I13" t="s">
        <v>165</v>
      </c>
      <c r="J13" t="s">
        <v>169</v>
      </c>
      <c r="K13">
        <v>5.5109096742309543E-2</v>
      </c>
      <c r="L13" t="s">
        <v>167</v>
      </c>
      <c r="N13" t="s">
        <v>188</v>
      </c>
      <c r="O13" t="s">
        <v>169</v>
      </c>
      <c r="P13">
        <v>9.3756574237751009E-2</v>
      </c>
      <c r="Q13" t="s">
        <v>167</v>
      </c>
      <c r="S13" t="s">
        <v>198</v>
      </c>
      <c r="T13" t="s">
        <v>169</v>
      </c>
      <c r="U13">
        <v>0.10457812237332041</v>
      </c>
      <c r="V13" t="s">
        <v>167</v>
      </c>
      <c r="X13">
        <v>0.10102739726027397</v>
      </c>
      <c r="Y13">
        <v>0.12317397177402649</v>
      </c>
      <c r="Z13" t="s">
        <v>169</v>
      </c>
      <c r="AA13" t="s">
        <v>25</v>
      </c>
      <c r="AC13" t="s">
        <v>22</v>
      </c>
      <c r="AD13" t="s">
        <v>169</v>
      </c>
      <c r="AE13">
        <v>0.13182878074013132</v>
      </c>
      <c r="AG13" t="s">
        <v>96</v>
      </c>
      <c r="AH13" t="s">
        <v>169</v>
      </c>
      <c r="AI13">
        <v>0.12786580947143089</v>
      </c>
      <c r="AK13">
        <v>2025</v>
      </c>
      <c r="AL13" t="s">
        <v>161</v>
      </c>
      <c r="AM13">
        <v>0.40912857142857145</v>
      </c>
      <c r="AN13" t="s">
        <v>217</v>
      </c>
    </row>
    <row r="14" spans="1:40" x14ac:dyDescent="0.45">
      <c r="C14" t="s">
        <v>163</v>
      </c>
      <c r="I14" t="s">
        <v>165</v>
      </c>
      <c r="J14" t="s">
        <v>170</v>
      </c>
      <c r="K14">
        <v>0</v>
      </c>
      <c r="L14" t="s">
        <v>167</v>
      </c>
      <c r="N14" t="s">
        <v>188</v>
      </c>
      <c r="O14" t="s">
        <v>170</v>
      </c>
      <c r="P14">
        <v>1.492772120162752E-2</v>
      </c>
      <c r="Q14" t="s">
        <v>167</v>
      </c>
      <c r="S14" t="s">
        <v>198</v>
      </c>
      <c r="T14" t="s">
        <v>170</v>
      </c>
      <c r="U14">
        <v>1.6756824899146924E-2</v>
      </c>
      <c r="V14" t="s">
        <v>167</v>
      </c>
      <c r="X14">
        <v>1.4155251141552512E-2</v>
      </c>
      <c r="Y14">
        <v>2.0963130547199367E-3</v>
      </c>
      <c r="Z14" t="s">
        <v>170</v>
      </c>
      <c r="AA14" t="s">
        <v>25</v>
      </c>
      <c r="AC14" t="s">
        <v>22</v>
      </c>
      <c r="AD14" t="s">
        <v>170</v>
      </c>
      <c r="AE14">
        <v>1.3418182578945814E-2</v>
      </c>
      <c r="AG14" t="s">
        <v>96</v>
      </c>
      <c r="AH14" t="s">
        <v>170</v>
      </c>
      <c r="AI14">
        <v>3.6489191193473935E-2</v>
      </c>
      <c r="AK14">
        <v>2025</v>
      </c>
      <c r="AL14" t="s">
        <v>163</v>
      </c>
      <c r="AM14">
        <v>0.39255000000000001</v>
      </c>
      <c r="AN14" t="s">
        <v>217</v>
      </c>
    </row>
    <row r="15" spans="1:40" x14ac:dyDescent="0.45">
      <c r="I15" t="s">
        <v>165</v>
      </c>
      <c r="J15" t="s">
        <v>171</v>
      </c>
      <c r="K15">
        <v>6.4050752092769201E-3</v>
      </c>
      <c r="L15" t="s">
        <v>167</v>
      </c>
      <c r="N15" t="s">
        <v>188</v>
      </c>
      <c r="O15" t="s">
        <v>171</v>
      </c>
      <c r="P15">
        <v>1.9686612371048563E-2</v>
      </c>
      <c r="Q15" t="s">
        <v>167</v>
      </c>
      <c r="S15" t="s">
        <v>198</v>
      </c>
      <c r="T15" t="s">
        <v>171</v>
      </c>
      <c r="U15">
        <v>2.1993945236314184E-2</v>
      </c>
      <c r="V15" t="s">
        <v>167</v>
      </c>
      <c r="X15">
        <v>1.7694063926940638E-2</v>
      </c>
      <c r="Y15">
        <v>1.8116666252310044E-2</v>
      </c>
      <c r="Z15" t="s">
        <v>171</v>
      </c>
      <c r="AA15" t="s">
        <v>25</v>
      </c>
      <c r="AC15" t="s">
        <v>22</v>
      </c>
      <c r="AD15" t="s">
        <v>171</v>
      </c>
      <c r="AE15">
        <v>2.2218636846543256E-2</v>
      </c>
      <c r="AG15" t="s">
        <v>96</v>
      </c>
      <c r="AH15" t="s">
        <v>171</v>
      </c>
      <c r="AI15">
        <v>0.16962467831784789</v>
      </c>
      <c r="AK15">
        <v>2026</v>
      </c>
      <c r="AL15" t="s">
        <v>155</v>
      </c>
      <c r="AM15">
        <v>0.35560000000000003</v>
      </c>
      <c r="AN15" t="s">
        <v>217</v>
      </c>
    </row>
    <row r="16" spans="1:40" x14ac:dyDescent="0.45">
      <c r="I16" t="s">
        <v>165</v>
      </c>
      <c r="J16" t="s">
        <v>172</v>
      </c>
      <c r="K16">
        <v>8.4570989669430635E-2</v>
      </c>
      <c r="L16" t="s">
        <v>167</v>
      </c>
      <c r="N16" t="s">
        <v>188</v>
      </c>
      <c r="O16" t="s">
        <v>172</v>
      </c>
      <c r="P16">
        <v>5.793693429475099E-2</v>
      </c>
      <c r="Q16" t="s">
        <v>167</v>
      </c>
      <c r="S16" t="s">
        <v>198</v>
      </c>
      <c r="T16" t="s">
        <v>172</v>
      </c>
      <c r="U16">
        <v>6.0829677273666352E-2</v>
      </c>
      <c r="V16" t="s">
        <v>167</v>
      </c>
      <c r="X16">
        <v>5.3082191780821915E-2</v>
      </c>
      <c r="Y16">
        <v>6.4718527542285118E-2</v>
      </c>
      <c r="Z16" t="s">
        <v>172</v>
      </c>
      <c r="AA16" t="s">
        <v>25</v>
      </c>
      <c r="AC16" t="s">
        <v>22</v>
      </c>
      <c r="AD16" t="s">
        <v>172</v>
      </c>
      <c r="AE16">
        <v>7.116433063135584E-2</v>
      </c>
      <c r="AG16" t="s">
        <v>96</v>
      </c>
      <c r="AH16" t="s">
        <v>172</v>
      </c>
      <c r="AI16">
        <v>0.10871032947607895</v>
      </c>
      <c r="AK16">
        <v>2026</v>
      </c>
      <c r="AL16" t="s">
        <v>159</v>
      </c>
      <c r="AM16">
        <v>0.37059999999999998</v>
      </c>
      <c r="AN16" t="s">
        <v>217</v>
      </c>
    </row>
    <row r="17" spans="9:40" x14ac:dyDescent="0.45">
      <c r="I17" t="s">
        <v>165</v>
      </c>
      <c r="J17" t="s">
        <v>173</v>
      </c>
      <c r="K17">
        <v>0</v>
      </c>
      <c r="L17" t="s">
        <v>167</v>
      </c>
      <c r="N17" t="s">
        <v>188</v>
      </c>
      <c r="O17" t="s">
        <v>173</v>
      </c>
      <c r="P17">
        <v>8.9486647110025644E-2</v>
      </c>
      <c r="Q17" t="s">
        <v>167</v>
      </c>
      <c r="S17" t="s">
        <v>198</v>
      </c>
      <c r="T17" t="s">
        <v>173</v>
      </c>
      <c r="U17">
        <v>8.6474781064108566E-2</v>
      </c>
      <c r="V17" t="s">
        <v>167</v>
      </c>
      <c r="X17">
        <v>9.7716894977168955E-2</v>
      </c>
      <c r="Y17">
        <v>1.4471322377744079E-2</v>
      </c>
      <c r="Z17" t="s">
        <v>173</v>
      </c>
      <c r="AA17" t="s">
        <v>25</v>
      </c>
      <c r="AC17" t="s">
        <v>22</v>
      </c>
      <c r="AD17" t="s">
        <v>173</v>
      </c>
      <c r="AE17">
        <v>5.992751637209625E-2</v>
      </c>
      <c r="AG17" t="s">
        <v>96</v>
      </c>
      <c r="AH17" t="s">
        <v>173</v>
      </c>
      <c r="AI17">
        <v>0.24011646671576381</v>
      </c>
      <c r="AK17">
        <v>2026</v>
      </c>
      <c r="AL17" t="s">
        <v>161</v>
      </c>
      <c r="AM17">
        <v>0.41384285714285712</v>
      </c>
      <c r="AN17" t="s">
        <v>217</v>
      </c>
    </row>
    <row r="18" spans="9:40" x14ac:dyDescent="0.45">
      <c r="I18" t="s">
        <v>165</v>
      </c>
      <c r="J18" t="s">
        <v>174</v>
      </c>
      <c r="K18">
        <v>0.11191796905116672</v>
      </c>
      <c r="L18" t="s">
        <v>167</v>
      </c>
      <c r="N18" t="s">
        <v>188</v>
      </c>
      <c r="O18" t="s">
        <v>174</v>
      </c>
      <c r="P18">
        <v>0.10800211502823097</v>
      </c>
      <c r="Q18" t="s">
        <v>167</v>
      </c>
      <c r="S18" t="s">
        <v>198</v>
      </c>
      <c r="T18" t="s">
        <v>174</v>
      </c>
      <c r="U18">
        <v>0.10404123362702905</v>
      </c>
      <c r="V18" t="s">
        <v>167</v>
      </c>
      <c r="X18">
        <v>0.12214611872146118</v>
      </c>
      <c r="Y18">
        <v>0.1250634379998177</v>
      </c>
      <c r="Z18" t="s">
        <v>174</v>
      </c>
      <c r="AA18" t="s">
        <v>25</v>
      </c>
      <c r="AC18" t="s">
        <v>22</v>
      </c>
      <c r="AD18" t="s">
        <v>174</v>
      </c>
      <c r="AE18">
        <v>0.10486855113746651</v>
      </c>
      <c r="AG18" t="s">
        <v>96</v>
      </c>
      <c r="AH18" t="s">
        <v>174</v>
      </c>
      <c r="AI18">
        <v>0.3131743659352344</v>
      </c>
      <c r="AK18">
        <v>2026</v>
      </c>
      <c r="AL18" t="s">
        <v>163</v>
      </c>
      <c r="AM18">
        <v>0.36319999999999997</v>
      </c>
      <c r="AN18" t="s">
        <v>217</v>
      </c>
    </row>
    <row r="19" spans="9:40" x14ac:dyDescent="0.45">
      <c r="I19" t="s">
        <v>165</v>
      </c>
      <c r="J19" t="s">
        <v>175</v>
      </c>
      <c r="K19">
        <v>0.7082414516499963</v>
      </c>
      <c r="L19" t="s">
        <v>167</v>
      </c>
      <c r="N19" t="s">
        <v>188</v>
      </c>
      <c r="O19" t="s">
        <v>175</v>
      </c>
      <c r="P19">
        <v>0.33951321530569678</v>
      </c>
      <c r="Q19" t="s">
        <v>167</v>
      </c>
      <c r="S19" t="s">
        <v>198</v>
      </c>
      <c r="T19" t="s">
        <v>175</v>
      </c>
      <c r="U19">
        <v>0.3222163669616499</v>
      </c>
      <c r="V19" t="s">
        <v>167</v>
      </c>
      <c r="X19">
        <v>0.36643835616438358</v>
      </c>
      <c r="Y19">
        <v>0.44676660948545199</v>
      </c>
      <c r="Z19" t="s">
        <v>175</v>
      </c>
      <c r="AA19" t="s">
        <v>25</v>
      </c>
      <c r="AC19" t="s">
        <v>22</v>
      </c>
      <c r="AD19" t="s">
        <v>175</v>
      </c>
      <c r="AE19">
        <v>0.35596301422951598</v>
      </c>
      <c r="AG19" t="s">
        <v>96</v>
      </c>
      <c r="AH19" t="s">
        <v>175</v>
      </c>
      <c r="AI19">
        <v>0.18858930830671095</v>
      </c>
      <c r="AK19">
        <v>2027</v>
      </c>
      <c r="AL19" t="s">
        <v>155</v>
      </c>
      <c r="AM19">
        <v>0.33945000000000003</v>
      </c>
      <c r="AN19" t="s">
        <v>217</v>
      </c>
    </row>
    <row r="20" spans="9:40" x14ac:dyDescent="0.45">
      <c r="I20" t="s">
        <v>165</v>
      </c>
      <c r="J20" t="s">
        <v>176</v>
      </c>
      <c r="K20">
        <v>0</v>
      </c>
      <c r="L20" t="s">
        <v>167</v>
      </c>
      <c r="N20" t="s">
        <v>188</v>
      </c>
      <c r="O20" t="s">
        <v>176</v>
      </c>
      <c r="P20">
        <v>3.6105262785317928E-2</v>
      </c>
      <c r="Q20" t="s">
        <v>167</v>
      </c>
      <c r="S20" t="s">
        <v>198</v>
      </c>
      <c r="T20" t="s">
        <v>176</v>
      </c>
      <c r="U20">
        <v>3.6143891228980519E-2</v>
      </c>
      <c r="V20" t="s">
        <v>167</v>
      </c>
      <c r="X20">
        <v>2.7853881278538814E-2</v>
      </c>
      <c r="Y20">
        <v>4.1250031076747132E-3</v>
      </c>
      <c r="Z20" t="s">
        <v>176</v>
      </c>
      <c r="AA20" t="s">
        <v>25</v>
      </c>
      <c r="AC20" t="s">
        <v>22</v>
      </c>
      <c r="AD20" t="s">
        <v>176</v>
      </c>
      <c r="AE20">
        <v>2.1438296957664749E-2</v>
      </c>
      <c r="AG20" t="s">
        <v>96</v>
      </c>
      <c r="AH20" t="s">
        <v>176</v>
      </c>
      <c r="AI20">
        <v>7.5481779978393115E-2</v>
      </c>
      <c r="AK20">
        <v>2027</v>
      </c>
      <c r="AL20" t="s">
        <v>159</v>
      </c>
      <c r="AM20">
        <v>0.40360000000000001</v>
      </c>
      <c r="AN20" t="s">
        <v>217</v>
      </c>
    </row>
    <row r="21" spans="9:40" x14ac:dyDescent="0.45">
      <c r="I21" t="s">
        <v>165</v>
      </c>
      <c r="J21" t="s">
        <v>177</v>
      </c>
      <c r="K21">
        <v>2.2603480398017096E-6</v>
      </c>
      <c r="L21" t="s">
        <v>167</v>
      </c>
      <c r="N21" t="s">
        <v>188</v>
      </c>
      <c r="O21" t="s">
        <v>177</v>
      </c>
      <c r="P21">
        <v>4.6001981266059429E-2</v>
      </c>
      <c r="Q21" t="s">
        <v>167</v>
      </c>
      <c r="S21" t="s">
        <v>198</v>
      </c>
      <c r="T21" t="s">
        <v>177</v>
      </c>
      <c r="U21">
        <v>4.6271256395699414E-2</v>
      </c>
      <c r="V21" t="s">
        <v>167</v>
      </c>
      <c r="X21">
        <v>3.4817351598173514E-2</v>
      </c>
      <c r="Y21">
        <v>3.5648923915835892E-2</v>
      </c>
      <c r="Z21" t="s">
        <v>177</v>
      </c>
      <c r="AA21" t="s">
        <v>25</v>
      </c>
      <c r="AC21" t="s">
        <v>22</v>
      </c>
      <c r="AD21" t="s">
        <v>177</v>
      </c>
      <c r="AE21">
        <v>3.5409530682053492E-2</v>
      </c>
      <c r="AG21" t="s">
        <v>96</v>
      </c>
      <c r="AH21" t="s">
        <v>177</v>
      </c>
      <c r="AI21">
        <v>0.22780989076641434</v>
      </c>
      <c r="AK21">
        <v>2027</v>
      </c>
      <c r="AL21" t="s">
        <v>161</v>
      </c>
      <c r="AM21">
        <v>0.42217142857142864</v>
      </c>
      <c r="AN21" t="s">
        <v>217</v>
      </c>
    </row>
    <row r="22" spans="9:40" x14ac:dyDescent="0.45">
      <c r="I22" t="s">
        <v>165</v>
      </c>
      <c r="J22" t="s">
        <v>178</v>
      </c>
      <c r="K22">
        <v>3.3516584520905987E-2</v>
      </c>
      <c r="L22" t="s">
        <v>167</v>
      </c>
      <c r="N22" t="s">
        <v>188</v>
      </c>
      <c r="O22" t="s">
        <v>178</v>
      </c>
      <c r="P22">
        <v>0.13942894111252327</v>
      </c>
      <c r="Q22" t="s">
        <v>167</v>
      </c>
      <c r="S22" t="s">
        <v>198</v>
      </c>
      <c r="T22" t="s">
        <v>178</v>
      </c>
      <c r="U22">
        <v>0.13746661588676232</v>
      </c>
      <c r="V22" t="s">
        <v>167</v>
      </c>
      <c r="X22">
        <v>0.10445205479452055</v>
      </c>
      <c r="Y22">
        <v>0.12734936064772232</v>
      </c>
      <c r="Z22" t="s">
        <v>178</v>
      </c>
      <c r="AA22" t="s">
        <v>25</v>
      </c>
      <c r="AC22" t="s">
        <v>22</v>
      </c>
      <c r="AD22" t="s">
        <v>178</v>
      </c>
      <c r="AE22">
        <v>0.11872842678072432</v>
      </c>
      <c r="AG22" t="s">
        <v>96</v>
      </c>
      <c r="AH22" t="s">
        <v>178</v>
      </c>
      <c r="AI22">
        <v>0.13374707765907723</v>
      </c>
      <c r="AK22">
        <v>2027</v>
      </c>
      <c r="AL22" t="s">
        <v>163</v>
      </c>
      <c r="AM22">
        <v>0.34840000000000004</v>
      </c>
      <c r="AN22" t="s">
        <v>217</v>
      </c>
    </row>
    <row r="23" spans="9:40" x14ac:dyDescent="0.45">
      <c r="I23" t="s">
        <v>179</v>
      </c>
      <c r="J23" t="s">
        <v>166</v>
      </c>
      <c r="K23">
        <v>0</v>
      </c>
      <c r="L23" t="s">
        <v>167</v>
      </c>
      <c r="N23" t="s">
        <v>189</v>
      </c>
      <c r="O23" t="s">
        <v>166</v>
      </c>
      <c r="P23">
        <v>2.3196447819011649E-2</v>
      </c>
      <c r="Q23" t="s">
        <v>167</v>
      </c>
      <c r="S23" t="s">
        <v>199</v>
      </c>
      <c r="T23" t="s">
        <v>166</v>
      </c>
      <c r="U23">
        <v>2.6791170465894767E-2</v>
      </c>
      <c r="V23" t="s">
        <v>167</v>
      </c>
      <c r="AC23" t="s">
        <v>19</v>
      </c>
      <c r="AD23" t="s">
        <v>166</v>
      </c>
      <c r="AE23">
        <v>2.636581843946435E-2</v>
      </c>
      <c r="AK23">
        <v>2028</v>
      </c>
      <c r="AL23" t="s">
        <v>155</v>
      </c>
      <c r="AM23">
        <v>0.33410000000000001</v>
      </c>
      <c r="AN23" t="s">
        <v>217</v>
      </c>
    </row>
    <row r="24" spans="9:40" x14ac:dyDescent="0.45">
      <c r="I24" t="s">
        <v>179</v>
      </c>
      <c r="J24" t="s">
        <v>168</v>
      </c>
      <c r="K24">
        <v>3.1095491335264255E-4</v>
      </c>
      <c r="L24" t="s">
        <v>167</v>
      </c>
      <c r="N24" t="s">
        <v>189</v>
      </c>
      <c r="O24" t="s">
        <v>168</v>
      </c>
      <c r="P24">
        <v>3.1826542937110888E-2</v>
      </c>
      <c r="Q24" t="s">
        <v>167</v>
      </c>
      <c r="S24" t="s">
        <v>199</v>
      </c>
      <c r="T24" t="s">
        <v>168</v>
      </c>
      <c r="U24">
        <v>3.4732155387543671E-2</v>
      </c>
      <c r="V24" t="s">
        <v>167</v>
      </c>
      <c r="AC24" t="s">
        <v>19</v>
      </c>
      <c r="AD24" t="s">
        <v>168</v>
      </c>
      <c r="AE24">
        <v>3.3703553667982056E-2</v>
      </c>
      <c r="AK24">
        <v>2028</v>
      </c>
      <c r="AL24" t="s">
        <v>159</v>
      </c>
      <c r="AM24">
        <v>0.374</v>
      </c>
      <c r="AN24" t="s">
        <v>217</v>
      </c>
    </row>
    <row r="25" spans="9:40" x14ac:dyDescent="0.45">
      <c r="I25" t="s">
        <v>179</v>
      </c>
      <c r="J25" t="s">
        <v>169</v>
      </c>
      <c r="K25">
        <v>5.7478450750177087E-2</v>
      </c>
      <c r="L25" t="s">
        <v>167</v>
      </c>
      <c r="N25" t="s">
        <v>189</v>
      </c>
      <c r="O25" t="s">
        <v>169</v>
      </c>
      <c r="P25">
        <v>9.6376534950809292E-2</v>
      </c>
      <c r="Q25" t="s">
        <v>167</v>
      </c>
      <c r="S25" t="s">
        <v>199</v>
      </c>
      <c r="T25" t="s">
        <v>169</v>
      </c>
      <c r="U25">
        <v>0.10372265322639383</v>
      </c>
      <c r="V25" t="s">
        <v>167</v>
      </c>
      <c r="AC25" t="s">
        <v>19</v>
      </c>
      <c r="AD25" t="s">
        <v>169</v>
      </c>
      <c r="AE25">
        <v>0.10182448189865027</v>
      </c>
      <c r="AK25">
        <v>2028</v>
      </c>
      <c r="AL25" t="s">
        <v>161</v>
      </c>
      <c r="AM25">
        <v>0.41699999999999993</v>
      </c>
      <c r="AN25" t="s">
        <v>217</v>
      </c>
    </row>
    <row r="26" spans="9:40" x14ac:dyDescent="0.45">
      <c r="I26" t="s">
        <v>179</v>
      </c>
      <c r="J26" t="s">
        <v>170</v>
      </c>
      <c r="K26">
        <v>0</v>
      </c>
      <c r="L26" t="s">
        <v>167</v>
      </c>
      <c r="N26" t="s">
        <v>189</v>
      </c>
      <c r="O26" t="s">
        <v>170</v>
      </c>
      <c r="P26">
        <v>1.4616123923763481E-2</v>
      </c>
      <c r="Q26" t="s">
        <v>167</v>
      </c>
      <c r="S26" t="s">
        <v>199</v>
      </c>
      <c r="T26" t="s">
        <v>170</v>
      </c>
      <c r="U26">
        <v>1.685907068649696E-2</v>
      </c>
      <c r="V26" t="s">
        <v>167</v>
      </c>
      <c r="AC26" t="s">
        <v>19</v>
      </c>
      <c r="AD26" t="s">
        <v>170</v>
      </c>
      <c r="AE26">
        <v>1.3861628182509462E-2</v>
      </c>
      <c r="AK26">
        <v>2028</v>
      </c>
      <c r="AL26" t="s">
        <v>163</v>
      </c>
      <c r="AM26">
        <v>0.36009999999999998</v>
      </c>
      <c r="AN26" t="s">
        <v>217</v>
      </c>
    </row>
    <row r="27" spans="9:40" x14ac:dyDescent="0.45">
      <c r="I27" t="s">
        <v>179</v>
      </c>
      <c r="J27" t="s">
        <v>171</v>
      </c>
      <c r="K27">
        <v>7.1233958932415253E-3</v>
      </c>
      <c r="L27" t="s">
        <v>167</v>
      </c>
      <c r="N27" t="s">
        <v>189</v>
      </c>
      <c r="O27" t="s">
        <v>171</v>
      </c>
      <c r="P27">
        <v>1.9587707273098765E-2</v>
      </c>
      <c r="Q27" t="s">
        <v>167</v>
      </c>
      <c r="S27" t="s">
        <v>199</v>
      </c>
      <c r="T27" t="s">
        <v>171</v>
      </c>
      <c r="U27">
        <v>2.0186815913858003E-2</v>
      </c>
      <c r="V27" t="s">
        <v>167</v>
      </c>
      <c r="AC27" t="s">
        <v>19</v>
      </c>
      <c r="AD27" t="s">
        <v>171</v>
      </c>
      <c r="AE27">
        <v>1.7724103232254401E-2</v>
      </c>
      <c r="AK27">
        <v>2029</v>
      </c>
      <c r="AL27" t="s">
        <v>155</v>
      </c>
      <c r="AM27">
        <v>0.33929999999999999</v>
      </c>
      <c r="AN27" t="s">
        <v>217</v>
      </c>
    </row>
    <row r="28" spans="9:40" x14ac:dyDescent="0.45">
      <c r="I28" t="s">
        <v>179</v>
      </c>
      <c r="J28" t="s">
        <v>172</v>
      </c>
      <c r="K28">
        <v>8.7557240897508506E-2</v>
      </c>
      <c r="L28" t="s">
        <v>167</v>
      </c>
      <c r="N28" t="s">
        <v>189</v>
      </c>
      <c r="O28" t="s">
        <v>172</v>
      </c>
      <c r="P28">
        <v>5.7730975387140442E-2</v>
      </c>
      <c r="Q28" t="s">
        <v>167</v>
      </c>
      <c r="S28" t="s">
        <v>199</v>
      </c>
      <c r="T28" t="s">
        <v>172</v>
      </c>
      <c r="U28">
        <v>6.5788265052994122E-2</v>
      </c>
      <c r="V28" t="s">
        <v>167</v>
      </c>
      <c r="AC28" t="s">
        <v>19</v>
      </c>
      <c r="AD28" t="s">
        <v>172</v>
      </c>
      <c r="AE28">
        <v>5.3501024240380501E-2</v>
      </c>
      <c r="AK28">
        <v>2029</v>
      </c>
      <c r="AL28" t="s">
        <v>159</v>
      </c>
      <c r="AM28">
        <v>0.41420000000000001</v>
      </c>
      <c r="AN28" t="s">
        <v>217</v>
      </c>
    </row>
    <row r="29" spans="9:40" x14ac:dyDescent="0.45">
      <c r="I29" t="s">
        <v>179</v>
      </c>
      <c r="J29" t="s">
        <v>173</v>
      </c>
      <c r="K29">
        <v>0</v>
      </c>
      <c r="L29" t="s">
        <v>167</v>
      </c>
      <c r="N29" t="s">
        <v>189</v>
      </c>
      <c r="O29" t="s">
        <v>173</v>
      </c>
      <c r="P29">
        <v>9.1787408251221392E-2</v>
      </c>
      <c r="Q29" t="s">
        <v>167</v>
      </c>
      <c r="S29" t="s">
        <v>199</v>
      </c>
      <c r="T29" t="s">
        <v>173</v>
      </c>
      <c r="U29">
        <v>8.7561188227206932E-2</v>
      </c>
      <c r="V29" t="s">
        <v>167</v>
      </c>
      <c r="AC29" t="s">
        <v>19</v>
      </c>
      <c r="AD29" t="s">
        <v>173</v>
      </c>
      <c r="AE29">
        <v>9.5680540286746371E-2</v>
      </c>
      <c r="AK29">
        <v>2029</v>
      </c>
      <c r="AL29" t="s">
        <v>161</v>
      </c>
      <c r="AM29">
        <v>0.43191428571428581</v>
      </c>
      <c r="AN29" t="s">
        <v>217</v>
      </c>
    </row>
    <row r="30" spans="9:40" x14ac:dyDescent="0.45">
      <c r="I30" t="s">
        <v>179</v>
      </c>
      <c r="J30" t="s">
        <v>174</v>
      </c>
      <c r="K30">
        <v>0.1140097518341017</v>
      </c>
      <c r="L30" t="s">
        <v>167</v>
      </c>
      <c r="N30" t="s">
        <v>189</v>
      </c>
      <c r="O30" t="s">
        <v>174</v>
      </c>
      <c r="P30">
        <v>0.10899715822514978</v>
      </c>
      <c r="Q30" t="s">
        <v>167</v>
      </c>
      <c r="S30" t="s">
        <v>199</v>
      </c>
      <c r="T30" t="s">
        <v>174</v>
      </c>
      <c r="U30">
        <v>0.10181987425690137</v>
      </c>
      <c r="V30" t="s">
        <v>167</v>
      </c>
      <c r="AC30" t="s">
        <v>19</v>
      </c>
      <c r="AD30" t="s">
        <v>174</v>
      </c>
      <c r="AE30">
        <v>0.12178503484216163</v>
      </c>
      <c r="AK30">
        <v>2029</v>
      </c>
      <c r="AL30" t="s">
        <v>163</v>
      </c>
      <c r="AM30">
        <v>0.33089999999999997</v>
      </c>
      <c r="AN30" t="s">
        <v>217</v>
      </c>
    </row>
    <row r="31" spans="9:40" x14ac:dyDescent="0.45">
      <c r="I31" t="s">
        <v>179</v>
      </c>
      <c r="J31" t="s">
        <v>175</v>
      </c>
      <c r="K31">
        <v>0.70085108467145829</v>
      </c>
      <c r="L31" t="s">
        <v>167</v>
      </c>
      <c r="N31" t="s">
        <v>189</v>
      </c>
      <c r="O31" t="s">
        <v>175</v>
      </c>
      <c r="P31">
        <v>0.32785797664765493</v>
      </c>
      <c r="Q31" t="s">
        <v>167</v>
      </c>
      <c r="S31" t="s">
        <v>199</v>
      </c>
      <c r="T31" t="s">
        <v>175</v>
      </c>
      <c r="U31">
        <v>0.31935672500512624</v>
      </c>
      <c r="V31" t="s">
        <v>167</v>
      </c>
      <c r="AC31" t="s">
        <v>19</v>
      </c>
      <c r="AD31" t="s">
        <v>175</v>
      </c>
      <c r="AE31">
        <v>0.36837052139306392</v>
      </c>
      <c r="AK31">
        <v>2030</v>
      </c>
      <c r="AL31" t="s">
        <v>155</v>
      </c>
      <c r="AM31">
        <v>0.35635</v>
      </c>
      <c r="AN31" t="s">
        <v>217</v>
      </c>
    </row>
    <row r="32" spans="9:40" x14ac:dyDescent="0.45">
      <c r="I32" t="s">
        <v>179</v>
      </c>
      <c r="J32" t="s">
        <v>176</v>
      </c>
      <c r="K32">
        <v>0</v>
      </c>
      <c r="L32" t="s">
        <v>167</v>
      </c>
      <c r="N32" t="s">
        <v>189</v>
      </c>
      <c r="O32" t="s">
        <v>176</v>
      </c>
      <c r="P32">
        <v>3.6821152906004878E-2</v>
      </c>
      <c r="Q32" t="s">
        <v>167</v>
      </c>
      <c r="S32" t="s">
        <v>199</v>
      </c>
      <c r="T32" t="s">
        <v>176</v>
      </c>
      <c r="U32">
        <v>3.6673937785101009E-2</v>
      </c>
      <c r="V32" t="s">
        <v>167</v>
      </c>
      <c r="AC32" t="s">
        <v>19</v>
      </c>
      <c r="AD32" t="s">
        <v>176</v>
      </c>
      <c r="AE32">
        <v>2.7293394636547681E-2</v>
      </c>
      <c r="AK32">
        <v>2030</v>
      </c>
      <c r="AL32" t="s">
        <v>159</v>
      </c>
      <c r="AM32">
        <v>0.38969999999999999</v>
      </c>
      <c r="AN32" t="s">
        <v>217</v>
      </c>
    </row>
    <row r="33" spans="9:40" x14ac:dyDescent="0.45">
      <c r="I33" t="s">
        <v>179</v>
      </c>
      <c r="J33" t="s">
        <v>177</v>
      </c>
      <c r="K33">
        <v>6.6518488347978266E-7</v>
      </c>
      <c r="L33" t="s">
        <v>167</v>
      </c>
      <c r="N33" t="s">
        <v>189</v>
      </c>
      <c r="O33" t="s">
        <v>177</v>
      </c>
      <c r="P33">
        <v>4.6113445096019008E-2</v>
      </c>
      <c r="Q33" t="s">
        <v>167</v>
      </c>
      <c r="S33" t="s">
        <v>199</v>
      </c>
      <c r="T33" t="s">
        <v>177</v>
      </c>
      <c r="U33">
        <v>4.5066740126463056E-2</v>
      </c>
      <c r="V33" t="s">
        <v>167</v>
      </c>
      <c r="AC33" t="s">
        <v>19</v>
      </c>
      <c r="AD33" t="s">
        <v>177</v>
      </c>
      <c r="AE33">
        <v>3.474463015178867E-2</v>
      </c>
      <c r="AK33">
        <v>2030</v>
      </c>
      <c r="AL33" t="s">
        <v>161</v>
      </c>
      <c r="AM33">
        <v>0.40901428571428572</v>
      </c>
      <c r="AN33" t="s">
        <v>217</v>
      </c>
    </row>
    <row r="34" spans="9:40" x14ac:dyDescent="0.45">
      <c r="I34" t="s">
        <v>179</v>
      </c>
      <c r="J34" t="s">
        <v>178</v>
      </c>
      <c r="K34">
        <v>3.2668455855279756E-2</v>
      </c>
      <c r="L34" t="s">
        <v>167</v>
      </c>
      <c r="N34" t="s">
        <v>189</v>
      </c>
      <c r="O34" t="s">
        <v>178</v>
      </c>
      <c r="P34">
        <v>0.14508852658301297</v>
      </c>
      <c r="Q34" t="s">
        <v>167</v>
      </c>
      <c r="S34" t="s">
        <v>199</v>
      </c>
      <c r="T34" t="s">
        <v>178</v>
      </c>
      <c r="U34">
        <v>0.14144140386602122</v>
      </c>
      <c r="V34" t="s">
        <v>167</v>
      </c>
      <c r="AC34" t="s">
        <v>19</v>
      </c>
      <c r="AD34" t="s">
        <v>178</v>
      </c>
      <c r="AE34">
        <v>0.10514526902845073</v>
      </c>
      <c r="AK34">
        <v>2030</v>
      </c>
      <c r="AL34" t="s">
        <v>163</v>
      </c>
      <c r="AM34">
        <v>0.36014999999999997</v>
      </c>
      <c r="AN34" t="s">
        <v>217</v>
      </c>
    </row>
    <row r="35" spans="9:40" x14ac:dyDescent="0.45">
      <c r="I35" t="s">
        <v>180</v>
      </c>
      <c r="J35" t="s">
        <v>166</v>
      </c>
      <c r="K35">
        <v>0</v>
      </c>
      <c r="L35" t="s">
        <v>167</v>
      </c>
      <c r="N35" t="s">
        <v>190</v>
      </c>
      <c r="O35" t="s">
        <v>166</v>
      </c>
      <c r="P35">
        <v>2.4381574428552096E-2</v>
      </c>
      <c r="Q35" t="s">
        <v>167</v>
      </c>
      <c r="S35" t="s">
        <v>200</v>
      </c>
      <c r="T35" t="s">
        <v>166</v>
      </c>
      <c r="U35">
        <v>2.7094319012983519E-2</v>
      </c>
      <c r="V35" t="s">
        <v>167</v>
      </c>
      <c r="AK35">
        <v>2031</v>
      </c>
      <c r="AL35" t="s">
        <v>155</v>
      </c>
      <c r="AM35">
        <v>0.36795</v>
      </c>
      <c r="AN35" t="s">
        <v>217</v>
      </c>
    </row>
    <row r="36" spans="9:40" x14ac:dyDescent="0.45">
      <c r="I36" t="s">
        <v>180</v>
      </c>
      <c r="J36" t="s">
        <v>168</v>
      </c>
      <c r="K36">
        <v>2.3468427166960012E-3</v>
      </c>
      <c r="L36" t="s">
        <v>167</v>
      </c>
      <c r="N36" t="s">
        <v>190</v>
      </c>
      <c r="O36" t="s">
        <v>168</v>
      </c>
      <c r="P36">
        <v>3.1984696891556239E-2</v>
      </c>
      <c r="Q36" t="s">
        <v>167</v>
      </c>
      <c r="S36" t="s">
        <v>200</v>
      </c>
      <c r="T36" t="s">
        <v>168</v>
      </c>
      <c r="U36">
        <v>3.427869645496763E-2</v>
      </c>
      <c r="V36" t="s">
        <v>167</v>
      </c>
      <c r="AK36">
        <v>2031</v>
      </c>
      <c r="AL36" t="s">
        <v>159</v>
      </c>
      <c r="AM36">
        <v>0.42599999999999999</v>
      </c>
      <c r="AN36" t="s">
        <v>217</v>
      </c>
    </row>
    <row r="37" spans="9:40" x14ac:dyDescent="0.45">
      <c r="I37" t="s">
        <v>180</v>
      </c>
      <c r="J37" t="s">
        <v>169</v>
      </c>
      <c r="K37">
        <v>5.4238259626767295E-2</v>
      </c>
      <c r="L37" t="s">
        <v>167</v>
      </c>
      <c r="N37" t="s">
        <v>190</v>
      </c>
      <c r="O37" t="s">
        <v>169</v>
      </c>
      <c r="P37">
        <v>9.7075543650032403E-2</v>
      </c>
      <c r="Q37" t="s">
        <v>167</v>
      </c>
      <c r="S37" t="s">
        <v>200</v>
      </c>
      <c r="T37" t="s">
        <v>169</v>
      </c>
      <c r="U37">
        <v>0.10811952688289143</v>
      </c>
      <c r="V37" t="s">
        <v>167</v>
      </c>
      <c r="AK37">
        <v>2031</v>
      </c>
      <c r="AL37" t="s">
        <v>161</v>
      </c>
      <c r="AM37">
        <v>0.39939999999999998</v>
      </c>
      <c r="AN37" t="s">
        <v>217</v>
      </c>
    </row>
    <row r="38" spans="9:40" x14ac:dyDescent="0.45">
      <c r="I38" t="s">
        <v>180</v>
      </c>
      <c r="J38" t="s">
        <v>170</v>
      </c>
      <c r="K38">
        <v>0</v>
      </c>
      <c r="L38" t="s">
        <v>167</v>
      </c>
      <c r="N38" t="s">
        <v>190</v>
      </c>
      <c r="O38" t="s">
        <v>170</v>
      </c>
      <c r="P38">
        <v>1.5640912148664175E-2</v>
      </c>
      <c r="Q38" t="s">
        <v>167</v>
      </c>
      <c r="S38" t="s">
        <v>200</v>
      </c>
      <c r="T38" t="s">
        <v>170</v>
      </c>
      <c r="U38">
        <v>1.6380487423443408E-2</v>
      </c>
      <c r="V38" t="s">
        <v>167</v>
      </c>
      <c r="AK38">
        <v>2031</v>
      </c>
      <c r="AL38" t="s">
        <v>163</v>
      </c>
      <c r="AM38">
        <v>0.37919999999999998</v>
      </c>
      <c r="AN38" t="s">
        <v>217</v>
      </c>
    </row>
    <row r="39" spans="9:40" x14ac:dyDescent="0.45">
      <c r="I39" t="s">
        <v>180</v>
      </c>
      <c r="J39" t="s">
        <v>171</v>
      </c>
      <c r="K39">
        <v>1.4840939717043112E-2</v>
      </c>
      <c r="L39" t="s">
        <v>167</v>
      </c>
      <c r="N39" t="s">
        <v>190</v>
      </c>
      <c r="O39" t="s">
        <v>171</v>
      </c>
      <c r="P39">
        <v>2.0967961940161366E-2</v>
      </c>
      <c r="Q39" t="s">
        <v>167</v>
      </c>
      <c r="S39" t="s">
        <v>200</v>
      </c>
      <c r="T39" t="s">
        <v>171</v>
      </c>
      <c r="U39">
        <v>1.969990397122065E-2</v>
      </c>
      <c r="V39" t="s">
        <v>167</v>
      </c>
      <c r="AK39">
        <v>2032</v>
      </c>
      <c r="AL39" t="s">
        <v>155</v>
      </c>
      <c r="AM39">
        <v>0.38619999999999999</v>
      </c>
      <c r="AN39" t="s">
        <v>217</v>
      </c>
    </row>
    <row r="40" spans="9:40" x14ac:dyDescent="0.45">
      <c r="I40" t="s">
        <v>180</v>
      </c>
      <c r="J40" t="s">
        <v>172</v>
      </c>
      <c r="K40">
        <v>8.0925410449693189E-2</v>
      </c>
      <c r="L40" t="s">
        <v>167</v>
      </c>
      <c r="N40" t="s">
        <v>190</v>
      </c>
      <c r="O40" t="s">
        <v>172</v>
      </c>
      <c r="P40">
        <v>5.8084204914231788E-2</v>
      </c>
      <c r="Q40" t="s">
        <v>167</v>
      </c>
      <c r="S40" t="s">
        <v>200</v>
      </c>
      <c r="T40" t="s">
        <v>172</v>
      </c>
      <c r="U40">
        <v>6.6239450737087077E-2</v>
      </c>
      <c r="V40" t="s">
        <v>167</v>
      </c>
      <c r="AK40">
        <v>2032</v>
      </c>
      <c r="AL40" t="s">
        <v>159</v>
      </c>
      <c r="AM40">
        <v>0.40960000000000002</v>
      </c>
      <c r="AN40" t="s">
        <v>217</v>
      </c>
    </row>
    <row r="41" spans="9:40" x14ac:dyDescent="0.45">
      <c r="I41" t="s">
        <v>180</v>
      </c>
      <c r="J41" t="s">
        <v>173</v>
      </c>
      <c r="K41">
        <v>0</v>
      </c>
      <c r="L41" t="s">
        <v>167</v>
      </c>
      <c r="N41" t="s">
        <v>190</v>
      </c>
      <c r="O41" t="s">
        <v>173</v>
      </c>
      <c r="P41">
        <v>9.0738189934403232E-2</v>
      </c>
      <c r="Q41" t="s">
        <v>167</v>
      </c>
      <c r="S41" t="s">
        <v>200</v>
      </c>
      <c r="T41" t="s">
        <v>173</v>
      </c>
      <c r="U41">
        <v>8.8394347933158784E-2</v>
      </c>
      <c r="V41" t="s">
        <v>167</v>
      </c>
      <c r="AK41">
        <v>2032</v>
      </c>
      <c r="AL41" t="s">
        <v>161</v>
      </c>
      <c r="AM41">
        <v>0.43055714285714292</v>
      </c>
      <c r="AN41" t="s">
        <v>217</v>
      </c>
    </row>
    <row r="42" spans="9:40" x14ac:dyDescent="0.45">
      <c r="I42" t="s">
        <v>180</v>
      </c>
      <c r="J42" t="s">
        <v>174</v>
      </c>
      <c r="K42">
        <v>0.16053642156672757</v>
      </c>
      <c r="L42" t="s">
        <v>167</v>
      </c>
      <c r="N42" t="s">
        <v>190</v>
      </c>
      <c r="O42" t="s">
        <v>174</v>
      </c>
      <c r="P42">
        <v>0.10751656631314606</v>
      </c>
      <c r="Q42" t="s">
        <v>167</v>
      </c>
      <c r="S42" t="s">
        <v>200</v>
      </c>
      <c r="T42" t="s">
        <v>174</v>
      </c>
      <c r="U42">
        <v>0.10282059514124671</v>
      </c>
      <c r="V42" t="s">
        <v>167</v>
      </c>
      <c r="AK42">
        <v>2032</v>
      </c>
      <c r="AL42" t="s">
        <v>163</v>
      </c>
      <c r="AM42">
        <v>0.36424999999999996</v>
      </c>
      <c r="AN42" t="s">
        <v>217</v>
      </c>
    </row>
    <row r="43" spans="9:40" x14ac:dyDescent="0.45">
      <c r="I43" t="s">
        <v>180</v>
      </c>
      <c r="J43" t="s">
        <v>175</v>
      </c>
      <c r="K43">
        <v>0.64895234054581508</v>
      </c>
      <c r="L43" t="s">
        <v>167</v>
      </c>
      <c r="N43" t="s">
        <v>190</v>
      </c>
      <c r="O43" t="s">
        <v>175</v>
      </c>
      <c r="P43">
        <v>0.32823961054144934</v>
      </c>
      <c r="Q43" t="s">
        <v>167</v>
      </c>
      <c r="S43" t="s">
        <v>200</v>
      </c>
      <c r="T43" t="s">
        <v>175</v>
      </c>
      <c r="U43">
        <v>0.31740681884566313</v>
      </c>
      <c r="V43" t="s">
        <v>167</v>
      </c>
      <c r="AK43">
        <v>2033</v>
      </c>
      <c r="AL43" t="s">
        <v>155</v>
      </c>
      <c r="AM43">
        <v>0.35115000000000002</v>
      </c>
      <c r="AN43" t="s">
        <v>217</v>
      </c>
    </row>
    <row r="44" spans="9:40" x14ac:dyDescent="0.45">
      <c r="I44" t="s">
        <v>180</v>
      </c>
      <c r="J44" t="s">
        <v>176</v>
      </c>
      <c r="K44">
        <v>0</v>
      </c>
      <c r="L44" t="s">
        <v>167</v>
      </c>
      <c r="N44" t="s">
        <v>190</v>
      </c>
      <c r="O44" t="s">
        <v>176</v>
      </c>
      <c r="P44">
        <v>3.7057878487010643E-2</v>
      </c>
      <c r="Q44" t="s">
        <v>167</v>
      </c>
      <c r="S44" t="s">
        <v>200</v>
      </c>
      <c r="T44" t="s">
        <v>176</v>
      </c>
      <c r="U44">
        <v>3.6078909438030285E-2</v>
      </c>
      <c r="V44" t="s">
        <v>167</v>
      </c>
      <c r="AK44">
        <v>2033</v>
      </c>
      <c r="AL44" t="s">
        <v>159</v>
      </c>
      <c r="AM44">
        <v>0.37609999999999999</v>
      </c>
      <c r="AN44" t="s">
        <v>217</v>
      </c>
    </row>
    <row r="45" spans="9:40" x14ac:dyDescent="0.45">
      <c r="I45" t="s">
        <v>180</v>
      </c>
      <c r="J45" t="s">
        <v>177</v>
      </c>
      <c r="K45">
        <v>1.2163755459381994E-3</v>
      </c>
      <c r="L45" t="s">
        <v>167</v>
      </c>
      <c r="N45" t="s">
        <v>190</v>
      </c>
      <c r="O45" t="s">
        <v>177</v>
      </c>
      <c r="P45">
        <v>4.6988412995773395E-2</v>
      </c>
      <c r="Q45" t="s">
        <v>167</v>
      </c>
      <c r="S45" t="s">
        <v>200</v>
      </c>
      <c r="T45" t="s">
        <v>177</v>
      </c>
      <c r="U45">
        <v>4.5386068702344587E-2</v>
      </c>
      <c r="V45" t="s">
        <v>167</v>
      </c>
      <c r="AK45">
        <v>2033</v>
      </c>
      <c r="AL45" t="s">
        <v>161</v>
      </c>
      <c r="AM45">
        <v>0.39765714285714288</v>
      </c>
      <c r="AN45" t="s">
        <v>217</v>
      </c>
    </row>
    <row r="46" spans="9:40" x14ac:dyDescent="0.45">
      <c r="I46" t="s">
        <v>180</v>
      </c>
      <c r="J46" t="s">
        <v>178</v>
      </c>
      <c r="K46">
        <v>3.6943409831319073E-2</v>
      </c>
      <c r="L46" t="s">
        <v>167</v>
      </c>
      <c r="N46" t="s">
        <v>190</v>
      </c>
      <c r="O46" t="s">
        <v>178</v>
      </c>
      <c r="P46">
        <v>0.14132444775502023</v>
      </c>
      <c r="Q46" t="s">
        <v>167</v>
      </c>
      <c r="S46" t="s">
        <v>200</v>
      </c>
      <c r="T46" t="s">
        <v>178</v>
      </c>
      <c r="U46">
        <v>0.13810087545696209</v>
      </c>
      <c r="V46" t="s">
        <v>167</v>
      </c>
      <c r="AK46">
        <v>2033</v>
      </c>
      <c r="AL46" t="s">
        <v>163</v>
      </c>
      <c r="AM46">
        <v>0.34370000000000001</v>
      </c>
      <c r="AN46" t="s">
        <v>217</v>
      </c>
    </row>
    <row r="47" spans="9:40" x14ac:dyDescent="0.45">
      <c r="I47" t="s">
        <v>181</v>
      </c>
      <c r="J47" t="s">
        <v>166</v>
      </c>
      <c r="K47">
        <v>0</v>
      </c>
      <c r="L47" t="s">
        <v>167</v>
      </c>
      <c r="N47" t="s">
        <v>191</v>
      </c>
      <c r="O47" t="s">
        <v>166</v>
      </c>
      <c r="P47">
        <v>2.8522730485803498E-2</v>
      </c>
      <c r="Q47" t="s">
        <v>167</v>
      </c>
      <c r="S47" t="s">
        <v>201</v>
      </c>
      <c r="T47" t="s">
        <v>166</v>
      </c>
      <c r="U47">
        <v>2.4075640517816552E-2</v>
      </c>
      <c r="V47" t="s">
        <v>167</v>
      </c>
      <c r="AK47">
        <v>2034</v>
      </c>
      <c r="AL47" t="s">
        <v>155</v>
      </c>
      <c r="AM47">
        <v>0.34870000000000001</v>
      </c>
      <c r="AN47" t="s">
        <v>217</v>
      </c>
    </row>
    <row r="48" spans="9:40" x14ac:dyDescent="0.45">
      <c r="I48" t="s">
        <v>181</v>
      </c>
      <c r="J48" t="s">
        <v>168</v>
      </c>
      <c r="K48">
        <v>2.1465141597797497E-3</v>
      </c>
      <c r="L48" t="s">
        <v>167</v>
      </c>
      <c r="N48" t="s">
        <v>191</v>
      </c>
      <c r="O48" t="s">
        <v>168</v>
      </c>
      <c r="P48">
        <v>3.6275638329505928E-2</v>
      </c>
      <c r="Q48" t="s">
        <v>167</v>
      </c>
      <c r="S48" t="s">
        <v>201</v>
      </c>
      <c r="T48" t="s">
        <v>168</v>
      </c>
      <c r="U48">
        <v>3.3474641017142107E-2</v>
      </c>
      <c r="V48" t="s">
        <v>167</v>
      </c>
      <c r="AK48">
        <v>2034</v>
      </c>
      <c r="AL48" t="s">
        <v>159</v>
      </c>
      <c r="AM48">
        <v>0.36849999999999999</v>
      </c>
      <c r="AN48" t="s">
        <v>217</v>
      </c>
    </row>
    <row r="49" spans="9:40" x14ac:dyDescent="0.45">
      <c r="I49" t="s">
        <v>181</v>
      </c>
      <c r="J49" t="s">
        <v>169</v>
      </c>
      <c r="K49">
        <v>5.2097000407572792E-2</v>
      </c>
      <c r="L49" t="s">
        <v>167</v>
      </c>
      <c r="N49" t="s">
        <v>191</v>
      </c>
      <c r="O49" t="s">
        <v>169</v>
      </c>
      <c r="P49">
        <v>0.10730111395840813</v>
      </c>
      <c r="Q49" t="s">
        <v>167</v>
      </c>
      <c r="S49" t="s">
        <v>201</v>
      </c>
      <c r="T49" t="s">
        <v>169</v>
      </c>
      <c r="U49">
        <v>9.7815809720351532E-2</v>
      </c>
      <c r="V49" t="s">
        <v>167</v>
      </c>
      <c r="AK49">
        <v>2034</v>
      </c>
      <c r="AL49" t="s">
        <v>161</v>
      </c>
      <c r="AM49">
        <v>0.41571428571428576</v>
      </c>
      <c r="AN49" t="s">
        <v>217</v>
      </c>
    </row>
    <row r="50" spans="9:40" x14ac:dyDescent="0.45">
      <c r="I50" t="s">
        <v>181</v>
      </c>
      <c r="J50" t="s">
        <v>170</v>
      </c>
      <c r="K50">
        <v>0</v>
      </c>
      <c r="L50" t="s">
        <v>167</v>
      </c>
      <c r="N50" t="s">
        <v>191</v>
      </c>
      <c r="O50" t="s">
        <v>170</v>
      </c>
      <c r="P50">
        <v>1.6259895980566548E-2</v>
      </c>
      <c r="Q50" t="s">
        <v>167</v>
      </c>
      <c r="S50" t="s">
        <v>201</v>
      </c>
      <c r="T50" t="s">
        <v>170</v>
      </c>
      <c r="U50">
        <v>1.4730369198073724E-2</v>
      </c>
      <c r="V50" t="s">
        <v>167</v>
      </c>
      <c r="AK50">
        <v>2034</v>
      </c>
      <c r="AL50" t="s">
        <v>163</v>
      </c>
      <c r="AM50">
        <v>0.36459999999999998</v>
      </c>
      <c r="AN50" t="s">
        <v>217</v>
      </c>
    </row>
    <row r="51" spans="9:40" x14ac:dyDescent="0.45">
      <c r="I51" t="s">
        <v>181</v>
      </c>
      <c r="J51" t="s">
        <v>171</v>
      </c>
      <c r="K51">
        <v>1.3497831368466219E-2</v>
      </c>
      <c r="L51" t="s">
        <v>167</v>
      </c>
      <c r="N51" t="s">
        <v>191</v>
      </c>
      <c r="O51" t="s">
        <v>171</v>
      </c>
      <c r="P51">
        <v>2.1526323878747308E-2</v>
      </c>
      <c r="Q51" t="s">
        <v>167</v>
      </c>
      <c r="S51" t="s">
        <v>201</v>
      </c>
      <c r="T51" t="s">
        <v>171</v>
      </c>
      <c r="U51">
        <v>2.0157442350533277E-2</v>
      </c>
      <c r="V51" t="s">
        <v>167</v>
      </c>
      <c r="AK51">
        <v>2035</v>
      </c>
      <c r="AL51" t="s">
        <v>155</v>
      </c>
      <c r="AM51">
        <v>0.34765000000000001</v>
      </c>
      <c r="AN51" t="s">
        <v>217</v>
      </c>
    </row>
    <row r="52" spans="9:40" x14ac:dyDescent="0.45">
      <c r="I52" t="s">
        <v>181</v>
      </c>
      <c r="J52" t="s">
        <v>172</v>
      </c>
      <c r="K52">
        <v>7.8794357530396389E-2</v>
      </c>
      <c r="L52" t="s">
        <v>167</v>
      </c>
      <c r="N52" t="s">
        <v>191</v>
      </c>
      <c r="O52" t="s">
        <v>172</v>
      </c>
      <c r="P52">
        <v>6.1691986039458128E-2</v>
      </c>
      <c r="Q52" t="s">
        <v>167</v>
      </c>
      <c r="S52" t="s">
        <v>201</v>
      </c>
      <c r="T52" t="s">
        <v>172</v>
      </c>
      <c r="U52">
        <v>5.7411442471704439E-2</v>
      </c>
      <c r="V52" t="s">
        <v>167</v>
      </c>
      <c r="AK52">
        <v>2035</v>
      </c>
      <c r="AL52" t="s">
        <v>159</v>
      </c>
      <c r="AM52">
        <v>0.43120000000000003</v>
      </c>
      <c r="AN52" t="s">
        <v>217</v>
      </c>
    </row>
    <row r="53" spans="9:40" x14ac:dyDescent="0.45">
      <c r="I53" t="s">
        <v>181</v>
      </c>
      <c r="J53" t="s">
        <v>173</v>
      </c>
      <c r="K53">
        <v>0</v>
      </c>
      <c r="L53" t="s">
        <v>167</v>
      </c>
      <c r="N53" t="s">
        <v>191</v>
      </c>
      <c r="O53" t="s">
        <v>173</v>
      </c>
      <c r="P53">
        <v>8.8709475239875699E-2</v>
      </c>
      <c r="Q53" t="s">
        <v>167</v>
      </c>
      <c r="S53" t="s">
        <v>201</v>
      </c>
      <c r="T53" t="s">
        <v>173</v>
      </c>
      <c r="U53">
        <v>8.6507446477093283E-2</v>
      </c>
      <c r="V53" t="s">
        <v>167</v>
      </c>
      <c r="AK53">
        <v>2035</v>
      </c>
      <c r="AL53" t="s">
        <v>161</v>
      </c>
      <c r="AM53">
        <v>0.4323142857142856</v>
      </c>
      <c r="AN53" t="s">
        <v>217</v>
      </c>
    </row>
    <row r="54" spans="9:40" x14ac:dyDescent="0.45">
      <c r="I54" t="s">
        <v>181</v>
      </c>
      <c r="J54" t="s">
        <v>174</v>
      </c>
      <c r="K54">
        <v>0.16580132281501478</v>
      </c>
      <c r="L54" t="s">
        <v>167</v>
      </c>
      <c r="N54" t="s">
        <v>191</v>
      </c>
      <c r="O54" t="s">
        <v>174</v>
      </c>
      <c r="P54">
        <v>0.1035062596785135</v>
      </c>
      <c r="Q54" t="s">
        <v>167</v>
      </c>
      <c r="S54" t="s">
        <v>201</v>
      </c>
      <c r="T54" t="s">
        <v>174</v>
      </c>
      <c r="U54">
        <v>0.1042444876141435</v>
      </c>
      <c r="V54" t="s">
        <v>167</v>
      </c>
      <c r="AK54">
        <v>2035</v>
      </c>
      <c r="AL54" t="s">
        <v>163</v>
      </c>
      <c r="AM54">
        <v>0.34145000000000003</v>
      </c>
      <c r="AN54" t="s">
        <v>217</v>
      </c>
    </row>
    <row r="55" spans="9:40" x14ac:dyDescent="0.45">
      <c r="I55" t="s">
        <v>181</v>
      </c>
      <c r="J55" t="s">
        <v>175</v>
      </c>
      <c r="K55">
        <v>0.64820271514962802</v>
      </c>
      <c r="L55" t="s">
        <v>167</v>
      </c>
      <c r="N55" t="s">
        <v>191</v>
      </c>
      <c r="O55" t="s">
        <v>175</v>
      </c>
      <c r="P55">
        <v>0.32596422235715533</v>
      </c>
      <c r="Q55" t="s">
        <v>167</v>
      </c>
      <c r="S55" t="s">
        <v>201</v>
      </c>
      <c r="T55" t="s">
        <v>175</v>
      </c>
      <c r="U55">
        <v>0.33550788629790901</v>
      </c>
      <c r="V55" t="s">
        <v>167</v>
      </c>
      <c r="AK55">
        <v>2036</v>
      </c>
      <c r="AL55" t="s">
        <v>155</v>
      </c>
      <c r="AM55">
        <v>0.35145000000000004</v>
      </c>
      <c r="AN55" t="s">
        <v>217</v>
      </c>
    </row>
    <row r="56" spans="9:40" x14ac:dyDescent="0.45">
      <c r="I56" t="s">
        <v>181</v>
      </c>
      <c r="J56" t="s">
        <v>176</v>
      </c>
      <c r="K56">
        <v>0</v>
      </c>
      <c r="L56" t="s">
        <v>167</v>
      </c>
      <c r="N56" t="s">
        <v>191</v>
      </c>
      <c r="O56" t="s">
        <v>176</v>
      </c>
      <c r="P56">
        <v>3.4519446163452816E-2</v>
      </c>
      <c r="Q56" t="s">
        <v>167</v>
      </c>
      <c r="S56" t="s">
        <v>201</v>
      </c>
      <c r="T56" t="s">
        <v>176</v>
      </c>
      <c r="U56">
        <v>3.6414406044123694E-2</v>
      </c>
      <c r="V56" t="s">
        <v>167</v>
      </c>
      <c r="AK56">
        <v>2036</v>
      </c>
      <c r="AL56" t="s">
        <v>159</v>
      </c>
      <c r="AM56">
        <v>0.43149999999999999</v>
      </c>
      <c r="AN56" t="s">
        <v>217</v>
      </c>
    </row>
    <row r="57" spans="9:40" x14ac:dyDescent="0.45">
      <c r="I57" t="s">
        <v>181</v>
      </c>
      <c r="J57" t="s">
        <v>177</v>
      </c>
      <c r="K57">
        <v>1.1845124868874481E-3</v>
      </c>
      <c r="L57" t="s">
        <v>167</v>
      </c>
      <c r="N57" t="s">
        <v>191</v>
      </c>
      <c r="O57" t="s">
        <v>177</v>
      </c>
      <c r="P57">
        <v>4.3463391347024996E-2</v>
      </c>
      <c r="Q57" t="s">
        <v>167</v>
      </c>
      <c r="S57" t="s">
        <v>201</v>
      </c>
      <c r="T57" t="s">
        <v>177</v>
      </c>
      <c r="U57">
        <v>4.6773912553897623E-2</v>
      </c>
      <c r="V57" t="s">
        <v>167</v>
      </c>
      <c r="AK57">
        <v>2036</v>
      </c>
      <c r="AL57" t="s">
        <v>161</v>
      </c>
      <c r="AM57">
        <v>0.42534285714285708</v>
      </c>
      <c r="AN57" t="s">
        <v>217</v>
      </c>
    </row>
    <row r="58" spans="9:40" x14ac:dyDescent="0.45">
      <c r="I58" t="s">
        <v>181</v>
      </c>
      <c r="J58" t="s">
        <v>178</v>
      </c>
      <c r="K58">
        <v>3.8275746082259782E-2</v>
      </c>
      <c r="L58" t="s">
        <v>167</v>
      </c>
      <c r="N58" t="s">
        <v>191</v>
      </c>
      <c r="O58" t="s">
        <v>178</v>
      </c>
      <c r="P58">
        <v>0.13225951654149065</v>
      </c>
      <c r="Q58" t="s">
        <v>167</v>
      </c>
      <c r="S58" t="s">
        <v>201</v>
      </c>
      <c r="T58" t="s">
        <v>178</v>
      </c>
      <c r="U58">
        <v>0.14288651573721009</v>
      </c>
      <c r="V58" t="s">
        <v>167</v>
      </c>
      <c r="AK58">
        <v>2036</v>
      </c>
      <c r="AL58" t="s">
        <v>163</v>
      </c>
      <c r="AM58">
        <v>0.35014999999999996</v>
      </c>
      <c r="AN58" t="s">
        <v>217</v>
      </c>
    </row>
    <row r="59" spans="9:40" x14ac:dyDescent="0.45">
      <c r="I59" t="s">
        <v>182</v>
      </c>
      <c r="J59" t="s">
        <v>166</v>
      </c>
      <c r="K59">
        <v>0</v>
      </c>
      <c r="L59" t="s">
        <v>167</v>
      </c>
      <c r="N59" t="s">
        <v>192</v>
      </c>
      <c r="O59" t="s">
        <v>166</v>
      </c>
      <c r="P59">
        <v>2.6518073656543018E-2</v>
      </c>
      <c r="Q59" t="s">
        <v>167</v>
      </c>
      <c r="S59" t="s">
        <v>202</v>
      </c>
      <c r="T59" t="s">
        <v>166</v>
      </c>
      <c r="U59">
        <v>2.2126637823741274E-2</v>
      </c>
      <c r="V59" t="s">
        <v>167</v>
      </c>
      <c r="AK59">
        <v>2037</v>
      </c>
      <c r="AL59" t="s">
        <v>155</v>
      </c>
      <c r="AM59">
        <v>0.34384999999999999</v>
      </c>
      <c r="AN59" t="s">
        <v>217</v>
      </c>
    </row>
    <row r="60" spans="9:40" x14ac:dyDescent="0.45">
      <c r="I60" t="s">
        <v>182</v>
      </c>
      <c r="J60" t="s">
        <v>168</v>
      </c>
      <c r="K60">
        <v>2.5091165572516142E-3</v>
      </c>
      <c r="L60" t="s">
        <v>167</v>
      </c>
      <c r="N60" t="s">
        <v>192</v>
      </c>
      <c r="O60" t="s">
        <v>168</v>
      </c>
      <c r="P60">
        <v>3.2892812422586397E-2</v>
      </c>
      <c r="Q60" t="s">
        <v>167</v>
      </c>
      <c r="S60" t="s">
        <v>202</v>
      </c>
      <c r="T60" t="s">
        <v>168</v>
      </c>
      <c r="U60">
        <v>2.8992302364681199E-2</v>
      </c>
      <c r="V60" t="s">
        <v>167</v>
      </c>
      <c r="AK60">
        <v>2037</v>
      </c>
      <c r="AL60" t="s">
        <v>159</v>
      </c>
      <c r="AM60">
        <v>0.42120000000000002</v>
      </c>
      <c r="AN60" t="s">
        <v>217</v>
      </c>
    </row>
    <row r="61" spans="9:40" x14ac:dyDescent="0.45">
      <c r="I61" t="s">
        <v>182</v>
      </c>
      <c r="J61" t="s">
        <v>169</v>
      </c>
      <c r="K61">
        <v>5.0818659343994849E-2</v>
      </c>
      <c r="L61" t="s">
        <v>167</v>
      </c>
      <c r="N61" t="s">
        <v>192</v>
      </c>
      <c r="O61" t="s">
        <v>169</v>
      </c>
      <c r="P61">
        <v>9.7635986162445079E-2</v>
      </c>
      <c r="Q61" t="s">
        <v>167</v>
      </c>
      <c r="S61" t="s">
        <v>202</v>
      </c>
      <c r="T61" t="s">
        <v>169</v>
      </c>
      <c r="U61">
        <v>9.1367906370121779E-2</v>
      </c>
      <c r="V61" t="s">
        <v>167</v>
      </c>
      <c r="AK61">
        <v>2037</v>
      </c>
      <c r="AL61" t="s">
        <v>161</v>
      </c>
      <c r="AM61">
        <v>0.40560000000000002</v>
      </c>
      <c r="AN61" t="s">
        <v>217</v>
      </c>
    </row>
    <row r="62" spans="9:40" x14ac:dyDescent="0.45">
      <c r="I62" t="s">
        <v>182</v>
      </c>
      <c r="J62" t="s">
        <v>170</v>
      </c>
      <c r="K62">
        <v>0</v>
      </c>
      <c r="L62" t="s">
        <v>167</v>
      </c>
      <c r="N62" t="s">
        <v>192</v>
      </c>
      <c r="O62" t="s">
        <v>170</v>
      </c>
      <c r="P62">
        <v>1.5598675204951043E-2</v>
      </c>
      <c r="Q62" t="s">
        <v>167</v>
      </c>
      <c r="S62" t="s">
        <v>202</v>
      </c>
      <c r="T62" t="s">
        <v>170</v>
      </c>
      <c r="U62">
        <v>1.3053829550790741E-2</v>
      </c>
      <c r="V62" t="s">
        <v>167</v>
      </c>
      <c r="AK62">
        <v>2037</v>
      </c>
      <c r="AL62" t="s">
        <v>163</v>
      </c>
      <c r="AM62">
        <v>0.33645000000000003</v>
      </c>
      <c r="AN62" t="s">
        <v>217</v>
      </c>
    </row>
    <row r="63" spans="9:40" x14ac:dyDescent="0.45">
      <c r="I63" t="s">
        <v>182</v>
      </c>
      <c r="J63" t="s">
        <v>171</v>
      </c>
      <c r="K63">
        <v>1.5440786290074249E-2</v>
      </c>
      <c r="L63" t="s">
        <v>167</v>
      </c>
      <c r="N63" t="s">
        <v>192</v>
      </c>
      <c r="O63" t="s">
        <v>171</v>
      </c>
      <c r="P63">
        <v>2.0985016292937232E-2</v>
      </c>
      <c r="Q63" t="s">
        <v>167</v>
      </c>
      <c r="S63" t="s">
        <v>202</v>
      </c>
      <c r="T63" t="s">
        <v>171</v>
      </c>
      <c r="U63">
        <v>1.8049529276925675E-2</v>
      </c>
      <c r="V63" t="s">
        <v>167</v>
      </c>
      <c r="AK63">
        <v>2038</v>
      </c>
      <c r="AL63" t="s">
        <v>155</v>
      </c>
      <c r="AM63">
        <v>0.3574</v>
      </c>
      <c r="AN63" t="s">
        <v>217</v>
      </c>
    </row>
    <row r="64" spans="9:40" x14ac:dyDescent="0.45">
      <c r="I64" t="s">
        <v>182</v>
      </c>
      <c r="J64" t="s">
        <v>172</v>
      </c>
      <c r="K64">
        <v>8.225832398505567E-2</v>
      </c>
      <c r="L64" t="s">
        <v>167</v>
      </c>
      <c r="N64" t="s">
        <v>192</v>
      </c>
      <c r="O64" t="s">
        <v>172</v>
      </c>
      <c r="P64">
        <v>5.7019450089550457E-2</v>
      </c>
      <c r="Q64" t="s">
        <v>167</v>
      </c>
      <c r="S64" t="s">
        <v>202</v>
      </c>
      <c r="T64" t="s">
        <v>172</v>
      </c>
      <c r="U64">
        <v>5.477870032165779E-2</v>
      </c>
      <c r="V64" t="s">
        <v>167</v>
      </c>
      <c r="AK64">
        <v>2038</v>
      </c>
      <c r="AL64" t="s">
        <v>159</v>
      </c>
      <c r="AM64">
        <v>0.42680000000000001</v>
      </c>
      <c r="AN64" t="s">
        <v>217</v>
      </c>
    </row>
    <row r="65" spans="9:40" x14ac:dyDescent="0.45">
      <c r="I65" t="s">
        <v>182</v>
      </c>
      <c r="J65" t="s">
        <v>173</v>
      </c>
      <c r="K65">
        <v>0</v>
      </c>
      <c r="L65" t="s">
        <v>167</v>
      </c>
      <c r="N65" t="s">
        <v>192</v>
      </c>
      <c r="O65" t="s">
        <v>173</v>
      </c>
      <c r="P65">
        <v>9.3308513074834107E-2</v>
      </c>
      <c r="Q65" t="s">
        <v>167</v>
      </c>
      <c r="S65" t="s">
        <v>202</v>
      </c>
      <c r="T65" t="s">
        <v>173</v>
      </c>
      <c r="U65">
        <v>9.091526123881187E-2</v>
      </c>
      <c r="V65" t="s">
        <v>167</v>
      </c>
      <c r="AK65">
        <v>2038</v>
      </c>
      <c r="AL65" t="s">
        <v>161</v>
      </c>
      <c r="AM65">
        <v>0.40668571428571426</v>
      </c>
      <c r="AN65" t="s">
        <v>217</v>
      </c>
    </row>
    <row r="66" spans="9:40" x14ac:dyDescent="0.45">
      <c r="I66" t="s">
        <v>182</v>
      </c>
      <c r="J66" t="s">
        <v>174</v>
      </c>
      <c r="K66">
        <v>0.17164790136346775</v>
      </c>
      <c r="L66" t="s">
        <v>167</v>
      </c>
      <c r="N66" t="s">
        <v>192</v>
      </c>
      <c r="O66" t="s">
        <v>174</v>
      </c>
      <c r="P66">
        <v>0.10708554863577928</v>
      </c>
      <c r="Q66" t="s">
        <v>167</v>
      </c>
      <c r="S66" t="s">
        <v>202</v>
      </c>
      <c r="T66" t="s">
        <v>174</v>
      </c>
      <c r="U66">
        <v>0.10651254546630948</v>
      </c>
      <c r="V66" t="s">
        <v>167</v>
      </c>
      <c r="AK66">
        <v>2038</v>
      </c>
      <c r="AL66" t="s">
        <v>163</v>
      </c>
      <c r="AM66">
        <v>0.34920000000000001</v>
      </c>
      <c r="AN66" t="s">
        <v>217</v>
      </c>
    </row>
    <row r="67" spans="9:40" x14ac:dyDescent="0.45">
      <c r="I67" t="s">
        <v>182</v>
      </c>
      <c r="J67" t="s">
        <v>175</v>
      </c>
      <c r="K67">
        <v>0.64067875055158818</v>
      </c>
      <c r="L67" t="s">
        <v>167</v>
      </c>
      <c r="N67" t="s">
        <v>192</v>
      </c>
      <c r="O67" t="s">
        <v>175</v>
      </c>
      <c r="P67">
        <v>0.32748425129027542</v>
      </c>
      <c r="Q67" t="s">
        <v>167</v>
      </c>
      <c r="S67" t="s">
        <v>202</v>
      </c>
      <c r="T67" t="s">
        <v>175</v>
      </c>
      <c r="U67">
        <v>0.32718172970900372</v>
      </c>
      <c r="V67" t="s">
        <v>167</v>
      </c>
      <c r="AK67">
        <v>2039</v>
      </c>
      <c r="AL67" t="s">
        <v>155</v>
      </c>
      <c r="AM67">
        <v>0.3024</v>
      </c>
      <c r="AN67" t="s">
        <v>217</v>
      </c>
    </row>
    <row r="68" spans="9:40" x14ac:dyDescent="0.45">
      <c r="I68" t="s">
        <v>182</v>
      </c>
      <c r="J68" t="s">
        <v>176</v>
      </c>
      <c r="K68">
        <v>0</v>
      </c>
      <c r="L68" t="s">
        <v>167</v>
      </c>
      <c r="N68" t="s">
        <v>192</v>
      </c>
      <c r="O68" t="s">
        <v>176</v>
      </c>
      <c r="P68">
        <v>3.6814148980982092E-2</v>
      </c>
      <c r="Q68" t="s">
        <v>167</v>
      </c>
      <c r="S68" t="s">
        <v>202</v>
      </c>
      <c r="T68" t="s">
        <v>176</v>
      </c>
      <c r="U68">
        <v>3.9851981513768286E-2</v>
      </c>
      <c r="V68" t="s">
        <v>167</v>
      </c>
      <c r="AK68">
        <v>2039</v>
      </c>
      <c r="AL68" t="s">
        <v>159</v>
      </c>
      <c r="AM68">
        <v>0.35160000000000002</v>
      </c>
      <c r="AN68" t="s">
        <v>217</v>
      </c>
    </row>
    <row r="69" spans="9:40" x14ac:dyDescent="0.45">
      <c r="I69" t="s">
        <v>182</v>
      </c>
      <c r="J69" t="s">
        <v>177</v>
      </c>
      <c r="K69">
        <v>1.2498749478217607E-3</v>
      </c>
      <c r="L69" t="s">
        <v>167</v>
      </c>
      <c r="N69" t="s">
        <v>192</v>
      </c>
      <c r="O69" t="s">
        <v>177</v>
      </c>
      <c r="P69">
        <v>4.4942772137460597E-2</v>
      </c>
      <c r="Q69" t="s">
        <v>167</v>
      </c>
      <c r="S69" t="s">
        <v>202</v>
      </c>
      <c r="T69" t="s">
        <v>177</v>
      </c>
      <c r="U69">
        <v>4.9179083508448893E-2</v>
      </c>
      <c r="V69" t="s">
        <v>167</v>
      </c>
      <c r="AK69">
        <v>2039</v>
      </c>
      <c r="AL69" t="s">
        <v>161</v>
      </c>
      <c r="AM69">
        <v>0.35589999999999999</v>
      </c>
      <c r="AN69" t="s">
        <v>217</v>
      </c>
    </row>
    <row r="70" spans="9:40" x14ac:dyDescent="0.45">
      <c r="I70" t="s">
        <v>182</v>
      </c>
      <c r="J70" t="s">
        <v>178</v>
      </c>
      <c r="K70">
        <v>3.5396586960744068E-2</v>
      </c>
      <c r="L70" t="s">
        <v>167</v>
      </c>
      <c r="N70" t="s">
        <v>192</v>
      </c>
      <c r="O70" t="s">
        <v>178</v>
      </c>
      <c r="P70">
        <v>0.13971475205165834</v>
      </c>
      <c r="Q70" t="s">
        <v>167</v>
      </c>
      <c r="S70" t="s">
        <v>202</v>
      </c>
      <c r="T70" t="s">
        <v>178</v>
      </c>
      <c r="U70">
        <v>0.15799049285573646</v>
      </c>
      <c r="V70" t="s">
        <v>167</v>
      </c>
      <c r="AK70">
        <v>2039</v>
      </c>
      <c r="AL70" t="s">
        <v>163</v>
      </c>
      <c r="AM70">
        <v>0.29905000000000004</v>
      </c>
      <c r="AN70" t="s">
        <v>217</v>
      </c>
    </row>
    <row r="71" spans="9:40" x14ac:dyDescent="0.45">
      <c r="I71" t="s">
        <v>183</v>
      </c>
      <c r="J71" t="s">
        <v>166</v>
      </c>
      <c r="K71">
        <v>0</v>
      </c>
      <c r="L71" t="s">
        <v>167</v>
      </c>
      <c r="N71" t="s">
        <v>193</v>
      </c>
      <c r="O71" t="s">
        <v>166</v>
      </c>
      <c r="P71">
        <v>2.790218741326184E-2</v>
      </c>
      <c r="Q71" t="s">
        <v>167</v>
      </c>
      <c r="S71" t="s">
        <v>203</v>
      </c>
      <c r="T71" t="s">
        <v>166</v>
      </c>
      <c r="U71">
        <v>2.3648006854212537E-2</v>
      </c>
      <c r="V71" t="s">
        <v>167</v>
      </c>
      <c r="AK71">
        <v>2040</v>
      </c>
      <c r="AL71" t="s">
        <v>155</v>
      </c>
      <c r="AM71">
        <v>0.31919999999999998</v>
      </c>
      <c r="AN71" t="s">
        <v>217</v>
      </c>
    </row>
    <row r="72" spans="9:40" x14ac:dyDescent="0.45">
      <c r="I72" t="s">
        <v>183</v>
      </c>
      <c r="J72" t="s">
        <v>168</v>
      </c>
      <c r="K72">
        <v>2.6362242659050124E-3</v>
      </c>
      <c r="L72" t="s">
        <v>167</v>
      </c>
      <c r="N72" t="s">
        <v>193</v>
      </c>
      <c r="O72" t="s">
        <v>168</v>
      </c>
      <c r="P72">
        <v>3.6362041692360424E-2</v>
      </c>
      <c r="Q72" t="s">
        <v>167</v>
      </c>
      <c r="S72" t="s">
        <v>203</v>
      </c>
      <c r="T72" t="s">
        <v>168</v>
      </c>
      <c r="U72">
        <v>2.9471954534391095E-2</v>
      </c>
      <c r="V72" t="s">
        <v>167</v>
      </c>
      <c r="AK72">
        <v>2040</v>
      </c>
      <c r="AL72" t="s">
        <v>159</v>
      </c>
      <c r="AM72">
        <v>0.31390000000000001</v>
      </c>
      <c r="AN72" t="s">
        <v>217</v>
      </c>
    </row>
    <row r="73" spans="9:40" x14ac:dyDescent="0.45">
      <c r="I73" t="s">
        <v>183</v>
      </c>
      <c r="J73" t="s">
        <v>169</v>
      </c>
      <c r="K73">
        <v>5.2901463278118406E-2</v>
      </c>
      <c r="L73" t="s">
        <v>167</v>
      </c>
      <c r="N73" t="s">
        <v>193</v>
      </c>
      <c r="O73" t="s">
        <v>169</v>
      </c>
      <c r="P73">
        <v>0.10703011418230435</v>
      </c>
      <c r="Q73" t="s">
        <v>167</v>
      </c>
      <c r="S73" t="s">
        <v>203</v>
      </c>
      <c r="T73" t="s">
        <v>169</v>
      </c>
      <c r="U73">
        <v>9.0815591526173634E-2</v>
      </c>
      <c r="V73" t="s">
        <v>167</v>
      </c>
      <c r="AK73">
        <v>2040</v>
      </c>
      <c r="AL73" t="s">
        <v>161</v>
      </c>
      <c r="AM73">
        <v>0.35404285714285716</v>
      </c>
      <c r="AN73" t="s">
        <v>217</v>
      </c>
    </row>
    <row r="74" spans="9:40" x14ac:dyDescent="0.45">
      <c r="I74" t="s">
        <v>183</v>
      </c>
      <c r="J74" t="s">
        <v>170</v>
      </c>
      <c r="K74">
        <v>0</v>
      </c>
      <c r="L74" t="s">
        <v>167</v>
      </c>
      <c r="N74" t="s">
        <v>193</v>
      </c>
      <c r="O74" t="s">
        <v>170</v>
      </c>
      <c r="P74">
        <v>1.6966176419336725E-2</v>
      </c>
      <c r="Q74" t="s">
        <v>167</v>
      </c>
      <c r="S74" t="s">
        <v>203</v>
      </c>
      <c r="T74" t="s">
        <v>170</v>
      </c>
      <c r="U74">
        <v>1.4320652907143244E-2</v>
      </c>
      <c r="V74" t="s">
        <v>167</v>
      </c>
      <c r="AK74">
        <v>2040</v>
      </c>
      <c r="AL74" t="s">
        <v>163</v>
      </c>
      <c r="AM74">
        <v>0.30690000000000001</v>
      </c>
      <c r="AN74" t="s">
        <v>217</v>
      </c>
    </row>
    <row r="75" spans="9:40" x14ac:dyDescent="0.45">
      <c r="I75" t="s">
        <v>183</v>
      </c>
      <c r="J75" t="s">
        <v>171</v>
      </c>
      <c r="K75">
        <v>1.5743589809049666E-2</v>
      </c>
      <c r="L75" t="s">
        <v>167</v>
      </c>
      <c r="N75" t="s">
        <v>193</v>
      </c>
      <c r="O75" t="s">
        <v>171</v>
      </c>
      <c r="P75">
        <v>2.1834829791872575E-2</v>
      </c>
      <c r="Q75" t="s">
        <v>167</v>
      </c>
      <c r="S75" t="s">
        <v>203</v>
      </c>
      <c r="T75" t="s">
        <v>171</v>
      </c>
      <c r="U75">
        <v>1.9239394381371396E-2</v>
      </c>
      <c r="V75" t="s">
        <v>167</v>
      </c>
      <c r="AK75">
        <v>2041</v>
      </c>
      <c r="AL75" t="s">
        <v>155</v>
      </c>
      <c r="AM75">
        <v>0.29925000000000002</v>
      </c>
      <c r="AN75" t="s">
        <v>217</v>
      </c>
    </row>
    <row r="76" spans="9:40" x14ac:dyDescent="0.45">
      <c r="I76" t="s">
        <v>183</v>
      </c>
      <c r="J76" t="s">
        <v>172</v>
      </c>
      <c r="K76">
        <v>8.415548969043983E-2</v>
      </c>
      <c r="L76" t="s">
        <v>167</v>
      </c>
      <c r="N76" t="s">
        <v>193</v>
      </c>
      <c r="O76" t="s">
        <v>172</v>
      </c>
      <c r="P76">
        <v>6.0577772010424615E-2</v>
      </c>
      <c r="Q76" t="s">
        <v>167</v>
      </c>
      <c r="S76" t="s">
        <v>203</v>
      </c>
      <c r="T76" t="s">
        <v>172</v>
      </c>
      <c r="U76">
        <v>5.5458139476683578E-2</v>
      </c>
      <c r="V76" t="s">
        <v>167</v>
      </c>
      <c r="AK76">
        <v>2041</v>
      </c>
      <c r="AL76" t="s">
        <v>159</v>
      </c>
      <c r="AM76">
        <v>0.3357</v>
      </c>
      <c r="AN76" t="s">
        <v>217</v>
      </c>
    </row>
    <row r="77" spans="9:40" x14ac:dyDescent="0.45">
      <c r="I77" t="s">
        <v>183</v>
      </c>
      <c r="J77" t="s">
        <v>173</v>
      </c>
      <c r="K77">
        <v>0</v>
      </c>
      <c r="L77" t="s">
        <v>167</v>
      </c>
      <c r="N77" t="s">
        <v>193</v>
      </c>
      <c r="O77" t="s">
        <v>173</v>
      </c>
      <c r="P77">
        <v>8.7810817547131118E-2</v>
      </c>
      <c r="Q77" t="s">
        <v>167</v>
      </c>
      <c r="S77" t="s">
        <v>203</v>
      </c>
      <c r="T77" t="s">
        <v>173</v>
      </c>
      <c r="U77">
        <v>9.3403734901457217E-2</v>
      </c>
      <c r="V77" t="s">
        <v>167</v>
      </c>
      <c r="AK77">
        <v>2041</v>
      </c>
      <c r="AL77" t="s">
        <v>161</v>
      </c>
      <c r="AM77">
        <v>0.36861428571428573</v>
      </c>
      <c r="AN77" t="s">
        <v>217</v>
      </c>
    </row>
    <row r="78" spans="9:40" x14ac:dyDescent="0.45">
      <c r="I78" t="s">
        <v>183</v>
      </c>
      <c r="J78" t="s">
        <v>174</v>
      </c>
      <c r="K78">
        <v>0.16998555685620059</v>
      </c>
      <c r="L78" t="s">
        <v>167</v>
      </c>
      <c r="N78" t="s">
        <v>193</v>
      </c>
      <c r="O78" t="s">
        <v>174</v>
      </c>
      <c r="P78">
        <v>0.1054366571380755</v>
      </c>
      <c r="Q78" t="s">
        <v>167</v>
      </c>
      <c r="S78" t="s">
        <v>203</v>
      </c>
      <c r="T78" t="s">
        <v>174</v>
      </c>
      <c r="U78">
        <v>0.10741899478684905</v>
      </c>
      <c r="V78" t="s">
        <v>167</v>
      </c>
      <c r="AK78">
        <v>2041</v>
      </c>
      <c r="AL78" t="s">
        <v>163</v>
      </c>
      <c r="AM78">
        <v>0.30154999999999998</v>
      </c>
      <c r="AN78" t="s">
        <v>217</v>
      </c>
    </row>
    <row r="79" spans="9:40" x14ac:dyDescent="0.45">
      <c r="I79" t="s">
        <v>183</v>
      </c>
      <c r="J79" t="s">
        <v>175</v>
      </c>
      <c r="K79">
        <v>0.63846429250167169</v>
      </c>
      <c r="L79" t="s">
        <v>167</v>
      </c>
      <c r="N79" t="s">
        <v>193</v>
      </c>
      <c r="O79" t="s">
        <v>175</v>
      </c>
      <c r="P79">
        <v>0.32713126906821866</v>
      </c>
      <c r="Q79" t="s">
        <v>167</v>
      </c>
      <c r="S79" t="s">
        <v>203</v>
      </c>
      <c r="T79" t="s">
        <v>175</v>
      </c>
      <c r="U79">
        <v>0.32036202212157677</v>
      </c>
      <c r="V79" t="s">
        <v>167</v>
      </c>
      <c r="AK79">
        <v>2042</v>
      </c>
      <c r="AL79" t="s">
        <v>155</v>
      </c>
      <c r="AM79">
        <v>0.38575000000000004</v>
      </c>
      <c r="AN79" t="s">
        <v>217</v>
      </c>
    </row>
    <row r="80" spans="9:40" x14ac:dyDescent="0.45">
      <c r="I80" t="s">
        <v>183</v>
      </c>
      <c r="J80" t="s">
        <v>176</v>
      </c>
      <c r="K80">
        <v>0</v>
      </c>
      <c r="L80" t="s">
        <v>167</v>
      </c>
      <c r="N80" t="s">
        <v>193</v>
      </c>
      <c r="O80" t="s">
        <v>176</v>
      </c>
      <c r="P80">
        <v>3.4865901953620076E-2</v>
      </c>
      <c r="Q80" t="s">
        <v>167</v>
      </c>
      <c r="S80" t="s">
        <v>203</v>
      </c>
      <c r="T80" t="s">
        <v>176</v>
      </c>
      <c r="U80">
        <v>4.0265154182443572E-2</v>
      </c>
      <c r="V80" t="s">
        <v>167</v>
      </c>
      <c r="AK80">
        <v>2042</v>
      </c>
      <c r="AL80" t="s">
        <v>159</v>
      </c>
      <c r="AM80">
        <v>0.41349999999999998</v>
      </c>
      <c r="AN80" t="s">
        <v>217</v>
      </c>
    </row>
    <row r="81" spans="9:40" x14ac:dyDescent="0.45">
      <c r="I81" t="s">
        <v>183</v>
      </c>
      <c r="J81" t="s">
        <v>177</v>
      </c>
      <c r="K81">
        <v>1.3537530797561633E-3</v>
      </c>
      <c r="L81" t="s">
        <v>167</v>
      </c>
      <c r="N81" t="s">
        <v>193</v>
      </c>
      <c r="O81" t="s">
        <v>177</v>
      </c>
      <c r="P81">
        <v>4.3773344649167462E-2</v>
      </c>
      <c r="Q81" t="s">
        <v>167</v>
      </c>
      <c r="S81" t="s">
        <v>203</v>
      </c>
      <c r="T81" t="s">
        <v>177</v>
      </c>
      <c r="U81">
        <v>4.9547864517978907E-2</v>
      </c>
      <c r="V81" t="s">
        <v>167</v>
      </c>
      <c r="AK81">
        <v>2042</v>
      </c>
      <c r="AL81" t="s">
        <v>161</v>
      </c>
      <c r="AM81">
        <v>0.49572857142857141</v>
      </c>
      <c r="AN81" t="s">
        <v>217</v>
      </c>
    </row>
    <row r="82" spans="9:40" x14ac:dyDescent="0.45">
      <c r="I82" t="s">
        <v>183</v>
      </c>
      <c r="J82" t="s">
        <v>178</v>
      </c>
      <c r="K82">
        <v>3.4759630518859254E-2</v>
      </c>
      <c r="L82" t="s">
        <v>167</v>
      </c>
      <c r="N82" t="s">
        <v>193</v>
      </c>
      <c r="O82" t="s">
        <v>178</v>
      </c>
      <c r="P82">
        <v>0.13030888813422756</v>
      </c>
      <c r="Q82" t="s">
        <v>167</v>
      </c>
      <c r="S82" t="s">
        <v>203</v>
      </c>
      <c r="T82" t="s">
        <v>178</v>
      </c>
      <c r="U82">
        <v>0.15604848980972111</v>
      </c>
      <c r="V82" t="s">
        <v>167</v>
      </c>
      <c r="AK82">
        <v>2042</v>
      </c>
      <c r="AL82" t="s">
        <v>163</v>
      </c>
      <c r="AM82">
        <v>0.39874999999999999</v>
      </c>
      <c r="AN82" t="s">
        <v>217</v>
      </c>
    </row>
    <row r="83" spans="9:40" x14ac:dyDescent="0.45">
      <c r="I83" t="s">
        <v>184</v>
      </c>
      <c r="J83" t="s">
        <v>166</v>
      </c>
      <c r="K83">
        <v>0</v>
      </c>
      <c r="L83" t="s">
        <v>167</v>
      </c>
      <c r="N83" t="s">
        <v>194</v>
      </c>
      <c r="O83" t="s">
        <v>166</v>
      </c>
      <c r="P83">
        <v>2.6164161341320408E-2</v>
      </c>
      <c r="Q83" t="s">
        <v>167</v>
      </c>
      <c r="S83" t="s">
        <v>204</v>
      </c>
      <c r="T83" t="s">
        <v>166</v>
      </c>
      <c r="U83">
        <v>2.6202838827512488E-2</v>
      </c>
      <c r="V83" t="s">
        <v>167</v>
      </c>
      <c r="AK83">
        <v>2043</v>
      </c>
      <c r="AL83" t="s">
        <v>155</v>
      </c>
      <c r="AM83">
        <v>0.43514999999999998</v>
      </c>
      <c r="AN83" t="s">
        <v>217</v>
      </c>
    </row>
    <row r="84" spans="9:40" x14ac:dyDescent="0.45">
      <c r="I84" t="s">
        <v>184</v>
      </c>
      <c r="J84" t="s">
        <v>168</v>
      </c>
      <c r="K84">
        <v>2.41093199958419E-3</v>
      </c>
      <c r="L84" t="s">
        <v>167</v>
      </c>
      <c r="N84" t="s">
        <v>194</v>
      </c>
      <c r="O84" t="s">
        <v>168</v>
      </c>
      <c r="P84">
        <v>3.354753338318809E-2</v>
      </c>
      <c r="Q84" t="s">
        <v>167</v>
      </c>
      <c r="S84" t="s">
        <v>204</v>
      </c>
      <c r="T84" t="s">
        <v>168</v>
      </c>
      <c r="U84">
        <v>3.4744208292311701E-2</v>
      </c>
      <c r="V84" t="s">
        <v>167</v>
      </c>
      <c r="AK84">
        <v>2043</v>
      </c>
      <c r="AL84" t="s">
        <v>159</v>
      </c>
      <c r="AM84">
        <v>0.42559999999999998</v>
      </c>
      <c r="AN84" t="s">
        <v>217</v>
      </c>
    </row>
    <row r="85" spans="9:40" x14ac:dyDescent="0.45">
      <c r="I85" t="s">
        <v>184</v>
      </c>
      <c r="J85" t="s">
        <v>169</v>
      </c>
      <c r="K85">
        <v>5.4228493771453959E-2</v>
      </c>
      <c r="L85" t="s">
        <v>167</v>
      </c>
      <c r="N85" t="s">
        <v>194</v>
      </c>
      <c r="O85" t="s">
        <v>169</v>
      </c>
      <c r="P85">
        <v>0.10161248752736936</v>
      </c>
      <c r="Q85" t="s">
        <v>167</v>
      </c>
      <c r="S85" t="s">
        <v>204</v>
      </c>
      <c r="T85" t="s">
        <v>169</v>
      </c>
      <c r="U85">
        <v>0.10118628126629024</v>
      </c>
      <c r="V85" t="s">
        <v>167</v>
      </c>
      <c r="AK85">
        <v>2043</v>
      </c>
      <c r="AL85" t="s">
        <v>161</v>
      </c>
      <c r="AM85">
        <v>0.47152857142857146</v>
      </c>
      <c r="AN85" t="s">
        <v>217</v>
      </c>
    </row>
    <row r="86" spans="9:40" x14ac:dyDescent="0.45">
      <c r="I86" t="s">
        <v>184</v>
      </c>
      <c r="J86" t="s">
        <v>170</v>
      </c>
      <c r="K86">
        <v>0</v>
      </c>
      <c r="L86" t="s">
        <v>167</v>
      </c>
      <c r="N86" t="s">
        <v>194</v>
      </c>
      <c r="O86" t="s">
        <v>170</v>
      </c>
      <c r="P86">
        <v>1.602822060661464E-2</v>
      </c>
      <c r="Q86" t="s">
        <v>167</v>
      </c>
      <c r="S86" t="s">
        <v>204</v>
      </c>
      <c r="T86" t="s">
        <v>170</v>
      </c>
      <c r="U86">
        <v>1.5417239131227025E-2</v>
      </c>
      <c r="V86" t="s">
        <v>167</v>
      </c>
      <c r="AK86">
        <v>2043</v>
      </c>
      <c r="AL86" t="s">
        <v>163</v>
      </c>
      <c r="AM86">
        <v>0.42185</v>
      </c>
      <c r="AN86" t="s">
        <v>217</v>
      </c>
    </row>
    <row r="87" spans="9:40" x14ac:dyDescent="0.45">
      <c r="I87" t="s">
        <v>184</v>
      </c>
      <c r="J87" t="s">
        <v>171</v>
      </c>
      <c r="K87">
        <v>1.4579753545948947E-2</v>
      </c>
      <c r="L87" t="s">
        <v>167</v>
      </c>
      <c r="N87" t="s">
        <v>194</v>
      </c>
      <c r="O87" t="s">
        <v>171</v>
      </c>
      <c r="P87">
        <v>2.1419691542131004E-2</v>
      </c>
      <c r="Q87" t="s">
        <v>167</v>
      </c>
      <c r="S87" t="s">
        <v>204</v>
      </c>
      <c r="T87" t="s">
        <v>171</v>
      </c>
      <c r="U87">
        <v>2.0472516656383614E-2</v>
      </c>
      <c r="V87" t="s">
        <v>167</v>
      </c>
      <c r="AK87">
        <v>2044</v>
      </c>
      <c r="AL87" t="s">
        <v>155</v>
      </c>
      <c r="AM87">
        <v>0.38800000000000001</v>
      </c>
      <c r="AN87" t="s">
        <v>217</v>
      </c>
    </row>
    <row r="88" spans="9:40" x14ac:dyDescent="0.45">
      <c r="I88" t="s">
        <v>184</v>
      </c>
      <c r="J88" t="s">
        <v>172</v>
      </c>
      <c r="K88">
        <v>8.0581241704724346E-2</v>
      </c>
      <c r="L88" t="s">
        <v>167</v>
      </c>
      <c r="N88" t="s">
        <v>194</v>
      </c>
      <c r="O88" t="s">
        <v>172</v>
      </c>
      <c r="P88">
        <v>5.8603858386664112E-2</v>
      </c>
      <c r="Q88" t="s">
        <v>167</v>
      </c>
      <c r="S88" t="s">
        <v>204</v>
      </c>
      <c r="T88" t="s">
        <v>172</v>
      </c>
      <c r="U88">
        <v>5.9679170614905908E-2</v>
      </c>
      <c r="V88" t="s">
        <v>167</v>
      </c>
      <c r="AK88">
        <v>2044</v>
      </c>
      <c r="AL88" t="s">
        <v>159</v>
      </c>
      <c r="AM88">
        <v>0.49459999999999998</v>
      </c>
      <c r="AN88" t="s">
        <v>217</v>
      </c>
    </row>
    <row r="89" spans="9:40" x14ac:dyDescent="0.45">
      <c r="I89" t="s">
        <v>184</v>
      </c>
      <c r="J89" t="s">
        <v>173</v>
      </c>
      <c r="K89">
        <v>0</v>
      </c>
      <c r="L89" t="s">
        <v>167</v>
      </c>
      <c r="N89" t="s">
        <v>194</v>
      </c>
      <c r="O89" t="s">
        <v>173</v>
      </c>
      <c r="P89">
        <v>8.8254603246179134E-2</v>
      </c>
      <c r="Q89" t="s">
        <v>167</v>
      </c>
      <c r="S89" t="s">
        <v>204</v>
      </c>
      <c r="T89" t="s">
        <v>173</v>
      </c>
      <c r="U89">
        <v>8.8437364915641969E-2</v>
      </c>
      <c r="V89" t="s">
        <v>167</v>
      </c>
      <c r="AK89">
        <v>2044</v>
      </c>
      <c r="AL89" t="s">
        <v>161</v>
      </c>
      <c r="AM89">
        <v>0.49718571428571418</v>
      </c>
      <c r="AN89" t="s">
        <v>217</v>
      </c>
    </row>
    <row r="90" spans="9:40" x14ac:dyDescent="0.45">
      <c r="I90" t="s">
        <v>184</v>
      </c>
      <c r="J90" t="s">
        <v>174</v>
      </c>
      <c r="K90">
        <v>0.16543079539398003</v>
      </c>
      <c r="L90" t="s">
        <v>167</v>
      </c>
      <c r="N90" t="s">
        <v>194</v>
      </c>
      <c r="O90" t="s">
        <v>174</v>
      </c>
      <c r="P90">
        <v>0.10538380331974814</v>
      </c>
      <c r="Q90" t="s">
        <v>167</v>
      </c>
      <c r="S90" t="s">
        <v>204</v>
      </c>
      <c r="T90" t="s">
        <v>174</v>
      </c>
      <c r="U90">
        <v>0.10727707683006378</v>
      </c>
      <c r="V90" t="s">
        <v>167</v>
      </c>
      <c r="AK90">
        <v>2044</v>
      </c>
      <c r="AL90" t="s">
        <v>163</v>
      </c>
      <c r="AM90">
        <v>0.42264999999999997</v>
      </c>
      <c r="AN90" t="s">
        <v>217</v>
      </c>
    </row>
    <row r="91" spans="9:40" x14ac:dyDescent="0.45">
      <c r="I91" t="s">
        <v>184</v>
      </c>
      <c r="J91" t="s">
        <v>175</v>
      </c>
      <c r="K91">
        <v>0.64723951808514313</v>
      </c>
      <c r="L91" t="s">
        <v>167</v>
      </c>
      <c r="N91" t="s">
        <v>194</v>
      </c>
      <c r="O91" t="s">
        <v>175</v>
      </c>
      <c r="P91">
        <v>0.33201745480794942</v>
      </c>
      <c r="Q91" t="s">
        <v>167</v>
      </c>
      <c r="S91" t="s">
        <v>204</v>
      </c>
      <c r="T91" t="s">
        <v>175</v>
      </c>
      <c r="U91">
        <v>0.33894250967287748</v>
      </c>
      <c r="V91" t="s">
        <v>167</v>
      </c>
      <c r="AK91">
        <v>2045</v>
      </c>
      <c r="AL91" t="s">
        <v>155</v>
      </c>
      <c r="AM91">
        <v>0.3226</v>
      </c>
      <c r="AN91" t="s">
        <v>217</v>
      </c>
    </row>
    <row r="92" spans="9:40" x14ac:dyDescent="0.45">
      <c r="I92" t="s">
        <v>184</v>
      </c>
      <c r="J92" t="s">
        <v>176</v>
      </c>
      <c r="K92">
        <v>0</v>
      </c>
      <c r="L92" t="s">
        <v>167</v>
      </c>
      <c r="N92" t="s">
        <v>194</v>
      </c>
      <c r="O92" t="s">
        <v>176</v>
      </c>
      <c r="P92">
        <v>3.6153577068057705E-2</v>
      </c>
      <c r="Q92" t="s">
        <v>167</v>
      </c>
      <c r="S92" t="s">
        <v>204</v>
      </c>
      <c r="T92" t="s">
        <v>176</v>
      </c>
      <c r="U92">
        <v>3.480272830398675E-2</v>
      </c>
      <c r="V92" t="s">
        <v>167</v>
      </c>
      <c r="AK92">
        <v>2045</v>
      </c>
      <c r="AL92" t="s">
        <v>159</v>
      </c>
      <c r="AM92">
        <v>0.31030000000000002</v>
      </c>
      <c r="AN92" t="s">
        <v>217</v>
      </c>
    </row>
    <row r="93" spans="9:40" x14ac:dyDescent="0.45">
      <c r="I93" t="s">
        <v>184</v>
      </c>
      <c r="J93" t="s">
        <v>177</v>
      </c>
      <c r="K93">
        <v>1.2052561914765187E-3</v>
      </c>
      <c r="L93" t="s">
        <v>167</v>
      </c>
      <c r="N93" t="s">
        <v>194</v>
      </c>
      <c r="O93" t="s">
        <v>177</v>
      </c>
      <c r="P93">
        <v>4.5470626489979168E-2</v>
      </c>
      <c r="Q93" t="s">
        <v>167</v>
      </c>
      <c r="S93" t="s">
        <v>204</v>
      </c>
      <c r="T93" t="s">
        <v>177</v>
      </c>
      <c r="U93">
        <v>4.3687913269350405E-2</v>
      </c>
      <c r="V93" t="s">
        <v>167</v>
      </c>
      <c r="AK93">
        <v>2045</v>
      </c>
      <c r="AL93" t="s">
        <v>161</v>
      </c>
      <c r="AM93">
        <v>0.3531285714285714</v>
      </c>
      <c r="AN93" t="s">
        <v>217</v>
      </c>
    </row>
    <row r="94" spans="9:40" x14ac:dyDescent="0.45">
      <c r="I94" t="s">
        <v>184</v>
      </c>
      <c r="J94" t="s">
        <v>178</v>
      </c>
      <c r="K94">
        <v>3.4324009307691174E-2</v>
      </c>
      <c r="L94" t="s">
        <v>167</v>
      </c>
      <c r="N94" t="s">
        <v>194</v>
      </c>
      <c r="O94" t="s">
        <v>178</v>
      </c>
      <c r="P94">
        <v>0.13534398228079633</v>
      </c>
      <c r="Q94" t="s">
        <v>167</v>
      </c>
      <c r="S94" t="s">
        <v>204</v>
      </c>
      <c r="T94" t="s">
        <v>178</v>
      </c>
      <c r="U94">
        <v>0.12915015221944978</v>
      </c>
      <c r="V94" t="s">
        <v>167</v>
      </c>
      <c r="AK94">
        <v>2045</v>
      </c>
      <c r="AL94" t="s">
        <v>163</v>
      </c>
      <c r="AM94">
        <v>0.30249999999999999</v>
      </c>
      <c r="AN94" t="s">
        <v>217</v>
      </c>
    </row>
    <row r="95" spans="9:40" x14ac:dyDescent="0.45">
      <c r="I95" t="s">
        <v>185</v>
      </c>
      <c r="J95" t="s">
        <v>166</v>
      </c>
      <c r="K95">
        <v>0</v>
      </c>
      <c r="L95" t="s">
        <v>167</v>
      </c>
      <c r="N95" t="s">
        <v>195</v>
      </c>
      <c r="O95" t="s">
        <v>166</v>
      </c>
      <c r="P95">
        <v>2.3997603775945588E-2</v>
      </c>
      <c r="Q95" t="s">
        <v>167</v>
      </c>
      <c r="S95" t="s">
        <v>205</v>
      </c>
      <c r="T95" t="s">
        <v>166</v>
      </c>
      <c r="U95">
        <v>2.5066559472012962E-2</v>
      </c>
      <c r="V95" t="s">
        <v>167</v>
      </c>
      <c r="AK95">
        <v>2046</v>
      </c>
      <c r="AL95" t="s">
        <v>155</v>
      </c>
      <c r="AM95">
        <v>0.3251</v>
      </c>
      <c r="AN95" t="s">
        <v>217</v>
      </c>
    </row>
    <row r="96" spans="9:40" x14ac:dyDescent="0.45">
      <c r="I96" t="s">
        <v>185</v>
      </c>
      <c r="J96" t="s">
        <v>168</v>
      </c>
      <c r="K96">
        <v>2.5296482449155039E-3</v>
      </c>
      <c r="L96" t="s">
        <v>167</v>
      </c>
      <c r="N96" t="s">
        <v>195</v>
      </c>
      <c r="O96" t="s">
        <v>168</v>
      </c>
      <c r="P96">
        <v>3.0613755992921148E-2</v>
      </c>
      <c r="Q96" t="s">
        <v>167</v>
      </c>
      <c r="S96" t="s">
        <v>205</v>
      </c>
      <c r="T96" t="s">
        <v>168</v>
      </c>
      <c r="U96">
        <v>3.3788993868221429E-2</v>
      </c>
      <c r="V96" t="s">
        <v>167</v>
      </c>
      <c r="AK96">
        <v>2046</v>
      </c>
      <c r="AL96" t="s">
        <v>159</v>
      </c>
      <c r="AM96">
        <v>0.36599999999999999</v>
      </c>
      <c r="AN96" t="s">
        <v>217</v>
      </c>
    </row>
    <row r="97" spans="9:40" x14ac:dyDescent="0.45">
      <c r="I97" t="s">
        <v>185</v>
      </c>
      <c r="J97" t="s">
        <v>169</v>
      </c>
      <c r="K97">
        <v>5.5089209228991985E-2</v>
      </c>
      <c r="L97" t="s">
        <v>167</v>
      </c>
      <c r="N97" t="s">
        <v>195</v>
      </c>
      <c r="O97" t="s">
        <v>169</v>
      </c>
      <c r="P97">
        <v>9.4517389562986401E-2</v>
      </c>
      <c r="Q97" t="s">
        <v>167</v>
      </c>
      <c r="S97" t="s">
        <v>205</v>
      </c>
      <c r="T97" t="s">
        <v>169</v>
      </c>
      <c r="U97">
        <v>9.8823911746721838E-2</v>
      </c>
      <c r="V97" t="s">
        <v>167</v>
      </c>
      <c r="AK97">
        <v>2046</v>
      </c>
      <c r="AL97" t="s">
        <v>161</v>
      </c>
      <c r="AM97">
        <v>0.35901428571428567</v>
      </c>
      <c r="AN97" t="s">
        <v>217</v>
      </c>
    </row>
    <row r="98" spans="9:40" x14ac:dyDescent="0.45">
      <c r="I98" t="s">
        <v>185</v>
      </c>
      <c r="J98" t="s">
        <v>170</v>
      </c>
      <c r="K98">
        <v>0</v>
      </c>
      <c r="L98" t="s">
        <v>167</v>
      </c>
      <c r="N98" t="s">
        <v>195</v>
      </c>
      <c r="O98" t="s">
        <v>170</v>
      </c>
      <c r="P98">
        <v>1.5771683409234041E-2</v>
      </c>
      <c r="Q98" t="s">
        <v>167</v>
      </c>
      <c r="S98" t="s">
        <v>205</v>
      </c>
      <c r="T98" t="s">
        <v>170</v>
      </c>
      <c r="U98">
        <v>1.5478569518123059E-2</v>
      </c>
      <c r="V98" t="s">
        <v>167</v>
      </c>
      <c r="AK98">
        <v>2046</v>
      </c>
      <c r="AL98" t="s">
        <v>163</v>
      </c>
      <c r="AM98">
        <v>0.30635000000000001</v>
      </c>
      <c r="AN98" t="s">
        <v>217</v>
      </c>
    </row>
    <row r="99" spans="9:40" x14ac:dyDescent="0.45">
      <c r="I99" t="s">
        <v>185</v>
      </c>
      <c r="J99" t="s">
        <v>171</v>
      </c>
      <c r="K99">
        <v>1.4030587183190476E-2</v>
      </c>
      <c r="L99" t="s">
        <v>167</v>
      </c>
      <c r="N99" t="s">
        <v>195</v>
      </c>
      <c r="O99" t="s">
        <v>171</v>
      </c>
      <c r="P99">
        <v>2.0494042815684597E-2</v>
      </c>
      <c r="Q99" t="s">
        <v>167</v>
      </c>
      <c r="S99" t="s">
        <v>205</v>
      </c>
      <c r="T99" t="s">
        <v>171</v>
      </c>
      <c r="U99">
        <v>2.0343244352367489E-2</v>
      </c>
      <c r="V99" t="s">
        <v>167</v>
      </c>
      <c r="AK99">
        <v>2047</v>
      </c>
      <c r="AL99" t="s">
        <v>155</v>
      </c>
      <c r="AM99">
        <v>0.36330000000000001</v>
      </c>
      <c r="AN99" t="s">
        <v>217</v>
      </c>
    </row>
    <row r="100" spans="9:40" x14ac:dyDescent="0.45">
      <c r="I100" t="s">
        <v>185</v>
      </c>
      <c r="J100" t="s">
        <v>172</v>
      </c>
      <c r="K100">
        <v>7.8273680800593118E-2</v>
      </c>
      <c r="L100" t="s">
        <v>167</v>
      </c>
      <c r="N100" t="s">
        <v>195</v>
      </c>
      <c r="O100" t="s">
        <v>172</v>
      </c>
      <c r="P100">
        <v>6.1101298274592195E-2</v>
      </c>
      <c r="Q100" t="s">
        <v>167</v>
      </c>
      <c r="S100" t="s">
        <v>205</v>
      </c>
      <c r="T100" t="s">
        <v>172</v>
      </c>
      <c r="U100">
        <v>6.0092486250359504E-2</v>
      </c>
      <c r="V100" t="s">
        <v>167</v>
      </c>
      <c r="AK100">
        <v>2047</v>
      </c>
      <c r="AL100" t="s">
        <v>159</v>
      </c>
      <c r="AM100">
        <v>0.38279999999999997</v>
      </c>
      <c r="AN100" t="s">
        <v>217</v>
      </c>
    </row>
    <row r="101" spans="9:40" x14ac:dyDescent="0.45">
      <c r="I101" t="s">
        <v>185</v>
      </c>
      <c r="J101" t="s">
        <v>173</v>
      </c>
      <c r="K101">
        <v>0</v>
      </c>
      <c r="L101" t="s">
        <v>167</v>
      </c>
      <c r="N101" t="s">
        <v>195</v>
      </c>
      <c r="O101" t="s">
        <v>173</v>
      </c>
      <c r="P101">
        <v>8.462337330225303E-2</v>
      </c>
      <c r="Q101" t="s">
        <v>167</v>
      </c>
      <c r="S101" t="s">
        <v>205</v>
      </c>
      <c r="T101" t="s">
        <v>173</v>
      </c>
      <c r="U101">
        <v>8.6418166307295832E-2</v>
      </c>
      <c r="V101" t="s">
        <v>167</v>
      </c>
      <c r="AK101">
        <v>2047</v>
      </c>
      <c r="AL101" t="s">
        <v>161</v>
      </c>
      <c r="AM101">
        <v>0.41245714285714286</v>
      </c>
      <c r="AN101" t="s">
        <v>217</v>
      </c>
    </row>
    <row r="102" spans="9:40" x14ac:dyDescent="0.45">
      <c r="I102" t="s">
        <v>185</v>
      </c>
      <c r="J102" t="s">
        <v>174</v>
      </c>
      <c r="K102">
        <v>0.16250013291868567</v>
      </c>
      <c r="L102" t="s">
        <v>167</v>
      </c>
      <c r="N102" t="s">
        <v>195</v>
      </c>
      <c r="O102" t="s">
        <v>174</v>
      </c>
      <c r="P102">
        <v>0.10440342564740344</v>
      </c>
      <c r="Q102" t="s">
        <v>167</v>
      </c>
      <c r="S102" t="s">
        <v>205</v>
      </c>
      <c r="T102" t="s">
        <v>174</v>
      </c>
      <c r="U102">
        <v>0.10755025437993297</v>
      </c>
      <c r="V102" t="s">
        <v>167</v>
      </c>
      <c r="AK102">
        <v>2047</v>
      </c>
      <c r="AL102" t="s">
        <v>163</v>
      </c>
      <c r="AM102">
        <v>0.3528</v>
      </c>
      <c r="AN102" t="s">
        <v>217</v>
      </c>
    </row>
    <row r="103" spans="9:40" x14ac:dyDescent="0.45">
      <c r="I103" t="s">
        <v>185</v>
      </c>
      <c r="J103" t="s">
        <v>175</v>
      </c>
      <c r="K103">
        <v>0.65137270028439453</v>
      </c>
      <c r="L103" t="s">
        <v>167</v>
      </c>
      <c r="N103" t="s">
        <v>195</v>
      </c>
      <c r="O103" t="s">
        <v>175</v>
      </c>
      <c r="P103">
        <v>0.33945120591680461</v>
      </c>
      <c r="Q103" t="s">
        <v>167</v>
      </c>
      <c r="S103" t="s">
        <v>205</v>
      </c>
      <c r="T103" t="s">
        <v>175</v>
      </c>
      <c r="U103">
        <v>0.33707600651002534</v>
      </c>
      <c r="V103" t="s">
        <v>167</v>
      </c>
      <c r="AK103">
        <v>2048</v>
      </c>
      <c r="AL103" t="s">
        <v>155</v>
      </c>
      <c r="AM103">
        <v>0.3992</v>
      </c>
      <c r="AN103" t="s">
        <v>217</v>
      </c>
    </row>
    <row r="104" spans="9:40" x14ac:dyDescent="0.45">
      <c r="I104" t="s">
        <v>185</v>
      </c>
      <c r="J104" t="s">
        <v>176</v>
      </c>
      <c r="K104">
        <v>0</v>
      </c>
      <c r="L104" t="s">
        <v>167</v>
      </c>
      <c r="N104" t="s">
        <v>195</v>
      </c>
      <c r="O104" t="s">
        <v>176</v>
      </c>
      <c r="P104">
        <v>3.7637192510166659E-2</v>
      </c>
      <c r="Q104" t="s">
        <v>167</v>
      </c>
      <c r="S104" t="s">
        <v>205</v>
      </c>
      <c r="T104" t="s">
        <v>176</v>
      </c>
      <c r="U104">
        <v>3.5905143143180593E-2</v>
      </c>
      <c r="V104" t="s">
        <v>167</v>
      </c>
      <c r="AK104">
        <v>2048</v>
      </c>
      <c r="AL104" t="s">
        <v>159</v>
      </c>
      <c r="AM104">
        <v>0.47010000000000002</v>
      </c>
      <c r="AN104" t="s">
        <v>217</v>
      </c>
    </row>
    <row r="105" spans="9:40" x14ac:dyDescent="0.45">
      <c r="I105" t="s">
        <v>185</v>
      </c>
      <c r="J105" t="s">
        <v>177</v>
      </c>
      <c r="K105">
        <v>1.4287398861671913E-3</v>
      </c>
      <c r="L105" t="s">
        <v>167</v>
      </c>
      <c r="N105" t="s">
        <v>195</v>
      </c>
      <c r="O105" t="s">
        <v>177</v>
      </c>
      <c r="P105">
        <v>4.7482660678727175E-2</v>
      </c>
      <c r="Q105" t="s">
        <v>167</v>
      </c>
      <c r="S105" t="s">
        <v>205</v>
      </c>
      <c r="T105" t="s">
        <v>177</v>
      </c>
      <c r="U105">
        <v>4.4681835683990805E-2</v>
      </c>
      <c r="V105" t="s">
        <v>167</v>
      </c>
      <c r="AK105">
        <v>2048</v>
      </c>
      <c r="AL105" t="s">
        <v>161</v>
      </c>
      <c r="AM105">
        <v>0.47751428571428567</v>
      </c>
      <c r="AN105" t="s">
        <v>217</v>
      </c>
    </row>
    <row r="106" spans="9:40" x14ac:dyDescent="0.45">
      <c r="I106" t="s">
        <v>185</v>
      </c>
      <c r="J106" t="s">
        <v>178</v>
      </c>
      <c r="K106">
        <v>3.4775301453060646E-2</v>
      </c>
      <c r="L106" t="s">
        <v>167</v>
      </c>
      <c r="N106" t="s">
        <v>195</v>
      </c>
      <c r="O106" t="s">
        <v>178</v>
      </c>
      <c r="P106">
        <v>0.13990636811328327</v>
      </c>
      <c r="Q106" t="s">
        <v>167</v>
      </c>
      <c r="S106" t="s">
        <v>205</v>
      </c>
      <c r="T106" t="s">
        <v>178</v>
      </c>
      <c r="U106">
        <v>0.13477482876776936</v>
      </c>
      <c r="V106" t="s">
        <v>167</v>
      </c>
      <c r="AK106">
        <v>2048</v>
      </c>
      <c r="AL106" t="s">
        <v>163</v>
      </c>
      <c r="AM106">
        <v>0.39360000000000001</v>
      </c>
      <c r="AN106" t="s">
        <v>217</v>
      </c>
    </row>
    <row r="107" spans="9:40" x14ac:dyDescent="0.45">
      <c r="I107" t="s">
        <v>186</v>
      </c>
      <c r="J107" t="s">
        <v>166</v>
      </c>
      <c r="K107">
        <v>0</v>
      </c>
      <c r="L107" t="s">
        <v>167</v>
      </c>
      <c r="N107" t="s">
        <v>196</v>
      </c>
      <c r="O107" t="s">
        <v>166</v>
      </c>
      <c r="P107">
        <v>2.7441175799039191E-2</v>
      </c>
      <c r="Q107" t="s">
        <v>167</v>
      </c>
      <c r="S107" t="s">
        <v>206</v>
      </c>
      <c r="T107" t="s">
        <v>166</v>
      </c>
      <c r="U107">
        <v>2.4976061937656686E-2</v>
      </c>
      <c r="V107" t="s">
        <v>167</v>
      </c>
      <c r="AK107">
        <v>2049</v>
      </c>
      <c r="AL107" t="s">
        <v>155</v>
      </c>
      <c r="AM107">
        <v>0.4093</v>
      </c>
      <c r="AN107" t="s">
        <v>217</v>
      </c>
    </row>
    <row r="108" spans="9:40" x14ac:dyDescent="0.45">
      <c r="I108" t="s">
        <v>186</v>
      </c>
      <c r="J108" t="s">
        <v>168</v>
      </c>
      <c r="K108">
        <v>2.2996229944917089E-3</v>
      </c>
      <c r="L108" t="s">
        <v>167</v>
      </c>
      <c r="N108" t="s">
        <v>196</v>
      </c>
      <c r="O108" t="s">
        <v>168</v>
      </c>
      <c r="P108">
        <v>3.2903411352427019E-2</v>
      </c>
      <c r="Q108" t="s">
        <v>167</v>
      </c>
      <c r="S108" t="s">
        <v>206</v>
      </c>
      <c r="T108" t="s">
        <v>168</v>
      </c>
      <c r="U108">
        <v>3.2807343978252128E-2</v>
      </c>
      <c r="V108" t="s">
        <v>167</v>
      </c>
      <c r="AK108">
        <v>2049</v>
      </c>
      <c r="AL108" t="s">
        <v>159</v>
      </c>
      <c r="AM108">
        <v>0.4138</v>
      </c>
      <c r="AN108" t="s">
        <v>217</v>
      </c>
    </row>
    <row r="109" spans="9:40" x14ac:dyDescent="0.45">
      <c r="I109" t="s">
        <v>186</v>
      </c>
      <c r="J109" t="s">
        <v>169</v>
      </c>
      <c r="K109">
        <v>5.5440154967720701E-2</v>
      </c>
      <c r="L109" t="s">
        <v>167</v>
      </c>
      <c r="N109" t="s">
        <v>196</v>
      </c>
      <c r="O109" t="s">
        <v>169</v>
      </c>
      <c r="P109">
        <v>0.10507804602253536</v>
      </c>
      <c r="Q109" t="s">
        <v>167</v>
      </c>
      <c r="S109" t="s">
        <v>206</v>
      </c>
      <c r="T109" t="s">
        <v>169</v>
      </c>
      <c r="U109">
        <v>0.10043750461920876</v>
      </c>
      <c r="V109" t="s">
        <v>167</v>
      </c>
      <c r="AK109">
        <v>2049</v>
      </c>
      <c r="AL109" t="s">
        <v>161</v>
      </c>
      <c r="AM109">
        <v>0.48795714285714287</v>
      </c>
      <c r="AN109" t="s">
        <v>217</v>
      </c>
    </row>
    <row r="110" spans="9:40" x14ac:dyDescent="0.45">
      <c r="I110" t="s">
        <v>186</v>
      </c>
      <c r="J110" t="s">
        <v>170</v>
      </c>
      <c r="K110">
        <v>0</v>
      </c>
      <c r="L110" t="s">
        <v>167</v>
      </c>
      <c r="N110" t="s">
        <v>196</v>
      </c>
      <c r="O110" t="s">
        <v>170</v>
      </c>
      <c r="P110">
        <v>1.8125736734242632E-2</v>
      </c>
      <c r="Q110" t="s">
        <v>167</v>
      </c>
      <c r="S110" t="s">
        <v>206</v>
      </c>
      <c r="T110" t="s">
        <v>170</v>
      </c>
      <c r="U110">
        <v>1.6471928628317145E-2</v>
      </c>
      <c r="V110" t="s">
        <v>167</v>
      </c>
      <c r="AK110">
        <v>2049</v>
      </c>
      <c r="AL110" t="s">
        <v>163</v>
      </c>
      <c r="AM110">
        <v>0.38800000000000001</v>
      </c>
      <c r="AN110" t="s">
        <v>217</v>
      </c>
    </row>
    <row r="111" spans="9:40" x14ac:dyDescent="0.45">
      <c r="I111" t="s">
        <v>186</v>
      </c>
      <c r="J111" t="s">
        <v>171</v>
      </c>
      <c r="K111">
        <v>1.53431576607498E-2</v>
      </c>
      <c r="L111" t="s">
        <v>167</v>
      </c>
      <c r="N111" t="s">
        <v>196</v>
      </c>
      <c r="O111" t="s">
        <v>171</v>
      </c>
      <c r="P111">
        <v>2.1661766517829879E-2</v>
      </c>
      <c r="Q111" t="s">
        <v>167</v>
      </c>
      <c r="S111" t="s">
        <v>206</v>
      </c>
      <c r="T111" t="s">
        <v>171</v>
      </c>
      <c r="U111">
        <v>2.0896083988818055E-2</v>
      </c>
      <c r="V111" t="s">
        <v>167</v>
      </c>
      <c r="AK111">
        <v>2050</v>
      </c>
      <c r="AL111" t="s">
        <v>155</v>
      </c>
      <c r="AM111">
        <v>0.41505000000000003</v>
      </c>
      <c r="AN111" t="s">
        <v>217</v>
      </c>
    </row>
    <row r="112" spans="9:40" x14ac:dyDescent="0.45">
      <c r="I112" t="s">
        <v>186</v>
      </c>
      <c r="J112" t="s">
        <v>172</v>
      </c>
      <c r="K112">
        <v>7.995636252916849E-2</v>
      </c>
      <c r="L112" t="s">
        <v>167</v>
      </c>
      <c r="N112" t="s">
        <v>196</v>
      </c>
      <c r="O112" t="s">
        <v>172</v>
      </c>
      <c r="P112">
        <v>6.7600822643245337E-2</v>
      </c>
      <c r="Q112" t="s">
        <v>167</v>
      </c>
      <c r="S112" t="s">
        <v>206</v>
      </c>
      <c r="T112" t="s">
        <v>172</v>
      </c>
      <c r="U112">
        <v>6.2661869044454269E-2</v>
      </c>
      <c r="V112" t="s">
        <v>167</v>
      </c>
      <c r="AK112">
        <v>2050</v>
      </c>
      <c r="AL112" t="s">
        <v>159</v>
      </c>
      <c r="AM112">
        <v>0.41949999999999998</v>
      </c>
      <c r="AN112" t="s">
        <v>217</v>
      </c>
    </row>
    <row r="113" spans="9:40" x14ac:dyDescent="0.45">
      <c r="I113" t="s">
        <v>186</v>
      </c>
      <c r="J113" t="s">
        <v>173</v>
      </c>
      <c r="K113">
        <v>0</v>
      </c>
      <c r="L113" t="s">
        <v>167</v>
      </c>
      <c r="N113" t="s">
        <v>196</v>
      </c>
      <c r="O113" t="s">
        <v>173</v>
      </c>
      <c r="P113">
        <v>8.2945099136817441E-2</v>
      </c>
      <c r="Q113" t="s">
        <v>167</v>
      </c>
      <c r="S113" t="s">
        <v>206</v>
      </c>
      <c r="T113" t="s">
        <v>173</v>
      </c>
      <c r="U113">
        <v>8.5389478981418368E-2</v>
      </c>
      <c r="V113" t="s">
        <v>167</v>
      </c>
      <c r="AK113">
        <v>2050</v>
      </c>
      <c r="AL113" t="s">
        <v>161</v>
      </c>
      <c r="AM113">
        <v>0.49321428571428572</v>
      </c>
      <c r="AN113" t="s">
        <v>217</v>
      </c>
    </row>
    <row r="114" spans="9:40" x14ac:dyDescent="0.45">
      <c r="I114" t="s">
        <v>186</v>
      </c>
      <c r="J114" t="s">
        <v>174</v>
      </c>
      <c r="K114">
        <v>0.15386970979101242</v>
      </c>
      <c r="L114" t="s">
        <v>167</v>
      </c>
      <c r="N114" t="s">
        <v>196</v>
      </c>
      <c r="O114" t="s">
        <v>174</v>
      </c>
      <c r="P114">
        <v>0.10061118389653438</v>
      </c>
      <c r="Q114" t="s">
        <v>167</v>
      </c>
      <c r="S114" t="s">
        <v>206</v>
      </c>
      <c r="T114" t="s">
        <v>174</v>
      </c>
      <c r="U114">
        <v>0.10728817212157821</v>
      </c>
      <c r="V114" t="s">
        <v>167</v>
      </c>
      <c r="AK114">
        <v>2050</v>
      </c>
      <c r="AL114" t="s">
        <v>163</v>
      </c>
      <c r="AM114">
        <v>0.42505000000000004</v>
      </c>
      <c r="AN114" t="s">
        <v>217</v>
      </c>
    </row>
    <row r="115" spans="9:40" x14ac:dyDescent="0.45">
      <c r="I115" t="s">
        <v>186</v>
      </c>
      <c r="J115" t="s">
        <v>175</v>
      </c>
      <c r="K115">
        <v>0.65544061864509395</v>
      </c>
      <c r="L115" t="s">
        <v>167</v>
      </c>
      <c r="N115" t="s">
        <v>196</v>
      </c>
      <c r="O115" t="s">
        <v>175</v>
      </c>
      <c r="P115">
        <v>0.32450092255205931</v>
      </c>
      <c r="Q115" t="s">
        <v>167</v>
      </c>
      <c r="S115" t="s">
        <v>206</v>
      </c>
      <c r="T115" t="s">
        <v>175</v>
      </c>
      <c r="U115">
        <v>0.33179278095483289</v>
      </c>
      <c r="V115" t="s">
        <v>167</v>
      </c>
    </row>
    <row r="116" spans="9:40" x14ac:dyDescent="0.45">
      <c r="I116" t="s">
        <v>186</v>
      </c>
      <c r="J116" t="s">
        <v>176</v>
      </c>
      <c r="K116">
        <v>0</v>
      </c>
      <c r="L116" t="s">
        <v>167</v>
      </c>
      <c r="N116" t="s">
        <v>196</v>
      </c>
      <c r="O116" t="s">
        <v>176</v>
      </c>
      <c r="P116">
        <v>3.7426230805011639E-2</v>
      </c>
      <c r="Q116" t="s">
        <v>167</v>
      </c>
      <c r="S116" t="s">
        <v>206</v>
      </c>
      <c r="T116" t="s">
        <v>176</v>
      </c>
      <c r="U116">
        <v>3.6952484720975419E-2</v>
      </c>
      <c r="V116" t="s">
        <v>167</v>
      </c>
    </row>
    <row r="117" spans="9:40" x14ac:dyDescent="0.45">
      <c r="I117" t="s">
        <v>186</v>
      </c>
      <c r="J117" t="s">
        <v>177</v>
      </c>
      <c r="K117">
        <v>1.1442515057365984E-3</v>
      </c>
      <c r="L117" t="s">
        <v>167</v>
      </c>
      <c r="N117" t="s">
        <v>196</v>
      </c>
      <c r="O117" t="s">
        <v>177</v>
      </c>
      <c r="P117">
        <v>4.6313405575576394E-2</v>
      </c>
      <c r="Q117" t="s">
        <v>167</v>
      </c>
      <c r="S117" t="s">
        <v>206</v>
      </c>
      <c r="T117" t="s">
        <v>177</v>
      </c>
      <c r="U117">
        <v>4.4551185632051314E-2</v>
      </c>
      <c r="V117" t="s">
        <v>167</v>
      </c>
    </row>
    <row r="118" spans="9:40" x14ac:dyDescent="0.45">
      <c r="I118" t="s">
        <v>186</v>
      </c>
      <c r="J118" t="s">
        <v>178</v>
      </c>
      <c r="K118">
        <v>3.6506121906025979E-2</v>
      </c>
      <c r="L118" t="s">
        <v>167</v>
      </c>
      <c r="N118" t="s">
        <v>196</v>
      </c>
      <c r="O118" t="s">
        <v>178</v>
      </c>
      <c r="P118">
        <v>0.13539219896467752</v>
      </c>
      <c r="Q118" t="s">
        <v>167</v>
      </c>
      <c r="S118" t="s">
        <v>206</v>
      </c>
      <c r="T118" t="s">
        <v>178</v>
      </c>
      <c r="U118">
        <v>0.13577510539243512</v>
      </c>
      <c r="V118" t="s">
        <v>167</v>
      </c>
    </row>
    <row r="119" spans="9:40" x14ac:dyDescent="0.45">
      <c r="I119" t="s">
        <v>187</v>
      </c>
      <c r="J119" t="s">
        <v>166</v>
      </c>
      <c r="K119">
        <v>0</v>
      </c>
      <c r="L119" t="s">
        <v>167</v>
      </c>
      <c r="N119" t="s">
        <v>197</v>
      </c>
      <c r="O119" t="s">
        <v>166</v>
      </c>
      <c r="P119">
        <v>2.6481272862957709E-2</v>
      </c>
      <c r="Q119" t="s">
        <v>167</v>
      </c>
      <c r="S119" t="s">
        <v>207</v>
      </c>
      <c r="T119" t="s">
        <v>166</v>
      </c>
      <c r="U119">
        <v>2.4430246117549612E-2</v>
      </c>
      <c r="V119" t="s">
        <v>167</v>
      </c>
    </row>
    <row r="120" spans="9:40" x14ac:dyDescent="0.45">
      <c r="I120" t="s">
        <v>187</v>
      </c>
      <c r="J120" t="s">
        <v>168</v>
      </c>
      <c r="K120">
        <v>2.5012042125857393E-3</v>
      </c>
      <c r="L120" t="s">
        <v>167</v>
      </c>
      <c r="N120" t="s">
        <v>197</v>
      </c>
      <c r="O120" t="s">
        <v>168</v>
      </c>
      <c r="P120">
        <v>3.2398201299357464E-2</v>
      </c>
      <c r="Q120" t="s">
        <v>167</v>
      </c>
      <c r="S120" t="s">
        <v>207</v>
      </c>
      <c r="T120" t="s">
        <v>168</v>
      </c>
      <c r="U120">
        <v>3.3306480351866619E-2</v>
      </c>
      <c r="V120" t="s">
        <v>167</v>
      </c>
    </row>
    <row r="121" spans="9:40" x14ac:dyDescent="0.45">
      <c r="I121" t="s">
        <v>187</v>
      </c>
      <c r="J121" t="s">
        <v>169</v>
      </c>
      <c r="K121">
        <v>5.6620565702647639E-2</v>
      </c>
      <c r="L121" t="s">
        <v>167</v>
      </c>
      <c r="N121" t="s">
        <v>197</v>
      </c>
      <c r="O121" t="s">
        <v>169</v>
      </c>
      <c r="P121">
        <v>0.10340072844592355</v>
      </c>
      <c r="Q121" t="s">
        <v>167</v>
      </c>
      <c r="S121" t="s">
        <v>207</v>
      </c>
      <c r="T121" t="s">
        <v>169</v>
      </c>
      <c r="U121">
        <v>9.8384910898122721E-2</v>
      </c>
      <c r="V121" t="s">
        <v>167</v>
      </c>
    </row>
    <row r="122" spans="9:40" x14ac:dyDescent="0.45">
      <c r="I122" t="s">
        <v>187</v>
      </c>
      <c r="J122" t="s">
        <v>170</v>
      </c>
      <c r="K122">
        <v>0</v>
      </c>
      <c r="L122" t="s">
        <v>167</v>
      </c>
      <c r="N122" t="s">
        <v>197</v>
      </c>
      <c r="O122" t="s">
        <v>170</v>
      </c>
      <c r="P122">
        <v>1.6531269766887961E-2</v>
      </c>
      <c r="Q122" t="s">
        <v>167</v>
      </c>
      <c r="S122" t="s">
        <v>207</v>
      </c>
      <c r="T122" t="s">
        <v>170</v>
      </c>
      <c r="U122">
        <v>1.5540287259455794E-2</v>
      </c>
      <c r="V122" t="s">
        <v>167</v>
      </c>
    </row>
    <row r="123" spans="9:40" x14ac:dyDescent="0.45">
      <c r="I123" t="s">
        <v>187</v>
      </c>
      <c r="J123" t="s">
        <v>171</v>
      </c>
      <c r="K123">
        <v>1.4932899908526453E-2</v>
      </c>
      <c r="L123" t="s">
        <v>167</v>
      </c>
      <c r="N123" t="s">
        <v>197</v>
      </c>
      <c r="O123" t="s">
        <v>171</v>
      </c>
      <c r="P123">
        <v>2.0171965216548148E-2</v>
      </c>
      <c r="Q123" t="s">
        <v>167</v>
      </c>
      <c r="S123" t="s">
        <v>207</v>
      </c>
      <c r="T123" t="s">
        <v>171</v>
      </c>
      <c r="U123">
        <v>1.999458894958752E-2</v>
      </c>
      <c r="V123" t="s">
        <v>167</v>
      </c>
    </row>
    <row r="124" spans="9:40" x14ac:dyDescent="0.45">
      <c r="I124" t="s">
        <v>187</v>
      </c>
      <c r="J124" t="s">
        <v>172</v>
      </c>
      <c r="K124">
        <v>7.9293286501063112E-2</v>
      </c>
      <c r="L124" t="s">
        <v>167</v>
      </c>
      <c r="N124" t="s">
        <v>197</v>
      </c>
      <c r="O124" t="s">
        <v>172</v>
      </c>
      <c r="P124">
        <v>6.2488439507679086E-2</v>
      </c>
      <c r="Q124" t="s">
        <v>167</v>
      </c>
      <c r="S124" t="s">
        <v>207</v>
      </c>
      <c r="T124" t="s">
        <v>172</v>
      </c>
      <c r="U124">
        <v>5.9381451311988312E-2</v>
      </c>
      <c r="V124" t="s">
        <v>167</v>
      </c>
    </row>
    <row r="125" spans="9:40" x14ac:dyDescent="0.45">
      <c r="I125" t="s">
        <v>187</v>
      </c>
      <c r="J125" t="s">
        <v>173</v>
      </c>
      <c r="K125">
        <v>0</v>
      </c>
      <c r="L125" t="s">
        <v>167</v>
      </c>
      <c r="N125" t="s">
        <v>197</v>
      </c>
      <c r="O125" t="s">
        <v>173</v>
      </c>
      <c r="P125">
        <v>8.6847278094080063E-2</v>
      </c>
      <c r="Q125" t="s">
        <v>167</v>
      </c>
      <c r="S125" t="s">
        <v>207</v>
      </c>
      <c r="T125" t="s">
        <v>173</v>
      </c>
      <c r="U125">
        <v>8.8952598922903775E-2</v>
      </c>
      <c r="V125" t="s">
        <v>167</v>
      </c>
    </row>
    <row r="126" spans="9:40" x14ac:dyDescent="0.45">
      <c r="I126" t="s">
        <v>187</v>
      </c>
      <c r="J126" t="s">
        <v>174</v>
      </c>
      <c r="K126">
        <v>0.14981819545433567</v>
      </c>
      <c r="L126" t="s">
        <v>167</v>
      </c>
      <c r="N126" t="s">
        <v>197</v>
      </c>
      <c r="O126" t="s">
        <v>174</v>
      </c>
      <c r="P126">
        <v>0.10550754565294933</v>
      </c>
      <c r="Q126" t="s">
        <v>167</v>
      </c>
      <c r="S126" t="s">
        <v>207</v>
      </c>
      <c r="T126" t="s">
        <v>174</v>
      </c>
      <c r="U126">
        <v>0.1079224402042958</v>
      </c>
      <c r="V126" t="s">
        <v>167</v>
      </c>
    </row>
    <row r="127" spans="9:40" x14ac:dyDescent="0.45">
      <c r="I127" t="s">
        <v>187</v>
      </c>
      <c r="J127" t="s">
        <v>175</v>
      </c>
      <c r="K127">
        <v>0.65769934833663135</v>
      </c>
      <c r="L127" t="s">
        <v>167</v>
      </c>
      <c r="N127" t="s">
        <v>197</v>
      </c>
      <c r="O127" t="s">
        <v>175</v>
      </c>
      <c r="P127">
        <v>0.3345028020734333</v>
      </c>
      <c r="Q127" t="s">
        <v>167</v>
      </c>
      <c r="S127" t="s">
        <v>207</v>
      </c>
      <c r="T127" t="s">
        <v>175</v>
      </c>
      <c r="U127">
        <v>0.3368818316421035</v>
      </c>
      <c r="V127" t="s">
        <v>167</v>
      </c>
    </row>
    <row r="128" spans="9:40" x14ac:dyDescent="0.45">
      <c r="I128" t="s">
        <v>187</v>
      </c>
      <c r="J128" t="s">
        <v>176</v>
      </c>
      <c r="K128">
        <v>0</v>
      </c>
      <c r="L128" t="s">
        <v>167</v>
      </c>
      <c r="N128" t="s">
        <v>197</v>
      </c>
      <c r="O128" t="s">
        <v>176</v>
      </c>
      <c r="P128">
        <v>3.621044116256484E-2</v>
      </c>
      <c r="Q128" t="s">
        <v>167</v>
      </c>
      <c r="S128" t="s">
        <v>207</v>
      </c>
      <c r="T128" t="s">
        <v>176</v>
      </c>
      <c r="U128">
        <v>3.6226963199094471E-2</v>
      </c>
      <c r="V128" t="s">
        <v>167</v>
      </c>
    </row>
    <row r="129" spans="9:22" x14ac:dyDescent="0.45">
      <c r="I129" t="s">
        <v>187</v>
      </c>
      <c r="J129" t="s">
        <v>177</v>
      </c>
      <c r="K129">
        <v>1.4719972527931465E-3</v>
      </c>
      <c r="L129" t="s">
        <v>167</v>
      </c>
      <c r="N129" t="s">
        <v>197</v>
      </c>
      <c r="O129" t="s">
        <v>177</v>
      </c>
      <c r="P129">
        <v>4.389542433029623E-2</v>
      </c>
      <c r="Q129" t="s">
        <v>167</v>
      </c>
      <c r="S129" t="s">
        <v>207</v>
      </c>
      <c r="T129" t="s">
        <v>177</v>
      </c>
      <c r="U129">
        <v>4.4843293684706145E-2</v>
      </c>
      <c r="V129" t="s">
        <v>167</v>
      </c>
    </row>
    <row r="130" spans="9:22" x14ac:dyDescent="0.45">
      <c r="I130" t="s">
        <v>187</v>
      </c>
      <c r="J130" t="s">
        <v>178</v>
      </c>
      <c r="K130">
        <v>3.766250263142059E-2</v>
      </c>
      <c r="L130" t="s">
        <v>167</v>
      </c>
      <c r="N130" t="s">
        <v>197</v>
      </c>
      <c r="O130" t="s">
        <v>178</v>
      </c>
      <c r="P130">
        <v>0.13156463158732293</v>
      </c>
      <c r="Q130" t="s">
        <v>167</v>
      </c>
      <c r="S130" t="s">
        <v>207</v>
      </c>
      <c r="T130" t="s">
        <v>178</v>
      </c>
      <c r="U130">
        <v>0.13413490745832612</v>
      </c>
      <c r="V130" t="s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BC57-46BA-4B3F-8B3C-6370F9BBDBB2}">
  <dimension ref="A9:AN4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164</v>
      </c>
      <c r="L10" t="s">
        <v>30</v>
      </c>
      <c r="N10" t="s">
        <v>13</v>
      </c>
      <c r="O10" t="s">
        <v>121</v>
      </c>
      <c r="P10" t="s">
        <v>164</v>
      </c>
      <c r="Q10" t="s">
        <v>30</v>
      </c>
      <c r="S10" t="s">
        <v>13</v>
      </c>
      <c r="T10" t="s">
        <v>121</v>
      </c>
      <c r="U10" t="s">
        <v>164</v>
      </c>
      <c r="V10" t="s">
        <v>30</v>
      </c>
      <c r="X10" t="s">
        <v>208</v>
      </c>
      <c r="Y10" t="s">
        <v>164</v>
      </c>
      <c r="Z10" t="s">
        <v>121</v>
      </c>
      <c r="AA10" t="s">
        <v>13</v>
      </c>
      <c r="AC10" t="s">
        <v>13</v>
      </c>
      <c r="AD10" t="s">
        <v>121</v>
      </c>
      <c r="AE10" t="s">
        <v>164</v>
      </c>
      <c r="AG10" t="s">
        <v>13</v>
      </c>
      <c r="AH10" t="s">
        <v>121</v>
      </c>
      <c r="AI10" t="s">
        <v>214</v>
      </c>
      <c r="AK10" t="s">
        <v>47</v>
      </c>
      <c r="AL10" t="s">
        <v>121</v>
      </c>
      <c r="AM10" t="s">
        <v>215</v>
      </c>
      <c r="AN10" t="s">
        <v>216</v>
      </c>
    </row>
    <row r="11" spans="1:40" x14ac:dyDescent="0.45">
      <c r="A11" t="str">
        <f>IFERROR(IF(Veda!D5=A10,"ok","x"),"")</f>
        <v>x</v>
      </c>
      <c r="C11" t="s">
        <v>155</v>
      </c>
      <c r="D11" t="s">
        <v>156</v>
      </c>
      <c r="E11" t="s">
        <v>157</v>
      </c>
      <c r="F11" t="s">
        <v>218</v>
      </c>
      <c r="G11" t="s">
        <v>156</v>
      </c>
      <c r="I11" t="s">
        <v>165</v>
      </c>
      <c r="J11" t="s">
        <v>166</v>
      </c>
      <c r="K11">
        <v>0</v>
      </c>
      <c r="L11" t="s">
        <v>167</v>
      </c>
      <c r="N11" t="s">
        <v>188</v>
      </c>
      <c r="O11" t="s">
        <v>166</v>
      </c>
      <c r="P11">
        <v>2.3206934594664073E-2</v>
      </c>
      <c r="Q11" t="s">
        <v>167</v>
      </c>
      <c r="S11" t="s">
        <v>198</v>
      </c>
      <c r="T11" t="s">
        <v>166</v>
      </c>
      <c r="U11">
        <v>2.7767833124285917E-2</v>
      </c>
      <c r="V11" t="s">
        <v>167</v>
      </c>
      <c r="X11">
        <v>2.6940639269406392E-2</v>
      </c>
      <c r="Y11">
        <v>3.9897571041443954E-3</v>
      </c>
      <c r="Z11" t="s">
        <v>166</v>
      </c>
      <c r="AA11" t="s">
        <v>25</v>
      </c>
      <c r="AC11" t="s">
        <v>22</v>
      </c>
      <c r="AD11" t="s">
        <v>166</v>
      </c>
      <c r="AE11">
        <v>2.4355229796714221E-2</v>
      </c>
      <c r="AG11" t="s">
        <v>96</v>
      </c>
      <c r="AH11" t="s">
        <v>166</v>
      </c>
      <c r="AI11">
        <v>7.0444861917935642E-2</v>
      </c>
      <c r="AK11">
        <v>2025</v>
      </c>
      <c r="AL11" t="s">
        <v>155</v>
      </c>
      <c r="AM11">
        <v>0.36070000000000002</v>
      </c>
      <c r="AN11" t="s">
        <v>217</v>
      </c>
    </row>
    <row r="12" spans="1:40" x14ac:dyDescent="0.45">
      <c r="C12" t="s">
        <v>159</v>
      </c>
      <c r="E12" t="s">
        <v>160</v>
      </c>
      <c r="G12" t="s">
        <v>156</v>
      </c>
      <c r="I12" t="s">
        <v>165</v>
      </c>
      <c r="J12" t="s">
        <v>168</v>
      </c>
      <c r="K12">
        <v>0</v>
      </c>
      <c r="L12" t="s">
        <v>167</v>
      </c>
      <c r="N12" t="s">
        <v>188</v>
      </c>
      <c r="O12" t="s">
        <v>168</v>
      </c>
      <c r="P12">
        <v>5.987477169583537E-3</v>
      </c>
      <c r="Q12" t="s">
        <v>167</v>
      </c>
      <c r="S12" t="s">
        <v>198</v>
      </c>
      <c r="T12" t="s">
        <v>168</v>
      </c>
      <c r="U12">
        <v>7.0440645391403895E-3</v>
      </c>
      <c r="V12" t="s">
        <v>167</v>
      </c>
      <c r="X12">
        <v>6.735159817351598E-3</v>
      </c>
      <c r="Y12">
        <v>1.2516885032609871E-3</v>
      </c>
      <c r="Z12" t="s">
        <v>168</v>
      </c>
      <c r="AA12" t="s">
        <v>25</v>
      </c>
      <c r="AC12" t="s">
        <v>22</v>
      </c>
      <c r="AD12" t="s">
        <v>168</v>
      </c>
      <c r="AE12">
        <v>6.5281498607972941E-3</v>
      </c>
      <c r="AG12" t="s">
        <v>96</v>
      </c>
      <c r="AH12" t="s">
        <v>168</v>
      </c>
      <c r="AI12">
        <v>7.6231632110798531E-2</v>
      </c>
      <c r="AK12">
        <v>2025</v>
      </c>
      <c r="AL12" t="s">
        <v>159</v>
      </c>
      <c r="AM12">
        <v>0.3604</v>
      </c>
      <c r="AN12" t="s">
        <v>217</v>
      </c>
    </row>
    <row r="13" spans="1:40" x14ac:dyDescent="0.45">
      <c r="C13" t="s">
        <v>161</v>
      </c>
      <c r="E13" t="s">
        <v>162</v>
      </c>
      <c r="G13" t="s">
        <v>156</v>
      </c>
      <c r="I13" t="s">
        <v>165</v>
      </c>
      <c r="J13" t="s">
        <v>169</v>
      </c>
      <c r="K13">
        <v>2.3657280887332815E-4</v>
      </c>
      <c r="L13" t="s">
        <v>167</v>
      </c>
      <c r="N13" t="s">
        <v>188</v>
      </c>
      <c r="O13" t="s">
        <v>169</v>
      </c>
      <c r="P13">
        <v>2.5959583522717922E-2</v>
      </c>
      <c r="Q13" t="s">
        <v>167</v>
      </c>
      <c r="S13" t="s">
        <v>198</v>
      </c>
      <c r="T13" t="s">
        <v>169</v>
      </c>
      <c r="U13">
        <v>2.8415387389896296E-2</v>
      </c>
      <c r="V13" t="s">
        <v>167</v>
      </c>
      <c r="X13">
        <v>2.6940639269406392E-2</v>
      </c>
      <c r="Y13">
        <v>3.3228418235006503E-2</v>
      </c>
      <c r="Z13" t="s">
        <v>169</v>
      </c>
      <c r="AA13" t="s">
        <v>25</v>
      </c>
      <c r="AC13" t="s">
        <v>22</v>
      </c>
      <c r="AD13" t="s">
        <v>169</v>
      </c>
      <c r="AE13">
        <v>3.4151353385991019E-2</v>
      </c>
      <c r="AG13" t="s">
        <v>96</v>
      </c>
      <c r="AH13" t="s">
        <v>169</v>
      </c>
      <c r="AI13">
        <v>0.14065994560638106</v>
      </c>
      <c r="AK13">
        <v>2025</v>
      </c>
      <c r="AL13" t="s">
        <v>161</v>
      </c>
      <c r="AM13">
        <v>0.44730000000000003</v>
      </c>
      <c r="AN13" t="s">
        <v>217</v>
      </c>
    </row>
    <row r="14" spans="1:40" x14ac:dyDescent="0.45">
      <c r="C14" t="s">
        <v>163</v>
      </c>
      <c r="E14" t="s">
        <v>219</v>
      </c>
      <c r="G14" t="s">
        <v>156</v>
      </c>
      <c r="I14" t="s">
        <v>165</v>
      </c>
      <c r="J14" t="s">
        <v>225</v>
      </c>
      <c r="K14">
        <v>4.7231659255337101E-2</v>
      </c>
      <c r="L14" t="s">
        <v>167</v>
      </c>
      <c r="N14" t="s">
        <v>188</v>
      </c>
      <c r="O14" t="s">
        <v>225</v>
      </c>
      <c r="P14">
        <v>4.4665491633536732E-2</v>
      </c>
      <c r="Q14" t="s">
        <v>167</v>
      </c>
      <c r="S14" t="s">
        <v>198</v>
      </c>
      <c r="T14" t="s">
        <v>225</v>
      </c>
      <c r="U14">
        <v>4.7537669112041422E-2</v>
      </c>
      <c r="V14" t="s">
        <v>167</v>
      </c>
      <c r="X14">
        <v>4.714611872146119E-2</v>
      </c>
      <c r="Y14">
        <v>6.137185192551526E-2</v>
      </c>
      <c r="Z14" t="s">
        <v>225</v>
      </c>
      <c r="AA14" t="s">
        <v>25</v>
      </c>
      <c r="AC14" t="s">
        <v>22</v>
      </c>
      <c r="AD14" t="s">
        <v>225</v>
      </c>
      <c r="AE14">
        <v>6.3834816585677009E-2</v>
      </c>
      <c r="AG14" t="s">
        <v>96</v>
      </c>
      <c r="AH14" t="s">
        <v>225</v>
      </c>
      <c r="AI14">
        <v>8.5855505560588519E-2</v>
      </c>
      <c r="AK14">
        <v>2025</v>
      </c>
      <c r="AL14" t="s">
        <v>163</v>
      </c>
      <c r="AM14">
        <v>0.47549999999999998</v>
      </c>
      <c r="AN14" t="s">
        <v>217</v>
      </c>
    </row>
    <row r="15" spans="1:40" x14ac:dyDescent="0.45">
      <c r="C15" t="s">
        <v>220</v>
      </c>
      <c r="E15" t="s">
        <v>221</v>
      </c>
      <c r="G15" t="s">
        <v>156</v>
      </c>
      <c r="I15" t="s">
        <v>165</v>
      </c>
      <c r="J15" t="s">
        <v>226</v>
      </c>
      <c r="K15">
        <v>5.6144528809405989E-3</v>
      </c>
      <c r="L15" t="s">
        <v>167</v>
      </c>
      <c r="N15" t="s">
        <v>188</v>
      </c>
      <c r="O15" t="s">
        <v>226</v>
      </c>
      <c r="P15">
        <v>6.4472437947526917E-3</v>
      </c>
      <c r="Q15" t="s">
        <v>167</v>
      </c>
      <c r="S15" t="s">
        <v>198</v>
      </c>
      <c r="T15" t="s">
        <v>226</v>
      </c>
      <c r="U15">
        <v>6.9026657691647775E-3</v>
      </c>
      <c r="V15" t="s">
        <v>167</v>
      </c>
      <c r="X15">
        <v>6.735159817351598E-3</v>
      </c>
      <c r="Y15">
        <v>1.3103614018513452E-2</v>
      </c>
      <c r="Z15" t="s">
        <v>226</v>
      </c>
      <c r="AA15" t="s">
        <v>25</v>
      </c>
      <c r="AC15" t="s">
        <v>22</v>
      </c>
      <c r="AD15" t="s">
        <v>226</v>
      </c>
      <c r="AE15">
        <v>9.289238608309951E-3</v>
      </c>
      <c r="AG15" t="s">
        <v>96</v>
      </c>
      <c r="AH15" t="s">
        <v>226</v>
      </c>
      <c r="AI15">
        <v>7.7589059747168898E-2</v>
      </c>
      <c r="AK15">
        <v>2025</v>
      </c>
      <c r="AL15" t="s">
        <v>220</v>
      </c>
      <c r="AM15">
        <v>0.37345</v>
      </c>
      <c r="AN15" t="s">
        <v>217</v>
      </c>
    </row>
    <row r="16" spans="1:40" x14ac:dyDescent="0.45">
      <c r="C16" t="s">
        <v>222</v>
      </c>
      <c r="E16" t="s">
        <v>223</v>
      </c>
      <c r="G16" t="s">
        <v>156</v>
      </c>
      <c r="I16" t="s">
        <v>165</v>
      </c>
      <c r="J16" t="s">
        <v>227</v>
      </c>
      <c r="K16">
        <v>2.262984606031848E-3</v>
      </c>
      <c r="L16" t="s">
        <v>167</v>
      </c>
      <c r="N16" t="s">
        <v>188</v>
      </c>
      <c r="O16" t="s">
        <v>227</v>
      </c>
      <c r="P16">
        <v>4.2643838809461584E-2</v>
      </c>
      <c r="Q16" t="s">
        <v>167</v>
      </c>
      <c r="S16" t="s">
        <v>198</v>
      </c>
      <c r="T16" t="s">
        <v>227</v>
      </c>
      <c r="U16">
        <v>5.0137787492114207E-2</v>
      </c>
      <c r="V16" t="s">
        <v>167</v>
      </c>
      <c r="X16">
        <v>4.714611872146119E-2</v>
      </c>
      <c r="Y16">
        <v>4.8698505829997768E-2</v>
      </c>
      <c r="Z16" t="s">
        <v>227</v>
      </c>
      <c r="AA16" t="s">
        <v>25</v>
      </c>
      <c r="AC16" t="s">
        <v>22</v>
      </c>
      <c r="AD16" t="s">
        <v>227</v>
      </c>
      <c r="AE16">
        <v>5.8704725546144337E-2</v>
      </c>
      <c r="AG16" t="s">
        <v>96</v>
      </c>
      <c r="AH16" t="s">
        <v>227</v>
      </c>
      <c r="AI16">
        <v>0.169674384215311</v>
      </c>
      <c r="AK16">
        <v>2025</v>
      </c>
      <c r="AL16" t="s">
        <v>222</v>
      </c>
      <c r="AM16">
        <v>0.3911</v>
      </c>
      <c r="AN16" t="s">
        <v>217</v>
      </c>
    </row>
    <row r="17" spans="3:40" x14ac:dyDescent="0.45">
      <c r="C17" t="s">
        <v>224</v>
      </c>
      <c r="I17" t="s">
        <v>165</v>
      </c>
      <c r="J17" t="s">
        <v>170</v>
      </c>
      <c r="K17">
        <v>0</v>
      </c>
      <c r="L17" t="s">
        <v>167</v>
      </c>
      <c r="N17" t="s">
        <v>188</v>
      </c>
      <c r="O17" t="s">
        <v>170</v>
      </c>
      <c r="P17">
        <v>1.492772120162752E-2</v>
      </c>
      <c r="Q17" t="s">
        <v>167</v>
      </c>
      <c r="S17" t="s">
        <v>198</v>
      </c>
      <c r="T17" t="s">
        <v>170</v>
      </c>
      <c r="U17">
        <v>1.6756824899146924E-2</v>
      </c>
      <c r="V17" t="s">
        <v>167</v>
      </c>
      <c r="X17">
        <v>1.4155251141552512E-2</v>
      </c>
      <c r="Y17">
        <v>2.0963130547199367E-3</v>
      </c>
      <c r="Z17" t="s">
        <v>170</v>
      </c>
      <c r="AA17" t="s">
        <v>25</v>
      </c>
      <c r="AC17" t="s">
        <v>22</v>
      </c>
      <c r="AD17" t="s">
        <v>170</v>
      </c>
      <c r="AE17">
        <v>1.3418182578945814E-2</v>
      </c>
      <c r="AG17" t="s">
        <v>96</v>
      </c>
      <c r="AH17" t="s">
        <v>170</v>
      </c>
      <c r="AI17">
        <v>3.6489191193473935E-2</v>
      </c>
      <c r="AK17">
        <v>2025</v>
      </c>
      <c r="AL17" t="s">
        <v>224</v>
      </c>
      <c r="AM17">
        <v>0.39400000000000002</v>
      </c>
      <c r="AN17" t="s">
        <v>217</v>
      </c>
    </row>
    <row r="18" spans="3:40" x14ac:dyDescent="0.45">
      <c r="I18" t="s">
        <v>165</v>
      </c>
      <c r="J18" t="s">
        <v>171</v>
      </c>
      <c r="K18">
        <v>0</v>
      </c>
      <c r="L18" t="s">
        <v>167</v>
      </c>
      <c r="N18" t="s">
        <v>188</v>
      </c>
      <c r="O18" t="s">
        <v>171</v>
      </c>
      <c r="P18">
        <v>3.8229069555562674E-3</v>
      </c>
      <c r="Q18" t="s">
        <v>167</v>
      </c>
      <c r="S18" t="s">
        <v>198</v>
      </c>
      <c r="T18" t="s">
        <v>171</v>
      </c>
      <c r="U18">
        <v>4.3272232098160966E-3</v>
      </c>
      <c r="V18" t="s">
        <v>167</v>
      </c>
      <c r="X18">
        <v>3.5388127853881279E-3</v>
      </c>
      <c r="Y18">
        <v>6.5766684069645104E-4</v>
      </c>
      <c r="Z18" t="s">
        <v>171</v>
      </c>
      <c r="AA18" t="s">
        <v>25</v>
      </c>
      <c r="AC18" t="s">
        <v>22</v>
      </c>
      <c r="AD18" t="s">
        <v>171</v>
      </c>
      <c r="AE18">
        <v>3.6130597092506852E-3</v>
      </c>
      <c r="AG18" t="s">
        <v>96</v>
      </c>
      <c r="AH18" t="s">
        <v>171</v>
      </c>
      <c r="AI18">
        <v>4.5541069297357684E-2</v>
      </c>
      <c r="AK18">
        <v>2026</v>
      </c>
      <c r="AL18" t="s">
        <v>155</v>
      </c>
      <c r="AM18">
        <v>0.35560000000000003</v>
      </c>
      <c r="AN18" t="s">
        <v>217</v>
      </c>
    </row>
    <row r="19" spans="3:40" x14ac:dyDescent="0.45">
      <c r="I19" t="s">
        <v>165</v>
      </c>
      <c r="J19" t="s">
        <v>172</v>
      </c>
      <c r="K19">
        <v>6.4050752092769201E-3</v>
      </c>
      <c r="L19" t="s">
        <v>167</v>
      </c>
      <c r="N19" t="s">
        <v>188</v>
      </c>
      <c r="O19" t="s">
        <v>172</v>
      </c>
      <c r="P19">
        <v>1.5863705415492296E-2</v>
      </c>
      <c r="Q19" t="s">
        <v>167</v>
      </c>
      <c r="S19" t="s">
        <v>198</v>
      </c>
      <c r="T19" t="s">
        <v>172</v>
      </c>
      <c r="U19">
        <v>1.7666722026498088E-2</v>
      </c>
      <c r="V19" t="s">
        <v>167</v>
      </c>
      <c r="X19">
        <v>1.4155251141552512E-2</v>
      </c>
      <c r="Y19">
        <v>1.7458999411613586E-2</v>
      </c>
      <c r="Z19" t="s">
        <v>172</v>
      </c>
      <c r="AA19" t="s">
        <v>25</v>
      </c>
      <c r="AC19" t="s">
        <v>22</v>
      </c>
      <c r="AD19" t="s">
        <v>172</v>
      </c>
      <c r="AE19">
        <v>1.8605577137292575E-2</v>
      </c>
      <c r="AG19" t="s">
        <v>96</v>
      </c>
      <c r="AH19" t="s">
        <v>172</v>
      </c>
      <c r="AI19">
        <v>0.12874842208611903</v>
      </c>
      <c r="AK19">
        <v>2026</v>
      </c>
      <c r="AL19" t="s">
        <v>159</v>
      </c>
      <c r="AM19">
        <v>0.37059999999999998</v>
      </c>
      <c r="AN19" t="s">
        <v>217</v>
      </c>
    </row>
    <row r="20" spans="3:40" x14ac:dyDescent="0.45">
      <c r="I20" t="s">
        <v>165</v>
      </c>
      <c r="J20" t="s">
        <v>228</v>
      </c>
      <c r="K20">
        <v>6.6169654889036991E-2</v>
      </c>
      <c r="L20" t="s">
        <v>167</v>
      </c>
      <c r="N20" t="s">
        <v>188</v>
      </c>
      <c r="O20" t="s">
        <v>228</v>
      </c>
      <c r="P20">
        <v>2.7954531987161829E-2</v>
      </c>
      <c r="Q20" t="s">
        <v>167</v>
      </c>
      <c r="S20" t="s">
        <v>198</v>
      </c>
      <c r="T20" t="s">
        <v>228</v>
      </c>
      <c r="U20">
        <v>2.8146366424318864E-2</v>
      </c>
      <c r="V20" t="s">
        <v>167</v>
      </c>
      <c r="X20">
        <v>2.4771689497716895E-2</v>
      </c>
      <c r="Y20">
        <v>3.2246227282897846E-2</v>
      </c>
      <c r="Z20" t="s">
        <v>228</v>
      </c>
      <c r="AA20" t="s">
        <v>25</v>
      </c>
      <c r="AC20" t="s">
        <v>22</v>
      </c>
      <c r="AD20" t="s">
        <v>228</v>
      </c>
      <c r="AE20">
        <v>3.4341262308041014E-2</v>
      </c>
      <c r="AG20" t="s">
        <v>96</v>
      </c>
      <c r="AH20" t="s">
        <v>228</v>
      </c>
      <c r="AI20">
        <v>6.9974218990842996E-2</v>
      </c>
      <c r="AK20">
        <v>2026</v>
      </c>
      <c r="AL20" t="s">
        <v>161</v>
      </c>
      <c r="AM20">
        <v>0.4551</v>
      </c>
      <c r="AN20" t="s">
        <v>217</v>
      </c>
    </row>
    <row r="21" spans="3:40" x14ac:dyDescent="0.45">
      <c r="I21" t="s">
        <v>165</v>
      </c>
      <c r="J21" t="s">
        <v>229</v>
      </c>
      <c r="K21">
        <v>8.3273586162288249E-3</v>
      </c>
      <c r="L21" t="s">
        <v>167</v>
      </c>
      <c r="N21" t="s">
        <v>188</v>
      </c>
      <c r="O21" t="s">
        <v>229</v>
      </c>
      <c r="P21">
        <v>3.8746373295144381E-3</v>
      </c>
      <c r="Q21" t="s">
        <v>167</v>
      </c>
      <c r="S21" t="s">
        <v>198</v>
      </c>
      <c r="T21" t="s">
        <v>229</v>
      </c>
      <c r="U21">
        <v>3.9930531775904761E-3</v>
      </c>
      <c r="V21" t="s">
        <v>167</v>
      </c>
      <c r="X21">
        <v>3.5388127853881279E-3</v>
      </c>
      <c r="Y21">
        <v>6.8849497385409693E-3</v>
      </c>
      <c r="Z21" t="s">
        <v>229</v>
      </c>
      <c r="AA21" t="s">
        <v>25</v>
      </c>
      <c r="AC21" t="s">
        <v>22</v>
      </c>
      <c r="AD21" t="s">
        <v>229</v>
      </c>
      <c r="AE21">
        <v>4.9893442868443631E-3</v>
      </c>
      <c r="AG21" t="s">
        <v>96</v>
      </c>
      <c r="AH21" t="s">
        <v>229</v>
      </c>
      <c r="AI21">
        <v>6.2338903274134383E-2</v>
      </c>
      <c r="AK21">
        <v>2026</v>
      </c>
      <c r="AL21" t="s">
        <v>163</v>
      </c>
      <c r="AM21">
        <v>0.45839999999999997</v>
      </c>
      <c r="AN21" t="s">
        <v>217</v>
      </c>
    </row>
    <row r="22" spans="3:40" x14ac:dyDescent="0.45">
      <c r="I22" t="s">
        <v>165</v>
      </c>
      <c r="J22" t="s">
        <v>230</v>
      </c>
      <c r="K22">
        <v>1.0073976164164816E-2</v>
      </c>
      <c r="L22" t="s">
        <v>167</v>
      </c>
      <c r="N22" t="s">
        <v>188</v>
      </c>
      <c r="O22" t="s">
        <v>230</v>
      </c>
      <c r="P22">
        <v>2.610776497807472E-2</v>
      </c>
      <c r="Q22" t="s">
        <v>167</v>
      </c>
      <c r="S22" t="s">
        <v>198</v>
      </c>
      <c r="T22" t="s">
        <v>230</v>
      </c>
      <c r="U22">
        <v>2.8690257671757011E-2</v>
      </c>
      <c r="V22" t="s">
        <v>167</v>
      </c>
      <c r="X22">
        <v>2.4771689497716895E-2</v>
      </c>
      <c r="Y22">
        <v>2.5587350520846285E-2</v>
      </c>
      <c r="Z22" t="s">
        <v>230</v>
      </c>
      <c r="AA22" t="s">
        <v>25</v>
      </c>
      <c r="AC22" t="s">
        <v>22</v>
      </c>
      <c r="AD22" t="s">
        <v>230</v>
      </c>
      <c r="AE22">
        <v>3.1833724036470459E-2</v>
      </c>
      <c r="AG22" t="s">
        <v>96</v>
      </c>
      <c r="AH22" t="s">
        <v>230</v>
      </c>
      <c r="AI22">
        <v>0.1460471195172397</v>
      </c>
      <c r="AK22">
        <v>2026</v>
      </c>
      <c r="AL22" t="s">
        <v>220</v>
      </c>
      <c r="AM22">
        <v>0.382075</v>
      </c>
      <c r="AN22" t="s">
        <v>217</v>
      </c>
    </row>
    <row r="23" spans="3:40" x14ac:dyDescent="0.45">
      <c r="I23" t="s">
        <v>165</v>
      </c>
      <c r="J23" t="s">
        <v>173</v>
      </c>
      <c r="K23">
        <v>0</v>
      </c>
      <c r="L23" t="s">
        <v>167</v>
      </c>
      <c r="N23" t="s">
        <v>188</v>
      </c>
      <c r="O23" t="s">
        <v>173</v>
      </c>
      <c r="P23">
        <v>2.48913899052692E-2</v>
      </c>
      <c r="Q23" t="s">
        <v>167</v>
      </c>
      <c r="S23" t="s">
        <v>198</v>
      </c>
      <c r="T23" t="s">
        <v>173</v>
      </c>
      <c r="U23">
        <v>2.4260047806702153E-2</v>
      </c>
      <c r="V23" t="s">
        <v>167</v>
      </c>
      <c r="X23">
        <v>2.7853881278538814E-2</v>
      </c>
      <c r="Y23">
        <v>4.1250031076747132E-3</v>
      </c>
      <c r="Z23" t="s">
        <v>173</v>
      </c>
      <c r="AA23" t="s">
        <v>25</v>
      </c>
      <c r="AC23" t="s">
        <v>22</v>
      </c>
      <c r="AD23" t="s">
        <v>173</v>
      </c>
      <c r="AE23">
        <v>1.9007415940324755E-2</v>
      </c>
      <c r="AG23" t="s">
        <v>96</v>
      </c>
      <c r="AH23" t="s">
        <v>173</v>
      </c>
      <c r="AI23">
        <v>0.16056961275706771</v>
      </c>
      <c r="AK23">
        <v>2026</v>
      </c>
      <c r="AL23" t="s">
        <v>222</v>
      </c>
      <c r="AM23">
        <v>0.3468</v>
      </c>
      <c r="AN23" t="s">
        <v>217</v>
      </c>
    </row>
    <row r="24" spans="3:40" x14ac:dyDescent="0.45">
      <c r="I24" t="s">
        <v>165</v>
      </c>
      <c r="J24" t="s">
        <v>174</v>
      </c>
      <c r="K24">
        <v>0</v>
      </c>
      <c r="L24" t="s">
        <v>167</v>
      </c>
      <c r="N24" t="s">
        <v>188</v>
      </c>
      <c r="O24" t="s">
        <v>174</v>
      </c>
      <c r="P24">
        <v>6.3002440869055132E-3</v>
      </c>
      <c r="Q24" t="s">
        <v>167</v>
      </c>
      <c r="S24" t="s">
        <v>198</v>
      </c>
      <c r="T24" t="s">
        <v>174</v>
      </c>
      <c r="U24">
        <v>5.9257269238650531E-3</v>
      </c>
      <c r="V24" t="s">
        <v>167</v>
      </c>
      <c r="X24">
        <v>6.9634703196347035E-3</v>
      </c>
      <c r="Y24">
        <v>1.2941186220155969E-3</v>
      </c>
      <c r="Z24" t="s">
        <v>174</v>
      </c>
      <c r="AA24" t="s">
        <v>25</v>
      </c>
      <c r="AC24" t="s">
        <v>22</v>
      </c>
      <c r="AD24" t="s">
        <v>174</v>
      </c>
      <c r="AE24">
        <v>5.3354645802171649E-3</v>
      </c>
      <c r="AG24" t="s">
        <v>96</v>
      </c>
      <c r="AH24" t="s">
        <v>174</v>
      </c>
      <c r="AI24">
        <v>0.19367701509541435</v>
      </c>
      <c r="AK24">
        <v>2026</v>
      </c>
      <c r="AL24" t="s">
        <v>224</v>
      </c>
      <c r="AM24">
        <v>0.37959999999999999</v>
      </c>
      <c r="AN24" t="s">
        <v>217</v>
      </c>
    </row>
    <row r="25" spans="3:40" x14ac:dyDescent="0.45">
      <c r="I25" t="s">
        <v>165</v>
      </c>
      <c r="J25" t="s">
        <v>175</v>
      </c>
      <c r="K25">
        <v>3.6892674310120818E-2</v>
      </c>
      <c r="L25" t="s">
        <v>167</v>
      </c>
      <c r="N25" t="s">
        <v>188</v>
      </c>
      <c r="O25" t="s">
        <v>175</v>
      </c>
      <c r="P25">
        <v>2.6284241700756175E-2</v>
      </c>
      <c r="Q25" t="s">
        <v>167</v>
      </c>
      <c r="S25" t="s">
        <v>198</v>
      </c>
      <c r="T25" t="s">
        <v>175</v>
      </c>
      <c r="U25">
        <v>2.3053060217631843E-2</v>
      </c>
      <c r="V25" t="s">
        <v>167</v>
      </c>
      <c r="X25">
        <v>2.7853881278538814E-2</v>
      </c>
      <c r="Y25">
        <v>3.4354805293820283E-2</v>
      </c>
      <c r="Z25" t="s">
        <v>175</v>
      </c>
      <c r="AA25" t="s">
        <v>25</v>
      </c>
      <c r="AC25" t="s">
        <v>22</v>
      </c>
      <c r="AD25" t="s">
        <v>175</v>
      </c>
      <c r="AE25">
        <v>2.7436552420154178E-2</v>
      </c>
      <c r="AG25" t="s">
        <v>96</v>
      </c>
      <c r="AH25" t="s">
        <v>175</v>
      </c>
      <c r="AI25">
        <v>0.19226023775484236</v>
      </c>
      <c r="AK25">
        <v>2027</v>
      </c>
      <c r="AL25" t="s">
        <v>155</v>
      </c>
      <c r="AM25">
        <v>0.33945000000000003</v>
      </c>
      <c r="AN25" t="s">
        <v>217</v>
      </c>
    </row>
    <row r="26" spans="3:40" x14ac:dyDescent="0.45">
      <c r="I26" t="s">
        <v>165</v>
      </c>
      <c r="J26" t="s">
        <v>231</v>
      </c>
      <c r="K26">
        <v>0.16297929582610898</v>
      </c>
      <c r="L26" t="s">
        <v>167</v>
      </c>
      <c r="N26" t="s">
        <v>188</v>
      </c>
      <c r="O26" t="s">
        <v>231</v>
      </c>
      <c r="P26">
        <v>4.8644488032367469E-2</v>
      </c>
      <c r="Q26" t="s">
        <v>167</v>
      </c>
      <c r="S26" t="s">
        <v>198</v>
      </c>
      <c r="T26" t="s">
        <v>231</v>
      </c>
      <c r="U26">
        <v>3.9166107571232664E-2</v>
      </c>
      <c r="V26" t="s">
        <v>167</v>
      </c>
      <c r="X26">
        <v>4.8744292237442921E-2</v>
      </c>
      <c r="Y26">
        <v>6.3452253685702203E-2</v>
      </c>
      <c r="Z26" t="s">
        <v>231</v>
      </c>
      <c r="AA26" t="s">
        <v>25</v>
      </c>
      <c r="AC26" t="s">
        <v>22</v>
      </c>
      <c r="AD26" t="s">
        <v>231</v>
      </c>
      <c r="AE26">
        <v>5.2233646730579703E-2</v>
      </c>
      <c r="AG26" t="s">
        <v>96</v>
      </c>
      <c r="AH26" t="s">
        <v>231</v>
      </c>
      <c r="AI26">
        <v>0.10733951517370377</v>
      </c>
      <c r="AK26">
        <v>2027</v>
      </c>
      <c r="AL26" t="s">
        <v>159</v>
      </c>
      <c r="AM26">
        <v>0.40360000000000001</v>
      </c>
      <c r="AN26" t="s">
        <v>217</v>
      </c>
    </row>
    <row r="27" spans="3:40" x14ac:dyDescent="0.45">
      <c r="I27" t="s">
        <v>165</v>
      </c>
      <c r="J27" t="s">
        <v>232</v>
      </c>
      <c r="K27">
        <v>2.2711416066132563E-2</v>
      </c>
      <c r="L27" t="s">
        <v>167</v>
      </c>
      <c r="N27" t="s">
        <v>188</v>
      </c>
      <c r="O27" t="s">
        <v>232</v>
      </c>
      <c r="P27">
        <v>6.9264487008134932E-3</v>
      </c>
      <c r="Q27" t="s">
        <v>167</v>
      </c>
      <c r="S27" t="s">
        <v>198</v>
      </c>
      <c r="T27" t="s">
        <v>232</v>
      </c>
      <c r="U27">
        <v>5.902760051357786E-3</v>
      </c>
      <c r="V27" t="s">
        <v>167</v>
      </c>
      <c r="X27">
        <v>6.9634703196347035E-3</v>
      </c>
      <c r="Y27">
        <v>1.354780432422577E-2</v>
      </c>
      <c r="Z27" t="s">
        <v>232</v>
      </c>
      <c r="AA27" t="s">
        <v>25</v>
      </c>
      <c r="AC27" t="s">
        <v>22</v>
      </c>
      <c r="AD27" t="s">
        <v>232</v>
      </c>
      <c r="AE27">
        <v>7.4657701203057142E-3</v>
      </c>
      <c r="AG27" t="s">
        <v>96</v>
      </c>
      <c r="AH27" t="s">
        <v>232</v>
      </c>
      <c r="AI27">
        <v>0.10400026501571702</v>
      </c>
      <c r="AK27">
        <v>2027</v>
      </c>
      <c r="AL27" t="s">
        <v>161</v>
      </c>
      <c r="AM27">
        <v>0.46775</v>
      </c>
      <c r="AN27" t="s">
        <v>217</v>
      </c>
    </row>
    <row r="28" spans="3:40" x14ac:dyDescent="0.45">
      <c r="I28" t="s">
        <v>165</v>
      </c>
      <c r="J28" t="s">
        <v>233</v>
      </c>
      <c r="K28">
        <v>4.6535017764235867E-2</v>
      </c>
      <c r="L28" t="s">
        <v>167</v>
      </c>
      <c r="N28" t="s">
        <v>188</v>
      </c>
      <c r="O28" t="s">
        <v>233</v>
      </c>
      <c r="P28">
        <v>4.5526349666538603E-2</v>
      </c>
      <c r="Q28" t="s">
        <v>167</v>
      </c>
      <c r="S28" t="s">
        <v>198</v>
      </c>
      <c r="T28" t="s">
        <v>233</v>
      </c>
      <c r="U28">
        <v>4.2745480807882021E-2</v>
      </c>
      <c r="V28" t="s">
        <v>167</v>
      </c>
      <c r="X28">
        <v>4.8744292237442921E-2</v>
      </c>
      <c r="Y28">
        <v>5.0349302637794295E-2</v>
      </c>
      <c r="Z28" t="s">
        <v>233</v>
      </c>
      <c r="AA28" t="s">
        <v>25</v>
      </c>
      <c r="AC28" t="s">
        <v>22</v>
      </c>
      <c r="AD28" t="s">
        <v>233</v>
      </c>
      <c r="AE28">
        <v>4.5950225140435896E-2</v>
      </c>
      <c r="AG28" t="s">
        <v>96</v>
      </c>
      <c r="AH28" t="s">
        <v>233</v>
      </c>
      <c r="AI28">
        <v>0.21410159631886172</v>
      </c>
      <c r="AK28">
        <v>2027</v>
      </c>
      <c r="AL28" t="s">
        <v>163</v>
      </c>
      <c r="AM28">
        <v>0.43569999999999998</v>
      </c>
      <c r="AN28" t="s">
        <v>217</v>
      </c>
    </row>
    <row r="29" spans="3:40" x14ac:dyDescent="0.45">
      <c r="I29" t="s">
        <v>165</v>
      </c>
      <c r="J29" t="s">
        <v>176</v>
      </c>
      <c r="K29">
        <v>0</v>
      </c>
      <c r="L29" t="s">
        <v>167</v>
      </c>
      <c r="N29" t="s">
        <v>188</v>
      </c>
      <c r="O29" t="s">
        <v>176</v>
      </c>
      <c r="P29">
        <v>1.2672189216985187E-2</v>
      </c>
      <c r="Q29" t="s">
        <v>167</v>
      </c>
      <c r="S29" t="s">
        <v>198</v>
      </c>
      <c r="T29" t="s">
        <v>176</v>
      </c>
      <c r="U29">
        <v>1.2450770831571423E-2</v>
      </c>
      <c r="V29" t="s">
        <v>167</v>
      </c>
      <c r="X29">
        <v>1.3698630136986301E-2</v>
      </c>
      <c r="Y29">
        <v>2.0286900529547774E-3</v>
      </c>
      <c r="Z29" t="s">
        <v>176</v>
      </c>
      <c r="AA29" t="s">
        <v>25</v>
      </c>
      <c r="AC29" t="s">
        <v>22</v>
      </c>
      <c r="AD29" t="s">
        <v>176</v>
      </c>
      <c r="AE29">
        <v>7.7244616899184576E-3</v>
      </c>
      <c r="AG29" t="s">
        <v>96</v>
      </c>
      <c r="AH29" t="s">
        <v>176</v>
      </c>
      <c r="AI29">
        <v>2.8876346608259551E-2</v>
      </c>
      <c r="AK29">
        <v>2027</v>
      </c>
      <c r="AL29" t="s">
        <v>220</v>
      </c>
      <c r="AM29">
        <v>0.39599999999999996</v>
      </c>
      <c r="AN29" t="s">
        <v>217</v>
      </c>
    </row>
    <row r="30" spans="3:40" x14ac:dyDescent="0.45">
      <c r="I30" t="s">
        <v>165</v>
      </c>
      <c r="J30" t="s">
        <v>177</v>
      </c>
      <c r="K30">
        <v>0</v>
      </c>
      <c r="L30" t="s">
        <v>167</v>
      </c>
      <c r="N30" t="s">
        <v>188</v>
      </c>
      <c r="O30" t="s">
        <v>177</v>
      </c>
      <c r="P30">
        <v>3.0961217969540998E-3</v>
      </c>
      <c r="Q30" t="s">
        <v>167</v>
      </c>
      <c r="S30" t="s">
        <v>198</v>
      </c>
      <c r="T30" t="s">
        <v>177</v>
      </c>
      <c r="U30">
        <v>3.1120316628890994E-3</v>
      </c>
      <c r="V30" t="s">
        <v>167</v>
      </c>
      <c r="X30">
        <v>3.4246575342465752E-3</v>
      </c>
      <c r="Y30">
        <v>6.3645178131914611E-4</v>
      </c>
      <c r="Z30" t="s">
        <v>177</v>
      </c>
      <c r="AA30" t="s">
        <v>25</v>
      </c>
      <c r="AC30" t="s">
        <v>22</v>
      </c>
      <c r="AD30" t="s">
        <v>177</v>
      </c>
      <c r="AE30">
        <v>2.0046524688439758E-3</v>
      </c>
      <c r="AG30" t="s">
        <v>96</v>
      </c>
      <c r="AH30" t="s">
        <v>177</v>
      </c>
      <c r="AI30">
        <v>2.0068207142615924E-2</v>
      </c>
      <c r="AK30">
        <v>2027</v>
      </c>
      <c r="AL30" t="s">
        <v>222</v>
      </c>
      <c r="AM30">
        <v>0.32490000000000002</v>
      </c>
      <c r="AN30" t="s">
        <v>217</v>
      </c>
    </row>
    <row r="31" spans="3:40" x14ac:dyDescent="0.45">
      <c r="I31" t="s">
        <v>165</v>
      </c>
      <c r="J31" t="s">
        <v>178</v>
      </c>
      <c r="K31">
        <v>2.2289463879656409E-2</v>
      </c>
      <c r="L31" t="s">
        <v>167</v>
      </c>
      <c r="N31" t="s">
        <v>188</v>
      </c>
      <c r="O31" t="s">
        <v>178</v>
      </c>
      <c r="P31">
        <v>1.1391885714251235E-2</v>
      </c>
      <c r="Q31" t="s">
        <v>167</v>
      </c>
      <c r="S31" t="s">
        <v>198</v>
      </c>
      <c r="T31" t="s">
        <v>178</v>
      </c>
      <c r="U31">
        <v>1.2328799510821381E-2</v>
      </c>
      <c r="V31" t="s">
        <v>167</v>
      </c>
      <c r="X31">
        <v>1.3698630136986301E-2</v>
      </c>
      <c r="Y31">
        <v>1.6895805882206696E-2</v>
      </c>
      <c r="Z31" t="s">
        <v>178</v>
      </c>
      <c r="AA31" t="s">
        <v>25</v>
      </c>
      <c r="AC31" t="s">
        <v>22</v>
      </c>
      <c r="AD31" t="s">
        <v>178</v>
      </c>
      <c r="AE31">
        <v>1.1681664158197564E-2</v>
      </c>
      <c r="AG31" t="s">
        <v>96</v>
      </c>
      <c r="AH31" t="s">
        <v>178</v>
      </c>
      <c r="AI31">
        <v>0.18051061244436228</v>
      </c>
      <c r="AK31">
        <v>2027</v>
      </c>
      <c r="AL31" t="s">
        <v>224</v>
      </c>
      <c r="AM31">
        <v>0.37190000000000001</v>
      </c>
      <c r="AN31" t="s">
        <v>217</v>
      </c>
    </row>
    <row r="32" spans="3:40" x14ac:dyDescent="0.45">
      <c r="I32" t="s">
        <v>165</v>
      </c>
      <c r="J32" t="s">
        <v>234</v>
      </c>
      <c r="K32">
        <v>8.0207908033815334E-2</v>
      </c>
      <c r="L32" t="s">
        <v>167</v>
      </c>
      <c r="N32" t="s">
        <v>188</v>
      </c>
      <c r="O32" t="s">
        <v>234</v>
      </c>
      <c r="P32">
        <v>1.9968312891369074E-2</v>
      </c>
      <c r="Q32" t="s">
        <v>167</v>
      </c>
      <c r="S32" t="s">
        <v>198</v>
      </c>
      <c r="T32" t="s">
        <v>234</v>
      </c>
      <c r="U32">
        <v>2.1271494756549478E-2</v>
      </c>
      <c r="V32" t="s">
        <v>167</v>
      </c>
      <c r="X32">
        <v>2.3972602739726026E-2</v>
      </c>
      <c r="Y32">
        <v>3.1206026402804371E-2</v>
      </c>
      <c r="Z32" t="s">
        <v>234</v>
      </c>
      <c r="AA32" t="s">
        <v>25</v>
      </c>
      <c r="AC32" t="s">
        <v>22</v>
      </c>
      <c r="AD32" t="s">
        <v>234</v>
      </c>
      <c r="AE32">
        <v>2.3915590712902696E-2</v>
      </c>
      <c r="AG32" t="s">
        <v>96</v>
      </c>
      <c r="AH32" t="s">
        <v>234</v>
      </c>
      <c r="AI32">
        <v>5.6217981247545845E-2</v>
      </c>
      <c r="AK32">
        <v>2028</v>
      </c>
      <c r="AL32" t="s">
        <v>155</v>
      </c>
      <c r="AM32">
        <v>0.33410000000000001</v>
      </c>
      <c r="AN32" t="s">
        <v>217</v>
      </c>
    </row>
    <row r="33" spans="9:40" x14ac:dyDescent="0.45">
      <c r="I33" t="s">
        <v>165</v>
      </c>
      <c r="J33" t="s">
        <v>235</v>
      </c>
      <c r="K33">
        <v>1.151662163880072E-2</v>
      </c>
      <c r="L33" t="s">
        <v>167</v>
      </c>
      <c r="N33" t="s">
        <v>188</v>
      </c>
      <c r="O33" t="s">
        <v>235</v>
      </c>
      <c r="P33">
        <v>3.3707270615046794E-3</v>
      </c>
      <c r="Q33" t="s">
        <v>167</v>
      </c>
      <c r="S33" t="s">
        <v>198</v>
      </c>
      <c r="T33" t="s">
        <v>235</v>
      </c>
      <c r="U33">
        <v>3.2037331168578427E-3</v>
      </c>
      <c r="V33" t="s">
        <v>167</v>
      </c>
      <c r="X33">
        <v>3.4246575342465752E-3</v>
      </c>
      <c r="Y33">
        <v>6.662854585684809E-3</v>
      </c>
      <c r="Z33" t="s">
        <v>235</v>
      </c>
      <c r="AA33" t="s">
        <v>25</v>
      </c>
      <c r="AC33" t="s">
        <v>22</v>
      </c>
      <c r="AD33" t="s">
        <v>235</v>
      </c>
      <c r="AE33">
        <v>3.3866044274192672E-3</v>
      </c>
      <c r="AG33" t="s">
        <v>96</v>
      </c>
      <c r="AH33" t="s">
        <v>235</v>
      </c>
      <c r="AI33">
        <v>4.6569696008877948E-2</v>
      </c>
      <c r="AK33">
        <v>2028</v>
      </c>
      <c r="AL33" t="s">
        <v>159</v>
      </c>
      <c r="AM33">
        <v>0.374</v>
      </c>
      <c r="AN33" t="s">
        <v>217</v>
      </c>
    </row>
    <row r="34" spans="9:40" x14ac:dyDescent="0.45">
      <c r="I34" t="s">
        <v>165</v>
      </c>
      <c r="J34" t="s">
        <v>236</v>
      </c>
      <c r="K34">
        <v>2.8606704058981039E-2</v>
      </c>
      <c r="L34" t="s">
        <v>167</v>
      </c>
      <c r="N34" t="s">
        <v>188</v>
      </c>
      <c r="O34" t="s">
        <v>236</v>
      </c>
      <c r="P34">
        <v>2.2578001707984994E-2</v>
      </c>
      <c r="Q34" t="s">
        <v>167</v>
      </c>
      <c r="S34" t="s">
        <v>198</v>
      </c>
      <c r="T34" t="s">
        <v>236</v>
      </c>
      <c r="U34">
        <v>2.2683947801670112E-2</v>
      </c>
      <c r="V34" t="s">
        <v>167</v>
      </c>
      <c r="X34">
        <v>2.3972602739726026E-2</v>
      </c>
      <c r="Y34">
        <v>2.4761952116948018E-2</v>
      </c>
      <c r="Z34" t="s">
        <v>236</v>
      </c>
      <c r="AA34" t="s">
        <v>25</v>
      </c>
      <c r="AC34" t="s">
        <v>22</v>
      </c>
      <c r="AD34" t="s">
        <v>236</v>
      </c>
      <c r="AE34">
        <v>2.0714224250700804E-2</v>
      </c>
      <c r="AG34" t="s">
        <v>96</v>
      </c>
      <c r="AH34" t="s">
        <v>236</v>
      </c>
      <c r="AI34">
        <v>0.15455228708069568</v>
      </c>
      <c r="AK34">
        <v>2028</v>
      </c>
      <c r="AL34" t="s">
        <v>161</v>
      </c>
      <c r="AM34">
        <v>0.43709999999999999</v>
      </c>
      <c r="AN34" t="s">
        <v>217</v>
      </c>
    </row>
    <row r="35" spans="9:40" x14ac:dyDescent="0.45">
      <c r="I35" t="s">
        <v>165</v>
      </c>
      <c r="J35" t="s">
        <v>237</v>
      </c>
      <c r="K35">
        <v>0</v>
      </c>
      <c r="L35" t="s">
        <v>167</v>
      </c>
      <c r="N35" t="s">
        <v>188</v>
      </c>
      <c r="O35" t="s">
        <v>237</v>
      </c>
      <c r="P35">
        <v>5.1923067987771257E-2</v>
      </c>
      <c r="Q35" t="s">
        <v>167</v>
      </c>
      <c r="S35" t="s">
        <v>198</v>
      </c>
      <c r="T35" t="s">
        <v>237</v>
      </c>
      <c r="U35">
        <v>4.9763962425834994E-2</v>
      </c>
      <c r="V35" t="s">
        <v>167</v>
      </c>
      <c r="X35">
        <v>5.6164383561643834E-2</v>
      </c>
      <c r="Y35">
        <v>8.3176292171145867E-3</v>
      </c>
      <c r="Z35" t="s">
        <v>237</v>
      </c>
      <c r="AA35" t="s">
        <v>25</v>
      </c>
      <c r="AC35" t="s">
        <v>22</v>
      </c>
      <c r="AD35" t="s">
        <v>237</v>
      </c>
      <c r="AE35">
        <v>3.319563874185303E-2</v>
      </c>
      <c r="AG35" t="s">
        <v>96</v>
      </c>
      <c r="AH35" t="s">
        <v>237</v>
      </c>
      <c r="AI35">
        <v>0.11090294097967113</v>
      </c>
      <c r="AK35">
        <v>2028</v>
      </c>
      <c r="AL35" t="s">
        <v>163</v>
      </c>
      <c r="AM35">
        <v>0.44590000000000002</v>
      </c>
      <c r="AN35" t="s">
        <v>217</v>
      </c>
    </row>
    <row r="36" spans="9:40" x14ac:dyDescent="0.45">
      <c r="I36" t="s">
        <v>165</v>
      </c>
      <c r="J36" t="s">
        <v>238</v>
      </c>
      <c r="K36">
        <v>0</v>
      </c>
      <c r="L36" t="s">
        <v>167</v>
      </c>
      <c r="N36" t="s">
        <v>188</v>
      </c>
      <c r="O36" t="s">
        <v>238</v>
      </c>
      <c r="P36">
        <v>1.2462011853427784E-2</v>
      </c>
      <c r="Q36" t="s">
        <v>167</v>
      </c>
      <c r="S36" t="s">
        <v>198</v>
      </c>
      <c r="T36" t="s">
        <v>238</v>
      </c>
      <c r="U36">
        <v>1.2111889212841002E-2</v>
      </c>
      <c r="V36" t="s">
        <v>167</v>
      </c>
      <c r="X36">
        <v>1.4041095890410958E-2</v>
      </c>
      <c r="Y36">
        <v>2.6094523034084979E-3</v>
      </c>
      <c r="Z36" t="s">
        <v>238</v>
      </c>
      <c r="AA36" t="s">
        <v>25</v>
      </c>
      <c r="AC36" t="s">
        <v>22</v>
      </c>
      <c r="AD36" t="s">
        <v>238</v>
      </c>
      <c r="AE36">
        <v>8.7110171829203557E-3</v>
      </c>
      <c r="AG36" t="s">
        <v>96</v>
      </c>
      <c r="AH36" t="s">
        <v>238</v>
      </c>
      <c r="AI36">
        <v>0.10096506829163565</v>
      </c>
      <c r="AK36">
        <v>2028</v>
      </c>
      <c r="AL36" t="s">
        <v>220</v>
      </c>
      <c r="AM36">
        <v>0.399725</v>
      </c>
      <c r="AN36" t="s">
        <v>217</v>
      </c>
    </row>
    <row r="37" spans="9:40" x14ac:dyDescent="0.45">
      <c r="I37" t="s">
        <v>165</v>
      </c>
      <c r="J37" t="s">
        <v>239</v>
      </c>
      <c r="K37">
        <v>5.2735830861389485E-2</v>
      </c>
      <c r="L37" t="s">
        <v>167</v>
      </c>
      <c r="N37" t="s">
        <v>188</v>
      </c>
      <c r="O37" t="s">
        <v>239</v>
      </c>
      <c r="P37">
        <v>4.8467609875936159E-2</v>
      </c>
      <c r="Q37" t="s">
        <v>167</v>
      </c>
      <c r="S37" t="s">
        <v>198</v>
      </c>
      <c r="T37" t="s">
        <v>239</v>
      </c>
      <c r="U37">
        <v>4.7509726098980666E-2</v>
      </c>
      <c r="V37" t="s">
        <v>167</v>
      </c>
      <c r="X37">
        <v>5.6164383561643834E-2</v>
      </c>
      <c r="Y37">
        <v>6.9272804117047462E-2</v>
      </c>
      <c r="Z37" t="s">
        <v>239</v>
      </c>
      <c r="AA37" t="s">
        <v>25</v>
      </c>
      <c r="AC37" t="s">
        <v>22</v>
      </c>
      <c r="AD37" t="s">
        <v>239</v>
      </c>
      <c r="AE37">
        <v>4.9699200327133278E-2</v>
      </c>
      <c r="AG37" t="s">
        <v>96</v>
      </c>
      <c r="AH37" t="s">
        <v>239</v>
      </c>
      <c r="AI37">
        <v>0.21779500501006721</v>
      </c>
      <c r="AK37">
        <v>2028</v>
      </c>
      <c r="AL37" t="s">
        <v>222</v>
      </c>
      <c r="AM37">
        <v>0.3947</v>
      </c>
      <c r="AN37" t="s">
        <v>217</v>
      </c>
    </row>
    <row r="38" spans="9:40" x14ac:dyDescent="0.45">
      <c r="I38" t="s">
        <v>165</v>
      </c>
      <c r="J38" t="s">
        <v>240</v>
      </c>
      <c r="K38">
        <v>0.25949448235915723</v>
      </c>
      <c r="L38" t="s">
        <v>167</v>
      </c>
      <c r="N38" t="s">
        <v>188</v>
      </c>
      <c r="O38" t="s">
        <v>240</v>
      </c>
      <c r="P38">
        <v>8.4887489840325417E-2</v>
      </c>
      <c r="Q38" t="s">
        <v>167</v>
      </c>
      <c r="S38" t="s">
        <v>198</v>
      </c>
      <c r="T38" t="s">
        <v>240</v>
      </c>
      <c r="U38">
        <v>8.3282953215554151E-2</v>
      </c>
      <c r="V38" t="s">
        <v>167</v>
      </c>
      <c r="X38">
        <v>9.8287671232876711E-2</v>
      </c>
      <c r="Y38">
        <v>0.12794470825149792</v>
      </c>
      <c r="Z38" t="s">
        <v>240</v>
      </c>
      <c r="AA38" t="s">
        <v>25</v>
      </c>
      <c r="AC38" t="s">
        <v>22</v>
      </c>
      <c r="AD38" t="s">
        <v>240</v>
      </c>
      <c r="AE38">
        <v>0.1005652581052401</v>
      </c>
      <c r="AG38" t="s">
        <v>96</v>
      </c>
      <c r="AH38" t="s">
        <v>240</v>
      </c>
      <c r="AI38">
        <v>9.2236079594619325E-2</v>
      </c>
      <c r="AK38">
        <v>2028</v>
      </c>
      <c r="AL38" t="s">
        <v>224</v>
      </c>
      <c r="AM38">
        <v>0.32550000000000001</v>
      </c>
      <c r="AN38" t="s">
        <v>217</v>
      </c>
    </row>
    <row r="39" spans="9:40" x14ac:dyDescent="0.45">
      <c r="I39" t="s">
        <v>165</v>
      </c>
      <c r="J39" t="s">
        <v>241</v>
      </c>
      <c r="K39">
        <v>3.3205032308561075E-2</v>
      </c>
      <c r="L39" t="s">
        <v>167</v>
      </c>
      <c r="N39" t="s">
        <v>188</v>
      </c>
      <c r="O39" t="s">
        <v>241</v>
      </c>
      <c r="P39">
        <v>1.2995836341405293E-2</v>
      </c>
      <c r="Q39" t="s">
        <v>167</v>
      </c>
      <c r="S39" t="s">
        <v>198</v>
      </c>
      <c r="T39" t="s">
        <v>241</v>
      </c>
      <c r="U39">
        <v>1.2720408151434503E-2</v>
      </c>
      <c r="V39" t="s">
        <v>167</v>
      </c>
      <c r="X39">
        <v>1.4041095890410958E-2</v>
      </c>
      <c r="Y39">
        <v>2.7317703801307713E-2</v>
      </c>
      <c r="Z39" t="s">
        <v>241</v>
      </c>
      <c r="AA39" t="s">
        <v>25</v>
      </c>
      <c r="AC39" t="s">
        <v>22</v>
      </c>
      <c r="AD39" t="s">
        <v>241</v>
      </c>
      <c r="AE39">
        <v>1.4282978730490035E-2</v>
      </c>
      <c r="AG39" t="s">
        <v>96</v>
      </c>
      <c r="AH39" t="s">
        <v>241</v>
      </c>
      <c r="AI39">
        <v>9.7600354744998619E-2</v>
      </c>
      <c r="AK39">
        <v>2029</v>
      </c>
      <c r="AL39" t="s">
        <v>155</v>
      </c>
      <c r="AM39">
        <v>0.33929999999999999</v>
      </c>
      <c r="AN39" t="s">
        <v>217</v>
      </c>
    </row>
    <row r="40" spans="9:40" x14ac:dyDescent="0.45">
      <c r="I40" t="s">
        <v>165</v>
      </c>
      <c r="J40" t="s">
        <v>242</v>
      </c>
      <c r="K40">
        <v>6.2984973594203464E-2</v>
      </c>
      <c r="L40" t="s">
        <v>167</v>
      </c>
      <c r="N40" t="s">
        <v>188</v>
      </c>
      <c r="O40" t="s">
        <v>242</v>
      </c>
      <c r="P40">
        <v>9.4615561063387754E-2</v>
      </c>
      <c r="Q40" t="s">
        <v>167</v>
      </c>
      <c r="S40" t="s">
        <v>198</v>
      </c>
      <c r="T40" t="s">
        <v>242</v>
      </c>
      <c r="U40">
        <v>9.123948148911136E-2</v>
      </c>
      <c r="V40" t="s">
        <v>167</v>
      </c>
      <c r="X40">
        <v>9.8287671232876711E-2</v>
      </c>
      <c r="Y40">
        <v>0.10152400367948687</v>
      </c>
      <c r="Z40" t="s">
        <v>242</v>
      </c>
      <c r="AA40" t="s">
        <v>25</v>
      </c>
      <c r="AC40" t="s">
        <v>22</v>
      </c>
      <c r="AD40" t="s">
        <v>242</v>
      </c>
      <c r="AE40">
        <v>8.7448716011441788E-2</v>
      </c>
      <c r="AG40" t="s">
        <v>96</v>
      </c>
      <c r="AH40" t="s">
        <v>242</v>
      </c>
      <c r="AI40">
        <v>0.22006791043975493</v>
      </c>
      <c r="AK40">
        <v>2029</v>
      </c>
      <c r="AL40" t="s">
        <v>159</v>
      </c>
      <c r="AM40">
        <v>0.41420000000000001</v>
      </c>
      <c r="AN40" t="s">
        <v>217</v>
      </c>
    </row>
    <row r="41" spans="9:40" x14ac:dyDescent="0.45">
      <c r="I41" t="s">
        <v>165</v>
      </c>
      <c r="J41" t="s">
        <v>243</v>
      </c>
      <c r="K41">
        <v>0</v>
      </c>
      <c r="L41" t="s">
        <v>167</v>
      </c>
      <c r="N41" t="s">
        <v>188</v>
      </c>
      <c r="O41" t="s">
        <v>243</v>
      </c>
      <c r="P41">
        <v>1.4915998955987539E-2</v>
      </c>
      <c r="Q41" t="s">
        <v>167</v>
      </c>
      <c r="S41" t="s">
        <v>198</v>
      </c>
      <c r="T41" t="s">
        <v>243</v>
      </c>
      <c r="U41">
        <v>1.5299647935957294E-2</v>
      </c>
      <c r="V41" t="s">
        <v>167</v>
      </c>
      <c r="X41">
        <v>1.3698630136986301E-2</v>
      </c>
      <c r="Y41">
        <v>2.0286900529547774E-3</v>
      </c>
      <c r="Z41" t="s">
        <v>243</v>
      </c>
      <c r="AA41" t="s">
        <v>25</v>
      </c>
      <c r="AC41" t="s">
        <v>22</v>
      </c>
      <c r="AD41" t="s">
        <v>243</v>
      </c>
      <c r="AE41">
        <v>1.0532043932090365E-2</v>
      </c>
      <c r="AG41" t="s">
        <v>96</v>
      </c>
      <c r="AH41" t="s">
        <v>243</v>
      </c>
      <c r="AI41">
        <v>7.6079913222424356E-2</v>
      </c>
      <c r="AK41">
        <v>2029</v>
      </c>
      <c r="AL41" t="s">
        <v>161</v>
      </c>
      <c r="AM41">
        <v>0.46575</v>
      </c>
      <c r="AN41" t="s">
        <v>217</v>
      </c>
    </row>
    <row r="42" spans="9:40" x14ac:dyDescent="0.45">
      <c r="I42" t="s">
        <v>165</v>
      </c>
      <c r="J42" t="s">
        <v>244</v>
      </c>
      <c r="K42">
        <v>0</v>
      </c>
      <c r="L42" t="s">
        <v>167</v>
      </c>
      <c r="N42" t="s">
        <v>188</v>
      </c>
      <c r="O42" t="s">
        <v>244</v>
      </c>
      <c r="P42">
        <v>3.6662725121649423E-3</v>
      </c>
      <c r="Q42" t="s">
        <v>167</v>
      </c>
      <c r="S42" t="s">
        <v>198</v>
      </c>
      <c r="T42" t="s">
        <v>244</v>
      </c>
      <c r="U42">
        <v>3.9257535447697585E-3</v>
      </c>
      <c r="V42" t="s">
        <v>167</v>
      </c>
      <c r="X42">
        <v>3.4246575342465752E-3</v>
      </c>
      <c r="Y42">
        <v>6.3645178131914611E-4</v>
      </c>
      <c r="Z42" t="s">
        <v>244</v>
      </c>
      <c r="AA42" t="s">
        <v>25</v>
      </c>
      <c r="AC42" t="s">
        <v>22</v>
      </c>
      <c r="AD42" t="s">
        <v>244</v>
      </c>
      <c r="AE42">
        <v>2.7584434591597625E-3</v>
      </c>
      <c r="AG42" t="s">
        <v>96</v>
      </c>
      <c r="AH42" t="s">
        <v>244</v>
      </c>
      <c r="AI42">
        <v>9.2233679504750921E-2</v>
      </c>
      <c r="AK42">
        <v>2029</v>
      </c>
      <c r="AL42" t="s">
        <v>163</v>
      </c>
      <c r="AM42">
        <v>0.47720000000000001</v>
      </c>
      <c r="AN42" t="s">
        <v>217</v>
      </c>
    </row>
    <row r="43" spans="9:40" x14ac:dyDescent="0.45">
      <c r="I43" t="s">
        <v>165</v>
      </c>
      <c r="J43" t="s">
        <v>245</v>
      </c>
      <c r="K43">
        <v>2.2603480398017096E-6</v>
      </c>
      <c r="L43" t="s">
        <v>167</v>
      </c>
      <c r="N43" t="s">
        <v>188</v>
      </c>
      <c r="O43" t="s">
        <v>245</v>
      </c>
      <c r="P43">
        <v>1.4778178429037087E-2</v>
      </c>
      <c r="Q43" t="s">
        <v>167</v>
      </c>
      <c r="S43" t="s">
        <v>198</v>
      </c>
      <c r="T43" t="s">
        <v>245</v>
      </c>
      <c r="U43">
        <v>1.5472873134807556E-2</v>
      </c>
      <c r="V43" t="s">
        <v>167</v>
      </c>
      <c r="X43">
        <v>1.3698630136986301E-2</v>
      </c>
      <c r="Y43">
        <v>1.6895805882206696E-2</v>
      </c>
      <c r="Z43" t="s">
        <v>245</v>
      </c>
      <c r="AA43" t="s">
        <v>25</v>
      </c>
      <c r="AC43" t="s">
        <v>22</v>
      </c>
      <c r="AD43" t="s">
        <v>245</v>
      </c>
      <c r="AE43">
        <v>1.4527732732656373E-2</v>
      </c>
      <c r="AG43" t="s">
        <v>96</v>
      </c>
      <c r="AH43" t="s">
        <v>245</v>
      </c>
      <c r="AI43">
        <v>0.19030116577251088</v>
      </c>
      <c r="AK43">
        <v>2029</v>
      </c>
      <c r="AL43" t="s">
        <v>220</v>
      </c>
      <c r="AM43">
        <v>0.40367500000000001</v>
      </c>
      <c r="AN43" t="s">
        <v>217</v>
      </c>
    </row>
    <row r="44" spans="9:40" x14ac:dyDescent="0.45">
      <c r="I44" t="s">
        <v>165</v>
      </c>
      <c r="J44" t="s">
        <v>246</v>
      </c>
      <c r="K44">
        <v>2.1260787068306166E-2</v>
      </c>
      <c r="L44" t="s">
        <v>167</v>
      </c>
      <c r="N44" t="s">
        <v>188</v>
      </c>
      <c r="O44" t="s">
        <v>246</v>
      </c>
      <c r="P44">
        <v>2.7785662105281928E-2</v>
      </c>
      <c r="Q44" t="s">
        <v>167</v>
      </c>
      <c r="S44" t="s">
        <v>198</v>
      </c>
      <c r="T44" t="s">
        <v>246</v>
      </c>
      <c r="U44">
        <v>2.5334092172838427E-2</v>
      </c>
      <c r="V44" t="s">
        <v>167</v>
      </c>
      <c r="X44">
        <v>2.3972602739726026E-2</v>
      </c>
      <c r="Y44">
        <v>3.1206026402804371E-2</v>
      </c>
      <c r="Z44" t="s">
        <v>246</v>
      </c>
      <c r="AA44" t="s">
        <v>25</v>
      </c>
      <c r="AC44" t="s">
        <v>22</v>
      </c>
      <c r="AD44" t="s">
        <v>246</v>
      </c>
      <c r="AE44">
        <v>2.8060762826019034E-2</v>
      </c>
      <c r="AG44" t="s">
        <v>96</v>
      </c>
      <c r="AH44" t="s">
        <v>246</v>
      </c>
      <c r="AI44">
        <v>0.10869225153822093</v>
      </c>
      <c r="AK44">
        <v>2029</v>
      </c>
      <c r="AL44" t="s">
        <v>222</v>
      </c>
      <c r="AM44">
        <v>0.32369999999999999</v>
      </c>
      <c r="AN44" t="s">
        <v>217</v>
      </c>
    </row>
    <row r="45" spans="9:40" x14ac:dyDescent="0.45">
      <c r="I45" t="s">
        <v>165</v>
      </c>
      <c r="J45" t="s">
        <v>247</v>
      </c>
      <c r="K45">
        <v>1.7277539705579017E-3</v>
      </c>
      <c r="L45" t="s">
        <v>167</v>
      </c>
      <c r="N45" t="s">
        <v>188</v>
      </c>
      <c r="O45" t="s">
        <v>247</v>
      </c>
      <c r="P45">
        <v>4.0274761745356762E-3</v>
      </c>
      <c r="Q45" t="s">
        <v>167</v>
      </c>
      <c r="S45" t="s">
        <v>198</v>
      </c>
      <c r="T45" t="s">
        <v>247</v>
      </c>
      <c r="U45">
        <v>3.4334918657062323E-3</v>
      </c>
      <c r="V45" t="s">
        <v>167</v>
      </c>
      <c r="X45">
        <v>3.4246575342465752E-3</v>
      </c>
      <c r="Y45">
        <v>6.662854585684809E-3</v>
      </c>
      <c r="Z45" t="s">
        <v>247</v>
      </c>
      <c r="AA45" t="s">
        <v>25</v>
      </c>
      <c r="AC45" t="s">
        <v>22</v>
      </c>
      <c r="AD45" t="s">
        <v>247</v>
      </c>
      <c r="AE45">
        <v>4.0776097264681637E-3</v>
      </c>
      <c r="AG45" t="s">
        <v>96</v>
      </c>
      <c r="AH45" t="s">
        <v>247</v>
      </c>
      <c r="AI45">
        <v>8.3172817094632867E-2</v>
      </c>
      <c r="AK45">
        <v>2029</v>
      </c>
      <c r="AL45" t="s">
        <v>224</v>
      </c>
      <c r="AM45">
        <v>0.33810000000000001</v>
      </c>
      <c r="AN45" t="s">
        <v>217</v>
      </c>
    </row>
    <row r="46" spans="9:40" x14ac:dyDescent="0.45">
      <c r="I46" t="s">
        <v>165</v>
      </c>
      <c r="J46" t="s">
        <v>248</v>
      </c>
      <c r="K46">
        <v>0</v>
      </c>
      <c r="L46" t="s">
        <v>167</v>
      </c>
      <c r="N46" t="s">
        <v>188</v>
      </c>
      <c r="O46" t="s">
        <v>248</v>
      </c>
      <c r="P46">
        <v>2.8483331803686368E-2</v>
      </c>
      <c r="Q46" t="s">
        <v>167</v>
      </c>
      <c r="S46" t="s">
        <v>198</v>
      </c>
      <c r="T46" t="s">
        <v>248</v>
      </c>
      <c r="U46">
        <v>2.5141427423049128E-2</v>
      </c>
      <c r="V46" t="s">
        <v>167</v>
      </c>
      <c r="X46">
        <v>2.3972602739726026E-2</v>
      </c>
      <c r="Y46">
        <v>2.4761952116948018E-2</v>
      </c>
      <c r="Z46" t="s">
        <v>248</v>
      </c>
      <c r="AA46" t="s">
        <v>25</v>
      </c>
      <c r="AC46" t="s">
        <v>22</v>
      </c>
      <c r="AD46" t="s">
        <v>248</v>
      </c>
      <c r="AE46">
        <v>2.5777808416484554E-2</v>
      </c>
      <c r="AG46" t="s">
        <v>96</v>
      </c>
      <c r="AH46" t="s">
        <v>248</v>
      </c>
      <c r="AI46">
        <v>0.16960445649106903</v>
      </c>
      <c r="AK46">
        <v>2030</v>
      </c>
      <c r="AL46" t="s">
        <v>155</v>
      </c>
      <c r="AM46">
        <v>0.35635</v>
      </c>
      <c r="AN46" t="s">
        <v>217</v>
      </c>
    </row>
    <row r="47" spans="9:40" x14ac:dyDescent="0.45">
      <c r="I47" t="s">
        <v>165</v>
      </c>
      <c r="J47" t="s">
        <v>249</v>
      </c>
      <c r="K47">
        <v>0</v>
      </c>
      <c r="L47" t="s">
        <v>167</v>
      </c>
      <c r="N47" t="s">
        <v>188</v>
      </c>
      <c r="O47" t="s">
        <v>249</v>
      </c>
      <c r="P47">
        <v>2.1189263829330385E-2</v>
      </c>
      <c r="Q47" t="s">
        <v>167</v>
      </c>
      <c r="S47" t="s">
        <v>198</v>
      </c>
      <c r="T47" t="s">
        <v>249</v>
      </c>
      <c r="U47">
        <v>2.0844243293023222E-2</v>
      </c>
      <c r="V47" t="s">
        <v>167</v>
      </c>
      <c r="X47">
        <v>1.4155251141552512E-2</v>
      </c>
      <c r="Y47">
        <v>2.0963130547199367E-3</v>
      </c>
      <c r="Z47" t="s">
        <v>249</v>
      </c>
      <c r="AA47" t="s">
        <v>25</v>
      </c>
      <c r="AC47" t="s">
        <v>22</v>
      </c>
      <c r="AD47" t="s">
        <v>249</v>
      </c>
      <c r="AE47">
        <v>1.0906253025574388E-2</v>
      </c>
      <c r="AG47" t="s">
        <v>96</v>
      </c>
      <c r="AH47" t="s">
        <v>249</v>
      </c>
      <c r="AI47">
        <v>5.3564831917251476E-2</v>
      </c>
      <c r="AK47">
        <v>2030</v>
      </c>
      <c r="AL47" t="s">
        <v>159</v>
      </c>
      <c r="AM47">
        <v>0.38969999999999999</v>
      </c>
      <c r="AN47" t="s">
        <v>217</v>
      </c>
    </row>
    <row r="48" spans="9:40" x14ac:dyDescent="0.45">
      <c r="I48" t="s">
        <v>165</v>
      </c>
      <c r="J48" t="s">
        <v>250</v>
      </c>
      <c r="K48">
        <v>0</v>
      </c>
      <c r="L48" t="s">
        <v>167</v>
      </c>
      <c r="N48" t="s">
        <v>188</v>
      </c>
      <c r="O48" t="s">
        <v>250</v>
      </c>
      <c r="P48">
        <v>5.4622534283124014E-3</v>
      </c>
      <c r="Q48" t="s">
        <v>167</v>
      </c>
      <c r="S48" t="s">
        <v>198</v>
      </c>
      <c r="T48" t="s">
        <v>250</v>
      </c>
      <c r="U48">
        <v>5.1571838006746864E-3</v>
      </c>
      <c r="V48" t="s">
        <v>167</v>
      </c>
      <c r="X48">
        <v>3.5388127853881279E-3</v>
      </c>
      <c r="Y48">
        <v>6.5766684069645104E-4</v>
      </c>
      <c r="Z48" t="s">
        <v>250</v>
      </c>
      <c r="AA48" t="s">
        <v>25</v>
      </c>
      <c r="AC48" t="s">
        <v>22</v>
      </c>
      <c r="AD48" t="s">
        <v>250</v>
      </c>
      <c r="AE48">
        <v>2.8714426280559103E-3</v>
      </c>
      <c r="AG48" t="s">
        <v>96</v>
      </c>
      <c r="AH48" t="s">
        <v>250</v>
      </c>
      <c r="AI48">
        <v>7.4184002551653139E-2</v>
      </c>
      <c r="AK48">
        <v>2030</v>
      </c>
      <c r="AL48" t="s">
        <v>161</v>
      </c>
      <c r="AM48">
        <v>0.44040000000000001</v>
      </c>
      <c r="AN48" t="s">
        <v>217</v>
      </c>
    </row>
    <row r="49" spans="9:40" x14ac:dyDescent="0.45">
      <c r="I49" t="s">
        <v>165</v>
      </c>
      <c r="J49" t="s">
        <v>251</v>
      </c>
      <c r="K49">
        <v>0</v>
      </c>
      <c r="L49" t="s">
        <v>167</v>
      </c>
      <c r="N49" t="s">
        <v>188</v>
      </c>
      <c r="O49" t="s">
        <v>251</v>
      </c>
      <c r="P49">
        <v>2.2095276896544998E-2</v>
      </c>
      <c r="Q49" t="s">
        <v>167</v>
      </c>
      <c r="S49" t="s">
        <v>198</v>
      </c>
      <c r="T49" t="s">
        <v>251</v>
      </c>
      <c r="U49">
        <v>2.1715445915447416E-2</v>
      </c>
      <c r="V49" t="s">
        <v>167</v>
      </c>
      <c r="X49">
        <v>1.4155251141552512E-2</v>
      </c>
      <c r="Y49">
        <v>1.7458999411613586E-2</v>
      </c>
      <c r="Z49" t="s">
        <v>251</v>
      </c>
      <c r="AA49" t="s">
        <v>25</v>
      </c>
      <c r="AC49" t="s">
        <v>22</v>
      </c>
      <c r="AD49" t="s">
        <v>251</v>
      </c>
      <c r="AE49">
        <v>1.5251911862181441E-2</v>
      </c>
      <c r="AG49" t="s">
        <v>96</v>
      </c>
      <c r="AH49" t="s">
        <v>251</v>
      </c>
      <c r="AI49">
        <v>0.16906055374268947</v>
      </c>
      <c r="AK49">
        <v>2030</v>
      </c>
      <c r="AL49" t="s">
        <v>163</v>
      </c>
      <c r="AM49">
        <v>0.43880000000000002</v>
      </c>
      <c r="AN49" t="s">
        <v>217</v>
      </c>
    </row>
    <row r="50" spans="9:40" x14ac:dyDescent="0.45">
      <c r="I50" t="s">
        <v>165</v>
      </c>
      <c r="J50" t="s">
        <v>252</v>
      </c>
      <c r="K50">
        <v>1.0244520469820519E-2</v>
      </c>
      <c r="L50" t="s">
        <v>167</v>
      </c>
      <c r="N50" t="s">
        <v>188</v>
      </c>
      <c r="O50" t="s">
        <v>252</v>
      </c>
      <c r="P50">
        <v>3.7908907166071398E-2</v>
      </c>
      <c r="Q50" t="s">
        <v>167</v>
      </c>
      <c r="S50" t="s">
        <v>198</v>
      </c>
      <c r="T50" t="s">
        <v>252</v>
      </c>
      <c r="U50">
        <v>3.9067719957240503E-2</v>
      </c>
      <c r="V50" t="s">
        <v>167</v>
      </c>
      <c r="X50">
        <v>2.4771689497716895E-2</v>
      </c>
      <c r="Y50">
        <v>3.2246227282897846E-2</v>
      </c>
      <c r="Z50" t="s">
        <v>252</v>
      </c>
      <c r="AA50" t="s">
        <v>25</v>
      </c>
      <c r="AC50" t="s">
        <v>22</v>
      </c>
      <c r="AD50" t="s">
        <v>252</v>
      </c>
      <c r="AE50">
        <v>2.951691491866348E-2</v>
      </c>
      <c r="AG50" t="s">
        <v>96</v>
      </c>
      <c r="AH50" t="s">
        <v>252</v>
      </c>
      <c r="AI50">
        <v>8.1573458916899044E-2</v>
      </c>
      <c r="AK50">
        <v>2030</v>
      </c>
      <c r="AL50" t="s">
        <v>220</v>
      </c>
      <c r="AM50">
        <v>0.38587499999999997</v>
      </c>
      <c r="AN50" t="s">
        <v>217</v>
      </c>
    </row>
    <row r="51" spans="9:40" x14ac:dyDescent="0.45">
      <c r="I51" t="s">
        <v>165</v>
      </c>
      <c r="J51" t="s">
        <v>253</v>
      </c>
      <c r="K51">
        <v>2.835230122213995E-4</v>
      </c>
      <c r="L51" t="s">
        <v>167</v>
      </c>
      <c r="N51" t="s">
        <v>188</v>
      </c>
      <c r="O51" t="s">
        <v>253</v>
      </c>
      <c r="P51">
        <v>5.289044458801611E-3</v>
      </c>
      <c r="Q51" t="s">
        <v>167</v>
      </c>
      <c r="S51" t="s">
        <v>198</v>
      </c>
      <c r="T51" t="s">
        <v>253</v>
      </c>
      <c r="U51">
        <v>5.6608857860822167E-3</v>
      </c>
      <c r="V51" t="s">
        <v>167</v>
      </c>
      <c r="X51">
        <v>3.5388127853881279E-3</v>
      </c>
      <c r="Y51">
        <v>6.8849497385409693E-3</v>
      </c>
      <c r="Z51" t="s">
        <v>253</v>
      </c>
      <c r="AA51" t="s">
        <v>25</v>
      </c>
      <c r="AC51" t="s">
        <v>22</v>
      </c>
      <c r="AD51" t="s">
        <v>253</v>
      </c>
      <c r="AE51">
        <v>4.2854727038212463E-3</v>
      </c>
      <c r="AG51" t="s">
        <v>96</v>
      </c>
      <c r="AH51" t="s">
        <v>253</v>
      </c>
      <c r="AI51">
        <v>5.6169807073529254E-2</v>
      </c>
      <c r="AK51">
        <v>2030</v>
      </c>
      <c r="AL51" t="s">
        <v>222</v>
      </c>
      <c r="AM51">
        <v>0.36809999999999998</v>
      </c>
      <c r="AN51" t="s">
        <v>217</v>
      </c>
    </row>
    <row r="52" spans="9:40" x14ac:dyDescent="0.45">
      <c r="I52" t="s">
        <v>165</v>
      </c>
      <c r="J52" t="s">
        <v>254</v>
      </c>
      <c r="K52">
        <v>0</v>
      </c>
      <c r="L52" t="s">
        <v>167</v>
      </c>
      <c r="N52" t="s">
        <v>188</v>
      </c>
      <c r="O52" t="s">
        <v>254</v>
      </c>
      <c r="P52">
        <v>3.5934519404146284E-2</v>
      </c>
      <c r="Q52" t="s">
        <v>167</v>
      </c>
      <c r="S52" t="s">
        <v>198</v>
      </c>
      <c r="T52" t="s">
        <v>254</v>
      </c>
      <c r="U52">
        <v>3.8828998681845812E-2</v>
      </c>
      <c r="V52" t="s">
        <v>167</v>
      </c>
      <c r="X52">
        <v>2.4771689497716895E-2</v>
      </c>
      <c r="Y52">
        <v>2.5587350520846285E-2</v>
      </c>
      <c r="Z52" t="s">
        <v>254</v>
      </c>
      <c r="AA52" t="s">
        <v>25</v>
      </c>
      <c r="AC52" t="s">
        <v>22</v>
      </c>
      <c r="AD52" t="s">
        <v>254</v>
      </c>
      <c r="AE52">
        <v>2.7009858189267828E-2</v>
      </c>
      <c r="AG52" t="s">
        <v>96</v>
      </c>
      <c r="AH52" t="s">
        <v>254</v>
      </c>
      <c r="AI52">
        <v>0.14497509768424854</v>
      </c>
      <c r="AK52">
        <v>2030</v>
      </c>
      <c r="AL52" t="s">
        <v>224</v>
      </c>
      <c r="AM52">
        <v>0.35220000000000001</v>
      </c>
      <c r="AN52" t="s">
        <v>217</v>
      </c>
    </row>
    <row r="53" spans="9:40" x14ac:dyDescent="0.45">
      <c r="I53" t="s">
        <v>179</v>
      </c>
      <c r="J53" t="s">
        <v>166</v>
      </c>
      <c r="K53">
        <v>0</v>
      </c>
      <c r="L53" t="s">
        <v>167</v>
      </c>
      <c r="N53" t="s">
        <v>189</v>
      </c>
      <c r="O53" t="s">
        <v>166</v>
      </c>
      <c r="P53">
        <v>2.3196447819011649E-2</v>
      </c>
      <c r="Q53" t="s">
        <v>167</v>
      </c>
      <c r="S53" t="s">
        <v>199</v>
      </c>
      <c r="T53" t="s">
        <v>166</v>
      </c>
      <c r="U53">
        <v>2.6791170465894767E-2</v>
      </c>
      <c r="V53" t="s">
        <v>167</v>
      </c>
      <c r="AC53" t="s">
        <v>19</v>
      </c>
      <c r="AD53" t="s">
        <v>166</v>
      </c>
      <c r="AE53">
        <v>2.636581843946435E-2</v>
      </c>
      <c r="AK53">
        <v>2031</v>
      </c>
      <c r="AL53" t="s">
        <v>155</v>
      </c>
      <c r="AM53">
        <v>0.36795</v>
      </c>
      <c r="AN53" t="s">
        <v>217</v>
      </c>
    </row>
    <row r="54" spans="9:40" x14ac:dyDescent="0.45">
      <c r="I54" t="s">
        <v>179</v>
      </c>
      <c r="J54" t="s">
        <v>168</v>
      </c>
      <c r="K54">
        <v>0</v>
      </c>
      <c r="L54" t="s">
        <v>167</v>
      </c>
      <c r="N54" t="s">
        <v>189</v>
      </c>
      <c r="O54" t="s">
        <v>168</v>
      </c>
      <c r="P54">
        <v>6.0029569308874056E-3</v>
      </c>
      <c r="Q54" t="s">
        <v>167</v>
      </c>
      <c r="S54" t="s">
        <v>199</v>
      </c>
      <c r="T54" t="s">
        <v>168</v>
      </c>
      <c r="U54">
        <v>6.8641509650564812E-3</v>
      </c>
      <c r="V54" t="s">
        <v>167</v>
      </c>
      <c r="AC54" t="s">
        <v>19</v>
      </c>
      <c r="AD54" t="s">
        <v>168</v>
      </c>
      <c r="AE54">
        <v>6.6234876141976979E-3</v>
      </c>
      <c r="AK54">
        <v>2031</v>
      </c>
      <c r="AL54" t="s">
        <v>159</v>
      </c>
      <c r="AM54">
        <v>0.42599999999999999</v>
      </c>
      <c r="AN54" t="s">
        <v>217</v>
      </c>
    </row>
    <row r="55" spans="9:40" x14ac:dyDescent="0.45">
      <c r="I55" t="s">
        <v>179</v>
      </c>
      <c r="J55" t="s">
        <v>169</v>
      </c>
      <c r="K55">
        <v>3.1095491335264255E-4</v>
      </c>
      <c r="L55" t="s">
        <v>167</v>
      </c>
      <c r="N55" t="s">
        <v>189</v>
      </c>
      <c r="O55" t="s">
        <v>169</v>
      </c>
      <c r="P55">
        <v>2.5823586006223483E-2</v>
      </c>
      <c r="Q55" t="s">
        <v>167</v>
      </c>
      <c r="S55" t="s">
        <v>199</v>
      </c>
      <c r="T55" t="s">
        <v>169</v>
      </c>
      <c r="U55">
        <v>2.7868004422487193E-2</v>
      </c>
      <c r="V55" t="s">
        <v>167</v>
      </c>
      <c r="AC55" t="s">
        <v>19</v>
      </c>
      <c r="AD55" t="s">
        <v>169</v>
      </c>
      <c r="AE55">
        <v>2.7080066053784359E-2</v>
      </c>
      <c r="AK55">
        <v>2031</v>
      </c>
      <c r="AL55" t="s">
        <v>161</v>
      </c>
      <c r="AM55">
        <v>0.43625000000000003</v>
      </c>
      <c r="AN55" t="s">
        <v>217</v>
      </c>
    </row>
    <row r="56" spans="9:40" x14ac:dyDescent="0.45">
      <c r="I56" t="s">
        <v>179</v>
      </c>
      <c r="J56" t="s">
        <v>225</v>
      </c>
      <c r="K56">
        <v>4.9631499738439139E-2</v>
      </c>
      <c r="L56" t="s">
        <v>167</v>
      </c>
      <c r="N56" t="s">
        <v>189</v>
      </c>
      <c r="O56" t="s">
        <v>225</v>
      </c>
      <c r="P56">
        <v>4.5927800386180183E-2</v>
      </c>
      <c r="Q56" t="s">
        <v>167</v>
      </c>
      <c r="S56" t="s">
        <v>199</v>
      </c>
      <c r="T56" t="s">
        <v>225</v>
      </c>
      <c r="U56">
        <v>4.7958947245826312E-2</v>
      </c>
      <c r="V56" t="s">
        <v>167</v>
      </c>
      <c r="AC56" t="s">
        <v>19</v>
      </c>
      <c r="AD56" t="s">
        <v>225</v>
      </c>
      <c r="AE56">
        <v>4.7686860601199289E-2</v>
      </c>
      <c r="AK56">
        <v>2031</v>
      </c>
      <c r="AL56" t="s">
        <v>163</v>
      </c>
      <c r="AM56">
        <v>0.44280000000000003</v>
      </c>
      <c r="AN56" t="s">
        <v>217</v>
      </c>
    </row>
    <row r="57" spans="9:40" x14ac:dyDescent="0.45">
      <c r="I57" t="s">
        <v>179</v>
      </c>
      <c r="J57" t="s">
        <v>226</v>
      </c>
      <c r="K57">
        <v>5.6324175845641625E-3</v>
      </c>
      <c r="L57" t="s">
        <v>167</v>
      </c>
      <c r="N57" t="s">
        <v>189</v>
      </c>
      <c r="O57" t="s">
        <v>226</v>
      </c>
      <c r="P57">
        <v>6.5752472277333263E-3</v>
      </c>
      <c r="Q57" t="s">
        <v>167</v>
      </c>
      <c r="S57" t="s">
        <v>199</v>
      </c>
      <c r="T57" t="s">
        <v>226</v>
      </c>
      <c r="U57">
        <v>6.8065149121054906E-3</v>
      </c>
      <c r="V57" t="s">
        <v>167</v>
      </c>
      <c r="AC57" t="s">
        <v>19</v>
      </c>
      <c r="AD57" t="s">
        <v>226</v>
      </c>
      <c r="AE57">
        <v>6.8248020456525499E-3</v>
      </c>
      <c r="AK57">
        <v>2031</v>
      </c>
      <c r="AL57" t="s">
        <v>220</v>
      </c>
      <c r="AM57">
        <v>0.37012500000000004</v>
      </c>
      <c r="AN57" t="s">
        <v>217</v>
      </c>
    </row>
    <row r="58" spans="9:40" x14ac:dyDescent="0.45">
      <c r="I58" t="s">
        <v>179</v>
      </c>
      <c r="J58" t="s">
        <v>227</v>
      </c>
      <c r="K58">
        <v>2.2145334271737888E-3</v>
      </c>
      <c r="L58" t="s">
        <v>167</v>
      </c>
      <c r="N58" t="s">
        <v>189</v>
      </c>
      <c r="O58" t="s">
        <v>227</v>
      </c>
      <c r="P58">
        <v>4.3873487336895785E-2</v>
      </c>
      <c r="Q58" t="s">
        <v>167</v>
      </c>
      <c r="S58" t="s">
        <v>199</v>
      </c>
      <c r="T58" t="s">
        <v>227</v>
      </c>
      <c r="U58">
        <v>4.8957191068462032E-2</v>
      </c>
      <c r="V58" t="s">
        <v>167</v>
      </c>
      <c r="AC58" t="s">
        <v>19</v>
      </c>
      <c r="AD58" t="s">
        <v>227</v>
      </c>
      <c r="AE58">
        <v>4.7312819251798428E-2</v>
      </c>
      <c r="AK58">
        <v>2031</v>
      </c>
      <c r="AL58" t="s">
        <v>222</v>
      </c>
      <c r="AM58">
        <v>0.37769999999999998</v>
      </c>
      <c r="AN58" t="s">
        <v>217</v>
      </c>
    </row>
    <row r="59" spans="9:40" x14ac:dyDescent="0.45">
      <c r="I59" t="s">
        <v>179</v>
      </c>
      <c r="J59" t="s">
        <v>170</v>
      </c>
      <c r="K59">
        <v>0</v>
      </c>
      <c r="L59" t="s">
        <v>167</v>
      </c>
      <c r="N59" t="s">
        <v>189</v>
      </c>
      <c r="O59" t="s">
        <v>170</v>
      </c>
      <c r="P59">
        <v>1.4616123923763481E-2</v>
      </c>
      <c r="Q59" t="s">
        <v>167</v>
      </c>
      <c r="S59" t="s">
        <v>199</v>
      </c>
      <c r="T59" t="s">
        <v>170</v>
      </c>
      <c r="U59">
        <v>1.685907068649696E-2</v>
      </c>
      <c r="V59" t="s">
        <v>167</v>
      </c>
      <c r="AC59" t="s">
        <v>19</v>
      </c>
      <c r="AD59" t="s">
        <v>170</v>
      </c>
      <c r="AE59">
        <v>1.3861628182509462E-2</v>
      </c>
      <c r="AK59">
        <v>2031</v>
      </c>
      <c r="AL59" t="s">
        <v>224</v>
      </c>
      <c r="AM59">
        <v>0.38069999999999998</v>
      </c>
      <c r="AN59" t="s">
        <v>217</v>
      </c>
    </row>
    <row r="60" spans="9:40" x14ac:dyDescent="0.45">
      <c r="I60" t="s">
        <v>179</v>
      </c>
      <c r="J60" t="s">
        <v>171</v>
      </c>
      <c r="K60">
        <v>0</v>
      </c>
      <c r="L60" t="s">
        <v>167</v>
      </c>
      <c r="N60" t="s">
        <v>189</v>
      </c>
      <c r="O60" t="s">
        <v>171</v>
      </c>
      <c r="P60">
        <v>3.7269725526269497E-3</v>
      </c>
      <c r="Q60" t="s">
        <v>167</v>
      </c>
      <c r="S60" t="s">
        <v>199</v>
      </c>
      <c r="T60" t="s">
        <v>171</v>
      </c>
      <c r="U60">
        <v>3.9786087337632158E-3</v>
      </c>
      <c r="V60" t="s">
        <v>167</v>
      </c>
      <c r="AC60" t="s">
        <v>19</v>
      </c>
      <c r="AD60" t="s">
        <v>171</v>
      </c>
      <c r="AE60">
        <v>3.48425562916806E-3</v>
      </c>
      <c r="AK60">
        <v>2032</v>
      </c>
      <c r="AL60" t="s">
        <v>155</v>
      </c>
      <c r="AM60">
        <v>0.38619999999999999</v>
      </c>
      <c r="AN60" t="s">
        <v>217</v>
      </c>
    </row>
    <row r="61" spans="9:40" x14ac:dyDescent="0.45">
      <c r="I61" t="s">
        <v>179</v>
      </c>
      <c r="J61" t="s">
        <v>172</v>
      </c>
      <c r="K61">
        <v>7.1233958932415253E-3</v>
      </c>
      <c r="L61" t="s">
        <v>167</v>
      </c>
      <c r="N61" t="s">
        <v>189</v>
      </c>
      <c r="O61" t="s">
        <v>172</v>
      </c>
      <c r="P61">
        <v>1.5860734720471815E-2</v>
      </c>
      <c r="Q61" t="s">
        <v>167</v>
      </c>
      <c r="S61" t="s">
        <v>199</v>
      </c>
      <c r="T61" t="s">
        <v>172</v>
      </c>
      <c r="U61">
        <v>1.6208207180094785E-2</v>
      </c>
      <c r="V61" t="s">
        <v>167</v>
      </c>
      <c r="AC61" t="s">
        <v>19</v>
      </c>
      <c r="AD61" t="s">
        <v>172</v>
      </c>
      <c r="AE61">
        <v>1.4239847603086339E-2</v>
      </c>
      <c r="AK61">
        <v>2032</v>
      </c>
      <c r="AL61" t="s">
        <v>159</v>
      </c>
      <c r="AM61">
        <v>0.40960000000000002</v>
      </c>
      <c r="AN61" t="s">
        <v>217</v>
      </c>
    </row>
    <row r="62" spans="9:40" x14ac:dyDescent="0.45">
      <c r="I62" t="s">
        <v>179</v>
      </c>
      <c r="J62" t="s">
        <v>228</v>
      </c>
      <c r="K62">
        <v>6.8527281301105983E-2</v>
      </c>
      <c r="L62" t="s">
        <v>167</v>
      </c>
      <c r="N62" t="s">
        <v>189</v>
      </c>
      <c r="O62" t="s">
        <v>228</v>
      </c>
      <c r="P62">
        <v>2.5768086135202151E-2</v>
      </c>
      <c r="Q62" t="s">
        <v>167</v>
      </c>
      <c r="S62" t="s">
        <v>199</v>
      </c>
      <c r="T62" t="s">
        <v>228</v>
      </c>
      <c r="U62">
        <v>2.9792090249312789E-2</v>
      </c>
      <c r="V62" t="s">
        <v>167</v>
      </c>
      <c r="AC62" t="s">
        <v>19</v>
      </c>
      <c r="AD62" t="s">
        <v>228</v>
      </c>
      <c r="AE62">
        <v>2.5049624865953891E-2</v>
      </c>
      <c r="AK62">
        <v>2032</v>
      </c>
      <c r="AL62" t="s">
        <v>161</v>
      </c>
      <c r="AM62">
        <v>0.47575000000000001</v>
      </c>
      <c r="AN62" t="s">
        <v>217</v>
      </c>
    </row>
    <row r="63" spans="9:40" x14ac:dyDescent="0.45">
      <c r="I63" t="s">
        <v>179</v>
      </c>
      <c r="J63" t="s">
        <v>229</v>
      </c>
      <c r="K63">
        <v>8.3854824095048394E-3</v>
      </c>
      <c r="L63" t="s">
        <v>167</v>
      </c>
      <c r="N63" t="s">
        <v>189</v>
      </c>
      <c r="O63" t="s">
        <v>229</v>
      </c>
      <c r="P63">
        <v>3.8606415119446006E-3</v>
      </c>
      <c r="Q63" t="s">
        <v>167</v>
      </c>
      <c r="S63" t="s">
        <v>199</v>
      </c>
      <c r="T63" t="s">
        <v>229</v>
      </c>
      <c r="U63">
        <v>4.2767621666832479E-3</v>
      </c>
      <c r="V63" t="s">
        <v>167</v>
      </c>
      <c r="AC63" t="s">
        <v>19</v>
      </c>
      <c r="AD63" t="s">
        <v>229</v>
      </c>
      <c r="AE63">
        <v>3.5846022578332744E-3</v>
      </c>
      <c r="AK63">
        <v>2032</v>
      </c>
      <c r="AL63" t="s">
        <v>163</v>
      </c>
      <c r="AM63">
        <v>0.49669999999999997</v>
      </c>
      <c r="AN63" t="s">
        <v>217</v>
      </c>
    </row>
    <row r="64" spans="9:40" x14ac:dyDescent="0.45">
      <c r="I64" t="s">
        <v>179</v>
      </c>
      <c r="J64" t="s">
        <v>230</v>
      </c>
      <c r="K64">
        <v>1.0644477186897684E-2</v>
      </c>
      <c r="L64" t="s">
        <v>167</v>
      </c>
      <c r="N64" t="s">
        <v>189</v>
      </c>
      <c r="O64" t="s">
        <v>230</v>
      </c>
      <c r="P64">
        <v>2.8102247739993688E-2</v>
      </c>
      <c r="Q64" t="s">
        <v>167</v>
      </c>
      <c r="S64" t="s">
        <v>199</v>
      </c>
      <c r="T64" t="s">
        <v>230</v>
      </c>
      <c r="U64">
        <v>3.1719412636998089E-2</v>
      </c>
      <c r="V64" t="s">
        <v>167</v>
      </c>
      <c r="AC64" t="s">
        <v>19</v>
      </c>
      <c r="AD64" t="s">
        <v>230</v>
      </c>
      <c r="AE64">
        <v>2.4866797116593325E-2</v>
      </c>
      <c r="AK64">
        <v>2032</v>
      </c>
      <c r="AL64" t="s">
        <v>220</v>
      </c>
      <c r="AM64">
        <v>0.39142500000000002</v>
      </c>
      <c r="AN64" t="s">
        <v>217</v>
      </c>
    </row>
    <row r="65" spans="9:40" x14ac:dyDescent="0.45">
      <c r="I65" t="s">
        <v>179</v>
      </c>
      <c r="J65" t="s">
        <v>173</v>
      </c>
      <c r="K65">
        <v>0</v>
      </c>
      <c r="L65" t="s">
        <v>167</v>
      </c>
      <c r="N65" t="s">
        <v>189</v>
      </c>
      <c r="O65" t="s">
        <v>173</v>
      </c>
      <c r="P65">
        <v>2.5940591968662455E-2</v>
      </c>
      <c r="Q65" t="s">
        <v>167</v>
      </c>
      <c r="S65" t="s">
        <v>199</v>
      </c>
      <c r="T65" t="s">
        <v>173</v>
      </c>
      <c r="U65">
        <v>3.0726867517214446E-2</v>
      </c>
      <c r="V65" t="s">
        <v>167</v>
      </c>
      <c r="AC65" t="s">
        <v>19</v>
      </c>
      <c r="AD65" t="s">
        <v>173</v>
      </c>
      <c r="AE65">
        <v>2.7315207706078266E-2</v>
      </c>
      <c r="AK65">
        <v>2032</v>
      </c>
      <c r="AL65" t="s">
        <v>222</v>
      </c>
      <c r="AM65">
        <v>0.35639999999999999</v>
      </c>
      <c r="AN65" t="s">
        <v>217</v>
      </c>
    </row>
    <row r="66" spans="9:40" x14ac:dyDescent="0.45">
      <c r="I66" t="s">
        <v>179</v>
      </c>
      <c r="J66" t="s">
        <v>174</v>
      </c>
      <c r="K66">
        <v>0</v>
      </c>
      <c r="L66" t="s">
        <v>167</v>
      </c>
      <c r="N66" t="s">
        <v>189</v>
      </c>
      <c r="O66" t="s">
        <v>174</v>
      </c>
      <c r="P66">
        <v>6.2031424504416996E-3</v>
      </c>
      <c r="Q66" t="s">
        <v>167</v>
      </c>
      <c r="S66" t="s">
        <v>199</v>
      </c>
      <c r="T66" t="s">
        <v>174</v>
      </c>
      <c r="U66">
        <v>7.328305884842643E-3</v>
      </c>
      <c r="V66" t="s">
        <v>167</v>
      </c>
      <c r="AC66" t="s">
        <v>19</v>
      </c>
      <c r="AD66" t="s">
        <v>174</v>
      </c>
      <c r="AE66">
        <v>6.8713537044211891E-3</v>
      </c>
      <c r="AK66">
        <v>2032</v>
      </c>
      <c r="AL66" t="s">
        <v>224</v>
      </c>
      <c r="AM66">
        <v>0.37209999999999999</v>
      </c>
      <c r="AN66" t="s">
        <v>217</v>
      </c>
    </row>
    <row r="67" spans="9:40" x14ac:dyDescent="0.45">
      <c r="I67" t="s">
        <v>179</v>
      </c>
      <c r="J67" t="s">
        <v>175</v>
      </c>
      <c r="K67">
        <v>3.937894424982652E-2</v>
      </c>
      <c r="L67" t="s">
        <v>167</v>
      </c>
      <c r="N67" t="s">
        <v>189</v>
      </c>
      <c r="O67" t="s">
        <v>175</v>
      </c>
      <c r="P67">
        <v>2.5841405919999307E-2</v>
      </c>
      <c r="Q67" t="s">
        <v>167</v>
      </c>
      <c r="S67" t="s">
        <v>199</v>
      </c>
      <c r="T67" t="s">
        <v>175</v>
      </c>
      <c r="U67">
        <v>2.7685639712403873E-2</v>
      </c>
      <c r="V67" t="s">
        <v>167</v>
      </c>
      <c r="AC67" t="s">
        <v>19</v>
      </c>
      <c r="AD67" t="s">
        <v>175</v>
      </c>
      <c r="AE67">
        <v>2.7929786581755801E-2</v>
      </c>
      <c r="AK67">
        <v>2033</v>
      </c>
      <c r="AL67" t="s">
        <v>155</v>
      </c>
      <c r="AM67">
        <v>0.35115000000000002</v>
      </c>
      <c r="AN67" t="s">
        <v>217</v>
      </c>
    </row>
    <row r="68" spans="9:40" x14ac:dyDescent="0.45">
      <c r="I68" t="s">
        <v>179</v>
      </c>
      <c r="J68" t="s">
        <v>231</v>
      </c>
      <c r="K68">
        <v>0.16084396140870497</v>
      </c>
      <c r="L68" t="s">
        <v>167</v>
      </c>
      <c r="N68" t="s">
        <v>189</v>
      </c>
      <c r="O68" t="s">
        <v>231</v>
      </c>
      <c r="P68">
        <v>4.3553526476891091E-2</v>
      </c>
      <c r="Q68" t="s">
        <v>167</v>
      </c>
      <c r="S68" t="s">
        <v>199</v>
      </c>
      <c r="T68" t="s">
        <v>231</v>
      </c>
      <c r="U68">
        <v>4.5958816805227017E-2</v>
      </c>
      <c r="V68" t="s">
        <v>167</v>
      </c>
      <c r="AC68" t="s">
        <v>19</v>
      </c>
      <c r="AD68" t="s">
        <v>231</v>
      </c>
      <c r="AE68">
        <v>4.9184788660386079E-2</v>
      </c>
      <c r="AK68">
        <v>2033</v>
      </c>
      <c r="AL68" t="s">
        <v>159</v>
      </c>
      <c r="AM68">
        <v>0.37609999999999999</v>
      </c>
      <c r="AN68" t="s">
        <v>217</v>
      </c>
    </row>
    <row r="69" spans="9:40" x14ac:dyDescent="0.45">
      <c r="I69" t="s">
        <v>179</v>
      </c>
      <c r="J69" t="s">
        <v>232</v>
      </c>
      <c r="K69">
        <v>2.2270056304188716E-2</v>
      </c>
      <c r="L69" t="s">
        <v>167</v>
      </c>
      <c r="N69" t="s">
        <v>189</v>
      </c>
      <c r="O69" t="s">
        <v>232</v>
      </c>
      <c r="P69">
        <v>6.0997687960107037E-3</v>
      </c>
      <c r="Q69" t="s">
        <v>167</v>
      </c>
      <c r="S69" t="s">
        <v>199</v>
      </c>
      <c r="T69" t="s">
        <v>232</v>
      </c>
      <c r="U69">
        <v>7.2683745804040245E-3</v>
      </c>
      <c r="V69" t="s">
        <v>167</v>
      </c>
      <c r="AC69" t="s">
        <v>19</v>
      </c>
      <c r="AD69" t="s">
        <v>232</v>
      </c>
      <c r="AE69">
        <v>7.0266769438550513E-3</v>
      </c>
      <c r="AK69">
        <v>2033</v>
      </c>
      <c r="AL69" t="s">
        <v>161</v>
      </c>
      <c r="AM69">
        <v>0.42615000000000003</v>
      </c>
      <c r="AN69" t="s">
        <v>217</v>
      </c>
    </row>
    <row r="70" spans="9:40" x14ac:dyDescent="0.45">
      <c r="I70" t="s">
        <v>179</v>
      </c>
      <c r="J70" t="s">
        <v>233</v>
      </c>
      <c r="K70">
        <v>4.5863818444865291E-2</v>
      </c>
      <c r="L70" t="s">
        <v>167</v>
      </c>
      <c r="N70" t="s">
        <v>189</v>
      </c>
      <c r="O70" t="s">
        <v>233</v>
      </c>
      <c r="P70">
        <v>4.6444730953676093E-2</v>
      </c>
      <c r="Q70" t="s">
        <v>167</v>
      </c>
      <c r="S70" t="s">
        <v>199</v>
      </c>
      <c r="T70" t="s">
        <v>233</v>
      </c>
      <c r="U70">
        <v>5.3706311106849668E-2</v>
      </c>
      <c r="V70" t="s">
        <v>167</v>
      </c>
      <c r="AC70" t="s">
        <v>19</v>
      </c>
      <c r="AD70" t="s">
        <v>233</v>
      </c>
      <c r="AE70">
        <v>4.8726656539080489E-2</v>
      </c>
      <c r="AK70">
        <v>2033</v>
      </c>
      <c r="AL70" t="s">
        <v>163</v>
      </c>
      <c r="AM70">
        <v>0.51690000000000003</v>
      </c>
      <c r="AN70" t="s">
        <v>217</v>
      </c>
    </row>
    <row r="71" spans="9:40" x14ac:dyDescent="0.45">
      <c r="I71" t="s">
        <v>179</v>
      </c>
      <c r="J71" t="s">
        <v>176</v>
      </c>
      <c r="K71">
        <v>0</v>
      </c>
      <c r="L71" t="s">
        <v>167</v>
      </c>
      <c r="N71" t="s">
        <v>189</v>
      </c>
      <c r="O71" t="s">
        <v>176</v>
      </c>
      <c r="P71">
        <v>1.2448223709772395E-2</v>
      </c>
      <c r="Q71" t="s">
        <v>167</v>
      </c>
      <c r="S71" t="s">
        <v>199</v>
      </c>
      <c r="T71" t="s">
        <v>176</v>
      </c>
      <c r="U71">
        <v>1.1427791780555648E-2</v>
      </c>
      <c r="V71" t="s">
        <v>167</v>
      </c>
      <c r="AC71" t="s">
        <v>19</v>
      </c>
      <c r="AD71" t="s">
        <v>176</v>
      </c>
      <c r="AE71">
        <v>1.3403057406461551E-2</v>
      </c>
      <c r="AK71">
        <v>2033</v>
      </c>
      <c r="AL71" t="s">
        <v>220</v>
      </c>
      <c r="AM71">
        <v>0.35359999999999997</v>
      </c>
      <c r="AN71" t="s">
        <v>217</v>
      </c>
    </row>
    <row r="72" spans="9:40" x14ac:dyDescent="0.45">
      <c r="I72" t="s">
        <v>179</v>
      </c>
      <c r="J72" t="s">
        <v>177</v>
      </c>
      <c r="K72">
        <v>0</v>
      </c>
      <c r="L72" t="s">
        <v>167</v>
      </c>
      <c r="N72" t="s">
        <v>189</v>
      </c>
      <c r="O72" t="s">
        <v>177</v>
      </c>
      <c r="P72">
        <v>2.7982056970128444E-3</v>
      </c>
      <c r="Q72" t="s">
        <v>167</v>
      </c>
      <c r="S72" t="s">
        <v>199</v>
      </c>
      <c r="T72" t="s">
        <v>177</v>
      </c>
      <c r="U72">
        <v>2.6461051380687294E-3</v>
      </c>
      <c r="V72" t="s">
        <v>167</v>
      </c>
      <c r="AC72" t="s">
        <v>19</v>
      </c>
      <c r="AD72" t="s">
        <v>177</v>
      </c>
      <c r="AE72">
        <v>3.3561260295741449E-3</v>
      </c>
      <c r="AK72">
        <v>2033</v>
      </c>
      <c r="AL72" t="s">
        <v>222</v>
      </c>
      <c r="AM72">
        <v>0.36259999999999998</v>
      </c>
      <c r="AN72" t="s">
        <v>217</v>
      </c>
    </row>
    <row r="73" spans="9:40" x14ac:dyDescent="0.45">
      <c r="I73" t="s">
        <v>179</v>
      </c>
      <c r="J73" t="s">
        <v>178</v>
      </c>
      <c r="K73">
        <v>2.2470992288323752E-2</v>
      </c>
      <c r="L73" t="s">
        <v>167</v>
      </c>
      <c r="N73" t="s">
        <v>189</v>
      </c>
      <c r="O73" t="s">
        <v>178</v>
      </c>
      <c r="P73">
        <v>1.0132245902091571E-2</v>
      </c>
      <c r="Q73" t="s">
        <v>167</v>
      </c>
      <c r="S73" t="s">
        <v>199</v>
      </c>
      <c r="T73" t="s">
        <v>178</v>
      </c>
      <c r="U73">
        <v>1.00910978856749E-2</v>
      </c>
      <c r="V73" t="s">
        <v>167</v>
      </c>
      <c r="AC73" t="s">
        <v>19</v>
      </c>
      <c r="AD73" t="s">
        <v>178</v>
      </c>
      <c r="AE73">
        <v>1.3691581984228566E-2</v>
      </c>
      <c r="AK73">
        <v>2033</v>
      </c>
      <c r="AL73" t="s">
        <v>224</v>
      </c>
      <c r="AM73">
        <v>0.32479999999999998</v>
      </c>
      <c r="AN73" t="s">
        <v>217</v>
      </c>
    </row>
    <row r="74" spans="9:40" x14ac:dyDescent="0.45">
      <c r="I74" t="s">
        <v>179</v>
      </c>
      <c r="J74" t="s">
        <v>234</v>
      </c>
      <c r="K74">
        <v>7.7939738182207979E-2</v>
      </c>
      <c r="L74" t="s">
        <v>167</v>
      </c>
      <c r="N74" t="s">
        <v>189</v>
      </c>
      <c r="O74" t="s">
        <v>234</v>
      </c>
      <c r="P74">
        <v>2.002837091881848E-2</v>
      </c>
      <c r="Q74" t="s">
        <v>167</v>
      </c>
      <c r="S74" t="s">
        <v>199</v>
      </c>
      <c r="T74" t="s">
        <v>234</v>
      </c>
      <c r="U74">
        <v>1.7156189779717113E-2</v>
      </c>
      <c r="V74" t="s">
        <v>167</v>
      </c>
      <c r="AC74" t="s">
        <v>19</v>
      </c>
      <c r="AD74" t="s">
        <v>234</v>
      </c>
      <c r="AE74">
        <v>2.4213465797408153E-2</v>
      </c>
      <c r="AK74">
        <v>2034</v>
      </c>
      <c r="AL74" t="s">
        <v>155</v>
      </c>
      <c r="AM74">
        <v>0.34870000000000001</v>
      </c>
      <c r="AN74" t="s">
        <v>217</v>
      </c>
    </row>
    <row r="75" spans="9:40" x14ac:dyDescent="0.45">
      <c r="I75" t="s">
        <v>179</v>
      </c>
      <c r="J75" t="s">
        <v>235</v>
      </c>
      <c r="K75">
        <v>1.1602602454844214E-2</v>
      </c>
      <c r="L75" t="s">
        <v>167</v>
      </c>
      <c r="N75" t="s">
        <v>189</v>
      </c>
      <c r="O75" t="s">
        <v>235</v>
      </c>
      <c r="P75">
        <v>3.264352127022059E-3</v>
      </c>
      <c r="Q75" t="s">
        <v>167</v>
      </c>
      <c r="S75" t="s">
        <v>199</v>
      </c>
      <c r="T75" t="s">
        <v>235</v>
      </c>
      <c r="U75">
        <v>2.876305565244612E-3</v>
      </c>
      <c r="V75" t="s">
        <v>167</v>
      </c>
      <c r="AC75" t="s">
        <v>19</v>
      </c>
      <c r="AD75" t="s">
        <v>235</v>
      </c>
      <c r="AE75">
        <v>3.4568858740699547E-3</v>
      </c>
      <c r="AK75">
        <v>2034</v>
      </c>
      <c r="AL75" t="s">
        <v>159</v>
      </c>
      <c r="AM75">
        <v>0.36849999999999999</v>
      </c>
      <c r="AN75" t="s">
        <v>217</v>
      </c>
    </row>
    <row r="76" spans="9:40" x14ac:dyDescent="0.45">
      <c r="I76" t="s">
        <v>179</v>
      </c>
      <c r="J76" t="s">
        <v>236</v>
      </c>
      <c r="K76">
        <v>2.9691898217369655E-2</v>
      </c>
      <c r="L76" t="s">
        <v>167</v>
      </c>
      <c r="N76" t="s">
        <v>189</v>
      </c>
      <c r="O76" t="s">
        <v>236</v>
      </c>
      <c r="P76">
        <v>2.318778328227061E-2</v>
      </c>
      <c r="Q76" t="s">
        <v>167</v>
      </c>
      <c r="S76" t="s">
        <v>199</v>
      </c>
      <c r="T76" t="s">
        <v>236</v>
      </c>
      <c r="U76">
        <v>1.9933064554858174E-2</v>
      </c>
      <c r="V76" t="s">
        <v>167</v>
      </c>
      <c r="AC76" t="s">
        <v>19</v>
      </c>
      <c r="AD76" t="s">
        <v>236</v>
      </c>
      <c r="AE76">
        <v>2.3980050167505856E-2</v>
      </c>
      <c r="AK76">
        <v>2034</v>
      </c>
      <c r="AL76" t="s">
        <v>161</v>
      </c>
      <c r="AM76">
        <v>0.42895</v>
      </c>
      <c r="AN76" t="s">
        <v>217</v>
      </c>
    </row>
    <row r="77" spans="9:40" x14ac:dyDescent="0.45">
      <c r="I77" t="s">
        <v>179</v>
      </c>
      <c r="J77" t="s">
        <v>237</v>
      </c>
      <c r="K77">
        <v>0</v>
      </c>
      <c r="L77" t="s">
        <v>167</v>
      </c>
      <c r="N77" t="s">
        <v>189</v>
      </c>
      <c r="O77" t="s">
        <v>237</v>
      </c>
      <c r="P77">
        <v>5.3398592572786542E-2</v>
      </c>
      <c r="Q77" t="s">
        <v>167</v>
      </c>
      <c r="S77" t="s">
        <v>199</v>
      </c>
      <c r="T77" t="s">
        <v>237</v>
      </c>
      <c r="U77">
        <v>4.5406528929436842E-2</v>
      </c>
      <c r="V77" t="s">
        <v>167</v>
      </c>
      <c r="AC77" t="s">
        <v>19</v>
      </c>
      <c r="AD77" t="s">
        <v>237</v>
      </c>
      <c r="AE77">
        <v>5.496227517420655E-2</v>
      </c>
      <c r="AK77">
        <v>2034</v>
      </c>
      <c r="AL77" t="s">
        <v>163</v>
      </c>
      <c r="AM77">
        <v>0.45610000000000001</v>
      </c>
      <c r="AN77" t="s">
        <v>217</v>
      </c>
    </row>
    <row r="78" spans="9:40" x14ac:dyDescent="0.45">
      <c r="I78" t="s">
        <v>179</v>
      </c>
      <c r="J78" t="s">
        <v>238</v>
      </c>
      <c r="K78">
        <v>0</v>
      </c>
      <c r="L78" t="s">
        <v>167</v>
      </c>
      <c r="N78" t="s">
        <v>189</v>
      </c>
      <c r="O78" t="s">
        <v>238</v>
      </c>
      <c r="P78">
        <v>1.3072814191137476E-2</v>
      </c>
      <c r="Q78" t="s">
        <v>167</v>
      </c>
      <c r="S78" t="s">
        <v>199</v>
      </c>
      <c r="T78" t="s">
        <v>238</v>
      </c>
      <c r="U78">
        <v>1.0681742036047886E-2</v>
      </c>
      <c r="V78" t="s">
        <v>167</v>
      </c>
      <c r="AC78" t="s">
        <v>19</v>
      </c>
      <c r="AD78" t="s">
        <v>238</v>
      </c>
      <c r="AE78">
        <v>1.3770616066252886E-2</v>
      </c>
      <c r="AK78">
        <v>2034</v>
      </c>
      <c r="AL78" t="s">
        <v>220</v>
      </c>
      <c r="AM78">
        <v>0.39900000000000002</v>
      </c>
      <c r="AN78" t="s">
        <v>217</v>
      </c>
    </row>
    <row r="79" spans="9:40" x14ac:dyDescent="0.45">
      <c r="I79" t="s">
        <v>179</v>
      </c>
      <c r="J79" t="s">
        <v>239</v>
      </c>
      <c r="K79">
        <v>5.2159815295951421E-2</v>
      </c>
      <c r="L79" t="s">
        <v>167</v>
      </c>
      <c r="N79" t="s">
        <v>189</v>
      </c>
      <c r="O79" t="s">
        <v>239</v>
      </c>
      <c r="P79">
        <v>5.0949344064466891E-2</v>
      </c>
      <c r="Q79" t="s">
        <v>167</v>
      </c>
      <c r="S79" t="s">
        <v>199</v>
      </c>
      <c r="T79" t="s">
        <v>239</v>
      </c>
      <c r="U79">
        <v>4.3386983599863337E-2</v>
      </c>
      <c r="V79" t="s">
        <v>167</v>
      </c>
      <c r="AC79" t="s">
        <v>19</v>
      </c>
      <c r="AD79" t="s">
        <v>239</v>
      </c>
      <c r="AE79">
        <v>5.6165570475929058E-2</v>
      </c>
      <c r="AK79">
        <v>2034</v>
      </c>
      <c r="AL79" t="s">
        <v>222</v>
      </c>
      <c r="AM79">
        <v>0.38279999999999997</v>
      </c>
      <c r="AN79" t="s">
        <v>217</v>
      </c>
    </row>
    <row r="80" spans="9:40" x14ac:dyDescent="0.45">
      <c r="I80" t="s">
        <v>179</v>
      </c>
      <c r="J80" t="s">
        <v>240</v>
      </c>
      <c r="K80">
        <v>0.25389101593498675</v>
      </c>
      <c r="L80" t="s">
        <v>167</v>
      </c>
      <c r="N80" t="s">
        <v>189</v>
      </c>
      <c r="O80" t="s">
        <v>240</v>
      </c>
      <c r="P80">
        <v>8.1295538859186306E-2</v>
      </c>
      <c r="Q80" t="s">
        <v>167</v>
      </c>
      <c r="S80" t="s">
        <v>199</v>
      </c>
      <c r="T80" t="s">
        <v>240</v>
      </c>
      <c r="U80">
        <v>7.4204235928107348E-2</v>
      </c>
      <c r="V80" t="s">
        <v>167</v>
      </c>
      <c r="AC80" t="s">
        <v>19</v>
      </c>
      <c r="AD80" t="s">
        <v>240</v>
      </c>
      <c r="AE80">
        <v>9.9280733070762656E-2</v>
      </c>
      <c r="AK80">
        <v>2034</v>
      </c>
      <c r="AL80" t="s">
        <v>224</v>
      </c>
      <c r="AM80">
        <v>0.34639999999999999</v>
      </c>
      <c r="AN80" t="s">
        <v>217</v>
      </c>
    </row>
    <row r="81" spans="9:40" x14ac:dyDescent="0.45">
      <c r="I81" t="s">
        <v>179</v>
      </c>
      <c r="J81" t="s">
        <v>241</v>
      </c>
      <c r="K81">
        <v>3.3118469974966543E-2</v>
      </c>
      <c r="L81" t="s">
        <v>167</v>
      </c>
      <c r="N81" t="s">
        <v>189</v>
      </c>
      <c r="O81" t="s">
        <v>241</v>
      </c>
      <c r="P81">
        <v>1.2068839766945382E-2</v>
      </c>
      <c r="Q81" t="s">
        <v>167</v>
      </c>
      <c r="S81" t="s">
        <v>199</v>
      </c>
      <c r="T81" t="s">
        <v>241</v>
      </c>
      <c r="U81">
        <v>1.1703244734055119E-2</v>
      </c>
      <c r="V81" t="s">
        <v>167</v>
      </c>
      <c r="AC81" t="s">
        <v>19</v>
      </c>
      <c r="AD81" t="s">
        <v>241</v>
      </c>
      <c r="AE81">
        <v>1.4176874746654883E-2</v>
      </c>
      <c r="AK81">
        <v>2035</v>
      </c>
      <c r="AL81" t="s">
        <v>155</v>
      </c>
      <c r="AM81">
        <v>0.34765000000000001</v>
      </c>
      <c r="AN81" t="s">
        <v>217</v>
      </c>
    </row>
    <row r="82" spans="9:40" x14ac:dyDescent="0.45">
      <c r="I82" t="s">
        <v>179</v>
      </c>
      <c r="J82" t="s">
        <v>242</v>
      </c>
      <c r="K82">
        <v>6.5629523749324112E-2</v>
      </c>
      <c r="L82" t="s">
        <v>167</v>
      </c>
      <c r="N82" t="s">
        <v>189</v>
      </c>
      <c r="O82" t="s">
        <v>242</v>
      </c>
      <c r="P82">
        <v>9.1915065466834173E-2</v>
      </c>
      <c r="Q82" t="s">
        <v>167</v>
      </c>
      <c r="S82" t="s">
        <v>199</v>
      </c>
      <c r="T82" t="s">
        <v>242</v>
      </c>
      <c r="U82">
        <v>8.6550181950663191E-2</v>
      </c>
      <c r="V82" t="s">
        <v>167</v>
      </c>
      <c r="AC82" t="s">
        <v>19</v>
      </c>
      <c r="AD82" t="s">
        <v>242</v>
      </c>
      <c r="AE82">
        <v>9.8324389593340764E-2</v>
      </c>
      <c r="AK82">
        <v>2035</v>
      </c>
      <c r="AL82" t="s">
        <v>159</v>
      </c>
      <c r="AM82">
        <v>0.43120000000000003</v>
      </c>
      <c r="AN82" t="s">
        <v>217</v>
      </c>
    </row>
    <row r="83" spans="9:40" x14ac:dyDescent="0.45">
      <c r="I83" t="s">
        <v>179</v>
      </c>
      <c r="J83" t="s">
        <v>243</v>
      </c>
      <c r="K83">
        <v>0</v>
      </c>
      <c r="L83" t="s">
        <v>167</v>
      </c>
      <c r="N83" t="s">
        <v>189</v>
      </c>
      <c r="O83" t="s">
        <v>243</v>
      </c>
      <c r="P83">
        <v>1.5655579783992301E-2</v>
      </c>
      <c r="Q83" t="s">
        <v>167</v>
      </c>
      <c r="S83" t="s">
        <v>199</v>
      </c>
      <c r="T83" t="s">
        <v>243</v>
      </c>
      <c r="U83">
        <v>1.6126629102608449E-2</v>
      </c>
      <c r="V83" t="s">
        <v>167</v>
      </c>
      <c r="AC83" t="s">
        <v>19</v>
      </c>
      <c r="AD83" t="s">
        <v>243</v>
      </c>
      <c r="AE83">
        <v>1.3428892308372079E-2</v>
      </c>
      <c r="AK83">
        <v>2035</v>
      </c>
      <c r="AL83" t="s">
        <v>161</v>
      </c>
      <c r="AM83">
        <v>0.47840000000000005</v>
      </c>
      <c r="AN83" t="s">
        <v>217</v>
      </c>
    </row>
    <row r="84" spans="9:40" x14ac:dyDescent="0.45">
      <c r="I84" t="s">
        <v>179</v>
      </c>
      <c r="J84" t="s">
        <v>244</v>
      </c>
      <c r="K84">
        <v>0</v>
      </c>
      <c r="L84" t="s">
        <v>167</v>
      </c>
      <c r="N84" t="s">
        <v>189</v>
      </c>
      <c r="O84" t="s">
        <v>244</v>
      </c>
      <c r="P84">
        <v>3.6633874698882608E-3</v>
      </c>
      <c r="Q84" t="s">
        <v>167</v>
      </c>
      <c r="S84" t="s">
        <v>199</v>
      </c>
      <c r="T84" t="s">
        <v>244</v>
      </c>
      <c r="U84">
        <v>3.8474030802396575E-3</v>
      </c>
      <c r="V84" t="s">
        <v>167</v>
      </c>
      <c r="AC84" t="s">
        <v>19</v>
      </c>
      <c r="AD84" t="s">
        <v>244</v>
      </c>
      <c r="AE84">
        <v>3.3663685156966419E-3</v>
      </c>
      <c r="AK84">
        <v>2035</v>
      </c>
      <c r="AL84" t="s">
        <v>163</v>
      </c>
      <c r="AM84">
        <v>0.49690000000000001</v>
      </c>
      <c r="AN84" t="s">
        <v>217</v>
      </c>
    </row>
    <row r="85" spans="9:40" x14ac:dyDescent="0.45">
      <c r="I85" t="s">
        <v>179</v>
      </c>
      <c r="J85" t="s">
        <v>245</v>
      </c>
      <c r="K85">
        <v>6.6518488347978266E-7</v>
      </c>
      <c r="L85" t="s">
        <v>167</v>
      </c>
      <c r="N85" t="s">
        <v>189</v>
      </c>
      <c r="O85" t="s">
        <v>245</v>
      </c>
      <c r="P85">
        <v>1.5142701915211099E-2</v>
      </c>
      <c r="Q85" t="s">
        <v>167</v>
      </c>
      <c r="S85" t="s">
        <v>199</v>
      </c>
      <c r="T85" t="s">
        <v>245</v>
      </c>
      <c r="U85">
        <v>1.5605850146975388E-2</v>
      </c>
      <c r="V85" t="s">
        <v>167</v>
      </c>
      <c r="AC85" t="s">
        <v>19</v>
      </c>
      <c r="AD85" t="s">
        <v>245</v>
      </c>
      <c r="AE85">
        <v>1.3720222972727257E-2</v>
      </c>
      <c r="AK85">
        <v>2035</v>
      </c>
      <c r="AL85" t="s">
        <v>220</v>
      </c>
      <c r="AM85">
        <v>0.393125</v>
      </c>
      <c r="AN85" t="s">
        <v>217</v>
      </c>
    </row>
    <row r="86" spans="9:40" x14ac:dyDescent="0.45">
      <c r="I86" t="s">
        <v>179</v>
      </c>
      <c r="J86" t="s">
        <v>246</v>
      </c>
      <c r="K86">
        <v>1.9950295347478685E-2</v>
      </c>
      <c r="L86" t="s">
        <v>167</v>
      </c>
      <c r="N86" t="s">
        <v>189</v>
      </c>
      <c r="O86" t="s">
        <v>246</v>
      </c>
      <c r="P86">
        <v>2.8318063351367096E-2</v>
      </c>
      <c r="Q86" t="s">
        <v>167</v>
      </c>
      <c r="S86" t="s">
        <v>199</v>
      </c>
      <c r="T86" t="s">
        <v>246</v>
      </c>
      <c r="U86">
        <v>2.8181287245507617E-2</v>
      </c>
      <c r="V86" t="s">
        <v>167</v>
      </c>
      <c r="AC86" t="s">
        <v>19</v>
      </c>
      <c r="AD86" t="s">
        <v>246</v>
      </c>
      <c r="AE86">
        <v>2.4202673977299097E-2</v>
      </c>
      <c r="AK86">
        <v>2035</v>
      </c>
      <c r="AL86" t="s">
        <v>222</v>
      </c>
      <c r="AM86">
        <v>0.32440000000000002</v>
      </c>
      <c r="AN86" t="s">
        <v>217</v>
      </c>
    </row>
    <row r="87" spans="9:40" x14ac:dyDescent="0.45">
      <c r="I87" t="s">
        <v>179</v>
      </c>
      <c r="J87" t="s">
        <v>247</v>
      </c>
      <c r="K87">
        <v>1.4204730959694292E-3</v>
      </c>
      <c r="L87" t="s">
        <v>167</v>
      </c>
      <c r="N87" t="s">
        <v>189</v>
      </c>
      <c r="O87" t="s">
        <v>247</v>
      </c>
      <c r="P87">
        <v>4.2121253635463967E-3</v>
      </c>
      <c r="Q87" t="s">
        <v>167</v>
      </c>
      <c r="S87" t="s">
        <v>199</v>
      </c>
      <c r="T87" t="s">
        <v>247</v>
      </c>
      <c r="U87">
        <v>3.9443523826486714E-3</v>
      </c>
      <c r="V87" t="s">
        <v>167</v>
      </c>
      <c r="AC87" t="s">
        <v>19</v>
      </c>
      <c r="AD87" t="s">
        <v>247</v>
      </c>
      <c r="AE87">
        <v>3.4625505769711484E-3</v>
      </c>
      <c r="AK87">
        <v>2035</v>
      </c>
      <c r="AL87" t="s">
        <v>224</v>
      </c>
      <c r="AM87">
        <v>0.35849999999999999</v>
      </c>
      <c r="AN87" t="s">
        <v>217</v>
      </c>
    </row>
    <row r="88" spans="9:40" x14ac:dyDescent="0.45">
      <c r="I88" t="s">
        <v>179</v>
      </c>
      <c r="J88" t="s">
        <v>248</v>
      </c>
      <c r="K88">
        <v>0</v>
      </c>
      <c r="L88" t="s">
        <v>167</v>
      </c>
      <c r="N88" t="s">
        <v>189</v>
      </c>
      <c r="O88" t="s">
        <v>248</v>
      </c>
      <c r="P88">
        <v>3.0324954554174485E-2</v>
      </c>
      <c r="Q88" t="s">
        <v>167</v>
      </c>
      <c r="S88" t="s">
        <v>199</v>
      </c>
      <c r="T88" t="s">
        <v>248</v>
      </c>
      <c r="U88">
        <v>2.7817903904340854E-2</v>
      </c>
      <c r="V88" t="s">
        <v>167</v>
      </c>
      <c r="AC88" t="s">
        <v>19</v>
      </c>
      <c r="AD88" t="s">
        <v>248</v>
      </c>
      <c r="AE88">
        <v>2.4036220918009783E-2</v>
      </c>
      <c r="AK88">
        <v>2036</v>
      </c>
      <c r="AL88" t="s">
        <v>155</v>
      </c>
      <c r="AM88">
        <v>0.35145000000000004</v>
      </c>
      <c r="AN88" t="s">
        <v>217</v>
      </c>
    </row>
    <row r="89" spans="9:40" x14ac:dyDescent="0.45">
      <c r="I89" t="s">
        <v>179</v>
      </c>
      <c r="J89" t="s">
        <v>249</v>
      </c>
      <c r="K89">
        <v>0</v>
      </c>
      <c r="L89" t="s">
        <v>167</v>
      </c>
      <c r="N89" t="s">
        <v>189</v>
      </c>
      <c r="O89" t="s">
        <v>249</v>
      </c>
      <c r="P89">
        <v>2.1165573122012581E-2</v>
      </c>
      <c r="Q89" t="s">
        <v>167</v>
      </c>
      <c r="S89" t="s">
        <v>199</v>
      </c>
      <c r="T89" t="s">
        <v>249</v>
      </c>
      <c r="U89">
        <v>2.0547308682492559E-2</v>
      </c>
      <c r="V89" t="s">
        <v>167</v>
      </c>
      <c r="AC89" t="s">
        <v>19</v>
      </c>
      <c r="AD89" t="s">
        <v>249</v>
      </c>
      <c r="AE89">
        <v>1.3864502328175604E-2</v>
      </c>
      <c r="AK89">
        <v>2036</v>
      </c>
      <c r="AL89" t="s">
        <v>159</v>
      </c>
      <c r="AM89">
        <v>0.43149999999999999</v>
      </c>
      <c r="AN89" t="s">
        <v>217</v>
      </c>
    </row>
    <row r="90" spans="9:40" x14ac:dyDescent="0.45">
      <c r="I90" t="s">
        <v>179</v>
      </c>
      <c r="J90" t="s">
        <v>250</v>
      </c>
      <c r="K90">
        <v>0</v>
      </c>
      <c r="L90" t="s">
        <v>167</v>
      </c>
      <c r="N90" t="s">
        <v>189</v>
      </c>
      <c r="O90" t="s">
        <v>250</v>
      </c>
      <c r="P90">
        <v>5.2057760953221508E-3</v>
      </c>
      <c r="Q90" t="s">
        <v>167</v>
      </c>
      <c r="S90" t="s">
        <v>199</v>
      </c>
      <c r="T90" t="s">
        <v>250</v>
      </c>
      <c r="U90">
        <v>5.2261666371600781E-3</v>
      </c>
      <c r="V90" t="s">
        <v>167</v>
      </c>
      <c r="AC90" t="s">
        <v>19</v>
      </c>
      <c r="AD90" t="s">
        <v>250</v>
      </c>
      <c r="AE90">
        <v>3.4766889181054484E-3</v>
      </c>
      <c r="AK90">
        <v>2036</v>
      </c>
      <c r="AL90" t="s">
        <v>161</v>
      </c>
      <c r="AM90">
        <v>0.47949999999999998</v>
      </c>
      <c r="AN90" t="s">
        <v>217</v>
      </c>
    </row>
    <row r="91" spans="9:40" x14ac:dyDescent="0.45">
      <c r="I91" t="s">
        <v>179</v>
      </c>
      <c r="J91" t="s">
        <v>251</v>
      </c>
      <c r="K91">
        <v>0</v>
      </c>
      <c r="L91" t="s">
        <v>167</v>
      </c>
      <c r="N91" t="s">
        <v>189</v>
      </c>
      <c r="O91" t="s">
        <v>251</v>
      </c>
      <c r="P91">
        <v>2.21015796155975E-2</v>
      </c>
      <c r="Q91" t="s">
        <v>167</v>
      </c>
      <c r="S91" t="s">
        <v>199</v>
      </c>
      <c r="T91" t="s">
        <v>251</v>
      </c>
      <c r="U91">
        <v>2.0387320262087932E-2</v>
      </c>
      <c r="V91" t="s">
        <v>167</v>
      </c>
      <c r="AC91" t="s">
        <v>19</v>
      </c>
      <c r="AD91" t="s">
        <v>251</v>
      </c>
      <c r="AE91">
        <v>1.4181349745259322E-2</v>
      </c>
      <c r="AK91">
        <v>2036</v>
      </c>
      <c r="AL91" t="s">
        <v>163</v>
      </c>
      <c r="AM91">
        <v>0.48209999999999997</v>
      </c>
      <c r="AN91" t="s">
        <v>217</v>
      </c>
    </row>
    <row r="92" spans="9:40" x14ac:dyDescent="0.45">
      <c r="I92" t="s">
        <v>179</v>
      </c>
      <c r="J92" t="s">
        <v>252</v>
      </c>
      <c r="K92">
        <v>1.1249685927429694E-2</v>
      </c>
      <c r="L92" t="s">
        <v>167</v>
      </c>
      <c r="N92" t="s">
        <v>189</v>
      </c>
      <c r="O92" t="s">
        <v>252</v>
      </c>
      <c r="P92">
        <v>3.9448104283512184E-2</v>
      </c>
      <c r="Q92" t="s">
        <v>167</v>
      </c>
      <c r="S92" t="s">
        <v>199</v>
      </c>
      <c r="T92" t="s">
        <v>252</v>
      </c>
      <c r="U92">
        <v>3.7574040345846112E-2</v>
      </c>
      <c r="V92" t="s">
        <v>167</v>
      </c>
      <c r="AC92" t="s">
        <v>19</v>
      </c>
      <c r="AD92" t="s">
        <v>252</v>
      </c>
      <c r="AE92">
        <v>2.5023414288735935E-2</v>
      </c>
      <c r="AK92">
        <v>2036</v>
      </c>
      <c r="AL92" t="s">
        <v>220</v>
      </c>
      <c r="AM92">
        <v>0.384075</v>
      </c>
      <c r="AN92" t="s">
        <v>217</v>
      </c>
    </row>
    <row r="93" spans="9:40" x14ac:dyDescent="0.45">
      <c r="I93" t="s">
        <v>179</v>
      </c>
      <c r="J93" t="s">
        <v>253</v>
      </c>
      <c r="K93">
        <v>4.8001484401949653E-5</v>
      </c>
      <c r="L93" t="s">
        <v>167</v>
      </c>
      <c r="N93" t="s">
        <v>189</v>
      </c>
      <c r="O93" t="s">
        <v>253</v>
      </c>
      <c r="P93">
        <v>5.639258779092441E-3</v>
      </c>
      <c r="Q93" t="s">
        <v>167</v>
      </c>
      <c r="S93" t="s">
        <v>199</v>
      </c>
      <c r="T93" t="s">
        <v>253</v>
      </c>
      <c r="U93">
        <v>5.5527181195719416E-3</v>
      </c>
      <c r="V93" t="s">
        <v>167</v>
      </c>
      <c r="AC93" t="s">
        <v>19</v>
      </c>
      <c r="AD93" t="s">
        <v>253</v>
      </c>
      <c r="AE93">
        <v>3.5797876182175701E-3</v>
      </c>
      <c r="AK93">
        <v>2036</v>
      </c>
      <c r="AL93" t="s">
        <v>222</v>
      </c>
      <c r="AM93">
        <v>0.34429999999999999</v>
      </c>
      <c r="AN93" t="s">
        <v>217</v>
      </c>
    </row>
    <row r="94" spans="9:40" x14ac:dyDescent="0.45">
      <c r="I94" t="s">
        <v>179</v>
      </c>
      <c r="J94" t="s">
        <v>254</v>
      </c>
      <c r="K94">
        <v>0</v>
      </c>
      <c r="L94" t="s">
        <v>167</v>
      </c>
      <c r="N94" t="s">
        <v>189</v>
      </c>
      <c r="O94" t="s">
        <v>254</v>
      </c>
      <c r="P94">
        <v>3.7146020251320362E-2</v>
      </c>
      <c r="Q94" t="s">
        <v>167</v>
      </c>
      <c r="S94" t="s">
        <v>199</v>
      </c>
      <c r="T94" t="s">
        <v>254</v>
      </c>
      <c r="U94">
        <v>3.8371101868106015E-2</v>
      </c>
      <c r="V94" t="s">
        <v>167</v>
      </c>
      <c r="AC94" t="s">
        <v>19</v>
      </c>
      <c r="AD94" t="s">
        <v>254</v>
      </c>
      <c r="AE94">
        <v>2.4840621649217191E-2</v>
      </c>
      <c r="AK94">
        <v>2036</v>
      </c>
      <c r="AL94" t="s">
        <v>224</v>
      </c>
      <c r="AM94">
        <v>0.35599999999999998</v>
      </c>
      <c r="AN94" t="s">
        <v>217</v>
      </c>
    </row>
    <row r="95" spans="9:40" x14ac:dyDescent="0.45">
      <c r="I95" t="s">
        <v>180</v>
      </c>
      <c r="J95" t="s">
        <v>166</v>
      </c>
      <c r="K95">
        <v>0</v>
      </c>
      <c r="L95" t="s">
        <v>167</v>
      </c>
      <c r="N95" t="s">
        <v>190</v>
      </c>
      <c r="O95" t="s">
        <v>166</v>
      </c>
      <c r="P95">
        <v>2.4381574428552096E-2</v>
      </c>
      <c r="Q95" t="s">
        <v>167</v>
      </c>
      <c r="S95" t="s">
        <v>200</v>
      </c>
      <c r="T95" t="s">
        <v>166</v>
      </c>
      <c r="U95">
        <v>2.7094319012983519E-2</v>
      </c>
      <c r="V95" t="s">
        <v>167</v>
      </c>
      <c r="AK95">
        <v>2037</v>
      </c>
      <c r="AL95" t="s">
        <v>155</v>
      </c>
      <c r="AM95">
        <v>0.34384999999999999</v>
      </c>
      <c r="AN95" t="s">
        <v>217</v>
      </c>
    </row>
    <row r="96" spans="9:40" x14ac:dyDescent="0.45">
      <c r="I96" t="s">
        <v>180</v>
      </c>
      <c r="J96" t="s">
        <v>168</v>
      </c>
      <c r="K96">
        <v>0</v>
      </c>
      <c r="L96" t="s">
        <v>167</v>
      </c>
      <c r="N96" t="s">
        <v>190</v>
      </c>
      <c r="O96" t="s">
        <v>168</v>
      </c>
      <c r="P96">
        <v>6.1358033085847277E-3</v>
      </c>
      <c r="Q96" t="s">
        <v>167</v>
      </c>
      <c r="S96" t="s">
        <v>200</v>
      </c>
      <c r="T96" t="s">
        <v>168</v>
      </c>
      <c r="U96">
        <v>6.7312753009404211E-3</v>
      </c>
      <c r="V96" t="s">
        <v>167</v>
      </c>
      <c r="AK96">
        <v>2037</v>
      </c>
      <c r="AL96" t="s">
        <v>159</v>
      </c>
      <c r="AM96">
        <v>0.42120000000000002</v>
      </c>
      <c r="AN96" t="s">
        <v>217</v>
      </c>
    </row>
    <row r="97" spans="9:40" x14ac:dyDescent="0.45">
      <c r="I97" t="s">
        <v>180</v>
      </c>
      <c r="J97" t="s">
        <v>169</v>
      </c>
      <c r="K97">
        <v>2.3468427166960012E-3</v>
      </c>
      <c r="L97" t="s">
        <v>167</v>
      </c>
      <c r="N97" t="s">
        <v>190</v>
      </c>
      <c r="O97" t="s">
        <v>169</v>
      </c>
      <c r="P97">
        <v>2.5848893582971513E-2</v>
      </c>
      <c r="Q97" t="s">
        <v>167</v>
      </c>
      <c r="S97" t="s">
        <v>200</v>
      </c>
      <c r="T97" t="s">
        <v>169</v>
      </c>
      <c r="U97">
        <v>2.754742115402721E-2</v>
      </c>
      <c r="V97" t="s">
        <v>167</v>
      </c>
      <c r="AK97">
        <v>2037</v>
      </c>
      <c r="AL97" t="s">
        <v>161</v>
      </c>
      <c r="AM97">
        <v>0.44425000000000003</v>
      </c>
      <c r="AN97" t="s">
        <v>217</v>
      </c>
    </row>
    <row r="98" spans="9:40" x14ac:dyDescent="0.45">
      <c r="I98" t="s">
        <v>180</v>
      </c>
      <c r="J98" t="s">
        <v>225</v>
      </c>
      <c r="K98">
        <v>5.1326961293173545E-2</v>
      </c>
      <c r="L98" t="s">
        <v>167</v>
      </c>
      <c r="N98" t="s">
        <v>190</v>
      </c>
      <c r="O98" t="s">
        <v>225</v>
      </c>
      <c r="P98">
        <v>4.5470913378690643E-2</v>
      </c>
      <c r="Q98" t="s">
        <v>167</v>
      </c>
      <c r="S98" t="s">
        <v>200</v>
      </c>
      <c r="T98" t="s">
        <v>225</v>
      </c>
      <c r="U98">
        <v>4.9108734795881522E-2</v>
      </c>
      <c r="V98" t="s">
        <v>167</v>
      </c>
      <c r="AK98">
        <v>2037</v>
      </c>
      <c r="AL98" t="s">
        <v>163</v>
      </c>
      <c r="AM98">
        <v>0.44929999999999998</v>
      </c>
      <c r="AN98" t="s">
        <v>217</v>
      </c>
    </row>
    <row r="99" spans="9:40" x14ac:dyDescent="0.45">
      <c r="I99" t="s">
        <v>180</v>
      </c>
      <c r="J99" t="s">
        <v>226</v>
      </c>
      <c r="K99">
        <v>2.2550595522423294E-3</v>
      </c>
      <c r="L99" t="s">
        <v>167</v>
      </c>
      <c r="N99" t="s">
        <v>190</v>
      </c>
      <c r="O99" t="s">
        <v>226</v>
      </c>
      <c r="P99">
        <v>6.5345217079928056E-3</v>
      </c>
      <c r="Q99" t="s">
        <v>167</v>
      </c>
      <c r="S99" t="s">
        <v>200</v>
      </c>
      <c r="T99" t="s">
        <v>226</v>
      </c>
      <c r="U99">
        <v>7.3080618633478414E-3</v>
      </c>
      <c r="V99" t="s">
        <v>167</v>
      </c>
      <c r="AK99">
        <v>2037</v>
      </c>
      <c r="AL99" t="s">
        <v>220</v>
      </c>
      <c r="AM99">
        <v>0.37534999999999996</v>
      </c>
      <c r="AN99" t="s">
        <v>217</v>
      </c>
    </row>
    <row r="100" spans="9:40" x14ac:dyDescent="0.45">
      <c r="I100" t="s">
        <v>180</v>
      </c>
      <c r="J100" t="s">
        <v>227</v>
      </c>
      <c r="K100">
        <v>6.5623878135142027E-4</v>
      </c>
      <c r="L100" t="s">
        <v>167</v>
      </c>
      <c r="N100" t="s">
        <v>190</v>
      </c>
      <c r="O100" t="s">
        <v>227</v>
      </c>
      <c r="P100">
        <v>4.5070108563348948E-2</v>
      </c>
      <c r="Q100" t="s">
        <v>167</v>
      </c>
      <c r="S100" t="s">
        <v>200</v>
      </c>
      <c r="T100" t="s">
        <v>227</v>
      </c>
      <c r="U100">
        <v>5.1702730223662077E-2</v>
      </c>
      <c r="V100" t="s">
        <v>167</v>
      </c>
      <c r="AK100">
        <v>2037</v>
      </c>
      <c r="AL100" t="s">
        <v>222</v>
      </c>
      <c r="AM100">
        <v>0.32990000000000003</v>
      </c>
      <c r="AN100" t="s">
        <v>217</v>
      </c>
    </row>
    <row r="101" spans="9:40" x14ac:dyDescent="0.45">
      <c r="I101" t="s">
        <v>180</v>
      </c>
      <c r="J101" t="s">
        <v>170</v>
      </c>
      <c r="K101">
        <v>0</v>
      </c>
      <c r="L101" t="s">
        <v>167</v>
      </c>
      <c r="N101" t="s">
        <v>190</v>
      </c>
      <c r="O101" t="s">
        <v>170</v>
      </c>
      <c r="P101">
        <v>1.5640912148664175E-2</v>
      </c>
      <c r="Q101" t="s">
        <v>167</v>
      </c>
      <c r="S101" t="s">
        <v>200</v>
      </c>
      <c r="T101" t="s">
        <v>170</v>
      </c>
      <c r="U101">
        <v>1.6380487423443408E-2</v>
      </c>
      <c r="V101" t="s">
        <v>167</v>
      </c>
      <c r="AK101">
        <v>2037</v>
      </c>
      <c r="AL101" t="s">
        <v>224</v>
      </c>
      <c r="AM101">
        <v>0.34300000000000003</v>
      </c>
      <c r="AN101" t="s">
        <v>217</v>
      </c>
    </row>
    <row r="102" spans="9:40" x14ac:dyDescent="0.45">
      <c r="I102" t="s">
        <v>180</v>
      </c>
      <c r="J102" t="s">
        <v>171</v>
      </c>
      <c r="K102">
        <v>0</v>
      </c>
      <c r="L102" t="s">
        <v>167</v>
      </c>
      <c r="N102" t="s">
        <v>190</v>
      </c>
      <c r="O102" t="s">
        <v>171</v>
      </c>
      <c r="P102">
        <v>4.0556504263501063E-3</v>
      </c>
      <c r="Q102" t="s">
        <v>167</v>
      </c>
      <c r="S102" t="s">
        <v>200</v>
      </c>
      <c r="T102" t="s">
        <v>171</v>
      </c>
      <c r="U102">
        <v>3.8674888871377054E-3</v>
      </c>
      <c r="V102" t="s">
        <v>167</v>
      </c>
      <c r="AK102">
        <v>2038</v>
      </c>
      <c r="AL102" t="s">
        <v>155</v>
      </c>
      <c r="AM102">
        <v>0.3574</v>
      </c>
      <c r="AN102" t="s">
        <v>217</v>
      </c>
    </row>
    <row r="103" spans="9:40" x14ac:dyDescent="0.45">
      <c r="I103" t="s">
        <v>180</v>
      </c>
      <c r="J103" t="s">
        <v>172</v>
      </c>
      <c r="K103">
        <v>1.4840939717043112E-2</v>
      </c>
      <c r="L103" t="s">
        <v>167</v>
      </c>
      <c r="N103" t="s">
        <v>190</v>
      </c>
      <c r="O103" t="s">
        <v>172</v>
      </c>
      <c r="P103">
        <v>1.691231151381126E-2</v>
      </c>
      <c r="Q103" t="s">
        <v>167</v>
      </c>
      <c r="S103" t="s">
        <v>200</v>
      </c>
      <c r="T103" t="s">
        <v>172</v>
      </c>
      <c r="U103">
        <v>1.5832415084082944E-2</v>
      </c>
      <c r="V103" t="s">
        <v>167</v>
      </c>
      <c r="AK103">
        <v>2038</v>
      </c>
      <c r="AL103" t="s">
        <v>159</v>
      </c>
      <c r="AM103">
        <v>0.42680000000000001</v>
      </c>
      <c r="AN103" t="s">
        <v>217</v>
      </c>
    </row>
    <row r="104" spans="9:40" x14ac:dyDescent="0.45">
      <c r="I104" t="s">
        <v>180</v>
      </c>
      <c r="J104" t="s">
        <v>228</v>
      </c>
      <c r="K104">
        <v>6.7261606800420398E-2</v>
      </c>
      <c r="L104" t="s">
        <v>167</v>
      </c>
      <c r="N104" t="s">
        <v>190</v>
      </c>
      <c r="O104" t="s">
        <v>228</v>
      </c>
      <c r="P104">
        <v>2.6585375581130687E-2</v>
      </c>
      <c r="Q104" t="s">
        <v>167</v>
      </c>
      <c r="S104" t="s">
        <v>200</v>
      </c>
      <c r="T104" t="s">
        <v>228</v>
      </c>
      <c r="U104">
        <v>3.0124657145248254E-2</v>
      </c>
      <c r="V104" t="s">
        <v>167</v>
      </c>
      <c r="AK104">
        <v>2038</v>
      </c>
      <c r="AL104" t="s">
        <v>161</v>
      </c>
      <c r="AM104">
        <v>0.45084999999999997</v>
      </c>
      <c r="AN104" t="s">
        <v>217</v>
      </c>
    </row>
    <row r="105" spans="9:40" x14ac:dyDescent="0.45">
      <c r="I105" t="s">
        <v>180</v>
      </c>
      <c r="J105" t="s">
        <v>229</v>
      </c>
      <c r="K105">
        <v>7.2513316151919405E-3</v>
      </c>
      <c r="L105" t="s">
        <v>167</v>
      </c>
      <c r="N105" t="s">
        <v>190</v>
      </c>
      <c r="O105" t="s">
        <v>229</v>
      </c>
      <c r="P105">
        <v>3.6100195585291885E-3</v>
      </c>
      <c r="Q105" t="s">
        <v>167</v>
      </c>
      <c r="S105" t="s">
        <v>200</v>
      </c>
      <c r="T105" t="s">
        <v>229</v>
      </c>
      <c r="U105">
        <v>4.403116552464335E-3</v>
      </c>
      <c r="V105" t="s">
        <v>167</v>
      </c>
      <c r="AK105">
        <v>2038</v>
      </c>
      <c r="AL105" t="s">
        <v>163</v>
      </c>
      <c r="AM105">
        <v>0.45619999999999999</v>
      </c>
      <c r="AN105" t="s">
        <v>217</v>
      </c>
    </row>
    <row r="106" spans="9:40" x14ac:dyDescent="0.45">
      <c r="I106" t="s">
        <v>180</v>
      </c>
      <c r="J106" t="s">
        <v>230</v>
      </c>
      <c r="K106">
        <v>6.4124720340808482E-3</v>
      </c>
      <c r="L106" t="s">
        <v>167</v>
      </c>
      <c r="N106" t="s">
        <v>190</v>
      </c>
      <c r="O106" t="s">
        <v>230</v>
      </c>
      <c r="P106">
        <v>2.7888809774571914E-2</v>
      </c>
      <c r="Q106" t="s">
        <v>167</v>
      </c>
      <c r="S106" t="s">
        <v>200</v>
      </c>
      <c r="T106" t="s">
        <v>230</v>
      </c>
      <c r="U106">
        <v>3.1711677039374497E-2</v>
      </c>
      <c r="V106" t="s">
        <v>167</v>
      </c>
      <c r="AK106">
        <v>2038</v>
      </c>
      <c r="AL106" t="s">
        <v>220</v>
      </c>
      <c r="AM106">
        <v>0.37222499999999997</v>
      </c>
      <c r="AN106" t="s">
        <v>217</v>
      </c>
    </row>
    <row r="107" spans="9:40" x14ac:dyDescent="0.45">
      <c r="I107" t="s">
        <v>180</v>
      </c>
      <c r="J107" t="s">
        <v>173</v>
      </c>
      <c r="K107">
        <v>0</v>
      </c>
      <c r="L107" t="s">
        <v>167</v>
      </c>
      <c r="N107" t="s">
        <v>190</v>
      </c>
      <c r="O107" t="s">
        <v>173</v>
      </c>
      <c r="P107">
        <v>2.5948440027356055E-2</v>
      </c>
      <c r="Q107" t="s">
        <v>167</v>
      </c>
      <c r="S107" t="s">
        <v>200</v>
      </c>
      <c r="T107" t="s">
        <v>173</v>
      </c>
      <c r="U107">
        <v>3.0017116428205121E-2</v>
      </c>
      <c r="V107" t="s">
        <v>167</v>
      </c>
      <c r="AK107">
        <v>2038</v>
      </c>
      <c r="AL107" t="s">
        <v>222</v>
      </c>
      <c r="AM107">
        <v>0.3266</v>
      </c>
      <c r="AN107" t="s">
        <v>217</v>
      </c>
    </row>
    <row r="108" spans="9:40" x14ac:dyDescent="0.45">
      <c r="I108" t="s">
        <v>180</v>
      </c>
      <c r="J108" t="s">
        <v>174</v>
      </c>
      <c r="K108">
        <v>9.8472116213705729E-4</v>
      </c>
      <c r="L108" t="s">
        <v>167</v>
      </c>
      <c r="N108" t="s">
        <v>190</v>
      </c>
      <c r="O108" t="s">
        <v>174</v>
      </c>
      <c r="P108">
        <v>6.2209324040497019E-3</v>
      </c>
      <c r="Q108" t="s">
        <v>167</v>
      </c>
      <c r="S108" t="s">
        <v>200</v>
      </c>
      <c r="T108" t="s">
        <v>174</v>
      </c>
      <c r="U108">
        <v>7.1403433214546489E-3</v>
      </c>
      <c r="V108" t="s">
        <v>167</v>
      </c>
      <c r="AK108">
        <v>2038</v>
      </c>
      <c r="AL108" t="s">
        <v>224</v>
      </c>
      <c r="AM108">
        <v>0.37180000000000002</v>
      </c>
      <c r="AN108" t="s">
        <v>217</v>
      </c>
    </row>
    <row r="109" spans="9:40" x14ac:dyDescent="0.45">
      <c r="I109" t="s">
        <v>180</v>
      </c>
      <c r="J109" t="s">
        <v>175</v>
      </c>
      <c r="K109">
        <v>5.4547916885756602E-2</v>
      </c>
      <c r="L109" t="s">
        <v>167</v>
      </c>
      <c r="N109" t="s">
        <v>190</v>
      </c>
      <c r="O109" t="s">
        <v>175</v>
      </c>
      <c r="P109">
        <v>2.5609789889488678E-2</v>
      </c>
      <c r="Q109" t="s">
        <v>167</v>
      </c>
      <c r="S109" t="s">
        <v>200</v>
      </c>
      <c r="T109" t="s">
        <v>175</v>
      </c>
      <c r="U109">
        <v>2.7015397376251048E-2</v>
      </c>
      <c r="V109" t="s">
        <v>167</v>
      </c>
      <c r="AK109">
        <v>2039</v>
      </c>
      <c r="AL109" t="s">
        <v>155</v>
      </c>
      <c r="AM109">
        <v>0.3024</v>
      </c>
      <c r="AN109" t="s">
        <v>217</v>
      </c>
    </row>
    <row r="110" spans="9:40" x14ac:dyDescent="0.45">
      <c r="I110" t="s">
        <v>180</v>
      </c>
      <c r="J110" t="s">
        <v>231</v>
      </c>
      <c r="K110">
        <v>0.16271860014470171</v>
      </c>
      <c r="L110" t="s">
        <v>167</v>
      </c>
      <c r="N110" t="s">
        <v>190</v>
      </c>
      <c r="O110" t="s">
        <v>231</v>
      </c>
      <c r="P110">
        <v>4.173461547521682E-2</v>
      </c>
      <c r="Q110" t="s">
        <v>167</v>
      </c>
      <c r="S110" t="s">
        <v>200</v>
      </c>
      <c r="T110" t="s">
        <v>231</v>
      </c>
      <c r="U110">
        <v>4.3668764473249216E-2</v>
      </c>
      <c r="V110" t="s">
        <v>167</v>
      </c>
      <c r="AK110">
        <v>2039</v>
      </c>
      <c r="AL110" t="s">
        <v>159</v>
      </c>
      <c r="AM110">
        <v>0.35160000000000002</v>
      </c>
      <c r="AN110" t="s">
        <v>217</v>
      </c>
    </row>
    <row r="111" spans="9:40" x14ac:dyDescent="0.45">
      <c r="I111" t="s">
        <v>180</v>
      </c>
      <c r="J111" t="s">
        <v>232</v>
      </c>
      <c r="K111">
        <v>1.9675244091122281E-2</v>
      </c>
      <c r="L111" t="s">
        <v>167</v>
      </c>
      <c r="N111" t="s">
        <v>190</v>
      </c>
      <c r="O111" t="s">
        <v>232</v>
      </c>
      <c r="P111">
        <v>6.2030613679845527E-3</v>
      </c>
      <c r="Q111" t="s">
        <v>167</v>
      </c>
      <c r="S111" t="s">
        <v>200</v>
      </c>
      <c r="T111" t="s">
        <v>232</v>
      </c>
      <c r="U111">
        <v>6.5080426385809948E-3</v>
      </c>
      <c r="V111" t="s">
        <v>167</v>
      </c>
      <c r="AK111">
        <v>2039</v>
      </c>
      <c r="AL111" t="s">
        <v>161</v>
      </c>
      <c r="AM111">
        <v>0.42254999999999998</v>
      </c>
      <c r="AN111" t="s">
        <v>217</v>
      </c>
    </row>
    <row r="112" spans="9:40" x14ac:dyDescent="0.45">
      <c r="I112" t="s">
        <v>180</v>
      </c>
      <c r="J112" t="s">
        <v>233</v>
      </c>
      <c r="K112">
        <v>3.2639984839136056E-2</v>
      </c>
      <c r="L112" t="s">
        <v>167</v>
      </c>
      <c r="N112" t="s">
        <v>190</v>
      </c>
      <c r="O112" t="s">
        <v>233</v>
      </c>
      <c r="P112">
        <v>4.8789956054208758E-2</v>
      </c>
      <c r="Q112" t="s">
        <v>167</v>
      </c>
      <c r="S112" t="s">
        <v>200</v>
      </c>
      <c r="T112" t="s">
        <v>233</v>
      </c>
      <c r="U112">
        <v>4.9794062849459975E-2</v>
      </c>
      <c r="V112" t="s">
        <v>167</v>
      </c>
      <c r="AK112">
        <v>2039</v>
      </c>
      <c r="AL112" t="s">
        <v>163</v>
      </c>
      <c r="AM112">
        <v>0.4037</v>
      </c>
      <c r="AN112" t="s">
        <v>217</v>
      </c>
    </row>
    <row r="113" spans="9:40" x14ac:dyDescent="0.45">
      <c r="I113" t="s">
        <v>180</v>
      </c>
      <c r="J113" t="s">
        <v>176</v>
      </c>
      <c r="K113">
        <v>0</v>
      </c>
      <c r="L113" t="s">
        <v>167</v>
      </c>
      <c r="N113" t="s">
        <v>190</v>
      </c>
      <c r="O113" t="s">
        <v>176</v>
      </c>
      <c r="P113">
        <v>1.262894802639403E-2</v>
      </c>
      <c r="Q113" t="s">
        <v>167</v>
      </c>
      <c r="S113" t="s">
        <v>200</v>
      </c>
      <c r="T113" t="s">
        <v>176</v>
      </c>
      <c r="U113">
        <v>1.1726333139482667E-2</v>
      </c>
      <c r="V113" t="s">
        <v>167</v>
      </c>
      <c r="AK113">
        <v>2039</v>
      </c>
      <c r="AL113" t="s">
        <v>220</v>
      </c>
      <c r="AM113">
        <v>0.31062500000000004</v>
      </c>
      <c r="AN113" t="s">
        <v>217</v>
      </c>
    </row>
    <row r="114" spans="9:40" x14ac:dyDescent="0.45">
      <c r="I114" t="s">
        <v>180</v>
      </c>
      <c r="J114" t="s">
        <v>177</v>
      </c>
      <c r="K114">
        <v>2.1513142803726375E-3</v>
      </c>
      <c r="L114" t="s">
        <v>167</v>
      </c>
      <c r="N114" t="s">
        <v>190</v>
      </c>
      <c r="O114" t="s">
        <v>177</v>
      </c>
      <c r="P114">
        <v>3.0858604116850538E-3</v>
      </c>
      <c r="Q114" t="s">
        <v>167</v>
      </c>
      <c r="S114" t="s">
        <v>200</v>
      </c>
      <c r="T114" t="s">
        <v>177</v>
      </c>
      <c r="U114">
        <v>2.7189118414068644E-3</v>
      </c>
      <c r="V114" t="s">
        <v>167</v>
      </c>
      <c r="AK114">
        <v>2039</v>
      </c>
      <c r="AL114" t="s">
        <v>222</v>
      </c>
      <c r="AM114">
        <v>0.29020000000000001</v>
      </c>
      <c r="AN114" t="s">
        <v>217</v>
      </c>
    </row>
    <row r="115" spans="9:40" x14ac:dyDescent="0.45">
      <c r="I115" t="s">
        <v>180</v>
      </c>
      <c r="J115" t="s">
        <v>178</v>
      </c>
      <c r="K115">
        <v>2.9394038853142696E-2</v>
      </c>
      <c r="L115" t="s">
        <v>167</v>
      </c>
      <c r="N115" t="s">
        <v>190</v>
      </c>
      <c r="O115" t="s">
        <v>178</v>
      </c>
      <c r="P115">
        <v>1.1758478188187602E-2</v>
      </c>
      <c r="Q115" t="s">
        <v>167</v>
      </c>
      <c r="S115" t="s">
        <v>200</v>
      </c>
      <c r="T115" t="s">
        <v>178</v>
      </c>
      <c r="U115">
        <v>1.1039572330519288E-2</v>
      </c>
      <c r="V115" t="s">
        <v>167</v>
      </c>
      <c r="AK115">
        <v>2039</v>
      </c>
      <c r="AL115" t="s">
        <v>224</v>
      </c>
      <c r="AM115">
        <v>0.30790000000000001</v>
      </c>
      <c r="AN115" t="s">
        <v>217</v>
      </c>
    </row>
    <row r="116" spans="9:40" x14ac:dyDescent="0.45">
      <c r="I116" t="s">
        <v>180</v>
      </c>
      <c r="J116" t="s">
        <v>234</v>
      </c>
      <c r="K116">
        <v>7.9945757569329062E-2</v>
      </c>
      <c r="L116" t="s">
        <v>167</v>
      </c>
      <c r="N116" t="s">
        <v>190</v>
      </c>
      <c r="O116" t="s">
        <v>234</v>
      </c>
      <c r="P116">
        <v>2.0590132068985849E-2</v>
      </c>
      <c r="Q116" t="s">
        <v>167</v>
      </c>
      <c r="S116" t="s">
        <v>200</v>
      </c>
      <c r="T116" t="s">
        <v>234</v>
      </c>
      <c r="U116">
        <v>1.7009056965425862E-2</v>
      </c>
      <c r="V116" t="s">
        <v>167</v>
      </c>
      <c r="AK116">
        <v>2040</v>
      </c>
      <c r="AL116" t="s">
        <v>155</v>
      </c>
      <c r="AM116">
        <v>0.31919999999999998</v>
      </c>
      <c r="AN116" t="s">
        <v>217</v>
      </c>
    </row>
    <row r="117" spans="9:40" x14ac:dyDescent="0.45">
      <c r="I117" t="s">
        <v>180</v>
      </c>
      <c r="J117" t="s">
        <v>235</v>
      </c>
      <c r="K117">
        <v>9.9858473519353532E-3</v>
      </c>
      <c r="L117" t="s">
        <v>167</v>
      </c>
      <c r="N117" t="s">
        <v>190</v>
      </c>
      <c r="O117" t="s">
        <v>235</v>
      </c>
      <c r="P117">
        <v>3.341246728671165E-3</v>
      </c>
      <c r="Q117" t="s">
        <v>167</v>
      </c>
      <c r="S117" t="s">
        <v>200</v>
      </c>
      <c r="T117" t="s">
        <v>235</v>
      </c>
      <c r="U117">
        <v>2.4646161497109144E-3</v>
      </c>
      <c r="V117" t="s">
        <v>167</v>
      </c>
      <c r="AK117">
        <v>2040</v>
      </c>
      <c r="AL117" t="s">
        <v>159</v>
      </c>
      <c r="AM117">
        <v>0.31390000000000001</v>
      </c>
      <c r="AN117" t="s">
        <v>217</v>
      </c>
    </row>
    <row r="118" spans="9:40" x14ac:dyDescent="0.45">
      <c r="I118" t="s">
        <v>180</v>
      </c>
      <c r="J118" t="s">
        <v>236</v>
      </c>
      <c r="K118">
        <v>2.0950763385086824E-2</v>
      </c>
      <c r="L118" t="s">
        <v>167</v>
      </c>
      <c r="N118" t="s">
        <v>190</v>
      </c>
      <c r="O118" t="s">
        <v>236</v>
      </c>
      <c r="P118">
        <v>2.3315185946625818E-2</v>
      </c>
      <c r="Q118" t="s">
        <v>167</v>
      </c>
      <c r="S118" t="s">
        <v>200</v>
      </c>
      <c r="T118" t="s">
        <v>236</v>
      </c>
      <c r="U118">
        <v>1.8649422856692945E-2</v>
      </c>
      <c r="V118" t="s">
        <v>167</v>
      </c>
      <c r="AK118">
        <v>2040</v>
      </c>
      <c r="AL118" t="s">
        <v>161</v>
      </c>
      <c r="AM118">
        <v>0.36699999999999999</v>
      </c>
      <c r="AN118" t="s">
        <v>217</v>
      </c>
    </row>
    <row r="119" spans="9:40" x14ac:dyDescent="0.45">
      <c r="I119" t="s">
        <v>180</v>
      </c>
      <c r="J119" t="s">
        <v>237</v>
      </c>
      <c r="K119">
        <v>0</v>
      </c>
      <c r="L119" t="s">
        <v>167</v>
      </c>
      <c r="N119" t="s">
        <v>190</v>
      </c>
      <c r="O119" t="s">
        <v>237</v>
      </c>
      <c r="P119">
        <v>5.2160801880653154E-2</v>
      </c>
      <c r="Q119" t="s">
        <v>167</v>
      </c>
      <c r="S119" t="s">
        <v>200</v>
      </c>
      <c r="T119" t="s">
        <v>237</v>
      </c>
      <c r="U119">
        <v>4.6650898365470997E-2</v>
      </c>
      <c r="V119" t="s">
        <v>167</v>
      </c>
      <c r="AK119">
        <v>2040</v>
      </c>
      <c r="AL119" t="s">
        <v>163</v>
      </c>
      <c r="AM119">
        <v>0.43020000000000003</v>
      </c>
      <c r="AN119" t="s">
        <v>217</v>
      </c>
    </row>
    <row r="120" spans="9:40" x14ac:dyDescent="0.45">
      <c r="I120" t="s">
        <v>180</v>
      </c>
      <c r="J120" t="s">
        <v>238</v>
      </c>
      <c r="K120">
        <v>2.0080739963382098E-3</v>
      </c>
      <c r="L120" t="s">
        <v>167</v>
      </c>
      <c r="N120" t="s">
        <v>190</v>
      </c>
      <c r="O120" t="s">
        <v>238</v>
      </c>
      <c r="P120">
        <v>1.2519808589118706E-2</v>
      </c>
      <c r="Q120" t="s">
        <v>167</v>
      </c>
      <c r="S120" t="s">
        <v>200</v>
      </c>
      <c r="T120" t="s">
        <v>238</v>
      </c>
      <c r="U120">
        <v>1.0978764075172653E-2</v>
      </c>
      <c r="V120" t="s">
        <v>167</v>
      </c>
      <c r="AK120">
        <v>2040</v>
      </c>
      <c r="AL120" t="s">
        <v>220</v>
      </c>
      <c r="AM120">
        <v>0.32852500000000007</v>
      </c>
      <c r="AN120" t="s">
        <v>217</v>
      </c>
    </row>
    <row r="121" spans="9:40" x14ac:dyDescent="0.45">
      <c r="I121" t="s">
        <v>180</v>
      </c>
      <c r="J121" t="s">
        <v>239</v>
      </c>
      <c r="K121">
        <v>7.1450356388980354E-2</v>
      </c>
      <c r="L121" t="s">
        <v>167</v>
      </c>
      <c r="N121" t="s">
        <v>190</v>
      </c>
      <c r="O121" t="s">
        <v>239</v>
      </c>
      <c r="P121">
        <v>4.8321696830616316E-2</v>
      </c>
      <c r="Q121" t="s">
        <v>167</v>
      </c>
      <c r="S121" t="s">
        <v>200</v>
      </c>
      <c r="T121" t="s">
        <v>239</v>
      </c>
      <c r="U121">
        <v>4.3927606196442211E-2</v>
      </c>
      <c r="V121" t="s">
        <v>167</v>
      </c>
      <c r="AK121">
        <v>2040</v>
      </c>
      <c r="AL121" t="s">
        <v>222</v>
      </c>
      <c r="AM121">
        <v>0.28770000000000001</v>
      </c>
      <c r="AN121" t="s">
        <v>217</v>
      </c>
    </row>
    <row r="122" spans="9:40" x14ac:dyDescent="0.45">
      <c r="I122" t="s">
        <v>180</v>
      </c>
      <c r="J122" t="s">
        <v>240</v>
      </c>
      <c r="K122">
        <v>0.246890990762061</v>
      </c>
      <c r="L122" t="s">
        <v>167</v>
      </c>
      <c r="N122" t="s">
        <v>190</v>
      </c>
      <c r="O122" t="s">
        <v>240</v>
      </c>
      <c r="P122">
        <v>7.9941473691210463E-2</v>
      </c>
      <c r="Q122" t="s">
        <v>167</v>
      </c>
      <c r="S122" t="s">
        <v>200</v>
      </c>
      <c r="T122" t="s">
        <v>240</v>
      </c>
      <c r="U122">
        <v>7.6818798086220705E-2</v>
      </c>
      <c r="V122" t="s">
        <v>167</v>
      </c>
      <c r="AK122">
        <v>2040</v>
      </c>
      <c r="AL122" t="s">
        <v>224</v>
      </c>
      <c r="AM122">
        <v>0.3261</v>
      </c>
      <c r="AN122" t="s">
        <v>217</v>
      </c>
    </row>
    <row r="123" spans="9:40" x14ac:dyDescent="0.45">
      <c r="I123" t="s">
        <v>180</v>
      </c>
      <c r="J123" t="s">
        <v>241</v>
      </c>
      <c r="K123">
        <v>2.9403352947516243E-2</v>
      </c>
      <c r="L123" t="s">
        <v>167</v>
      </c>
      <c r="N123" t="s">
        <v>190</v>
      </c>
      <c r="O123" t="s">
        <v>241</v>
      </c>
      <c r="P123">
        <v>1.2135481514149444E-2</v>
      </c>
      <c r="Q123" t="s">
        <v>167</v>
      </c>
      <c r="S123" t="s">
        <v>200</v>
      </c>
      <c r="T123" t="s">
        <v>241</v>
      </c>
      <c r="U123">
        <v>1.1999469716946098E-2</v>
      </c>
      <c r="V123" t="s">
        <v>167</v>
      </c>
      <c r="AK123">
        <v>2041</v>
      </c>
      <c r="AL123" t="s">
        <v>155</v>
      </c>
      <c r="AM123">
        <v>0.29925000000000002</v>
      </c>
      <c r="AN123" t="s">
        <v>217</v>
      </c>
    </row>
    <row r="124" spans="9:40" x14ac:dyDescent="0.45">
      <c r="I124" t="s">
        <v>180</v>
      </c>
      <c r="J124" t="s">
        <v>242</v>
      </c>
      <c r="K124">
        <v>4.6741799454926576E-2</v>
      </c>
      <c r="L124" t="s">
        <v>167</v>
      </c>
      <c r="N124" t="s">
        <v>190</v>
      </c>
      <c r="O124" t="s">
        <v>242</v>
      </c>
      <c r="P124">
        <v>9.2188457694396514E-2</v>
      </c>
      <c r="Q124" t="s">
        <v>167</v>
      </c>
      <c r="S124" t="s">
        <v>200</v>
      </c>
      <c r="T124" t="s">
        <v>242</v>
      </c>
      <c r="U124">
        <v>9.0494585109376427E-2</v>
      </c>
      <c r="V124" t="s">
        <v>167</v>
      </c>
      <c r="AK124">
        <v>2041</v>
      </c>
      <c r="AL124" t="s">
        <v>159</v>
      </c>
      <c r="AM124">
        <v>0.3357</v>
      </c>
      <c r="AN124" t="s">
        <v>217</v>
      </c>
    </row>
    <row r="125" spans="9:40" x14ac:dyDescent="0.45">
      <c r="I125" t="s">
        <v>180</v>
      </c>
      <c r="J125" t="s">
        <v>243</v>
      </c>
      <c r="K125">
        <v>0</v>
      </c>
      <c r="L125" t="s">
        <v>167</v>
      </c>
      <c r="N125" t="s">
        <v>190</v>
      </c>
      <c r="O125" t="s">
        <v>243</v>
      </c>
      <c r="P125">
        <v>1.5842489911439408E-2</v>
      </c>
      <c r="Q125" t="s">
        <v>167</v>
      </c>
      <c r="S125" t="s">
        <v>200</v>
      </c>
      <c r="T125" t="s">
        <v>243</v>
      </c>
      <c r="U125">
        <v>1.6081902034418883E-2</v>
      </c>
      <c r="V125" t="s">
        <v>167</v>
      </c>
      <c r="AK125">
        <v>2041</v>
      </c>
      <c r="AL125" t="s">
        <v>161</v>
      </c>
      <c r="AM125">
        <v>0.39979999999999999</v>
      </c>
      <c r="AN125" t="s">
        <v>217</v>
      </c>
    </row>
    <row r="126" spans="9:40" x14ac:dyDescent="0.45">
      <c r="I126" t="s">
        <v>180</v>
      </c>
      <c r="J126" t="s">
        <v>244</v>
      </c>
      <c r="K126">
        <v>0</v>
      </c>
      <c r="L126" t="s">
        <v>167</v>
      </c>
      <c r="N126" t="s">
        <v>190</v>
      </c>
      <c r="O126" t="s">
        <v>244</v>
      </c>
      <c r="P126">
        <v>3.8437315607022875E-3</v>
      </c>
      <c r="Q126" t="s">
        <v>167</v>
      </c>
      <c r="S126" t="s">
        <v>200</v>
      </c>
      <c r="T126" t="s">
        <v>244</v>
      </c>
      <c r="U126">
        <v>3.9875607589670275E-3</v>
      </c>
      <c r="V126" t="s">
        <v>167</v>
      </c>
      <c r="AK126">
        <v>2041</v>
      </c>
      <c r="AL126" t="s">
        <v>163</v>
      </c>
      <c r="AM126">
        <v>0.43619999999999998</v>
      </c>
      <c r="AN126" t="s">
        <v>217</v>
      </c>
    </row>
    <row r="127" spans="9:40" x14ac:dyDescent="0.45">
      <c r="I127" t="s">
        <v>180</v>
      </c>
      <c r="J127" t="s">
        <v>245</v>
      </c>
      <c r="K127">
        <v>1.2163755459381994E-3</v>
      </c>
      <c r="L127" t="s">
        <v>167</v>
      </c>
      <c r="N127" t="s">
        <v>190</v>
      </c>
      <c r="O127" t="s">
        <v>245</v>
      </c>
      <c r="P127">
        <v>1.5344160194828111E-2</v>
      </c>
      <c r="Q127" t="s">
        <v>167</v>
      </c>
      <c r="S127" t="s">
        <v>200</v>
      </c>
      <c r="T127" t="s">
        <v>245</v>
      </c>
      <c r="U127">
        <v>1.6591654194790782E-2</v>
      </c>
      <c r="V127" t="s">
        <v>167</v>
      </c>
      <c r="AK127">
        <v>2041</v>
      </c>
      <c r="AL127" t="s">
        <v>220</v>
      </c>
      <c r="AM127">
        <v>0.33612500000000001</v>
      </c>
      <c r="AN127" t="s">
        <v>217</v>
      </c>
    </row>
    <row r="128" spans="9:40" x14ac:dyDescent="0.45">
      <c r="I128" t="s">
        <v>180</v>
      </c>
      <c r="J128" t="s">
        <v>246</v>
      </c>
      <c r="K128">
        <v>2.4660473510247138E-2</v>
      </c>
      <c r="L128" t="s">
        <v>167</v>
      </c>
      <c r="N128" t="s">
        <v>190</v>
      </c>
      <c r="O128" t="s">
        <v>246</v>
      </c>
      <c r="P128">
        <v>2.6417572593905973E-2</v>
      </c>
      <c r="Q128" t="s">
        <v>167</v>
      </c>
      <c r="S128" t="s">
        <v>200</v>
      </c>
      <c r="T128" t="s">
        <v>246</v>
      </c>
      <c r="U128">
        <v>2.8115769151032283E-2</v>
      </c>
      <c r="V128" t="s">
        <v>167</v>
      </c>
      <c r="AK128">
        <v>2041</v>
      </c>
      <c r="AL128" t="s">
        <v>222</v>
      </c>
      <c r="AM128">
        <v>0.2969</v>
      </c>
      <c r="AN128" t="s">
        <v>217</v>
      </c>
    </row>
    <row r="129" spans="9:40" x14ac:dyDescent="0.45">
      <c r="I129" t="s">
        <v>180</v>
      </c>
      <c r="J129" t="s">
        <v>247</v>
      </c>
      <c r="K129">
        <v>0</v>
      </c>
      <c r="L129" t="s">
        <v>167</v>
      </c>
      <c r="N129" t="s">
        <v>190</v>
      </c>
      <c r="O129" t="s">
        <v>247</v>
      </c>
      <c r="P129">
        <v>3.7427643091203487E-3</v>
      </c>
      <c r="Q129" t="s">
        <v>167</v>
      </c>
      <c r="S129" t="s">
        <v>200</v>
      </c>
      <c r="T129" t="s">
        <v>247</v>
      </c>
      <c r="U129">
        <v>3.7779160513287452E-3</v>
      </c>
      <c r="V129" t="s">
        <v>167</v>
      </c>
      <c r="AK129">
        <v>2041</v>
      </c>
      <c r="AL129" t="s">
        <v>224</v>
      </c>
      <c r="AM129">
        <v>0.30620000000000003</v>
      </c>
      <c r="AN129" t="s">
        <v>217</v>
      </c>
    </row>
    <row r="130" spans="9:40" x14ac:dyDescent="0.45">
      <c r="I130" t="s">
        <v>180</v>
      </c>
      <c r="J130" t="s">
        <v>248</v>
      </c>
      <c r="K130">
        <v>0</v>
      </c>
      <c r="L130" t="s">
        <v>167</v>
      </c>
      <c r="N130" t="s">
        <v>190</v>
      </c>
      <c r="O130" t="s">
        <v>248</v>
      </c>
      <c r="P130">
        <v>2.8657420476441174E-2</v>
      </c>
      <c r="Q130" t="s">
        <v>167</v>
      </c>
      <c r="S130" t="s">
        <v>200</v>
      </c>
      <c r="T130" t="s">
        <v>248</v>
      </c>
      <c r="U130">
        <v>2.8274045510329519E-2</v>
      </c>
      <c r="V130" t="s">
        <v>167</v>
      </c>
      <c r="AK130">
        <v>2042</v>
      </c>
      <c r="AL130" t="s">
        <v>155</v>
      </c>
      <c r="AM130">
        <v>0.38575000000000004</v>
      </c>
      <c r="AN130" t="s">
        <v>217</v>
      </c>
    </row>
    <row r="131" spans="9:40" x14ac:dyDescent="0.45">
      <c r="I131" t="s">
        <v>180</v>
      </c>
      <c r="J131" t="s">
        <v>249</v>
      </c>
      <c r="K131">
        <v>0</v>
      </c>
      <c r="L131" t="s">
        <v>167</v>
      </c>
      <c r="N131" t="s">
        <v>190</v>
      </c>
      <c r="O131" t="s">
        <v>249</v>
      </c>
      <c r="P131">
        <v>2.1215388575571238E-2</v>
      </c>
      <c r="Q131" t="s">
        <v>167</v>
      </c>
      <c r="S131" t="s">
        <v>200</v>
      </c>
      <c r="T131" t="s">
        <v>249</v>
      </c>
      <c r="U131">
        <v>1.9997007403611402E-2</v>
      </c>
      <c r="V131" t="s">
        <v>167</v>
      </c>
      <c r="AK131">
        <v>2042</v>
      </c>
      <c r="AL131" t="s">
        <v>159</v>
      </c>
      <c r="AM131">
        <v>0.41349999999999998</v>
      </c>
      <c r="AN131" t="s">
        <v>217</v>
      </c>
    </row>
    <row r="132" spans="9:40" x14ac:dyDescent="0.45">
      <c r="I132" t="s">
        <v>180</v>
      </c>
      <c r="J132" t="s">
        <v>250</v>
      </c>
      <c r="K132">
        <v>0</v>
      </c>
      <c r="L132" t="s">
        <v>167</v>
      </c>
      <c r="N132" t="s">
        <v>190</v>
      </c>
      <c r="O132" t="s">
        <v>250</v>
      </c>
      <c r="P132">
        <v>5.3439820799707849E-3</v>
      </c>
      <c r="Q132" t="s">
        <v>167</v>
      </c>
      <c r="S132" t="s">
        <v>200</v>
      </c>
      <c r="T132" t="s">
        <v>250</v>
      </c>
      <c r="U132">
        <v>5.0403748334875414E-3</v>
      </c>
      <c r="V132" t="s">
        <v>167</v>
      </c>
      <c r="AK132">
        <v>2042</v>
      </c>
      <c r="AL132" t="s">
        <v>161</v>
      </c>
      <c r="AM132">
        <v>0.53485000000000005</v>
      </c>
      <c r="AN132" t="s">
        <v>217</v>
      </c>
    </row>
    <row r="133" spans="9:40" x14ac:dyDescent="0.45">
      <c r="I133" t="s">
        <v>180</v>
      </c>
      <c r="J133" t="s">
        <v>251</v>
      </c>
      <c r="K133">
        <v>0</v>
      </c>
      <c r="L133" t="s">
        <v>167</v>
      </c>
      <c r="N133" t="s">
        <v>190</v>
      </c>
      <c r="O133" t="s">
        <v>251</v>
      </c>
      <c r="P133">
        <v>2.2456539160272213E-2</v>
      </c>
      <c r="Q133" t="s">
        <v>167</v>
      </c>
      <c r="S133" t="s">
        <v>200</v>
      </c>
      <c r="T133" t="s">
        <v>251</v>
      </c>
      <c r="U133">
        <v>1.9766478915099233E-2</v>
      </c>
      <c r="V133" t="s">
        <v>167</v>
      </c>
      <c r="AK133">
        <v>2042</v>
      </c>
      <c r="AL133" t="s">
        <v>163</v>
      </c>
      <c r="AM133">
        <v>0.58489999999999998</v>
      </c>
      <c r="AN133" t="s">
        <v>217</v>
      </c>
    </row>
    <row r="134" spans="9:40" x14ac:dyDescent="0.45">
      <c r="I134" t="s">
        <v>180</v>
      </c>
      <c r="J134" t="s">
        <v>252</v>
      </c>
      <c r="K134">
        <v>1.2282936321071936E-2</v>
      </c>
      <c r="L134" t="s">
        <v>167</v>
      </c>
      <c r="N134" t="s">
        <v>190</v>
      </c>
      <c r="O134" t="s">
        <v>252</v>
      </c>
      <c r="P134">
        <v>3.9120568022264719E-2</v>
      </c>
      <c r="Q134" t="s">
        <v>167</v>
      </c>
      <c r="S134" t="s">
        <v>200</v>
      </c>
      <c r="T134" t="s">
        <v>252</v>
      </c>
      <c r="U134">
        <v>3.6044007481315352E-2</v>
      </c>
      <c r="V134" t="s">
        <v>167</v>
      </c>
      <c r="AK134">
        <v>2042</v>
      </c>
      <c r="AL134" t="s">
        <v>220</v>
      </c>
      <c r="AM134">
        <v>0.45387500000000003</v>
      </c>
      <c r="AN134" t="s">
        <v>217</v>
      </c>
    </row>
    <row r="135" spans="9:40" x14ac:dyDescent="0.45">
      <c r="I135" t="s">
        <v>180</v>
      </c>
      <c r="J135" t="s">
        <v>253</v>
      </c>
      <c r="K135">
        <v>0</v>
      </c>
      <c r="L135" t="s">
        <v>167</v>
      </c>
      <c r="N135" t="s">
        <v>190</v>
      </c>
      <c r="O135" t="s">
        <v>253</v>
      </c>
      <c r="P135">
        <v>5.6042812050049618E-3</v>
      </c>
      <c r="Q135" t="s">
        <v>167</v>
      </c>
      <c r="S135" t="s">
        <v>200</v>
      </c>
      <c r="T135" t="s">
        <v>253</v>
      </c>
      <c r="U135">
        <v>5.4414140465347252E-3</v>
      </c>
      <c r="V135" t="s">
        <v>167</v>
      </c>
      <c r="AK135">
        <v>2042</v>
      </c>
      <c r="AL135" t="s">
        <v>222</v>
      </c>
      <c r="AM135">
        <v>0.38319999999999999</v>
      </c>
      <c r="AN135" t="s">
        <v>217</v>
      </c>
    </row>
    <row r="136" spans="9:40" x14ac:dyDescent="0.45">
      <c r="I136" t="s">
        <v>180</v>
      </c>
      <c r="J136" t="s">
        <v>254</v>
      </c>
      <c r="K136">
        <v>0</v>
      </c>
      <c r="L136" t="s">
        <v>167</v>
      </c>
      <c r="N136" t="s">
        <v>190</v>
      </c>
      <c r="O136" t="s">
        <v>254</v>
      </c>
      <c r="P136">
        <v>3.7781841148283063E-2</v>
      </c>
      <c r="Q136" t="s">
        <v>167</v>
      </c>
      <c r="S136" t="s">
        <v>200</v>
      </c>
      <c r="T136" t="s">
        <v>254</v>
      </c>
      <c r="U136">
        <v>3.6447723216421479E-2</v>
      </c>
      <c r="V136" t="s">
        <v>167</v>
      </c>
      <c r="AK136">
        <v>2042</v>
      </c>
      <c r="AL136" t="s">
        <v>224</v>
      </c>
      <c r="AM136">
        <v>0.4143</v>
      </c>
      <c r="AN136" t="s">
        <v>217</v>
      </c>
    </row>
    <row r="137" spans="9:40" x14ac:dyDescent="0.45">
      <c r="I137" t="s">
        <v>181</v>
      </c>
      <c r="J137" t="s">
        <v>166</v>
      </c>
      <c r="K137">
        <v>0</v>
      </c>
      <c r="L137" t="s">
        <v>167</v>
      </c>
      <c r="N137" t="s">
        <v>191</v>
      </c>
      <c r="O137" t="s">
        <v>166</v>
      </c>
      <c r="P137">
        <v>2.8522730485803498E-2</v>
      </c>
      <c r="Q137" t="s">
        <v>167</v>
      </c>
      <c r="S137" t="s">
        <v>201</v>
      </c>
      <c r="T137" t="s">
        <v>166</v>
      </c>
      <c r="U137">
        <v>2.4075640517816552E-2</v>
      </c>
      <c r="V137" t="s">
        <v>167</v>
      </c>
      <c r="AK137">
        <v>2043</v>
      </c>
      <c r="AL137" t="s">
        <v>155</v>
      </c>
      <c r="AM137">
        <v>0.43514999999999998</v>
      </c>
      <c r="AN137" t="s">
        <v>217</v>
      </c>
    </row>
    <row r="138" spans="9:40" x14ac:dyDescent="0.45">
      <c r="I138" t="s">
        <v>181</v>
      </c>
      <c r="J138" t="s">
        <v>168</v>
      </c>
      <c r="K138">
        <v>0</v>
      </c>
      <c r="L138" t="s">
        <v>167</v>
      </c>
      <c r="N138" t="s">
        <v>191</v>
      </c>
      <c r="O138" t="s">
        <v>168</v>
      </c>
      <c r="P138">
        <v>7.240332288075837E-3</v>
      </c>
      <c r="Q138" t="s">
        <v>167</v>
      </c>
      <c r="S138" t="s">
        <v>201</v>
      </c>
      <c r="T138" t="s">
        <v>168</v>
      </c>
      <c r="U138">
        <v>6.3487334229840198E-3</v>
      </c>
      <c r="V138" t="s">
        <v>167</v>
      </c>
      <c r="AK138">
        <v>2043</v>
      </c>
      <c r="AL138" t="s">
        <v>159</v>
      </c>
      <c r="AM138">
        <v>0.42559999999999998</v>
      </c>
      <c r="AN138" t="s">
        <v>217</v>
      </c>
    </row>
    <row r="139" spans="9:40" x14ac:dyDescent="0.45">
      <c r="I139" t="s">
        <v>181</v>
      </c>
      <c r="J139" t="s">
        <v>169</v>
      </c>
      <c r="K139">
        <v>2.1465141597797497E-3</v>
      </c>
      <c r="L139" t="s">
        <v>167</v>
      </c>
      <c r="N139" t="s">
        <v>191</v>
      </c>
      <c r="O139" t="s">
        <v>169</v>
      </c>
      <c r="P139">
        <v>2.9035306041430092E-2</v>
      </c>
      <c r="Q139" t="s">
        <v>167</v>
      </c>
      <c r="S139" t="s">
        <v>201</v>
      </c>
      <c r="T139" t="s">
        <v>169</v>
      </c>
      <c r="U139">
        <v>2.7125907594158088E-2</v>
      </c>
      <c r="V139" t="s">
        <v>167</v>
      </c>
      <c r="AK139">
        <v>2043</v>
      </c>
      <c r="AL139" t="s">
        <v>161</v>
      </c>
      <c r="AM139">
        <v>0.51624999999999999</v>
      </c>
      <c r="AN139" t="s">
        <v>217</v>
      </c>
    </row>
    <row r="140" spans="9:40" x14ac:dyDescent="0.45">
      <c r="I140" t="s">
        <v>181</v>
      </c>
      <c r="J140" t="s">
        <v>225</v>
      </c>
      <c r="K140">
        <v>4.8574374902047954E-2</v>
      </c>
      <c r="L140" t="s">
        <v>167</v>
      </c>
      <c r="N140" t="s">
        <v>191</v>
      </c>
      <c r="O140" t="s">
        <v>225</v>
      </c>
      <c r="P140">
        <v>4.948421019331789E-2</v>
      </c>
      <c r="Q140" t="s">
        <v>167</v>
      </c>
      <c r="S140" t="s">
        <v>201</v>
      </c>
      <c r="T140" t="s">
        <v>225</v>
      </c>
      <c r="U140">
        <v>4.7278851183180204E-2</v>
      </c>
      <c r="V140" t="s">
        <v>167</v>
      </c>
      <c r="AK140">
        <v>2043</v>
      </c>
      <c r="AL140" t="s">
        <v>163</v>
      </c>
      <c r="AM140">
        <v>0.55069999999999997</v>
      </c>
      <c r="AN140" t="s">
        <v>217</v>
      </c>
    </row>
    <row r="141" spans="9:40" x14ac:dyDescent="0.45">
      <c r="I141" t="s">
        <v>181</v>
      </c>
      <c r="J141" t="s">
        <v>226</v>
      </c>
      <c r="K141">
        <v>2.6837661117477814E-3</v>
      </c>
      <c r="L141" t="s">
        <v>167</v>
      </c>
      <c r="N141" t="s">
        <v>191</v>
      </c>
      <c r="O141" t="s">
        <v>226</v>
      </c>
      <c r="P141">
        <v>6.8657868606654257E-3</v>
      </c>
      <c r="Q141" t="s">
        <v>167</v>
      </c>
      <c r="S141" t="s">
        <v>201</v>
      </c>
      <c r="T141" t="s">
        <v>226</v>
      </c>
      <c r="U141">
        <v>6.7114130237159453E-3</v>
      </c>
      <c r="V141" t="s">
        <v>167</v>
      </c>
      <c r="AK141">
        <v>2043</v>
      </c>
      <c r="AL141" t="s">
        <v>220</v>
      </c>
      <c r="AM141">
        <v>0.42937500000000001</v>
      </c>
      <c r="AN141" t="s">
        <v>217</v>
      </c>
    </row>
    <row r="142" spans="9:40" x14ac:dyDescent="0.45">
      <c r="I142" t="s">
        <v>181</v>
      </c>
      <c r="J142" t="s">
        <v>227</v>
      </c>
      <c r="K142">
        <v>8.3885939377705281E-4</v>
      </c>
      <c r="L142" t="s">
        <v>167</v>
      </c>
      <c r="N142" t="s">
        <v>191</v>
      </c>
      <c r="O142" t="s">
        <v>227</v>
      </c>
      <c r="P142">
        <v>5.0951116904424817E-2</v>
      </c>
      <c r="Q142" t="s">
        <v>167</v>
      </c>
      <c r="S142" t="s">
        <v>201</v>
      </c>
      <c r="T142" t="s">
        <v>227</v>
      </c>
      <c r="U142">
        <v>4.3825545513455383E-2</v>
      </c>
      <c r="V142" t="s">
        <v>167</v>
      </c>
      <c r="AK142">
        <v>2043</v>
      </c>
      <c r="AL142" t="s">
        <v>222</v>
      </c>
      <c r="AM142">
        <v>0.4501</v>
      </c>
      <c r="AN142" t="s">
        <v>217</v>
      </c>
    </row>
    <row r="143" spans="9:40" x14ac:dyDescent="0.45">
      <c r="I143" t="s">
        <v>181</v>
      </c>
      <c r="J143" t="s">
        <v>170</v>
      </c>
      <c r="K143">
        <v>0</v>
      </c>
      <c r="L143" t="s">
        <v>167</v>
      </c>
      <c r="N143" t="s">
        <v>191</v>
      </c>
      <c r="O143" t="s">
        <v>170</v>
      </c>
      <c r="P143">
        <v>1.6259895980566548E-2</v>
      </c>
      <c r="Q143" t="s">
        <v>167</v>
      </c>
      <c r="S143" t="s">
        <v>201</v>
      </c>
      <c r="T143" t="s">
        <v>170</v>
      </c>
      <c r="U143">
        <v>1.4730369198073724E-2</v>
      </c>
      <c r="V143" t="s">
        <v>167</v>
      </c>
      <c r="AK143">
        <v>2043</v>
      </c>
      <c r="AL143" t="s">
        <v>224</v>
      </c>
      <c r="AM143">
        <v>0.39360000000000001</v>
      </c>
      <c r="AN143" t="s">
        <v>217</v>
      </c>
    </row>
    <row r="144" spans="9:40" x14ac:dyDescent="0.45">
      <c r="I144" t="s">
        <v>181</v>
      </c>
      <c r="J144" t="s">
        <v>171</v>
      </c>
      <c r="K144">
        <v>0</v>
      </c>
      <c r="L144" t="s">
        <v>167</v>
      </c>
      <c r="N144" t="s">
        <v>191</v>
      </c>
      <c r="O144" t="s">
        <v>171</v>
      </c>
      <c r="P144">
        <v>4.100018181026413E-3</v>
      </c>
      <c r="Q144" t="s">
        <v>167</v>
      </c>
      <c r="S144" t="s">
        <v>201</v>
      </c>
      <c r="T144" t="s">
        <v>171</v>
      </c>
      <c r="U144">
        <v>3.839735182969861E-3</v>
      </c>
      <c r="V144" t="s">
        <v>167</v>
      </c>
      <c r="AK144">
        <v>2044</v>
      </c>
      <c r="AL144" t="s">
        <v>155</v>
      </c>
      <c r="AM144">
        <v>0.38800000000000001</v>
      </c>
      <c r="AN144" t="s">
        <v>217</v>
      </c>
    </row>
    <row r="145" spans="9:40" x14ac:dyDescent="0.45">
      <c r="I145" t="s">
        <v>181</v>
      </c>
      <c r="J145" t="s">
        <v>172</v>
      </c>
      <c r="K145">
        <v>1.3497831368466219E-2</v>
      </c>
      <c r="L145" t="s">
        <v>167</v>
      </c>
      <c r="N145" t="s">
        <v>191</v>
      </c>
      <c r="O145" t="s">
        <v>172</v>
      </c>
      <c r="P145">
        <v>1.7426305697720895E-2</v>
      </c>
      <c r="Q145" t="s">
        <v>167</v>
      </c>
      <c r="S145" t="s">
        <v>201</v>
      </c>
      <c r="T145" t="s">
        <v>172</v>
      </c>
      <c r="U145">
        <v>1.6317707167563415E-2</v>
      </c>
      <c r="V145" t="s">
        <v>167</v>
      </c>
      <c r="AK145">
        <v>2044</v>
      </c>
      <c r="AL145" t="s">
        <v>159</v>
      </c>
      <c r="AM145">
        <v>0.49459999999999998</v>
      </c>
      <c r="AN145" t="s">
        <v>217</v>
      </c>
    </row>
    <row r="146" spans="9:40" x14ac:dyDescent="0.45">
      <c r="I146" t="s">
        <v>181</v>
      </c>
      <c r="J146" t="s">
        <v>228</v>
      </c>
      <c r="K146">
        <v>6.5785100071830957E-2</v>
      </c>
      <c r="L146" t="s">
        <v>167</v>
      </c>
      <c r="N146" t="s">
        <v>191</v>
      </c>
      <c r="O146" t="s">
        <v>228</v>
      </c>
      <c r="P146">
        <v>2.8930154911137176E-2</v>
      </c>
      <c r="Q146" t="s">
        <v>167</v>
      </c>
      <c r="S146" t="s">
        <v>201</v>
      </c>
      <c r="T146" t="s">
        <v>228</v>
      </c>
      <c r="U146">
        <v>2.7423710296267893E-2</v>
      </c>
      <c r="V146" t="s">
        <v>167</v>
      </c>
      <c r="AK146">
        <v>2044</v>
      </c>
      <c r="AL146" t="s">
        <v>161</v>
      </c>
      <c r="AM146">
        <v>0.53584999999999994</v>
      </c>
      <c r="AN146" t="s">
        <v>217</v>
      </c>
    </row>
    <row r="147" spans="9:40" x14ac:dyDescent="0.45">
      <c r="I147" t="s">
        <v>181</v>
      </c>
      <c r="J147" t="s">
        <v>229</v>
      </c>
      <c r="K147">
        <v>6.8419271177220693E-3</v>
      </c>
      <c r="L147" t="s">
        <v>167</v>
      </c>
      <c r="N147" t="s">
        <v>191</v>
      </c>
      <c r="O147" t="s">
        <v>229</v>
      </c>
      <c r="P147">
        <v>4.0445062438161658E-3</v>
      </c>
      <c r="Q147" t="s">
        <v>167</v>
      </c>
      <c r="S147" t="s">
        <v>201</v>
      </c>
      <c r="T147" t="s">
        <v>229</v>
      </c>
      <c r="U147">
        <v>3.7539771163393474E-3</v>
      </c>
      <c r="V147" t="s">
        <v>167</v>
      </c>
      <c r="AK147">
        <v>2044</v>
      </c>
      <c r="AL147" t="s">
        <v>163</v>
      </c>
      <c r="AM147">
        <v>0.59719999999999995</v>
      </c>
      <c r="AN147" t="s">
        <v>217</v>
      </c>
    </row>
    <row r="148" spans="9:40" x14ac:dyDescent="0.45">
      <c r="I148" t="s">
        <v>181</v>
      </c>
      <c r="J148" t="s">
        <v>230</v>
      </c>
      <c r="K148">
        <v>6.1673303408433635E-3</v>
      </c>
      <c r="L148" t="s">
        <v>167</v>
      </c>
      <c r="N148" t="s">
        <v>191</v>
      </c>
      <c r="O148" t="s">
        <v>230</v>
      </c>
      <c r="P148">
        <v>2.8717324884504788E-2</v>
      </c>
      <c r="Q148" t="s">
        <v>167</v>
      </c>
      <c r="S148" t="s">
        <v>201</v>
      </c>
      <c r="T148" t="s">
        <v>230</v>
      </c>
      <c r="U148">
        <v>2.6233755059097204E-2</v>
      </c>
      <c r="V148" t="s">
        <v>167</v>
      </c>
      <c r="AK148">
        <v>2044</v>
      </c>
      <c r="AL148" t="s">
        <v>220</v>
      </c>
      <c r="AM148">
        <v>0.45284999999999997</v>
      </c>
      <c r="AN148" t="s">
        <v>217</v>
      </c>
    </row>
    <row r="149" spans="9:40" x14ac:dyDescent="0.45">
      <c r="I149" t="s">
        <v>181</v>
      </c>
      <c r="J149" t="s">
        <v>173</v>
      </c>
      <c r="K149">
        <v>0</v>
      </c>
      <c r="L149" t="s">
        <v>167</v>
      </c>
      <c r="N149" t="s">
        <v>191</v>
      </c>
      <c r="O149" t="s">
        <v>173</v>
      </c>
      <c r="P149">
        <v>2.5527542672768438E-2</v>
      </c>
      <c r="Q149" t="s">
        <v>167</v>
      </c>
      <c r="S149" t="s">
        <v>201</v>
      </c>
      <c r="T149" t="s">
        <v>173</v>
      </c>
      <c r="U149">
        <v>2.4834657392125838E-2</v>
      </c>
      <c r="V149" t="s">
        <v>167</v>
      </c>
      <c r="AK149">
        <v>2044</v>
      </c>
      <c r="AL149" t="s">
        <v>222</v>
      </c>
      <c r="AM149">
        <v>0.4471</v>
      </c>
      <c r="AN149" t="s">
        <v>217</v>
      </c>
    </row>
    <row r="150" spans="9:40" x14ac:dyDescent="0.45">
      <c r="I150" t="s">
        <v>181</v>
      </c>
      <c r="J150" t="s">
        <v>174</v>
      </c>
      <c r="K150">
        <v>1.2128190269610213E-3</v>
      </c>
      <c r="L150" t="s">
        <v>167</v>
      </c>
      <c r="N150" t="s">
        <v>191</v>
      </c>
      <c r="O150" t="s">
        <v>174</v>
      </c>
      <c r="P150">
        <v>6.1383325932967397E-3</v>
      </c>
      <c r="Q150" t="s">
        <v>167</v>
      </c>
      <c r="S150" t="s">
        <v>201</v>
      </c>
      <c r="T150" t="s">
        <v>174</v>
      </c>
      <c r="U150">
        <v>6.2224744380644922E-3</v>
      </c>
      <c r="V150" t="s">
        <v>167</v>
      </c>
      <c r="AK150">
        <v>2044</v>
      </c>
      <c r="AL150" t="s">
        <v>224</v>
      </c>
      <c r="AM150">
        <v>0.3982</v>
      </c>
      <c r="AN150" t="s">
        <v>217</v>
      </c>
    </row>
    <row r="151" spans="9:40" x14ac:dyDescent="0.45">
      <c r="I151" t="s">
        <v>181</v>
      </c>
      <c r="J151" t="s">
        <v>175</v>
      </c>
      <c r="K151">
        <v>5.4769939756586866E-2</v>
      </c>
      <c r="L151" t="s">
        <v>167</v>
      </c>
      <c r="N151" t="s">
        <v>191</v>
      </c>
      <c r="O151" t="s">
        <v>175</v>
      </c>
      <c r="P151">
        <v>2.3840525661194548E-2</v>
      </c>
      <c r="Q151" t="s">
        <v>167</v>
      </c>
      <c r="S151" t="s">
        <v>201</v>
      </c>
      <c r="T151" t="s">
        <v>175</v>
      </c>
      <c r="U151">
        <v>2.6959719152698708E-2</v>
      </c>
      <c r="V151" t="s">
        <v>167</v>
      </c>
      <c r="AK151">
        <v>2045</v>
      </c>
      <c r="AL151" t="s">
        <v>155</v>
      </c>
      <c r="AM151">
        <v>0.3226</v>
      </c>
      <c r="AN151" t="s">
        <v>217</v>
      </c>
    </row>
    <row r="152" spans="9:40" x14ac:dyDescent="0.45">
      <c r="I152" t="s">
        <v>181</v>
      </c>
      <c r="J152" t="s">
        <v>231</v>
      </c>
      <c r="K152">
        <v>0.15676163696303907</v>
      </c>
      <c r="L152" t="s">
        <v>167</v>
      </c>
      <c r="N152" t="s">
        <v>191</v>
      </c>
      <c r="O152" t="s">
        <v>231</v>
      </c>
      <c r="P152">
        <v>3.9944376820988531E-2</v>
      </c>
      <c r="Q152" t="s">
        <v>167</v>
      </c>
      <c r="S152" t="s">
        <v>201</v>
      </c>
      <c r="T152" t="s">
        <v>231</v>
      </c>
      <c r="U152">
        <v>4.9908927850637504E-2</v>
      </c>
      <c r="V152" t="s">
        <v>167</v>
      </c>
      <c r="AK152">
        <v>2045</v>
      </c>
      <c r="AL152" t="s">
        <v>159</v>
      </c>
      <c r="AM152">
        <v>0.31030000000000002</v>
      </c>
      <c r="AN152" t="s">
        <v>217</v>
      </c>
    </row>
    <row r="153" spans="9:40" x14ac:dyDescent="0.45">
      <c r="I153" t="s">
        <v>181</v>
      </c>
      <c r="J153" t="s">
        <v>232</v>
      </c>
      <c r="K153">
        <v>1.9887623176461613E-2</v>
      </c>
      <c r="L153" t="s">
        <v>167</v>
      </c>
      <c r="N153" t="s">
        <v>191</v>
      </c>
      <c r="O153" t="s">
        <v>232</v>
      </c>
      <c r="P153">
        <v>5.8774168632438574E-3</v>
      </c>
      <c r="Q153" t="s">
        <v>167</v>
      </c>
      <c r="S153" t="s">
        <v>201</v>
      </c>
      <c r="T153" t="s">
        <v>232</v>
      </c>
      <c r="U153">
        <v>7.0769865903294159E-3</v>
      </c>
      <c r="V153" t="s">
        <v>167</v>
      </c>
      <c r="AK153">
        <v>2045</v>
      </c>
      <c r="AL153" t="s">
        <v>161</v>
      </c>
      <c r="AM153">
        <v>0.37769999999999998</v>
      </c>
      <c r="AN153" t="s">
        <v>217</v>
      </c>
    </row>
    <row r="154" spans="9:40" x14ac:dyDescent="0.45">
      <c r="I154" t="s">
        <v>181</v>
      </c>
      <c r="J154" t="s">
        <v>233</v>
      </c>
      <c r="K154">
        <v>3.324843718275669E-2</v>
      </c>
      <c r="L154" t="s">
        <v>167</v>
      </c>
      <c r="N154" t="s">
        <v>191</v>
      </c>
      <c r="O154" t="s">
        <v>233</v>
      </c>
      <c r="P154">
        <v>4.5083181191758685E-2</v>
      </c>
      <c r="Q154" t="s">
        <v>167</v>
      </c>
      <c r="S154" t="s">
        <v>201</v>
      </c>
      <c r="T154" t="s">
        <v>233</v>
      </c>
      <c r="U154">
        <v>4.715263414020314E-2</v>
      </c>
      <c r="V154" t="s">
        <v>167</v>
      </c>
      <c r="AK154">
        <v>2045</v>
      </c>
      <c r="AL154" t="s">
        <v>163</v>
      </c>
      <c r="AM154">
        <v>0.374</v>
      </c>
      <c r="AN154" t="s">
        <v>217</v>
      </c>
    </row>
    <row r="155" spans="9:40" x14ac:dyDescent="0.45">
      <c r="I155" t="s">
        <v>181</v>
      </c>
      <c r="J155" t="s">
        <v>176</v>
      </c>
      <c r="K155">
        <v>0</v>
      </c>
      <c r="L155" t="s">
        <v>167</v>
      </c>
      <c r="N155" t="s">
        <v>191</v>
      </c>
      <c r="O155" t="s">
        <v>176</v>
      </c>
      <c r="P155">
        <v>1.178964628033897E-2</v>
      </c>
      <c r="Q155" t="s">
        <v>167</v>
      </c>
      <c r="S155" t="s">
        <v>201</v>
      </c>
      <c r="T155" t="s">
        <v>176</v>
      </c>
      <c r="U155">
        <v>1.086347497159133E-2</v>
      </c>
      <c r="V155" t="s">
        <v>167</v>
      </c>
      <c r="AK155">
        <v>2045</v>
      </c>
      <c r="AL155" t="s">
        <v>220</v>
      </c>
      <c r="AM155">
        <v>0.33562499999999995</v>
      </c>
      <c r="AN155" t="s">
        <v>217</v>
      </c>
    </row>
    <row r="156" spans="9:40" x14ac:dyDescent="0.45">
      <c r="I156" t="s">
        <v>181</v>
      </c>
      <c r="J156" t="s">
        <v>177</v>
      </c>
      <c r="K156">
        <v>2.3454112074112196E-3</v>
      </c>
      <c r="L156" t="s">
        <v>167</v>
      </c>
      <c r="N156" t="s">
        <v>191</v>
      </c>
      <c r="O156" t="s">
        <v>177</v>
      </c>
      <c r="P156">
        <v>2.8227769430947398E-3</v>
      </c>
      <c r="Q156" t="s">
        <v>167</v>
      </c>
      <c r="S156" t="s">
        <v>201</v>
      </c>
      <c r="T156" t="s">
        <v>177</v>
      </c>
      <c r="U156">
        <v>2.4582508417673706E-3</v>
      </c>
      <c r="V156" t="s">
        <v>167</v>
      </c>
      <c r="AK156">
        <v>2045</v>
      </c>
      <c r="AL156" t="s">
        <v>222</v>
      </c>
      <c r="AM156">
        <v>0.30669999999999997</v>
      </c>
      <c r="AN156" t="s">
        <v>217</v>
      </c>
    </row>
    <row r="157" spans="9:40" x14ac:dyDescent="0.45">
      <c r="I157" t="s">
        <v>181</v>
      </c>
      <c r="J157" t="s">
        <v>178</v>
      </c>
      <c r="K157">
        <v>3.1651957006646254E-2</v>
      </c>
      <c r="L157" t="s">
        <v>167</v>
      </c>
      <c r="N157" t="s">
        <v>191</v>
      </c>
      <c r="O157" t="s">
        <v>178</v>
      </c>
      <c r="P157">
        <v>1.1329747677761869E-2</v>
      </c>
      <c r="Q157" t="s">
        <v>167</v>
      </c>
      <c r="S157" t="s">
        <v>201</v>
      </c>
      <c r="T157" t="s">
        <v>178</v>
      </c>
      <c r="U157">
        <v>9.0567562112816545E-3</v>
      </c>
      <c r="V157" t="s">
        <v>167</v>
      </c>
      <c r="AK157">
        <v>2045</v>
      </c>
      <c r="AL157" t="s">
        <v>224</v>
      </c>
      <c r="AM157">
        <v>0.29830000000000001</v>
      </c>
      <c r="AN157" t="s">
        <v>217</v>
      </c>
    </row>
    <row r="158" spans="9:40" x14ac:dyDescent="0.45">
      <c r="I158" t="s">
        <v>181</v>
      </c>
      <c r="J158" t="s">
        <v>234</v>
      </c>
      <c r="K158">
        <v>8.0903101342492664E-2</v>
      </c>
      <c r="L158" t="s">
        <v>167</v>
      </c>
      <c r="N158" t="s">
        <v>191</v>
      </c>
      <c r="O158" t="s">
        <v>234</v>
      </c>
      <c r="P158">
        <v>1.9866445353102079E-2</v>
      </c>
      <c r="Q158" t="s">
        <v>167</v>
      </c>
      <c r="S158" t="s">
        <v>201</v>
      </c>
      <c r="T158" t="s">
        <v>234</v>
      </c>
      <c r="U158">
        <v>1.7078274571613719E-2</v>
      </c>
      <c r="V158" t="s">
        <v>167</v>
      </c>
      <c r="AK158">
        <v>2046</v>
      </c>
      <c r="AL158" t="s">
        <v>155</v>
      </c>
      <c r="AM158">
        <v>0.3251</v>
      </c>
      <c r="AN158" t="s">
        <v>217</v>
      </c>
    </row>
    <row r="159" spans="9:40" x14ac:dyDescent="0.45">
      <c r="I159" t="s">
        <v>181</v>
      </c>
      <c r="J159" t="s">
        <v>235</v>
      </c>
      <c r="K159">
        <v>1.0212482282249408E-2</v>
      </c>
      <c r="L159" t="s">
        <v>167</v>
      </c>
      <c r="N159" t="s">
        <v>191</v>
      </c>
      <c r="O159" t="s">
        <v>235</v>
      </c>
      <c r="P159">
        <v>3.0966339537414102E-3</v>
      </c>
      <c r="Q159" t="s">
        <v>167</v>
      </c>
      <c r="S159" t="s">
        <v>201</v>
      </c>
      <c r="T159" t="s">
        <v>235</v>
      </c>
      <c r="U159">
        <v>3.0257026167895499E-3</v>
      </c>
      <c r="V159" t="s">
        <v>167</v>
      </c>
      <c r="AK159">
        <v>2046</v>
      </c>
      <c r="AL159" t="s">
        <v>159</v>
      </c>
      <c r="AM159">
        <v>0.36599999999999999</v>
      </c>
      <c r="AN159" t="s">
        <v>217</v>
      </c>
    </row>
    <row r="160" spans="9:40" x14ac:dyDescent="0.45">
      <c r="I160" t="s">
        <v>181</v>
      </c>
      <c r="J160" t="s">
        <v>236</v>
      </c>
      <c r="K160">
        <v>2.145153953165662E-2</v>
      </c>
      <c r="L160" t="s">
        <v>167</v>
      </c>
      <c r="N160" t="s">
        <v>191</v>
      </c>
      <c r="O160" t="s">
        <v>236</v>
      </c>
      <c r="P160">
        <v>2.071099185743271E-2</v>
      </c>
      <c r="Q160" t="s">
        <v>167</v>
      </c>
      <c r="S160" t="s">
        <v>201</v>
      </c>
      <c r="T160" t="s">
        <v>236</v>
      </c>
      <c r="U160">
        <v>2.1463904227184926E-2</v>
      </c>
      <c r="V160" t="s">
        <v>167</v>
      </c>
      <c r="AK160">
        <v>2046</v>
      </c>
      <c r="AL160" t="s">
        <v>161</v>
      </c>
      <c r="AM160">
        <v>0.40375</v>
      </c>
      <c r="AN160" t="s">
        <v>217</v>
      </c>
    </row>
    <row r="161" spans="9:40" x14ac:dyDescent="0.45">
      <c r="I161" t="s">
        <v>181</v>
      </c>
      <c r="J161" t="s">
        <v>237</v>
      </c>
      <c r="K161">
        <v>0</v>
      </c>
      <c r="L161" t="s">
        <v>167</v>
      </c>
      <c r="N161" t="s">
        <v>191</v>
      </c>
      <c r="O161" t="s">
        <v>237</v>
      </c>
      <c r="P161">
        <v>5.1392286286768292E-2</v>
      </c>
      <c r="Q161" t="s">
        <v>167</v>
      </c>
      <c r="S161" t="s">
        <v>201</v>
      </c>
      <c r="T161" t="s">
        <v>237</v>
      </c>
      <c r="U161">
        <v>5.0809314113376122E-2</v>
      </c>
      <c r="V161" t="s">
        <v>167</v>
      </c>
      <c r="AK161">
        <v>2046</v>
      </c>
      <c r="AL161" t="s">
        <v>163</v>
      </c>
      <c r="AM161">
        <v>0.41460000000000002</v>
      </c>
      <c r="AN161" t="s">
        <v>217</v>
      </c>
    </row>
    <row r="162" spans="9:40" x14ac:dyDescent="0.45">
      <c r="I162" t="s">
        <v>181</v>
      </c>
      <c r="J162" t="s">
        <v>238</v>
      </c>
      <c r="K162">
        <v>2.2227219716168304E-3</v>
      </c>
      <c r="L162" t="s">
        <v>167</v>
      </c>
      <c r="N162" t="s">
        <v>191</v>
      </c>
      <c r="O162" t="s">
        <v>238</v>
      </c>
      <c r="P162">
        <v>1.221147032682004E-2</v>
      </c>
      <c r="Q162" t="s">
        <v>167</v>
      </c>
      <c r="S162" t="s">
        <v>201</v>
      </c>
      <c r="T162" t="s">
        <v>238</v>
      </c>
      <c r="U162">
        <v>1.2070153636465079E-2</v>
      </c>
      <c r="V162" t="s">
        <v>167</v>
      </c>
      <c r="AK162">
        <v>2046</v>
      </c>
      <c r="AL162" t="s">
        <v>220</v>
      </c>
      <c r="AM162">
        <v>0.32274999999999998</v>
      </c>
      <c r="AN162" t="s">
        <v>217</v>
      </c>
    </row>
    <row r="163" spans="9:40" x14ac:dyDescent="0.45">
      <c r="I163" t="s">
        <v>181</v>
      </c>
      <c r="J163" t="s">
        <v>239</v>
      </c>
      <c r="K163">
        <v>7.3598473845792586E-2</v>
      </c>
      <c r="L163" t="s">
        <v>167</v>
      </c>
      <c r="N163" t="s">
        <v>191</v>
      </c>
      <c r="O163" t="s">
        <v>239</v>
      </c>
      <c r="P163">
        <v>4.7163406476345565E-2</v>
      </c>
      <c r="Q163" t="s">
        <v>167</v>
      </c>
      <c r="S163" t="s">
        <v>201</v>
      </c>
      <c r="T163" t="s">
        <v>239</v>
      </c>
      <c r="U163">
        <v>4.7477133333866189E-2</v>
      </c>
      <c r="V163" t="s">
        <v>167</v>
      </c>
      <c r="AK163">
        <v>2046</v>
      </c>
      <c r="AL163" t="s">
        <v>222</v>
      </c>
      <c r="AM163">
        <v>0.32569999999999999</v>
      </c>
      <c r="AN163" t="s">
        <v>217</v>
      </c>
    </row>
    <row r="164" spans="9:40" x14ac:dyDescent="0.45">
      <c r="I164" t="s">
        <v>181</v>
      </c>
      <c r="J164" t="s">
        <v>240</v>
      </c>
      <c r="K164">
        <v>0.24709059245542159</v>
      </c>
      <c r="L164" t="s">
        <v>167</v>
      </c>
      <c r="N164" t="s">
        <v>191</v>
      </c>
      <c r="O164" t="s">
        <v>240</v>
      </c>
      <c r="P164">
        <v>8.4390249398302863E-2</v>
      </c>
      <c r="Q164" t="s">
        <v>167</v>
      </c>
      <c r="S164" t="s">
        <v>201</v>
      </c>
      <c r="T164" t="s">
        <v>240</v>
      </c>
      <c r="U164">
        <v>8.3488309194390029E-2</v>
      </c>
      <c r="V164" t="s">
        <v>167</v>
      </c>
      <c r="AK164">
        <v>2046</v>
      </c>
      <c r="AL164" t="s">
        <v>224</v>
      </c>
      <c r="AM164">
        <v>0.28699999999999998</v>
      </c>
      <c r="AN164" t="s">
        <v>217</v>
      </c>
    </row>
    <row r="165" spans="9:40" x14ac:dyDescent="0.45">
      <c r="I165" t="s">
        <v>181</v>
      </c>
      <c r="J165" t="s">
        <v>241</v>
      </c>
      <c r="K165">
        <v>3.0140320268202042E-2</v>
      </c>
      <c r="L165" t="s">
        <v>167</v>
      </c>
      <c r="N165" t="s">
        <v>191</v>
      </c>
      <c r="O165" t="s">
        <v>241</v>
      </c>
      <c r="P165">
        <v>1.312565124231692E-2</v>
      </c>
      <c r="Q165" t="s">
        <v>167</v>
      </c>
      <c r="S165" t="s">
        <v>201</v>
      </c>
      <c r="T165" t="s">
        <v>241</v>
      </c>
      <c r="U165">
        <v>1.2833783453615671E-2</v>
      </c>
      <c r="V165" t="s">
        <v>167</v>
      </c>
      <c r="AK165">
        <v>2047</v>
      </c>
      <c r="AL165" t="s">
        <v>155</v>
      </c>
      <c r="AM165">
        <v>0.36330000000000001</v>
      </c>
      <c r="AN165" t="s">
        <v>217</v>
      </c>
    </row>
    <row r="166" spans="9:40" x14ac:dyDescent="0.45">
      <c r="I166" t="s">
        <v>181</v>
      </c>
      <c r="J166" t="s">
        <v>242</v>
      </c>
      <c r="K166">
        <v>4.8506981947348378E-2</v>
      </c>
      <c r="L166" t="s">
        <v>167</v>
      </c>
      <c r="N166" t="s">
        <v>191</v>
      </c>
      <c r="O166" t="s">
        <v>242</v>
      </c>
      <c r="P166">
        <v>9.3869275676268307E-2</v>
      </c>
      <c r="Q166" t="s">
        <v>167</v>
      </c>
      <c r="S166" t="s">
        <v>201</v>
      </c>
      <c r="T166" t="s">
        <v>242</v>
      </c>
      <c r="U166">
        <v>9.3479363653145034E-2</v>
      </c>
      <c r="V166" t="s">
        <v>167</v>
      </c>
      <c r="AK166">
        <v>2047</v>
      </c>
      <c r="AL166" t="s">
        <v>159</v>
      </c>
      <c r="AM166">
        <v>0.38279999999999997</v>
      </c>
      <c r="AN166" t="s">
        <v>217</v>
      </c>
    </row>
    <row r="167" spans="9:40" x14ac:dyDescent="0.45">
      <c r="I167" t="s">
        <v>181</v>
      </c>
      <c r="J167" t="s">
        <v>243</v>
      </c>
      <c r="K167">
        <v>0</v>
      </c>
      <c r="L167" t="s">
        <v>167</v>
      </c>
      <c r="N167" t="s">
        <v>191</v>
      </c>
      <c r="O167" t="s">
        <v>243</v>
      </c>
      <c r="P167">
        <v>1.575718361285959E-2</v>
      </c>
      <c r="Q167" t="s">
        <v>167</v>
      </c>
      <c r="S167" t="s">
        <v>201</v>
      </c>
      <c r="T167" t="s">
        <v>243</v>
      </c>
      <c r="U167">
        <v>1.4853867333201048E-2</v>
      </c>
      <c r="V167" t="s">
        <v>167</v>
      </c>
      <c r="AK167">
        <v>2047</v>
      </c>
      <c r="AL167" t="s">
        <v>161</v>
      </c>
      <c r="AM167">
        <v>0.42659999999999998</v>
      </c>
      <c r="AN167" t="s">
        <v>217</v>
      </c>
    </row>
    <row r="168" spans="9:40" x14ac:dyDescent="0.45">
      <c r="I168" t="s">
        <v>181</v>
      </c>
      <c r="J168" t="s">
        <v>244</v>
      </c>
      <c r="K168">
        <v>0</v>
      </c>
      <c r="L168" t="s">
        <v>167</v>
      </c>
      <c r="N168" t="s">
        <v>191</v>
      </c>
      <c r="O168" t="s">
        <v>244</v>
      </c>
      <c r="P168">
        <v>4.0139903885400632E-3</v>
      </c>
      <c r="Q168" t="s">
        <v>167</v>
      </c>
      <c r="S168" t="s">
        <v>201</v>
      </c>
      <c r="T168" t="s">
        <v>244</v>
      </c>
      <c r="U168">
        <v>3.5930241415562062E-3</v>
      </c>
      <c r="V168" t="s">
        <v>167</v>
      </c>
      <c r="AK168">
        <v>2047</v>
      </c>
      <c r="AL168" t="s">
        <v>163</v>
      </c>
      <c r="AM168">
        <v>0.51429999999999998</v>
      </c>
      <c r="AN168" t="s">
        <v>217</v>
      </c>
    </row>
    <row r="169" spans="9:40" x14ac:dyDescent="0.45">
      <c r="I169" t="s">
        <v>181</v>
      </c>
      <c r="J169" t="s">
        <v>245</v>
      </c>
      <c r="K169">
        <v>1.1845124868874481E-3</v>
      </c>
      <c r="L169" t="s">
        <v>167</v>
      </c>
      <c r="N169" t="s">
        <v>191</v>
      </c>
      <c r="O169" t="s">
        <v>245</v>
      </c>
      <c r="P169">
        <v>1.5478731320239508E-2</v>
      </c>
      <c r="Q169" t="s">
        <v>167</v>
      </c>
      <c r="S169" t="s">
        <v>201</v>
      </c>
      <c r="T169" t="s">
        <v>245</v>
      </c>
      <c r="U169">
        <v>1.4519733641846637E-2</v>
      </c>
      <c r="V169" t="s">
        <v>167</v>
      </c>
      <c r="AK169">
        <v>2047</v>
      </c>
      <c r="AL169" t="s">
        <v>220</v>
      </c>
      <c r="AM169">
        <v>0.37992500000000001</v>
      </c>
      <c r="AN169" t="s">
        <v>217</v>
      </c>
    </row>
    <row r="170" spans="9:40" x14ac:dyDescent="0.45">
      <c r="I170" t="s">
        <v>181</v>
      </c>
      <c r="J170" t="s">
        <v>246</v>
      </c>
      <c r="K170">
        <v>2.6562241380318374E-2</v>
      </c>
      <c r="L170" t="s">
        <v>167</v>
      </c>
      <c r="N170" t="s">
        <v>191</v>
      </c>
      <c r="O170" t="s">
        <v>246</v>
      </c>
      <c r="P170">
        <v>2.6281008391076187E-2</v>
      </c>
      <c r="Q170" t="s">
        <v>167</v>
      </c>
      <c r="S170" t="s">
        <v>201</v>
      </c>
      <c r="T170" t="s">
        <v>246</v>
      </c>
      <c r="U170">
        <v>2.7591494806254332E-2</v>
      </c>
      <c r="V170" t="s">
        <v>167</v>
      </c>
      <c r="AK170">
        <v>2047</v>
      </c>
      <c r="AL170" t="s">
        <v>222</v>
      </c>
      <c r="AM170">
        <v>0.33879999999999999</v>
      </c>
      <c r="AN170" t="s">
        <v>217</v>
      </c>
    </row>
    <row r="171" spans="9:40" x14ac:dyDescent="0.45">
      <c r="I171" t="s">
        <v>181</v>
      </c>
      <c r="J171" t="s">
        <v>247</v>
      </c>
      <c r="K171">
        <v>0</v>
      </c>
      <c r="L171" t="s">
        <v>167</v>
      </c>
      <c r="N171" t="s">
        <v>191</v>
      </c>
      <c r="O171" t="s">
        <v>247</v>
      </c>
      <c r="P171">
        <v>3.6488180010156661E-3</v>
      </c>
      <c r="Q171" t="s">
        <v>167</v>
      </c>
      <c r="S171" t="s">
        <v>201</v>
      </c>
      <c r="T171" t="s">
        <v>247</v>
      </c>
      <c r="U171">
        <v>4.0062018746747892E-3</v>
      </c>
      <c r="V171" t="s">
        <v>167</v>
      </c>
      <c r="AK171">
        <v>2047</v>
      </c>
      <c r="AL171" t="s">
        <v>224</v>
      </c>
      <c r="AM171">
        <v>0.36680000000000001</v>
      </c>
      <c r="AN171" t="s">
        <v>217</v>
      </c>
    </row>
    <row r="172" spans="9:40" x14ac:dyDescent="0.45">
      <c r="I172" t="s">
        <v>181</v>
      </c>
      <c r="J172" t="s">
        <v>248</v>
      </c>
      <c r="K172">
        <v>0</v>
      </c>
      <c r="L172" t="s">
        <v>167</v>
      </c>
      <c r="N172" t="s">
        <v>191</v>
      </c>
      <c r="O172" t="s">
        <v>248</v>
      </c>
      <c r="P172">
        <v>2.595970038025603E-2</v>
      </c>
      <c r="Q172" t="s">
        <v>167</v>
      </c>
      <c r="S172" t="s">
        <v>201</v>
      </c>
      <c r="T172" t="s">
        <v>248</v>
      </c>
      <c r="U172">
        <v>2.8461154288014358E-2</v>
      </c>
      <c r="V172" t="s">
        <v>167</v>
      </c>
      <c r="AK172">
        <v>2048</v>
      </c>
      <c r="AL172" t="s">
        <v>155</v>
      </c>
      <c r="AM172">
        <v>0.3992</v>
      </c>
      <c r="AN172" t="s">
        <v>217</v>
      </c>
    </row>
    <row r="173" spans="9:40" x14ac:dyDescent="0.45">
      <c r="I173" t="s">
        <v>181</v>
      </c>
      <c r="J173" t="s">
        <v>249</v>
      </c>
      <c r="K173">
        <v>0</v>
      </c>
      <c r="L173" t="s">
        <v>167</v>
      </c>
      <c r="N173" t="s">
        <v>191</v>
      </c>
      <c r="O173" t="s">
        <v>249</v>
      </c>
      <c r="P173">
        <v>1.8762262550593226E-2</v>
      </c>
      <c r="Q173" t="s">
        <v>167</v>
      </c>
      <c r="S173" t="s">
        <v>201</v>
      </c>
      <c r="T173" t="s">
        <v>249</v>
      </c>
      <c r="U173">
        <v>2.1560538710922648E-2</v>
      </c>
      <c r="V173" t="s">
        <v>167</v>
      </c>
      <c r="AK173">
        <v>2048</v>
      </c>
      <c r="AL173" t="s">
        <v>159</v>
      </c>
      <c r="AM173">
        <v>0.47010000000000002</v>
      </c>
      <c r="AN173" t="s">
        <v>217</v>
      </c>
    </row>
    <row r="174" spans="9:40" x14ac:dyDescent="0.45">
      <c r="I174" t="s">
        <v>181</v>
      </c>
      <c r="J174" t="s">
        <v>250</v>
      </c>
      <c r="K174">
        <v>0</v>
      </c>
      <c r="L174" t="s">
        <v>167</v>
      </c>
      <c r="N174" t="s">
        <v>191</v>
      </c>
      <c r="O174" t="s">
        <v>250</v>
      </c>
      <c r="P174">
        <v>4.5666839801252303E-3</v>
      </c>
      <c r="Q174" t="s">
        <v>167</v>
      </c>
      <c r="S174" t="s">
        <v>201</v>
      </c>
      <c r="T174" t="s">
        <v>250</v>
      </c>
      <c r="U174">
        <v>5.5281659020621383E-3</v>
      </c>
      <c r="V174" t="s">
        <v>167</v>
      </c>
      <c r="AK174">
        <v>2048</v>
      </c>
      <c r="AL174" t="s">
        <v>161</v>
      </c>
      <c r="AM174">
        <v>0.4819</v>
      </c>
      <c r="AN174" t="s">
        <v>217</v>
      </c>
    </row>
    <row r="175" spans="9:40" x14ac:dyDescent="0.45">
      <c r="I175" t="s">
        <v>181</v>
      </c>
      <c r="J175" t="s">
        <v>251</v>
      </c>
      <c r="K175">
        <v>0</v>
      </c>
      <c r="L175" t="s">
        <v>167</v>
      </c>
      <c r="N175" t="s">
        <v>191</v>
      </c>
      <c r="O175" t="s">
        <v>251</v>
      </c>
      <c r="P175">
        <v>1.9403985658120192E-2</v>
      </c>
      <c r="Q175" t="s">
        <v>167</v>
      </c>
      <c r="S175" t="s">
        <v>201</v>
      </c>
      <c r="T175" t="s">
        <v>251</v>
      </c>
      <c r="U175">
        <v>2.3132988868432638E-2</v>
      </c>
      <c r="V175" t="s">
        <v>167</v>
      </c>
      <c r="AK175">
        <v>2048</v>
      </c>
      <c r="AL175" t="s">
        <v>163</v>
      </c>
      <c r="AM175">
        <v>0.54759999999999998</v>
      </c>
      <c r="AN175" t="s">
        <v>217</v>
      </c>
    </row>
    <row r="176" spans="9:40" x14ac:dyDescent="0.45">
      <c r="I176" t="s">
        <v>181</v>
      </c>
      <c r="J176" t="s">
        <v>252</v>
      </c>
      <c r="K176">
        <v>1.1713504701941411E-2</v>
      </c>
      <c r="L176" t="s">
        <v>167</v>
      </c>
      <c r="N176" t="s">
        <v>191</v>
      </c>
      <c r="O176" t="s">
        <v>252</v>
      </c>
      <c r="P176">
        <v>3.5700881106670683E-2</v>
      </c>
      <c r="Q176" t="s">
        <v>167</v>
      </c>
      <c r="S176" t="s">
        <v>201</v>
      </c>
      <c r="T176" t="s">
        <v>252</v>
      </c>
      <c r="U176">
        <v>3.9448308792920606E-2</v>
      </c>
      <c r="V176" t="s">
        <v>167</v>
      </c>
      <c r="AK176">
        <v>2048</v>
      </c>
      <c r="AL176" t="s">
        <v>220</v>
      </c>
      <c r="AM176">
        <v>0.45779999999999998</v>
      </c>
      <c r="AN176" t="s">
        <v>217</v>
      </c>
    </row>
    <row r="177" spans="9:40" x14ac:dyDescent="0.45">
      <c r="I177" t="s">
        <v>181</v>
      </c>
      <c r="J177" t="s">
        <v>253</v>
      </c>
      <c r="K177">
        <v>0</v>
      </c>
      <c r="L177" t="s">
        <v>167</v>
      </c>
      <c r="N177" t="s">
        <v>191</v>
      </c>
      <c r="O177" t="s">
        <v>253</v>
      </c>
      <c r="P177">
        <v>5.1843737823300991E-3</v>
      </c>
      <c r="Q177" t="s">
        <v>167</v>
      </c>
      <c r="S177" t="s">
        <v>201</v>
      </c>
      <c r="T177" t="s">
        <v>253</v>
      </c>
      <c r="U177">
        <v>5.6334343449074885E-3</v>
      </c>
      <c r="V177" t="s">
        <v>167</v>
      </c>
      <c r="AK177">
        <v>2048</v>
      </c>
      <c r="AL177" t="s">
        <v>222</v>
      </c>
      <c r="AM177">
        <v>0.40910000000000002</v>
      </c>
      <c r="AN177" t="s">
        <v>217</v>
      </c>
    </row>
    <row r="178" spans="9:40" x14ac:dyDescent="0.45">
      <c r="I178" t="s">
        <v>181</v>
      </c>
      <c r="J178" t="s">
        <v>254</v>
      </c>
      <c r="K178">
        <v>0</v>
      </c>
      <c r="L178" t="s">
        <v>167</v>
      </c>
      <c r="N178" t="s">
        <v>191</v>
      </c>
      <c r="O178" t="s">
        <v>254</v>
      </c>
      <c r="P178">
        <v>3.5484734880141991E-2</v>
      </c>
      <c r="Q178" t="s">
        <v>167</v>
      </c>
      <c r="S178" t="s">
        <v>201</v>
      </c>
      <c r="T178" t="s">
        <v>254</v>
      </c>
      <c r="U178">
        <v>3.7745921630438516E-2</v>
      </c>
      <c r="V178" t="s">
        <v>167</v>
      </c>
      <c r="AK178">
        <v>2048</v>
      </c>
      <c r="AL178" t="s">
        <v>224</v>
      </c>
      <c r="AM178">
        <v>0.37809999999999999</v>
      </c>
      <c r="AN178" t="s">
        <v>217</v>
      </c>
    </row>
    <row r="179" spans="9:40" x14ac:dyDescent="0.45">
      <c r="I179" t="s">
        <v>182</v>
      </c>
      <c r="J179" t="s">
        <v>166</v>
      </c>
      <c r="K179">
        <v>0</v>
      </c>
      <c r="L179" t="s">
        <v>167</v>
      </c>
      <c r="N179" t="s">
        <v>192</v>
      </c>
      <c r="O179" t="s">
        <v>166</v>
      </c>
      <c r="P179">
        <v>2.6518073656543018E-2</v>
      </c>
      <c r="Q179" t="s">
        <v>167</v>
      </c>
      <c r="S179" t="s">
        <v>202</v>
      </c>
      <c r="T179" t="s">
        <v>166</v>
      </c>
      <c r="U179">
        <v>2.2126637823741274E-2</v>
      </c>
      <c r="V179" t="s">
        <v>167</v>
      </c>
      <c r="AK179">
        <v>2049</v>
      </c>
      <c r="AL179" t="s">
        <v>155</v>
      </c>
      <c r="AM179">
        <v>0.4093</v>
      </c>
      <c r="AN179" t="s">
        <v>217</v>
      </c>
    </row>
    <row r="180" spans="9:40" x14ac:dyDescent="0.45">
      <c r="I180" t="s">
        <v>182</v>
      </c>
      <c r="J180" t="s">
        <v>168</v>
      </c>
      <c r="K180">
        <v>0</v>
      </c>
      <c r="L180" t="s">
        <v>167</v>
      </c>
      <c r="N180" t="s">
        <v>192</v>
      </c>
      <c r="O180" t="s">
        <v>168</v>
      </c>
      <c r="P180">
        <v>6.6607305719553209E-3</v>
      </c>
      <c r="Q180" t="s">
        <v>167</v>
      </c>
      <c r="S180" t="s">
        <v>202</v>
      </c>
      <c r="T180" t="s">
        <v>168</v>
      </c>
      <c r="U180">
        <v>5.5777466579227577E-3</v>
      </c>
      <c r="V180" t="s">
        <v>167</v>
      </c>
      <c r="AK180">
        <v>2049</v>
      </c>
      <c r="AL180" t="s">
        <v>159</v>
      </c>
      <c r="AM180">
        <v>0.4138</v>
      </c>
      <c r="AN180" t="s">
        <v>217</v>
      </c>
    </row>
    <row r="181" spans="9:40" x14ac:dyDescent="0.45">
      <c r="I181" t="s">
        <v>182</v>
      </c>
      <c r="J181" t="s">
        <v>169</v>
      </c>
      <c r="K181">
        <v>2.5091165572516142E-3</v>
      </c>
      <c r="L181" t="s">
        <v>167</v>
      </c>
      <c r="N181" t="s">
        <v>192</v>
      </c>
      <c r="O181" t="s">
        <v>169</v>
      </c>
      <c r="P181">
        <v>2.6232081850631077E-2</v>
      </c>
      <c r="Q181" t="s">
        <v>167</v>
      </c>
      <c r="S181" t="s">
        <v>202</v>
      </c>
      <c r="T181" t="s">
        <v>169</v>
      </c>
      <c r="U181">
        <v>2.341455570675844E-2</v>
      </c>
      <c r="V181" t="s">
        <v>167</v>
      </c>
      <c r="AK181">
        <v>2049</v>
      </c>
      <c r="AL181" t="s">
        <v>161</v>
      </c>
      <c r="AM181">
        <v>0.50534999999999997</v>
      </c>
      <c r="AN181" t="s">
        <v>217</v>
      </c>
    </row>
    <row r="182" spans="9:40" x14ac:dyDescent="0.45">
      <c r="I182" t="s">
        <v>182</v>
      </c>
      <c r="J182" t="s">
        <v>225</v>
      </c>
      <c r="K182">
        <v>4.7685019946534936E-2</v>
      </c>
      <c r="L182" t="s">
        <v>167</v>
      </c>
      <c r="N182" t="s">
        <v>192</v>
      </c>
      <c r="O182" t="s">
        <v>225</v>
      </c>
      <c r="P182">
        <v>4.3821393026077841E-2</v>
      </c>
      <c r="Q182" t="s">
        <v>167</v>
      </c>
      <c r="S182" t="s">
        <v>202</v>
      </c>
      <c r="T182" t="s">
        <v>225</v>
      </c>
      <c r="U182">
        <v>4.2704065005739492E-2</v>
      </c>
      <c r="V182" t="s">
        <v>167</v>
      </c>
      <c r="AK182">
        <v>2049</v>
      </c>
      <c r="AL182" t="s">
        <v>163</v>
      </c>
      <c r="AM182">
        <v>0.58320000000000005</v>
      </c>
      <c r="AN182" t="s">
        <v>217</v>
      </c>
    </row>
    <row r="183" spans="9:40" x14ac:dyDescent="0.45">
      <c r="I183" t="s">
        <v>182</v>
      </c>
      <c r="J183" t="s">
        <v>226</v>
      </c>
      <c r="K183">
        <v>2.7541972112896454E-3</v>
      </c>
      <c r="L183" t="s">
        <v>167</v>
      </c>
      <c r="N183" t="s">
        <v>192</v>
      </c>
      <c r="O183" t="s">
        <v>226</v>
      </c>
      <c r="P183">
        <v>6.3963188294407242E-3</v>
      </c>
      <c r="Q183" t="s">
        <v>167</v>
      </c>
      <c r="S183" t="s">
        <v>202</v>
      </c>
      <c r="T183" t="s">
        <v>226</v>
      </c>
      <c r="U183">
        <v>6.1087134748610637E-3</v>
      </c>
      <c r="V183" t="s">
        <v>167</v>
      </c>
      <c r="AK183">
        <v>2049</v>
      </c>
      <c r="AL183" t="s">
        <v>220</v>
      </c>
      <c r="AM183">
        <v>0.45545000000000002</v>
      </c>
      <c r="AN183" t="s">
        <v>217</v>
      </c>
    </row>
    <row r="184" spans="9:40" x14ac:dyDescent="0.45">
      <c r="I184" t="s">
        <v>182</v>
      </c>
      <c r="J184" t="s">
        <v>227</v>
      </c>
      <c r="K184">
        <v>3.7944218617026916E-4</v>
      </c>
      <c r="L184" t="s">
        <v>167</v>
      </c>
      <c r="N184" t="s">
        <v>192</v>
      </c>
      <c r="O184" t="s">
        <v>227</v>
      </c>
      <c r="P184">
        <v>4.7418274306926522E-2</v>
      </c>
      <c r="Q184" t="s">
        <v>167</v>
      </c>
      <c r="S184" t="s">
        <v>202</v>
      </c>
      <c r="T184" t="s">
        <v>227</v>
      </c>
      <c r="U184">
        <v>4.2555127889521226E-2</v>
      </c>
      <c r="V184" t="s">
        <v>167</v>
      </c>
      <c r="AK184">
        <v>2049</v>
      </c>
      <c r="AL184" t="s">
        <v>222</v>
      </c>
      <c r="AM184">
        <v>0.40250000000000002</v>
      </c>
      <c r="AN184" t="s">
        <v>217</v>
      </c>
    </row>
    <row r="185" spans="9:40" x14ac:dyDescent="0.45">
      <c r="I185" t="s">
        <v>182</v>
      </c>
      <c r="J185" t="s">
        <v>170</v>
      </c>
      <c r="K185">
        <v>0</v>
      </c>
      <c r="L185" t="s">
        <v>167</v>
      </c>
      <c r="N185" t="s">
        <v>192</v>
      </c>
      <c r="O185" t="s">
        <v>170</v>
      </c>
      <c r="P185">
        <v>1.5598675204951043E-2</v>
      </c>
      <c r="Q185" t="s">
        <v>167</v>
      </c>
      <c r="S185" t="s">
        <v>202</v>
      </c>
      <c r="T185" t="s">
        <v>170</v>
      </c>
      <c r="U185">
        <v>1.3053829550790741E-2</v>
      </c>
      <c r="V185" t="s">
        <v>167</v>
      </c>
      <c r="AK185">
        <v>2049</v>
      </c>
      <c r="AL185" t="s">
        <v>224</v>
      </c>
      <c r="AM185">
        <v>0.3735</v>
      </c>
      <c r="AN185" t="s">
        <v>217</v>
      </c>
    </row>
    <row r="186" spans="9:40" x14ac:dyDescent="0.45">
      <c r="I186" t="s">
        <v>182</v>
      </c>
      <c r="J186" t="s">
        <v>171</v>
      </c>
      <c r="K186">
        <v>0</v>
      </c>
      <c r="L186" t="s">
        <v>167</v>
      </c>
      <c r="N186" t="s">
        <v>192</v>
      </c>
      <c r="O186" t="s">
        <v>171</v>
      </c>
      <c r="P186">
        <v>4.0302621277469568E-3</v>
      </c>
      <c r="Q186" t="s">
        <v>167</v>
      </c>
      <c r="S186" t="s">
        <v>202</v>
      </c>
      <c r="T186" t="s">
        <v>171</v>
      </c>
      <c r="U186">
        <v>3.2878685717557424E-3</v>
      </c>
      <c r="V186" t="s">
        <v>167</v>
      </c>
      <c r="AK186">
        <v>2050</v>
      </c>
      <c r="AL186" t="s">
        <v>155</v>
      </c>
      <c r="AM186">
        <v>0.41505000000000003</v>
      </c>
      <c r="AN186" t="s">
        <v>217</v>
      </c>
    </row>
    <row r="187" spans="9:40" x14ac:dyDescent="0.45">
      <c r="I187" t="s">
        <v>182</v>
      </c>
      <c r="J187" t="s">
        <v>172</v>
      </c>
      <c r="K187">
        <v>1.5440786290074249E-2</v>
      </c>
      <c r="L187" t="s">
        <v>167</v>
      </c>
      <c r="N187" t="s">
        <v>192</v>
      </c>
      <c r="O187" t="s">
        <v>172</v>
      </c>
      <c r="P187">
        <v>1.6954754165190277E-2</v>
      </c>
      <c r="Q187" t="s">
        <v>167</v>
      </c>
      <c r="S187" t="s">
        <v>202</v>
      </c>
      <c r="T187" t="s">
        <v>172</v>
      </c>
      <c r="U187">
        <v>1.4761660705169934E-2</v>
      </c>
      <c r="V187" t="s">
        <v>167</v>
      </c>
      <c r="AK187">
        <v>2050</v>
      </c>
      <c r="AL187" t="s">
        <v>159</v>
      </c>
      <c r="AM187">
        <v>0.41949999999999998</v>
      </c>
      <c r="AN187" t="s">
        <v>217</v>
      </c>
    </row>
    <row r="188" spans="9:40" x14ac:dyDescent="0.45">
      <c r="I188" t="s">
        <v>182</v>
      </c>
      <c r="J188" t="s">
        <v>228</v>
      </c>
      <c r="K188">
        <v>6.9981986088735126E-2</v>
      </c>
      <c r="L188" t="s">
        <v>167</v>
      </c>
      <c r="N188" t="s">
        <v>192</v>
      </c>
      <c r="O188" t="s">
        <v>228</v>
      </c>
      <c r="P188">
        <v>2.6272316287900391E-2</v>
      </c>
      <c r="Q188" t="s">
        <v>167</v>
      </c>
      <c r="S188" t="s">
        <v>202</v>
      </c>
      <c r="T188" t="s">
        <v>228</v>
      </c>
      <c r="U188">
        <v>2.469991118208319E-2</v>
      </c>
      <c r="V188" t="s">
        <v>167</v>
      </c>
      <c r="AK188">
        <v>2050</v>
      </c>
      <c r="AL188" t="s">
        <v>161</v>
      </c>
      <c r="AM188">
        <v>0.53920000000000001</v>
      </c>
      <c r="AN188" t="s">
        <v>217</v>
      </c>
    </row>
    <row r="189" spans="9:40" x14ac:dyDescent="0.45">
      <c r="I189" t="s">
        <v>182</v>
      </c>
      <c r="J189" t="s">
        <v>229</v>
      </c>
      <c r="K189">
        <v>6.9640670822583893E-3</v>
      </c>
      <c r="L189" t="s">
        <v>167</v>
      </c>
      <c r="N189" t="s">
        <v>192</v>
      </c>
      <c r="O189" t="s">
        <v>229</v>
      </c>
      <c r="P189">
        <v>3.5451301675617506E-3</v>
      </c>
      <c r="Q189" t="s">
        <v>167</v>
      </c>
      <c r="S189" t="s">
        <v>202</v>
      </c>
      <c r="T189" t="s">
        <v>229</v>
      </c>
      <c r="U189">
        <v>3.7111812080822594E-3</v>
      </c>
      <c r="V189" t="s">
        <v>167</v>
      </c>
      <c r="AK189">
        <v>2050</v>
      </c>
      <c r="AL189" t="s">
        <v>163</v>
      </c>
      <c r="AM189">
        <v>0.53210000000000002</v>
      </c>
      <c r="AN189" t="s">
        <v>217</v>
      </c>
    </row>
    <row r="190" spans="9:40" x14ac:dyDescent="0.45">
      <c r="I190" t="s">
        <v>182</v>
      </c>
      <c r="J190" t="s">
        <v>230</v>
      </c>
      <c r="K190">
        <v>5.312270814062158E-3</v>
      </c>
      <c r="L190" t="s">
        <v>167</v>
      </c>
      <c r="N190" t="s">
        <v>192</v>
      </c>
      <c r="O190" t="s">
        <v>230</v>
      </c>
      <c r="P190">
        <v>2.7202003634088315E-2</v>
      </c>
      <c r="Q190" t="s">
        <v>167</v>
      </c>
      <c r="S190" t="s">
        <v>202</v>
      </c>
      <c r="T190" t="s">
        <v>230</v>
      </c>
      <c r="U190">
        <v>2.6367607931492343E-2</v>
      </c>
      <c r="V190" t="s">
        <v>167</v>
      </c>
      <c r="AK190">
        <v>2050</v>
      </c>
      <c r="AL190" t="s">
        <v>220</v>
      </c>
      <c r="AM190">
        <v>0.46049999999999996</v>
      </c>
      <c r="AN190" t="s">
        <v>217</v>
      </c>
    </row>
    <row r="191" spans="9:40" x14ac:dyDescent="0.45">
      <c r="I191" t="s">
        <v>182</v>
      </c>
      <c r="J191" t="s">
        <v>173</v>
      </c>
      <c r="K191">
        <v>0</v>
      </c>
      <c r="L191" t="s">
        <v>167</v>
      </c>
      <c r="N191" t="s">
        <v>192</v>
      </c>
      <c r="O191" t="s">
        <v>173</v>
      </c>
      <c r="P191">
        <v>2.7900056288124944E-2</v>
      </c>
      <c r="Q191" t="s">
        <v>167</v>
      </c>
      <c r="S191" t="s">
        <v>202</v>
      </c>
      <c r="T191" t="s">
        <v>173</v>
      </c>
      <c r="U191">
        <v>2.6834752131406181E-2</v>
      </c>
      <c r="V191" t="s">
        <v>167</v>
      </c>
      <c r="AK191">
        <v>2050</v>
      </c>
      <c r="AL191" t="s">
        <v>222</v>
      </c>
      <c r="AM191">
        <v>0.40350000000000003</v>
      </c>
      <c r="AN191" t="s">
        <v>217</v>
      </c>
    </row>
    <row r="192" spans="9:40" x14ac:dyDescent="0.45">
      <c r="I192" t="s">
        <v>182</v>
      </c>
      <c r="J192" t="s">
        <v>174</v>
      </c>
      <c r="K192">
        <v>1.4190571391320536E-3</v>
      </c>
      <c r="L192" t="s">
        <v>167</v>
      </c>
      <c r="N192" t="s">
        <v>192</v>
      </c>
      <c r="O192" t="s">
        <v>174</v>
      </c>
      <c r="P192">
        <v>6.4987585341468685E-3</v>
      </c>
      <c r="Q192" t="s">
        <v>167</v>
      </c>
      <c r="S192" t="s">
        <v>202</v>
      </c>
      <c r="T192" t="s">
        <v>174</v>
      </c>
      <c r="U192">
        <v>6.5165829709738663E-3</v>
      </c>
      <c r="V192" t="s">
        <v>167</v>
      </c>
      <c r="AK192">
        <v>2050</v>
      </c>
      <c r="AL192" t="s">
        <v>224</v>
      </c>
      <c r="AM192">
        <v>0.4466</v>
      </c>
      <c r="AN192" t="s">
        <v>217</v>
      </c>
    </row>
    <row r="193" spans="9:22" x14ac:dyDescent="0.45">
      <c r="I193" t="s">
        <v>182</v>
      </c>
      <c r="J193" t="s">
        <v>175</v>
      </c>
      <c r="K193">
        <v>5.5130167116242114E-2</v>
      </c>
      <c r="L193" t="s">
        <v>167</v>
      </c>
      <c r="N193" t="s">
        <v>192</v>
      </c>
      <c r="O193" t="s">
        <v>175</v>
      </c>
      <c r="P193">
        <v>2.453964134736477E-2</v>
      </c>
      <c r="Q193" t="s">
        <v>167</v>
      </c>
      <c r="S193" t="s">
        <v>202</v>
      </c>
      <c r="T193" t="s">
        <v>175</v>
      </c>
      <c r="U193">
        <v>2.6556066177083299E-2</v>
      </c>
      <c r="V193" t="s">
        <v>167</v>
      </c>
    </row>
    <row r="194" spans="9:22" x14ac:dyDescent="0.45">
      <c r="I194" t="s">
        <v>182</v>
      </c>
      <c r="J194" t="s">
        <v>231</v>
      </c>
      <c r="K194">
        <v>0.1544259957062934</v>
      </c>
      <c r="L194" t="s">
        <v>167</v>
      </c>
      <c r="N194" t="s">
        <v>192</v>
      </c>
      <c r="O194" t="s">
        <v>231</v>
      </c>
      <c r="P194">
        <v>4.0275651986453678E-2</v>
      </c>
      <c r="Q194" t="s">
        <v>167</v>
      </c>
      <c r="S194" t="s">
        <v>202</v>
      </c>
      <c r="T194" t="s">
        <v>231</v>
      </c>
      <c r="U194">
        <v>4.6298176629968213E-2</v>
      </c>
      <c r="V194" t="s">
        <v>167</v>
      </c>
    </row>
    <row r="195" spans="9:22" x14ac:dyDescent="0.45">
      <c r="I195" t="s">
        <v>182</v>
      </c>
      <c r="J195" t="s">
        <v>232</v>
      </c>
      <c r="K195">
        <v>1.8941042915350686E-2</v>
      </c>
      <c r="L195" t="s">
        <v>167</v>
      </c>
      <c r="N195" t="s">
        <v>192</v>
      </c>
      <c r="O195" t="s">
        <v>232</v>
      </c>
      <c r="P195">
        <v>6.1518292600313091E-3</v>
      </c>
      <c r="Q195" t="s">
        <v>167</v>
      </c>
      <c r="S195" t="s">
        <v>202</v>
      </c>
      <c r="T195" t="s">
        <v>232</v>
      </c>
      <c r="U195">
        <v>6.3825681312906432E-3</v>
      </c>
      <c r="V195" t="s">
        <v>167</v>
      </c>
    </row>
    <row r="196" spans="9:22" x14ac:dyDescent="0.45">
      <c r="I196" t="s">
        <v>182</v>
      </c>
      <c r="J196" t="s">
        <v>233</v>
      </c>
      <c r="K196">
        <v>3.0057176509365579E-2</v>
      </c>
      <c r="L196" t="s">
        <v>167</v>
      </c>
      <c r="N196" t="s">
        <v>192</v>
      </c>
      <c r="O196" t="s">
        <v>233</v>
      </c>
      <c r="P196">
        <v>4.8203412923990059E-2</v>
      </c>
      <c r="Q196" t="s">
        <v>167</v>
      </c>
      <c r="S196" t="s">
        <v>202</v>
      </c>
      <c r="T196" t="s">
        <v>233</v>
      </c>
      <c r="U196">
        <v>4.6605505835527833E-2</v>
      </c>
      <c r="V196" t="s">
        <v>167</v>
      </c>
    </row>
    <row r="197" spans="9:22" x14ac:dyDescent="0.45">
      <c r="I197" t="s">
        <v>182</v>
      </c>
      <c r="J197" t="s">
        <v>176</v>
      </c>
      <c r="K197">
        <v>0</v>
      </c>
      <c r="L197" t="s">
        <v>167</v>
      </c>
      <c r="N197" t="s">
        <v>192</v>
      </c>
      <c r="O197" t="s">
        <v>176</v>
      </c>
      <c r="P197">
        <v>1.2630781470882728E-2</v>
      </c>
      <c r="Q197" t="s">
        <v>167</v>
      </c>
      <c r="S197" t="s">
        <v>202</v>
      </c>
      <c r="T197" t="s">
        <v>176</v>
      </c>
      <c r="U197">
        <v>1.118117900083667E-2</v>
      </c>
      <c r="V197" t="s">
        <v>167</v>
      </c>
    </row>
    <row r="198" spans="9:22" x14ac:dyDescent="0.45">
      <c r="I198" t="s">
        <v>182</v>
      </c>
      <c r="J198" t="s">
        <v>177</v>
      </c>
      <c r="K198">
        <v>2.3065804203751578E-3</v>
      </c>
      <c r="L198" t="s">
        <v>167</v>
      </c>
      <c r="N198" t="s">
        <v>192</v>
      </c>
      <c r="O198" t="s">
        <v>177</v>
      </c>
      <c r="P198">
        <v>2.8148513113389565E-3</v>
      </c>
      <c r="Q198" t="s">
        <v>167</v>
      </c>
      <c r="S198" t="s">
        <v>202</v>
      </c>
      <c r="T198" t="s">
        <v>177</v>
      </c>
      <c r="U198">
        <v>2.4302810278017078E-3</v>
      </c>
      <c r="V198" t="s">
        <v>167</v>
      </c>
    </row>
    <row r="199" spans="9:22" x14ac:dyDescent="0.45">
      <c r="I199" t="s">
        <v>182</v>
      </c>
      <c r="J199" t="s">
        <v>178</v>
      </c>
      <c r="K199">
        <v>3.1347825173302417E-2</v>
      </c>
      <c r="L199" t="s">
        <v>167</v>
      </c>
      <c r="N199" t="s">
        <v>192</v>
      </c>
      <c r="O199" t="s">
        <v>178</v>
      </c>
      <c r="P199">
        <v>1.1010906836595126E-2</v>
      </c>
      <c r="Q199" t="s">
        <v>167</v>
      </c>
      <c r="S199" t="s">
        <v>202</v>
      </c>
      <c r="T199" t="s">
        <v>178</v>
      </c>
      <c r="U199">
        <v>8.8652719696308228E-3</v>
      </c>
      <c r="V199" t="s">
        <v>167</v>
      </c>
    </row>
    <row r="200" spans="9:22" x14ac:dyDescent="0.45">
      <c r="I200" t="s">
        <v>182</v>
      </c>
      <c r="J200" t="s">
        <v>234</v>
      </c>
      <c r="K200">
        <v>8.0177603215663265E-2</v>
      </c>
      <c r="L200" t="s">
        <v>167</v>
      </c>
      <c r="N200" t="s">
        <v>192</v>
      </c>
      <c r="O200" t="s">
        <v>234</v>
      </c>
      <c r="P200">
        <v>2.1333040328733049E-2</v>
      </c>
      <c r="Q200" t="s">
        <v>167</v>
      </c>
      <c r="S200" t="s">
        <v>202</v>
      </c>
      <c r="T200" t="s">
        <v>234</v>
      </c>
      <c r="U200">
        <v>1.7987225356666973E-2</v>
      </c>
      <c r="V200" t="s">
        <v>167</v>
      </c>
    </row>
    <row r="201" spans="9:22" x14ac:dyDescent="0.45">
      <c r="I201" t="s">
        <v>182</v>
      </c>
      <c r="J201" t="s">
        <v>235</v>
      </c>
      <c r="K201">
        <v>1.0270019761620602E-2</v>
      </c>
      <c r="L201" t="s">
        <v>167</v>
      </c>
      <c r="N201" t="s">
        <v>192</v>
      </c>
      <c r="O201" t="s">
        <v>235</v>
      </c>
      <c r="P201">
        <v>3.4987172032873966E-3</v>
      </c>
      <c r="Q201" t="s">
        <v>167</v>
      </c>
      <c r="S201" t="s">
        <v>202</v>
      </c>
      <c r="T201" t="s">
        <v>235</v>
      </c>
      <c r="U201">
        <v>2.9825955574886718E-3</v>
      </c>
      <c r="V201" t="s">
        <v>167</v>
      </c>
    </row>
    <row r="202" spans="9:22" x14ac:dyDescent="0.45">
      <c r="I202" t="s">
        <v>182</v>
      </c>
      <c r="J202" t="s">
        <v>236</v>
      </c>
      <c r="K202">
        <v>2.0212590245419416E-2</v>
      </c>
      <c r="L202" t="s">
        <v>167</v>
      </c>
      <c r="N202" t="s">
        <v>192</v>
      </c>
      <c r="O202" t="s">
        <v>236</v>
      </c>
      <c r="P202">
        <v>2.3116035427309056E-2</v>
      </c>
      <c r="Q202" t="s">
        <v>167</v>
      </c>
      <c r="S202" t="s">
        <v>202</v>
      </c>
      <c r="T202" t="s">
        <v>236</v>
      </c>
      <c r="U202">
        <v>2.1549224052002675E-2</v>
      </c>
      <c r="V202" t="s">
        <v>167</v>
      </c>
    </row>
    <row r="203" spans="9:22" x14ac:dyDescent="0.45">
      <c r="I203" t="s">
        <v>182</v>
      </c>
      <c r="J203" t="s">
        <v>237</v>
      </c>
      <c r="K203">
        <v>0</v>
      </c>
      <c r="L203" t="s">
        <v>167</v>
      </c>
      <c r="N203" t="s">
        <v>192</v>
      </c>
      <c r="O203" t="s">
        <v>237</v>
      </c>
      <c r="P203">
        <v>5.2777675315826431E-2</v>
      </c>
      <c r="Q203" t="s">
        <v>167</v>
      </c>
      <c r="S203" t="s">
        <v>202</v>
      </c>
      <c r="T203" t="s">
        <v>237</v>
      </c>
      <c r="U203">
        <v>5.2899330106569026E-2</v>
      </c>
      <c r="V203" t="s">
        <v>167</v>
      </c>
    </row>
    <row r="204" spans="9:22" x14ac:dyDescent="0.45">
      <c r="I204" t="s">
        <v>182</v>
      </c>
      <c r="J204" t="s">
        <v>238</v>
      </c>
      <c r="K204">
        <v>2.6222032282097198E-3</v>
      </c>
      <c r="L204" t="s">
        <v>167</v>
      </c>
      <c r="N204" t="s">
        <v>192</v>
      </c>
      <c r="O204" t="s">
        <v>238</v>
      </c>
      <c r="P204">
        <v>1.262282323381016E-2</v>
      </c>
      <c r="Q204" t="s">
        <v>167</v>
      </c>
      <c r="S204" t="s">
        <v>202</v>
      </c>
      <c r="T204" t="s">
        <v>238</v>
      </c>
      <c r="U204">
        <v>1.260824337539697E-2</v>
      </c>
      <c r="V204" t="s">
        <v>167</v>
      </c>
    </row>
    <row r="205" spans="9:22" x14ac:dyDescent="0.45">
      <c r="I205" t="s">
        <v>182</v>
      </c>
      <c r="J205" t="s">
        <v>239</v>
      </c>
      <c r="K205">
        <v>7.882206828620629E-2</v>
      </c>
      <c r="L205" t="s">
        <v>167</v>
      </c>
      <c r="N205" t="s">
        <v>192</v>
      </c>
      <c r="O205" t="s">
        <v>239</v>
      </c>
      <c r="P205">
        <v>4.9598567372523397E-2</v>
      </c>
      <c r="Q205" t="s">
        <v>167</v>
      </c>
      <c r="S205" t="s">
        <v>202</v>
      </c>
      <c r="T205" t="s">
        <v>239</v>
      </c>
      <c r="U205">
        <v>4.953609994542281E-2</v>
      </c>
      <c r="V205" t="s">
        <v>167</v>
      </c>
    </row>
    <row r="206" spans="9:22" x14ac:dyDescent="0.45">
      <c r="I206" t="s">
        <v>182</v>
      </c>
      <c r="J206" t="s">
        <v>240</v>
      </c>
      <c r="K206">
        <v>0.25097459057293298</v>
      </c>
      <c r="L206" t="s">
        <v>167</v>
      </c>
      <c r="N206" t="s">
        <v>192</v>
      </c>
      <c r="O206" t="s">
        <v>240</v>
      </c>
      <c r="P206">
        <v>8.1339469463748357E-2</v>
      </c>
      <c r="Q206" t="s">
        <v>167</v>
      </c>
      <c r="S206" t="s">
        <v>202</v>
      </c>
      <c r="T206" t="s">
        <v>240</v>
      </c>
      <c r="U206">
        <v>8.3206485433171079E-2</v>
      </c>
      <c r="V206" t="s">
        <v>167</v>
      </c>
    </row>
    <row r="207" spans="9:22" x14ac:dyDescent="0.45">
      <c r="I207" t="s">
        <v>182</v>
      </c>
      <c r="J207" t="s">
        <v>241</v>
      </c>
      <c r="K207">
        <v>2.9472730057377602E-2</v>
      </c>
      <c r="L207" t="s">
        <v>167</v>
      </c>
      <c r="N207" t="s">
        <v>192</v>
      </c>
      <c r="O207" t="s">
        <v>241</v>
      </c>
      <c r="P207">
        <v>1.2005853768710958E-2</v>
      </c>
      <c r="Q207" t="s">
        <v>167</v>
      </c>
      <c r="S207" t="s">
        <v>202</v>
      </c>
      <c r="T207" t="s">
        <v>241</v>
      </c>
      <c r="U207">
        <v>1.2065742332757994E-2</v>
      </c>
      <c r="V207" t="s">
        <v>167</v>
      </c>
    </row>
    <row r="208" spans="9:22" x14ac:dyDescent="0.45">
      <c r="I208" t="s">
        <v>182</v>
      </c>
      <c r="J208" t="s">
        <v>242</v>
      </c>
      <c r="K208">
        <v>4.6147001567564586E-2</v>
      </c>
      <c r="L208" t="s">
        <v>167</v>
      </c>
      <c r="N208" t="s">
        <v>192</v>
      </c>
      <c r="O208" t="s">
        <v>242</v>
      </c>
      <c r="P208">
        <v>9.1560240928011558E-2</v>
      </c>
      <c r="Q208" t="s">
        <v>167</v>
      </c>
      <c r="S208" t="s">
        <v>202</v>
      </c>
      <c r="T208" t="s">
        <v>242</v>
      </c>
      <c r="U208">
        <v>9.0104206380129628E-2</v>
      </c>
      <c r="V208" t="s">
        <v>167</v>
      </c>
    </row>
    <row r="209" spans="9:22" x14ac:dyDescent="0.45">
      <c r="I209" t="s">
        <v>182</v>
      </c>
      <c r="J209" t="s">
        <v>243</v>
      </c>
      <c r="K209">
        <v>0</v>
      </c>
      <c r="L209" t="s">
        <v>167</v>
      </c>
      <c r="N209" t="s">
        <v>192</v>
      </c>
      <c r="O209" t="s">
        <v>243</v>
      </c>
      <c r="P209">
        <v>1.6436981038998807E-2</v>
      </c>
      <c r="Q209" t="s">
        <v>167</v>
      </c>
      <c r="S209" t="s">
        <v>202</v>
      </c>
      <c r="T209" t="s">
        <v>243</v>
      </c>
      <c r="U209">
        <v>1.6316119955087874E-2</v>
      </c>
      <c r="V209" t="s">
        <v>167</v>
      </c>
    </row>
    <row r="210" spans="9:22" x14ac:dyDescent="0.45">
      <c r="I210" t="s">
        <v>182</v>
      </c>
      <c r="J210" t="s">
        <v>244</v>
      </c>
      <c r="K210">
        <v>0</v>
      </c>
      <c r="L210" t="s">
        <v>167</v>
      </c>
      <c r="N210" t="s">
        <v>192</v>
      </c>
      <c r="O210" t="s">
        <v>244</v>
      </c>
      <c r="P210">
        <v>4.0361439282292164E-3</v>
      </c>
      <c r="Q210" t="s">
        <v>167</v>
      </c>
      <c r="S210" t="s">
        <v>202</v>
      </c>
      <c r="T210" t="s">
        <v>244</v>
      </c>
      <c r="U210">
        <v>3.8567750600411086E-3</v>
      </c>
      <c r="V210" t="s">
        <v>167</v>
      </c>
    </row>
    <row r="211" spans="9:22" x14ac:dyDescent="0.45">
      <c r="I211" t="s">
        <v>182</v>
      </c>
      <c r="J211" t="s">
        <v>245</v>
      </c>
      <c r="K211">
        <v>1.2498749478217607E-3</v>
      </c>
      <c r="L211" t="s">
        <v>167</v>
      </c>
      <c r="N211" t="s">
        <v>192</v>
      </c>
      <c r="O211" t="s">
        <v>245</v>
      </c>
      <c r="P211">
        <v>1.5548976600212854E-2</v>
      </c>
      <c r="Q211" t="s">
        <v>167</v>
      </c>
      <c r="S211" t="s">
        <v>202</v>
      </c>
      <c r="T211" t="s">
        <v>245</v>
      </c>
      <c r="U211">
        <v>1.5569409444834972E-2</v>
      </c>
      <c r="V211" t="s">
        <v>167</v>
      </c>
    </row>
    <row r="212" spans="9:22" x14ac:dyDescent="0.45">
      <c r="I212" t="s">
        <v>182</v>
      </c>
      <c r="J212" t="s">
        <v>246</v>
      </c>
      <c r="K212">
        <v>2.4455514133293572E-2</v>
      </c>
      <c r="L212" t="s">
        <v>167</v>
      </c>
      <c r="N212" t="s">
        <v>192</v>
      </c>
      <c r="O212" t="s">
        <v>246</v>
      </c>
      <c r="P212">
        <v>2.6366187653019992E-2</v>
      </c>
      <c r="Q212" t="s">
        <v>167</v>
      </c>
      <c r="S212" t="s">
        <v>202</v>
      </c>
      <c r="T212" t="s">
        <v>246</v>
      </c>
      <c r="U212">
        <v>3.0025946837113925E-2</v>
      </c>
      <c r="V212" t="s">
        <v>167</v>
      </c>
    </row>
    <row r="213" spans="9:22" x14ac:dyDescent="0.45">
      <c r="I213" t="s">
        <v>182</v>
      </c>
      <c r="J213" t="s">
        <v>247</v>
      </c>
      <c r="K213">
        <v>0</v>
      </c>
      <c r="L213" t="s">
        <v>167</v>
      </c>
      <c r="N213" t="s">
        <v>192</v>
      </c>
      <c r="O213" t="s">
        <v>247</v>
      </c>
      <c r="P213">
        <v>3.6686296245241078E-3</v>
      </c>
      <c r="Q213" t="s">
        <v>167</v>
      </c>
      <c r="S213" t="s">
        <v>202</v>
      </c>
      <c r="T213" t="s">
        <v>247</v>
      </c>
      <c r="U213">
        <v>4.5178556864819541E-3</v>
      </c>
      <c r="V213" t="s">
        <v>167</v>
      </c>
    </row>
    <row r="214" spans="9:22" x14ac:dyDescent="0.45">
      <c r="I214" t="s">
        <v>182</v>
      </c>
      <c r="J214" t="s">
        <v>248</v>
      </c>
      <c r="K214">
        <v>0</v>
      </c>
      <c r="L214" t="s">
        <v>167</v>
      </c>
      <c r="N214" t="s">
        <v>192</v>
      </c>
      <c r="O214" t="s">
        <v>248</v>
      </c>
      <c r="P214">
        <v>2.7278251202782173E-2</v>
      </c>
      <c r="Q214" t="s">
        <v>167</v>
      </c>
      <c r="S214" t="s">
        <v>202</v>
      </c>
      <c r="T214" t="s">
        <v>248</v>
      </c>
      <c r="U214">
        <v>3.1514920876774384E-2</v>
      </c>
      <c r="V214" t="s">
        <v>167</v>
      </c>
    </row>
    <row r="215" spans="9:22" x14ac:dyDescent="0.45">
      <c r="I215" t="s">
        <v>182</v>
      </c>
      <c r="J215" t="s">
        <v>249</v>
      </c>
      <c r="K215">
        <v>0</v>
      </c>
      <c r="L215" t="s">
        <v>167</v>
      </c>
      <c r="N215" t="s">
        <v>192</v>
      </c>
      <c r="O215" t="s">
        <v>249</v>
      </c>
      <c r="P215">
        <v>2.0377167941983285E-2</v>
      </c>
      <c r="Q215" t="s">
        <v>167</v>
      </c>
      <c r="S215" t="s">
        <v>202</v>
      </c>
      <c r="T215" t="s">
        <v>249</v>
      </c>
      <c r="U215">
        <v>2.3535861558680413E-2</v>
      </c>
      <c r="V215" t="s">
        <v>167</v>
      </c>
    </row>
    <row r="216" spans="9:22" x14ac:dyDescent="0.45">
      <c r="I216" t="s">
        <v>182</v>
      </c>
      <c r="J216" t="s">
        <v>250</v>
      </c>
      <c r="K216">
        <v>0</v>
      </c>
      <c r="L216" t="s">
        <v>167</v>
      </c>
      <c r="N216" t="s">
        <v>192</v>
      </c>
      <c r="O216" t="s">
        <v>250</v>
      </c>
      <c r="P216">
        <v>4.9696346910441374E-3</v>
      </c>
      <c r="Q216" t="s">
        <v>167</v>
      </c>
      <c r="S216" t="s">
        <v>202</v>
      </c>
      <c r="T216" t="s">
        <v>250</v>
      </c>
      <c r="U216">
        <v>5.7538160630952791E-3</v>
      </c>
      <c r="V216" t="s">
        <v>167</v>
      </c>
    </row>
    <row r="217" spans="9:22" x14ac:dyDescent="0.45">
      <c r="I217" t="s">
        <v>182</v>
      </c>
      <c r="J217" t="s">
        <v>251</v>
      </c>
      <c r="K217">
        <v>0</v>
      </c>
      <c r="L217" t="s">
        <v>167</v>
      </c>
      <c r="N217" t="s">
        <v>192</v>
      </c>
      <c r="O217" t="s">
        <v>251</v>
      </c>
      <c r="P217">
        <v>2.0388016917974389E-2</v>
      </c>
      <c r="Q217" t="s">
        <v>167</v>
      </c>
      <c r="S217" t="s">
        <v>202</v>
      </c>
      <c r="T217" t="s">
        <v>251</v>
      </c>
      <c r="U217">
        <v>2.3999082940477531E-2</v>
      </c>
      <c r="V217" t="s">
        <v>167</v>
      </c>
    </row>
    <row r="218" spans="9:22" x14ac:dyDescent="0.45">
      <c r="I218" t="s">
        <v>182</v>
      </c>
      <c r="J218" t="s">
        <v>252</v>
      </c>
      <c r="K218">
        <v>1.0941072827450495E-2</v>
      </c>
      <c r="L218" t="s">
        <v>167</v>
      </c>
      <c r="N218" t="s">
        <v>192</v>
      </c>
      <c r="O218" t="s">
        <v>252</v>
      </c>
      <c r="P218">
        <v>3.8626991684314514E-2</v>
      </c>
      <c r="Q218" t="s">
        <v>167</v>
      </c>
      <c r="S218" t="s">
        <v>202</v>
      </c>
      <c r="T218" t="s">
        <v>252</v>
      </c>
      <c r="U218">
        <v>4.3879781701316914E-2</v>
      </c>
      <c r="V218" t="s">
        <v>167</v>
      </c>
    </row>
    <row r="219" spans="9:22" x14ac:dyDescent="0.45">
      <c r="I219" t="s">
        <v>182</v>
      </c>
      <c r="J219" t="s">
        <v>253</v>
      </c>
      <c r="K219">
        <v>0</v>
      </c>
      <c r="L219" t="s">
        <v>167</v>
      </c>
      <c r="N219" t="s">
        <v>192</v>
      </c>
      <c r="O219" t="s">
        <v>253</v>
      </c>
      <c r="P219">
        <v>5.5925995444583883E-3</v>
      </c>
      <c r="Q219" t="s">
        <v>167</v>
      </c>
      <c r="S219" t="s">
        <v>202</v>
      </c>
      <c r="T219" t="s">
        <v>253</v>
      </c>
      <c r="U219">
        <v>6.2052674225392835E-3</v>
      </c>
      <c r="V219" t="s">
        <v>167</v>
      </c>
    </row>
    <row r="220" spans="9:22" x14ac:dyDescent="0.45">
      <c r="I220" t="s">
        <v>182</v>
      </c>
      <c r="J220" t="s">
        <v>254</v>
      </c>
      <c r="K220">
        <v>0</v>
      </c>
      <c r="L220" t="s">
        <v>167</v>
      </c>
      <c r="N220" t="s">
        <v>192</v>
      </c>
      <c r="O220" t="s">
        <v>254</v>
      </c>
      <c r="P220">
        <v>3.8182092342559162E-2</v>
      </c>
      <c r="Q220" t="s">
        <v>167</v>
      </c>
      <c r="S220" t="s">
        <v>202</v>
      </c>
      <c r="T220" t="s">
        <v>254</v>
      </c>
      <c r="U220">
        <v>4.1846720331510011E-2</v>
      </c>
      <c r="V220" t="s">
        <v>167</v>
      </c>
    </row>
    <row r="221" spans="9:22" x14ac:dyDescent="0.45">
      <c r="I221" t="s">
        <v>183</v>
      </c>
      <c r="J221" t="s">
        <v>166</v>
      </c>
      <c r="K221">
        <v>0</v>
      </c>
      <c r="L221" t="s">
        <v>167</v>
      </c>
      <c r="N221" t="s">
        <v>193</v>
      </c>
      <c r="O221" t="s">
        <v>166</v>
      </c>
      <c r="P221">
        <v>2.790218741326184E-2</v>
      </c>
      <c r="Q221" t="s">
        <v>167</v>
      </c>
      <c r="S221" t="s">
        <v>203</v>
      </c>
      <c r="T221" t="s">
        <v>166</v>
      </c>
      <c r="U221">
        <v>2.3648006854212537E-2</v>
      </c>
      <c r="V221" t="s">
        <v>167</v>
      </c>
    </row>
    <row r="222" spans="9:22" x14ac:dyDescent="0.45">
      <c r="I222" t="s">
        <v>183</v>
      </c>
      <c r="J222" t="s">
        <v>168</v>
      </c>
      <c r="K222">
        <v>0</v>
      </c>
      <c r="L222" t="s">
        <v>167</v>
      </c>
      <c r="N222" t="s">
        <v>193</v>
      </c>
      <c r="O222" t="s">
        <v>168</v>
      </c>
      <c r="P222">
        <v>7.161579694845514E-3</v>
      </c>
      <c r="Q222" t="s">
        <v>167</v>
      </c>
      <c r="S222" t="s">
        <v>203</v>
      </c>
      <c r="T222" t="s">
        <v>168</v>
      </c>
      <c r="U222">
        <v>5.8979440020111313E-3</v>
      </c>
      <c r="V222" t="s">
        <v>167</v>
      </c>
    </row>
    <row r="223" spans="9:22" x14ac:dyDescent="0.45">
      <c r="I223" t="s">
        <v>183</v>
      </c>
      <c r="J223" t="s">
        <v>169</v>
      </c>
      <c r="K223">
        <v>2.6362242659050124E-3</v>
      </c>
      <c r="L223" t="s">
        <v>167</v>
      </c>
      <c r="N223" t="s">
        <v>193</v>
      </c>
      <c r="O223" t="s">
        <v>169</v>
      </c>
      <c r="P223">
        <v>2.9200461997514908E-2</v>
      </c>
      <c r="Q223" t="s">
        <v>167</v>
      </c>
      <c r="S223" t="s">
        <v>203</v>
      </c>
      <c r="T223" t="s">
        <v>169</v>
      </c>
      <c r="U223">
        <v>2.3574010532379966E-2</v>
      </c>
      <c r="V223" t="s">
        <v>167</v>
      </c>
    </row>
    <row r="224" spans="9:22" x14ac:dyDescent="0.45">
      <c r="I224" t="s">
        <v>183</v>
      </c>
      <c r="J224" t="s">
        <v>225</v>
      </c>
      <c r="K224">
        <v>4.982471983071611E-2</v>
      </c>
      <c r="L224" t="s">
        <v>167</v>
      </c>
      <c r="N224" t="s">
        <v>193</v>
      </c>
      <c r="O224" t="s">
        <v>225</v>
      </c>
      <c r="P224">
        <v>4.9195191510941122E-2</v>
      </c>
      <c r="Q224" t="s">
        <v>167</v>
      </c>
      <c r="S224" t="s">
        <v>203</v>
      </c>
      <c r="T224" t="s">
        <v>225</v>
      </c>
      <c r="U224">
        <v>4.1131417286554492E-2</v>
      </c>
      <c r="V224" t="s">
        <v>167</v>
      </c>
    </row>
    <row r="225" spans="9:22" x14ac:dyDescent="0.45">
      <c r="I225" t="s">
        <v>183</v>
      </c>
      <c r="J225" t="s">
        <v>226</v>
      </c>
      <c r="K225">
        <v>2.5930281839355337E-3</v>
      </c>
      <c r="L225" t="s">
        <v>167</v>
      </c>
      <c r="N225" t="s">
        <v>193</v>
      </c>
      <c r="O225" t="s">
        <v>226</v>
      </c>
      <c r="P225">
        <v>7.0776360645296542E-3</v>
      </c>
      <c r="Q225" t="s">
        <v>167</v>
      </c>
      <c r="S225" t="s">
        <v>203</v>
      </c>
      <c r="T225" t="s">
        <v>226</v>
      </c>
      <c r="U225">
        <v>5.9717981530058323E-3</v>
      </c>
      <c r="V225" t="s">
        <v>167</v>
      </c>
    </row>
    <row r="226" spans="9:22" x14ac:dyDescent="0.45">
      <c r="I226" t="s">
        <v>183</v>
      </c>
      <c r="J226" t="s">
        <v>227</v>
      </c>
      <c r="K226">
        <v>4.8371526346676144E-4</v>
      </c>
      <c r="L226" t="s">
        <v>167</v>
      </c>
      <c r="N226" t="s">
        <v>193</v>
      </c>
      <c r="O226" t="s">
        <v>227</v>
      </c>
      <c r="P226">
        <v>5.0757286606833568E-2</v>
      </c>
      <c r="Q226" t="s">
        <v>167</v>
      </c>
      <c r="S226" t="s">
        <v>203</v>
      </c>
      <c r="T226" t="s">
        <v>227</v>
      </c>
      <c r="U226">
        <v>4.3712376086613297E-2</v>
      </c>
      <c r="V226" t="s">
        <v>167</v>
      </c>
    </row>
    <row r="227" spans="9:22" x14ac:dyDescent="0.45">
      <c r="I227" t="s">
        <v>183</v>
      </c>
      <c r="J227" t="s">
        <v>170</v>
      </c>
      <c r="K227">
        <v>0</v>
      </c>
      <c r="L227" t="s">
        <v>167</v>
      </c>
      <c r="N227" t="s">
        <v>193</v>
      </c>
      <c r="O227" t="s">
        <v>170</v>
      </c>
      <c r="P227">
        <v>1.6966176419336725E-2</v>
      </c>
      <c r="Q227" t="s">
        <v>167</v>
      </c>
      <c r="S227" t="s">
        <v>203</v>
      </c>
      <c r="T227" t="s">
        <v>170</v>
      </c>
      <c r="U227">
        <v>1.4320652907143244E-2</v>
      </c>
      <c r="V227" t="s">
        <v>167</v>
      </c>
    </row>
    <row r="228" spans="9:22" x14ac:dyDescent="0.45">
      <c r="I228" t="s">
        <v>183</v>
      </c>
      <c r="J228" t="s">
        <v>171</v>
      </c>
      <c r="K228">
        <v>0</v>
      </c>
      <c r="L228" t="s">
        <v>167</v>
      </c>
      <c r="N228" t="s">
        <v>193</v>
      </c>
      <c r="O228" t="s">
        <v>171</v>
      </c>
      <c r="P228">
        <v>4.3735505682259406E-3</v>
      </c>
      <c r="Q228" t="s">
        <v>167</v>
      </c>
      <c r="S228" t="s">
        <v>203</v>
      </c>
      <c r="T228" t="s">
        <v>171</v>
      </c>
      <c r="U228">
        <v>3.6433807131603874E-3</v>
      </c>
      <c r="V228" t="s">
        <v>167</v>
      </c>
    </row>
    <row r="229" spans="9:22" x14ac:dyDescent="0.45">
      <c r="I229" t="s">
        <v>183</v>
      </c>
      <c r="J229" t="s">
        <v>172</v>
      </c>
      <c r="K229">
        <v>1.5743589809049666E-2</v>
      </c>
      <c r="L229" t="s">
        <v>167</v>
      </c>
      <c r="N229" t="s">
        <v>193</v>
      </c>
      <c r="O229" t="s">
        <v>172</v>
      </c>
      <c r="P229">
        <v>1.7461279223646632E-2</v>
      </c>
      <c r="Q229" t="s">
        <v>167</v>
      </c>
      <c r="S229" t="s">
        <v>203</v>
      </c>
      <c r="T229" t="s">
        <v>172</v>
      </c>
      <c r="U229">
        <v>1.559601366821101E-2</v>
      </c>
      <c r="V229" t="s">
        <v>167</v>
      </c>
    </row>
    <row r="230" spans="9:22" x14ac:dyDescent="0.45">
      <c r="I230" t="s">
        <v>183</v>
      </c>
      <c r="J230" t="s">
        <v>228</v>
      </c>
      <c r="K230">
        <v>7.1405616323454796E-2</v>
      </c>
      <c r="L230" t="s">
        <v>167</v>
      </c>
      <c r="N230" t="s">
        <v>193</v>
      </c>
      <c r="O230" t="s">
        <v>228</v>
      </c>
      <c r="P230">
        <v>2.7367337211346467E-2</v>
      </c>
      <c r="Q230" t="s">
        <v>167</v>
      </c>
      <c r="S230" t="s">
        <v>203</v>
      </c>
      <c r="T230" t="s">
        <v>228</v>
      </c>
      <c r="U230">
        <v>2.4862108112303865E-2</v>
      </c>
      <c r="V230" t="s">
        <v>167</v>
      </c>
    </row>
    <row r="231" spans="9:22" x14ac:dyDescent="0.45">
      <c r="I231" t="s">
        <v>183</v>
      </c>
      <c r="J231" t="s">
        <v>229</v>
      </c>
      <c r="K231">
        <v>7.3746185850730684E-3</v>
      </c>
      <c r="L231" t="s">
        <v>167</v>
      </c>
      <c r="N231" t="s">
        <v>193</v>
      </c>
      <c r="O231" t="s">
        <v>229</v>
      </c>
      <c r="P231">
        <v>3.9242647726057279E-3</v>
      </c>
      <c r="Q231" t="s">
        <v>167</v>
      </c>
      <c r="S231" t="s">
        <v>203</v>
      </c>
      <c r="T231" t="s">
        <v>229</v>
      </c>
      <c r="U231">
        <v>3.5085945010821656E-3</v>
      </c>
      <c r="V231" t="s">
        <v>167</v>
      </c>
    </row>
    <row r="232" spans="9:22" x14ac:dyDescent="0.45">
      <c r="I232" t="s">
        <v>183</v>
      </c>
      <c r="J232" t="s">
        <v>230</v>
      </c>
      <c r="K232">
        <v>5.375254781911966E-3</v>
      </c>
      <c r="L232" t="s">
        <v>167</v>
      </c>
      <c r="N232" t="s">
        <v>193</v>
      </c>
      <c r="O232" t="s">
        <v>230</v>
      </c>
      <c r="P232">
        <v>2.9286170026472422E-2</v>
      </c>
      <c r="Q232" t="s">
        <v>167</v>
      </c>
      <c r="S232" t="s">
        <v>203</v>
      </c>
      <c r="T232" t="s">
        <v>230</v>
      </c>
      <c r="U232">
        <v>2.7087436863297547E-2</v>
      </c>
      <c r="V232" t="s">
        <v>167</v>
      </c>
    </row>
    <row r="233" spans="9:22" x14ac:dyDescent="0.45">
      <c r="I233" t="s">
        <v>183</v>
      </c>
      <c r="J233" t="s">
        <v>173</v>
      </c>
      <c r="K233">
        <v>0</v>
      </c>
      <c r="L233" t="s">
        <v>167</v>
      </c>
      <c r="N233" t="s">
        <v>193</v>
      </c>
      <c r="O233" t="s">
        <v>173</v>
      </c>
      <c r="P233">
        <v>2.4579941031281968E-2</v>
      </c>
      <c r="Q233" t="s">
        <v>167</v>
      </c>
      <c r="S233" t="s">
        <v>203</v>
      </c>
      <c r="T233" t="s">
        <v>173</v>
      </c>
      <c r="U233">
        <v>2.828611671773925E-2</v>
      </c>
      <c r="V233" t="s">
        <v>167</v>
      </c>
    </row>
    <row r="234" spans="9:22" x14ac:dyDescent="0.45">
      <c r="I234" t="s">
        <v>183</v>
      </c>
      <c r="J234" t="s">
        <v>174</v>
      </c>
      <c r="K234">
        <v>1.3652884915373441E-3</v>
      </c>
      <c r="L234" t="s">
        <v>167</v>
      </c>
      <c r="N234" t="s">
        <v>193</v>
      </c>
      <c r="O234" t="s">
        <v>174</v>
      </c>
      <c r="P234">
        <v>6.1217783999535239E-3</v>
      </c>
      <c r="Q234" t="s">
        <v>167</v>
      </c>
      <c r="S234" t="s">
        <v>203</v>
      </c>
      <c r="T234" t="s">
        <v>174</v>
      </c>
      <c r="U234">
        <v>6.6544619760269723E-3</v>
      </c>
      <c r="V234" t="s">
        <v>167</v>
      </c>
    </row>
    <row r="235" spans="9:22" x14ac:dyDescent="0.45">
      <c r="I235" t="s">
        <v>183</v>
      </c>
      <c r="J235" t="s">
        <v>175</v>
      </c>
      <c r="K235">
        <v>5.5111796977841472E-2</v>
      </c>
      <c r="L235" t="s">
        <v>167</v>
      </c>
      <c r="N235" t="s">
        <v>193</v>
      </c>
      <c r="O235" t="s">
        <v>175</v>
      </c>
      <c r="P235">
        <v>2.3562107338982289E-2</v>
      </c>
      <c r="Q235" t="s">
        <v>167</v>
      </c>
      <c r="S235" t="s">
        <v>203</v>
      </c>
      <c r="T235" t="s">
        <v>175</v>
      </c>
      <c r="U235">
        <v>2.5649085835888111E-2</v>
      </c>
      <c r="V235" t="s">
        <v>167</v>
      </c>
    </row>
    <row r="236" spans="9:22" x14ac:dyDescent="0.45">
      <c r="I236" t="s">
        <v>183</v>
      </c>
      <c r="J236" t="s">
        <v>231</v>
      </c>
      <c r="K236">
        <v>0.15827431981469009</v>
      </c>
      <c r="L236" t="s">
        <v>167</v>
      </c>
      <c r="N236" t="s">
        <v>193</v>
      </c>
      <c r="O236" t="s">
        <v>231</v>
      </c>
      <c r="P236">
        <v>3.9737544672204292E-2</v>
      </c>
      <c r="Q236" t="s">
        <v>167</v>
      </c>
      <c r="S236" t="s">
        <v>203</v>
      </c>
      <c r="T236" t="s">
        <v>231</v>
      </c>
      <c r="U236">
        <v>4.1228001747901928E-2</v>
      </c>
      <c r="V236" t="s">
        <v>167</v>
      </c>
    </row>
    <row r="237" spans="9:22" x14ac:dyDescent="0.45">
      <c r="I237" t="s">
        <v>183</v>
      </c>
      <c r="J237" t="s">
        <v>232</v>
      </c>
      <c r="K237">
        <v>1.868205876922641E-2</v>
      </c>
      <c r="L237" t="s">
        <v>167</v>
      </c>
      <c r="N237" t="s">
        <v>193</v>
      </c>
      <c r="O237" t="s">
        <v>232</v>
      </c>
      <c r="P237">
        <v>5.9481093702268015E-3</v>
      </c>
      <c r="Q237" t="s">
        <v>167</v>
      </c>
      <c r="S237" t="s">
        <v>203</v>
      </c>
      <c r="T237" t="s">
        <v>232</v>
      </c>
      <c r="U237">
        <v>6.031627646697884E-3</v>
      </c>
      <c r="V237" t="s">
        <v>167</v>
      </c>
    </row>
    <row r="238" spans="9:22" x14ac:dyDescent="0.45">
      <c r="I238" t="s">
        <v>183</v>
      </c>
      <c r="J238" t="s">
        <v>233</v>
      </c>
      <c r="K238">
        <v>2.9408702609398638E-2</v>
      </c>
      <c r="L238" t="s">
        <v>167</v>
      </c>
      <c r="N238" t="s">
        <v>193</v>
      </c>
      <c r="O238" t="s">
        <v>233</v>
      </c>
      <c r="P238">
        <v>4.2323007567192136E-2</v>
      </c>
      <c r="Q238" t="s">
        <v>167</v>
      </c>
      <c r="S238" t="s">
        <v>203</v>
      </c>
      <c r="T238" t="s">
        <v>233</v>
      </c>
      <c r="U238">
        <v>4.8091713535827751E-2</v>
      </c>
      <c r="V238" t="s">
        <v>167</v>
      </c>
    </row>
    <row r="239" spans="9:22" x14ac:dyDescent="0.45">
      <c r="I239" t="s">
        <v>183</v>
      </c>
      <c r="J239" t="s">
        <v>176</v>
      </c>
      <c r="K239">
        <v>0</v>
      </c>
      <c r="L239" t="s">
        <v>167</v>
      </c>
      <c r="N239" t="s">
        <v>193</v>
      </c>
      <c r="O239" t="s">
        <v>176</v>
      </c>
      <c r="P239">
        <v>1.2990637669798416E-2</v>
      </c>
      <c r="Q239" t="s">
        <v>167</v>
      </c>
      <c r="S239" t="s">
        <v>203</v>
      </c>
      <c r="T239" t="s">
        <v>176</v>
      </c>
      <c r="U239">
        <v>1.276526464788488E-2</v>
      </c>
      <c r="V239" t="s">
        <v>167</v>
      </c>
    </row>
    <row r="240" spans="9:22" x14ac:dyDescent="0.45">
      <c r="I240" t="s">
        <v>183</v>
      </c>
      <c r="J240" t="s">
        <v>177</v>
      </c>
      <c r="K240">
        <v>2.1239124165611692E-3</v>
      </c>
      <c r="L240" t="s">
        <v>167</v>
      </c>
      <c r="N240" t="s">
        <v>193</v>
      </c>
      <c r="O240" t="s">
        <v>177</v>
      </c>
      <c r="P240">
        <v>3.1395866211675946E-3</v>
      </c>
      <c r="Q240" t="s">
        <v>167</v>
      </c>
      <c r="S240" t="s">
        <v>203</v>
      </c>
      <c r="T240" t="s">
        <v>177</v>
      </c>
      <c r="U240">
        <v>2.7408580826161423E-3</v>
      </c>
      <c r="V240" t="s">
        <v>167</v>
      </c>
    </row>
    <row r="241" spans="9:22" x14ac:dyDescent="0.45">
      <c r="I241" t="s">
        <v>183</v>
      </c>
      <c r="J241" t="s">
        <v>178</v>
      </c>
      <c r="K241">
        <v>3.0993728071168358E-2</v>
      </c>
      <c r="L241" t="s">
        <v>167</v>
      </c>
      <c r="N241" t="s">
        <v>193</v>
      </c>
      <c r="O241" t="s">
        <v>178</v>
      </c>
      <c r="P241">
        <v>1.2866924222026579E-2</v>
      </c>
      <c r="Q241" t="s">
        <v>167</v>
      </c>
      <c r="S241" t="s">
        <v>203</v>
      </c>
      <c r="T241" t="s">
        <v>178</v>
      </c>
      <c r="U241">
        <v>9.9099497907263207E-3</v>
      </c>
      <c r="V241" t="s">
        <v>167</v>
      </c>
    </row>
    <row r="242" spans="9:22" x14ac:dyDescent="0.45">
      <c r="I242" t="s">
        <v>183</v>
      </c>
      <c r="J242" t="s">
        <v>234</v>
      </c>
      <c r="K242">
        <v>8.0988999009719592E-2</v>
      </c>
      <c r="L242" t="s">
        <v>167</v>
      </c>
      <c r="N242" t="s">
        <v>193</v>
      </c>
      <c r="O242" t="s">
        <v>234</v>
      </c>
      <c r="P242">
        <v>2.1911657929220903E-2</v>
      </c>
      <c r="Q242" t="s">
        <v>167</v>
      </c>
      <c r="S242" t="s">
        <v>203</v>
      </c>
      <c r="T242" t="s">
        <v>234</v>
      </c>
      <c r="U242">
        <v>1.9460413327015428E-2</v>
      </c>
      <c r="V242" t="s">
        <v>167</v>
      </c>
    </row>
    <row r="243" spans="9:22" x14ac:dyDescent="0.45">
      <c r="I243" t="s">
        <v>183</v>
      </c>
      <c r="J243" t="s">
        <v>235</v>
      </c>
      <c r="K243">
        <v>1.0248553604751732E-2</v>
      </c>
      <c r="L243" t="s">
        <v>167</v>
      </c>
      <c r="N243" t="s">
        <v>193</v>
      </c>
      <c r="O243" t="s">
        <v>235</v>
      </c>
      <c r="P243">
        <v>3.2246908980051898E-3</v>
      </c>
      <c r="Q243" t="s">
        <v>167</v>
      </c>
      <c r="S243" t="s">
        <v>203</v>
      </c>
      <c r="T243" t="s">
        <v>235</v>
      </c>
      <c r="U243">
        <v>3.2601222722474185E-3</v>
      </c>
      <c r="V243" t="s">
        <v>167</v>
      </c>
    </row>
    <row r="244" spans="9:22" x14ac:dyDescent="0.45">
      <c r="I244" t="s">
        <v>183</v>
      </c>
      <c r="J244" t="s">
        <v>236</v>
      </c>
      <c r="K244">
        <v>2.0092157525432346E-2</v>
      </c>
      <c r="L244" t="s">
        <v>167</v>
      </c>
      <c r="N244" t="s">
        <v>193</v>
      </c>
      <c r="O244" t="s">
        <v>236</v>
      </c>
      <c r="P244">
        <v>2.3141097781287874E-2</v>
      </c>
      <c r="Q244" t="s">
        <v>167</v>
      </c>
      <c r="S244" t="s">
        <v>203</v>
      </c>
      <c r="T244" t="s">
        <v>236</v>
      </c>
      <c r="U244">
        <v>2.3191972987443778E-2</v>
      </c>
      <c r="V244" t="s">
        <v>167</v>
      </c>
    </row>
    <row r="245" spans="9:22" x14ac:dyDescent="0.45">
      <c r="I245" t="s">
        <v>183</v>
      </c>
      <c r="J245" t="s">
        <v>237</v>
      </c>
      <c r="K245">
        <v>0</v>
      </c>
      <c r="L245" t="s">
        <v>167</v>
      </c>
      <c r="N245" t="s">
        <v>193</v>
      </c>
      <c r="O245" t="s">
        <v>237</v>
      </c>
      <c r="P245">
        <v>5.0240238846050729E-2</v>
      </c>
      <c r="Q245" t="s">
        <v>167</v>
      </c>
      <c r="S245" t="s">
        <v>203</v>
      </c>
      <c r="T245" t="s">
        <v>237</v>
      </c>
      <c r="U245">
        <v>5.2352353535833084E-2</v>
      </c>
      <c r="V245" t="s">
        <v>167</v>
      </c>
    </row>
    <row r="246" spans="9:22" x14ac:dyDescent="0.45">
      <c r="I246" t="s">
        <v>183</v>
      </c>
      <c r="J246" t="s">
        <v>238</v>
      </c>
      <c r="K246">
        <v>2.4650297472044013E-3</v>
      </c>
      <c r="L246" t="s">
        <v>167</v>
      </c>
      <c r="N246" t="s">
        <v>193</v>
      </c>
      <c r="O246" t="s">
        <v>238</v>
      </c>
      <c r="P246">
        <v>1.205340745548775E-2</v>
      </c>
      <c r="Q246" t="s">
        <v>167</v>
      </c>
      <c r="S246" t="s">
        <v>203</v>
      </c>
      <c r="T246" t="s">
        <v>238</v>
      </c>
      <c r="U246">
        <v>1.2542294902433254E-2</v>
      </c>
      <c r="V246" t="s">
        <v>167</v>
      </c>
    </row>
    <row r="247" spans="9:22" x14ac:dyDescent="0.45">
      <c r="I247" t="s">
        <v>183</v>
      </c>
      <c r="J247" t="s">
        <v>239</v>
      </c>
      <c r="K247">
        <v>7.7925801151887839E-2</v>
      </c>
      <c r="L247" t="s">
        <v>167</v>
      </c>
      <c r="N247" t="s">
        <v>193</v>
      </c>
      <c r="O247" t="s">
        <v>239</v>
      </c>
      <c r="P247">
        <v>4.7692853100457767E-2</v>
      </c>
      <c r="Q247" t="s">
        <v>167</v>
      </c>
      <c r="S247" t="s">
        <v>203</v>
      </c>
      <c r="T247" t="s">
        <v>239</v>
      </c>
      <c r="U247">
        <v>4.9922344199158239E-2</v>
      </c>
      <c r="V247" t="s">
        <v>167</v>
      </c>
    </row>
    <row r="248" spans="9:22" x14ac:dyDescent="0.45">
      <c r="I248" t="s">
        <v>183</v>
      </c>
      <c r="J248" t="s">
        <v>240</v>
      </c>
      <c r="K248">
        <v>0.24836636820769475</v>
      </c>
      <c r="L248" t="s">
        <v>167</v>
      </c>
      <c r="N248" t="s">
        <v>193</v>
      </c>
      <c r="O248" t="s">
        <v>240</v>
      </c>
      <c r="P248">
        <v>8.5447141456378398E-2</v>
      </c>
      <c r="Q248" t="s">
        <v>167</v>
      </c>
      <c r="S248" t="s">
        <v>203</v>
      </c>
      <c r="T248" t="s">
        <v>240</v>
      </c>
      <c r="U248">
        <v>7.9540982485030734E-2</v>
      </c>
      <c r="V248" t="s">
        <v>167</v>
      </c>
    </row>
    <row r="249" spans="9:22" x14ac:dyDescent="0.45">
      <c r="I249" t="s">
        <v>183</v>
      </c>
      <c r="J249" t="s">
        <v>241</v>
      </c>
      <c r="K249">
        <v>2.825957214417971E-2</v>
      </c>
      <c r="L249" t="s">
        <v>167</v>
      </c>
      <c r="N249" t="s">
        <v>193</v>
      </c>
      <c r="O249" t="s">
        <v>241</v>
      </c>
      <c r="P249">
        <v>1.3127651132203726E-2</v>
      </c>
      <c r="Q249" t="s">
        <v>167</v>
      </c>
      <c r="S249" t="s">
        <v>203</v>
      </c>
      <c r="T249" t="s">
        <v>241</v>
      </c>
      <c r="U249">
        <v>1.12677056431263E-2</v>
      </c>
      <c r="V249" t="s">
        <v>167</v>
      </c>
    </row>
    <row r="250" spans="9:22" x14ac:dyDescent="0.45">
      <c r="I250" t="s">
        <v>183</v>
      </c>
      <c r="J250" t="s">
        <v>242</v>
      </c>
      <c r="K250">
        <v>4.4143560816578449E-2</v>
      </c>
      <c r="L250" t="s">
        <v>167</v>
      </c>
      <c r="N250" t="s">
        <v>193</v>
      </c>
      <c r="O250" t="s">
        <v>242</v>
      </c>
      <c r="P250">
        <v>9.2270368261499328E-2</v>
      </c>
      <c r="Q250" t="s">
        <v>167</v>
      </c>
      <c r="S250" t="s">
        <v>203</v>
      </c>
      <c r="T250" t="s">
        <v>242</v>
      </c>
      <c r="U250">
        <v>8.8289482476285555E-2</v>
      </c>
      <c r="V250" t="s">
        <v>167</v>
      </c>
    </row>
    <row r="251" spans="9:22" x14ac:dyDescent="0.45">
      <c r="I251" t="s">
        <v>183</v>
      </c>
      <c r="J251" t="s">
        <v>243</v>
      </c>
      <c r="K251">
        <v>0</v>
      </c>
      <c r="L251" t="s">
        <v>167</v>
      </c>
      <c r="N251" t="s">
        <v>193</v>
      </c>
      <c r="O251" t="s">
        <v>243</v>
      </c>
      <c r="P251">
        <v>1.5551621272260006E-2</v>
      </c>
      <c r="Q251" t="s">
        <v>167</v>
      </c>
      <c r="S251" t="s">
        <v>203</v>
      </c>
      <c r="T251" t="s">
        <v>243</v>
      </c>
      <c r="U251">
        <v>1.7267498471996438E-2</v>
      </c>
      <c r="V251" t="s">
        <v>167</v>
      </c>
    </row>
    <row r="252" spans="9:22" x14ac:dyDescent="0.45">
      <c r="I252" t="s">
        <v>183</v>
      </c>
      <c r="J252" t="s">
        <v>244</v>
      </c>
      <c r="K252">
        <v>0</v>
      </c>
      <c r="L252" t="s">
        <v>167</v>
      </c>
      <c r="N252" t="s">
        <v>193</v>
      </c>
      <c r="O252" t="s">
        <v>244</v>
      </c>
      <c r="P252">
        <v>3.8031592655687679E-3</v>
      </c>
      <c r="Q252" t="s">
        <v>167</v>
      </c>
      <c r="S252" t="s">
        <v>203</v>
      </c>
      <c r="T252" t="s">
        <v>244</v>
      </c>
      <c r="U252">
        <v>4.1742725801442258E-3</v>
      </c>
      <c r="V252" t="s">
        <v>167</v>
      </c>
    </row>
    <row r="253" spans="9:22" x14ac:dyDescent="0.45">
      <c r="I253" t="s">
        <v>183</v>
      </c>
      <c r="J253" t="s">
        <v>245</v>
      </c>
      <c r="K253">
        <v>1.3537530797561633E-3</v>
      </c>
      <c r="L253" t="s">
        <v>167</v>
      </c>
      <c r="N253" t="s">
        <v>193</v>
      </c>
      <c r="O253" t="s">
        <v>245</v>
      </c>
      <c r="P253">
        <v>1.4853960941208152E-2</v>
      </c>
      <c r="Q253" t="s">
        <v>167</v>
      </c>
      <c r="S253" t="s">
        <v>203</v>
      </c>
      <c r="T253" t="s">
        <v>245</v>
      </c>
      <c r="U253">
        <v>1.6542359900777341E-2</v>
      </c>
      <c r="V253" t="s">
        <v>167</v>
      </c>
    </row>
    <row r="254" spans="9:22" x14ac:dyDescent="0.45">
      <c r="I254" t="s">
        <v>183</v>
      </c>
      <c r="J254" t="s">
        <v>246</v>
      </c>
      <c r="K254">
        <v>2.2802046017247238E-2</v>
      </c>
      <c r="L254" t="s">
        <v>167</v>
      </c>
      <c r="N254" t="s">
        <v>193</v>
      </c>
      <c r="O254" t="s">
        <v>246</v>
      </c>
      <c r="P254">
        <v>2.4452521676923081E-2</v>
      </c>
      <c r="Q254" t="s">
        <v>167</v>
      </c>
      <c r="S254" t="s">
        <v>203</v>
      </c>
      <c r="T254" t="s">
        <v>246</v>
      </c>
      <c r="U254">
        <v>2.8782189273321147E-2</v>
      </c>
      <c r="V254" t="s">
        <v>167</v>
      </c>
    </row>
    <row r="255" spans="9:22" x14ac:dyDescent="0.45">
      <c r="I255" t="s">
        <v>183</v>
      </c>
      <c r="J255" t="s">
        <v>247</v>
      </c>
      <c r="K255">
        <v>0</v>
      </c>
      <c r="L255" t="s">
        <v>167</v>
      </c>
      <c r="N255" t="s">
        <v>193</v>
      </c>
      <c r="O255" t="s">
        <v>247</v>
      </c>
      <c r="P255">
        <v>3.4999158320387536E-3</v>
      </c>
      <c r="Q255" t="s">
        <v>167</v>
      </c>
      <c r="S255" t="s">
        <v>203</v>
      </c>
      <c r="T255" t="s">
        <v>247</v>
      </c>
      <c r="U255">
        <v>4.0818498166950382E-3</v>
      </c>
      <c r="V255" t="s">
        <v>167</v>
      </c>
    </row>
    <row r="256" spans="9:22" x14ac:dyDescent="0.45">
      <c r="I256" t="s">
        <v>183</v>
      </c>
      <c r="J256" t="s">
        <v>248</v>
      </c>
      <c r="K256">
        <v>0</v>
      </c>
      <c r="L256" t="s">
        <v>167</v>
      </c>
      <c r="N256" t="s">
        <v>193</v>
      </c>
      <c r="O256" t="s">
        <v>248</v>
      </c>
      <c r="P256">
        <v>2.5705353657047743E-2</v>
      </c>
      <c r="Q256" t="s">
        <v>167</v>
      </c>
      <c r="S256" t="s">
        <v>203</v>
      </c>
      <c r="T256" t="s">
        <v>248</v>
      </c>
      <c r="U256">
        <v>3.0484692413662719E-2</v>
      </c>
      <c r="V256" t="s">
        <v>167</v>
      </c>
    </row>
    <row r="257" spans="9:22" x14ac:dyDescent="0.45">
      <c r="I257" t="s">
        <v>183</v>
      </c>
      <c r="J257" t="s">
        <v>249</v>
      </c>
      <c r="K257">
        <v>0</v>
      </c>
      <c r="L257" t="s">
        <v>167</v>
      </c>
      <c r="N257" t="s">
        <v>193</v>
      </c>
      <c r="O257" t="s">
        <v>249</v>
      </c>
      <c r="P257">
        <v>1.9314280681360069E-2</v>
      </c>
      <c r="Q257" t="s">
        <v>167</v>
      </c>
      <c r="S257" t="s">
        <v>203</v>
      </c>
      <c r="T257" t="s">
        <v>249</v>
      </c>
      <c r="U257">
        <v>2.2997655710447134E-2</v>
      </c>
      <c r="V257" t="s">
        <v>167</v>
      </c>
    </row>
    <row r="258" spans="9:22" x14ac:dyDescent="0.45">
      <c r="I258" t="s">
        <v>183</v>
      </c>
      <c r="J258" t="s">
        <v>250</v>
      </c>
      <c r="K258">
        <v>0</v>
      </c>
      <c r="L258" t="s">
        <v>167</v>
      </c>
      <c r="N258" t="s">
        <v>193</v>
      </c>
      <c r="O258" t="s">
        <v>250</v>
      </c>
      <c r="P258">
        <v>4.9358138532538199E-3</v>
      </c>
      <c r="Q258" t="s">
        <v>167</v>
      </c>
      <c r="S258" t="s">
        <v>203</v>
      </c>
      <c r="T258" t="s">
        <v>250</v>
      </c>
      <c r="U258">
        <v>5.6515138362328455E-3</v>
      </c>
      <c r="V258" t="s">
        <v>167</v>
      </c>
    </row>
    <row r="259" spans="9:22" x14ac:dyDescent="0.45">
      <c r="I259" t="s">
        <v>183</v>
      </c>
      <c r="J259" t="s">
        <v>251</v>
      </c>
      <c r="K259">
        <v>0</v>
      </c>
      <c r="L259" t="s">
        <v>167</v>
      </c>
      <c r="N259" t="s">
        <v>193</v>
      </c>
      <c r="O259" t="s">
        <v>251</v>
      </c>
      <c r="P259">
        <v>2.0180410589136725E-2</v>
      </c>
      <c r="Q259" t="s">
        <v>167</v>
      </c>
      <c r="S259" t="s">
        <v>203</v>
      </c>
      <c r="T259" t="s">
        <v>251</v>
      </c>
      <c r="U259">
        <v>2.3179718200824494E-2</v>
      </c>
      <c r="V259" t="s">
        <v>167</v>
      </c>
    </row>
    <row r="260" spans="9:22" x14ac:dyDescent="0.45">
      <c r="I260" t="s">
        <v>183</v>
      </c>
      <c r="J260" t="s">
        <v>252</v>
      </c>
      <c r="K260">
        <v>1.1957584501612013E-2</v>
      </c>
      <c r="L260" t="s">
        <v>167</v>
      </c>
      <c r="N260" t="s">
        <v>193</v>
      </c>
      <c r="O260" t="s">
        <v>252</v>
      </c>
      <c r="P260">
        <v>3.5789949408647402E-2</v>
      </c>
      <c r="Q260" t="s">
        <v>167</v>
      </c>
      <c r="S260" t="s">
        <v>203</v>
      </c>
      <c r="T260" t="s">
        <v>252</v>
      </c>
      <c r="U260">
        <v>4.4136076050618887E-2</v>
      </c>
      <c r="V260" t="s">
        <v>167</v>
      </c>
    </row>
    <row r="261" spans="9:22" x14ac:dyDescent="0.45">
      <c r="I261" t="s">
        <v>183</v>
      </c>
      <c r="J261" t="s">
        <v>253</v>
      </c>
      <c r="K261">
        <v>0</v>
      </c>
      <c r="L261" t="s">
        <v>167</v>
      </c>
      <c r="N261" t="s">
        <v>193</v>
      </c>
      <c r="O261" t="s">
        <v>253</v>
      </c>
      <c r="P261">
        <v>5.1056602474287352E-3</v>
      </c>
      <c r="Q261" t="s">
        <v>167</v>
      </c>
      <c r="S261" t="s">
        <v>203</v>
      </c>
      <c r="T261" t="s">
        <v>253</v>
      </c>
      <c r="U261">
        <v>6.320301952891896E-3</v>
      </c>
      <c r="V261" t="s">
        <v>167</v>
      </c>
    </row>
    <row r="262" spans="9:22" x14ac:dyDescent="0.45">
      <c r="I262" t="s">
        <v>183</v>
      </c>
      <c r="J262" t="s">
        <v>254</v>
      </c>
      <c r="K262">
        <v>0</v>
      </c>
      <c r="L262" t="s">
        <v>167</v>
      </c>
      <c r="N262" t="s">
        <v>193</v>
      </c>
      <c r="O262" t="s">
        <v>254</v>
      </c>
      <c r="P262">
        <v>3.5755487312141856E-2</v>
      </c>
      <c r="Q262" t="s">
        <v>167</v>
      </c>
      <c r="S262" t="s">
        <v>203</v>
      </c>
      <c r="T262" t="s">
        <v>254</v>
      </c>
      <c r="U262">
        <v>4.2243380302531421E-2</v>
      </c>
      <c r="V262" t="s">
        <v>167</v>
      </c>
    </row>
    <row r="263" spans="9:22" x14ac:dyDescent="0.45">
      <c r="I263" t="s">
        <v>184</v>
      </c>
      <c r="J263" t="s">
        <v>166</v>
      </c>
      <c r="K263">
        <v>0</v>
      </c>
      <c r="L263" t="s">
        <v>167</v>
      </c>
      <c r="N263" t="s">
        <v>194</v>
      </c>
      <c r="O263" t="s">
        <v>166</v>
      </c>
      <c r="P263">
        <v>2.6164161341320408E-2</v>
      </c>
      <c r="Q263" t="s">
        <v>167</v>
      </c>
      <c r="S263" t="s">
        <v>204</v>
      </c>
      <c r="T263" t="s">
        <v>166</v>
      </c>
      <c r="U263">
        <v>2.6202838827512488E-2</v>
      </c>
      <c r="V263" t="s">
        <v>167</v>
      </c>
    </row>
    <row r="264" spans="9:22" x14ac:dyDescent="0.45">
      <c r="I264" t="s">
        <v>184</v>
      </c>
      <c r="J264" t="s">
        <v>168</v>
      </c>
      <c r="K264">
        <v>0</v>
      </c>
      <c r="L264" t="s">
        <v>167</v>
      </c>
      <c r="N264" t="s">
        <v>194</v>
      </c>
      <c r="O264" t="s">
        <v>168</v>
      </c>
      <c r="P264">
        <v>6.5803671754319608E-3</v>
      </c>
      <c r="Q264" t="s">
        <v>167</v>
      </c>
      <c r="S264" t="s">
        <v>204</v>
      </c>
      <c r="T264" t="s">
        <v>168</v>
      </c>
      <c r="U264">
        <v>6.7367557913570533E-3</v>
      </c>
      <c r="V264" t="s">
        <v>167</v>
      </c>
    </row>
    <row r="265" spans="9:22" x14ac:dyDescent="0.45">
      <c r="I265" t="s">
        <v>184</v>
      </c>
      <c r="J265" t="s">
        <v>169</v>
      </c>
      <c r="K265">
        <v>2.41093199958419E-3</v>
      </c>
      <c r="L265" t="s">
        <v>167</v>
      </c>
      <c r="N265" t="s">
        <v>194</v>
      </c>
      <c r="O265" t="s">
        <v>169</v>
      </c>
      <c r="P265">
        <v>2.6967166207756129E-2</v>
      </c>
      <c r="Q265" t="s">
        <v>167</v>
      </c>
      <c r="S265" t="s">
        <v>204</v>
      </c>
      <c r="T265" t="s">
        <v>169</v>
      </c>
      <c r="U265">
        <v>2.8007452500954648E-2</v>
      </c>
      <c r="V265" t="s">
        <v>167</v>
      </c>
    </row>
    <row r="266" spans="9:22" x14ac:dyDescent="0.45">
      <c r="I266" t="s">
        <v>184</v>
      </c>
      <c r="J266" t="s">
        <v>225</v>
      </c>
      <c r="K266">
        <v>5.1399794929913915E-2</v>
      </c>
      <c r="L266" t="s">
        <v>167</v>
      </c>
      <c r="N266" t="s">
        <v>194</v>
      </c>
      <c r="O266" t="s">
        <v>225</v>
      </c>
      <c r="P266">
        <v>4.6821979529821124E-2</v>
      </c>
      <c r="Q266" t="s">
        <v>167</v>
      </c>
      <c r="S266" t="s">
        <v>204</v>
      </c>
      <c r="T266" t="s">
        <v>225</v>
      </c>
      <c r="U266">
        <v>4.7472790525977672E-2</v>
      </c>
      <c r="V266" t="s">
        <v>167</v>
      </c>
    </row>
    <row r="267" spans="9:22" x14ac:dyDescent="0.45">
      <c r="I267" t="s">
        <v>184</v>
      </c>
      <c r="J267" t="s">
        <v>226</v>
      </c>
      <c r="K267">
        <v>2.3652180396275509E-3</v>
      </c>
      <c r="L267" t="s">
        <v>167</v>
      </c>
      <c r="N267" t="s">
        <v>194</v>
      </c>
      <c r="O267" t="s">
        <v>226</v>
      </c>
      <c r="P267">
        <v>6.8782229748118344E-3</v>
      </c>
      <c r="Q267" t="s">
        <v>167</v>
      </c>
      <c r="S267" t="s">
        <v>204</v>
      </c>
      <c r="T267" t="s">
        <v>226</v>
      </c>
      <c r="U267">
        <v>6.8186790827139193E-3</v>
      </c>
      <c r="V267" t="s">
        <v>167</v>
      </c>
    </row>
    <row r="268" spans="9:22" x14ac:dyDescent="0.45">
      <c r="I268" t="s">
        <v>184</v>
      </c>
      <c r="J268" t="s">
        <v>227</v>
      </c>
      <c r="K268">
        <v>4.6348080191249409E-4</v>
      </c>
      <c r="L268" t="s">
        <v>167</v>
      </c>
      <c r="N268" t="s">
        <v>194</v>
      </c>
      <c r="O268" t="s">
        <v>227</v>
      </c>
      <c r="P268">
        <v>4.7912285022736402E-2</v>
      </c>
      <c r="Q268" t="s">
        <v>167</v>
      </c>
      <c r="S268" t="s">
        <v>204</v>
      </c>
      <c r="T268" t="s">
        <v>227</v>
      </c>
      <c r="U268">
        <v>4.6894811657598658E-2</v>
      </c>
      <c r="V268" t="s">
        <v>167</v>
      </c>
    </row>
    <row r="269" spans="9:22" x14ac:dyDescent="0.45">
      <c r="I269" t="s">
        <v>184</v>
      </c>
      <c r="J269" t="s">
        <v>170</v>
      </c>
      <c r="K269">
        <v>0</v>
      </c>
      <c r="L269" t="s">
        <v>167</v>
      </c>
      <c r="N269" t="s">
        <v>194</v>
      </c>
      <c r="O269" t="s">
        <v>170</v>
      </c>
      <c r="P269">
        <v>1.602822060661464E-2</v>
      </c>
      <c r="Q269" t="s">
        <v>167</v>
      </c>
      <c r="S269" t="s">
        <v>204</v>
      </c>
      <c r="T269" t="s">
        <v>170</v>
      </c>
      <c r="U269">
        <v>1.5417239131227025E-2</v>
      </c>
      <c r="V269" t="s">
        <v>167</v>
      </c>
    </row>
    <row r="270" spans="9:22" x14ac:dyDescent="0.45">
      <c r="I270" t="s">
        <v>184</v>
      </c>
      <c r="J270" t="s">
        <v>171</v>
      </c>
      <c r="K270">
        <v>0</v>
      </c>
      <c r="L270" t="s">
        <v>167</v>
      </c>
      <c r="N270" t="s">
        <v>194</v>
      </c>
      <c r="O270" t="s">
        <v>171</v>
      </c>
      <c r="P270">
        <v>4.2299263511467256E-3</v>
      </c>
      <c r="Q270" t="s">
        <v>167</v>
      </c>
      <c r="S270" t="s">
        <v>204</v>
      </c>
      <c r="T270" t="s">
        <v>171</v>
      </c>
      <c r="U270">
        <v>3.9247836385379311E-3</v>
      </c>
      <c r="V270" t="s">
        <v>167</v>
      </c>
    </row>
    <row r="271" spans="9:22" x14ac:dyDescent="0.45">
      <c r="I271" t="s">
        <v>184</v>
      </c>
      <c r="J271" t="s">
        <v>172</v>
      </c>
      <c r="K271">
        <v>1.4579753545948947E-2</v>
      </c>
      <c r="L271" t="s">
        <v>167</v>
      </c>
      <c r="N271" t="s">
        <v>194</v>
      </c>
      <c r="O271" t="s">
        <v>172</v>
      </c>
      <c r="P271">
        <v>1.718976519098428E-2</v>
      </c>
      <c r="Q271" t="s">
        <v>167</v>
      </c>
      <c r="S271" t="s">
        <v>204</v>
      </c>
      <c r="T271" t="s">
        <v>172</v>
      </c>
      <c r="U271">
        <v>1.6547733017845682E-2</v>
      </c>
      <c r="V271" t="s">
        <v>167</v>
      </c>
    </row>
    <row r="272" spans="9:22" x14ac:dyDescent="0.45">
      <c r="I272" t="s">
        <v>184</v>
      </c>
      <c r="J272" t="s">
        <v>228</v>
      </c>
      <c r="K272">
        <v>6.9182757103003464E-2</v>
      </c>
      <c r="L272" t="s">
        <v>167</v>
      </c>
      <c r="N272" t="s">
        <v>194</v>
      </c>
      <c r="O272" t="s">
        <v>228</v>
      </c>
      <c r="P272">
        <v>2.6882903675203688E-2</v>
      </c>
      <c r="Q272" t="s">
        <v>167</v>
      </c>
      <c r="S272" t="s">
        <v>204</v>
      </c>
      <c r="T272" t="s">
        <v>228</v>
      </c>
      <c r="U272">
        <v>2.8384630651810391E-2</v>
      </c>
      <c r="V272" t="s">
        <v>167</v>
      </c>
    </row>
    <row r="273" spans="9:22" x14ac:dyDescent="0.45">
      <c r="I273" t="s">
        <v>184</v>
      </c>
      <c r="J273" t="s">
        <v>229</v>
      </c>
      <c r="K273">
        <v>6.8031199217453943E-3</v>
      </c>
      <c r="L273" t="s">
        <v>167</v>
      </c>
      <c r="N273" t="s">
        <v>194</v>
      </c>
      <c r="O273" t="s">
        <v>229</v>
      </c>
      <c r="P273">
        <v>3.7922138624119743E-3</v>
      </c>
      <c r="Q273" t="s">
        <v>167</v>
      </c>
      <c r="S273" t="s">
        <v>204</v>
      </c>
      <c r="T273" t="s">
        <v>229</v>
      </c>
      <c r="U273">
        <v>4.0618842815407863E-3</v>
      </c>
      <c r="V273" t="s">
        <v>167</v>
      </c>
    </row>
    <row r="274" spans="9:22" x14ac:dyDescent="0.45">
      <c r="I274" t="s">
        <v>184</v>
      </c>
      <c r="J274" t="s">
        <v>230</v>
      </c>
      <c r="K274">
        <v>4.5953646799754824E-3</v>
      </c>
      <c r="L274" t="s">
        <v>167</v>
      </c>
      <c r="N274" t="s">
        <v>194</v>
      </c>
      <c r="O274" t="s">
        <v>230</v>
      </c>
      <c r="P274">
        <v>2.792874084904845E-2</v>
      </c>
      <c r="Q274" t="s">
        <v>167</v>
      </c>
      <c r="S274" t="s">
        <v>204</v>
      </c>
      <c r="T274" t="s">
        <v>230</v>
      </c>
      <c r="U274">
        <v>2.7232655681554731E-2</v>
      </c>
      <c r="V274" t="s">
        <v>167</v>
      </c>
    </row>
    <row r="275" spans="9:22" x14ac:dyDescent="0.45">
      <c r="I275" t="s">
        <v>184</v>
      </c>
      <c r="J275" t="s">
        <v>173</v>
      </c>
      <c r="K275">
        <v>0</v>
      </c>
      <c r="L275" t="s">
        <v>167</v>
      </c>
      <c r="N275" t="s">
        <v>194</v>
      </c>
      <c r="O275" t="s">
        <v>173</v>
      </c>
      <c r="P275">
        <v>2.4818058710146949E-2</v>
      </c>
      <c r="Q275" t="s">
        <v>167</v>
      </c>
      <c r="S275" t="s">
        <v>204</v>
      </c>
      <c r="T275" t="s">
        <v>173</v>
      </c>
      <c r="U275">
        <v>2.6636669397984421E-2</v>
      </c>
      <c r="V275" t="s">
        <v>167</v>
      </c>
    </row>
    <row r="276" spans="9:22" x14ac:dyDescent="0.45">
      <c r="I276" t="s">
        <v>184</v>
      </c>
      <c r="J276" t="s">
        <v>174</v>
      </c>
      <c r="K276">
        <v>1.0820495789402864E-3</v>
      </c>
      <c r="L276" t="s">
        <v>167</v>
      </c>
      <c r="N276" t="s">
        <v>194</v>
      </c>
      <c r="O276" t="s">
        <v>174</v>
      </c>
      <c r="P276">
        <v>6.1132653961357298E-3</v>
      </c>
      <c r="Q276" t="s">
        <v>167</v>
      </c>
      <c r="S276" t="s">
        <v>204</v>
      </c>
      <c r="T276" t="s">
        <v>174</v>
      </c>
      <c r="U276">
        <v>6.650390397991774E-3</v>
      </c>
      <c r="V276" t="s">
        <v>167</v>
      </c>
    </row>
    <row r="277" spans="9:22" x14ac:dyDescent="0.45">
      <c r="I277" t="s">
        <v>184</v>
      </c>
      <c r="J277" t="s">
        <v>175</v>
      </c>
      <c r="K277">
        <v>5.364421741421075E-2</v>
      </c>
      <c r="L277" t="s">
        <v>167</v>
      </c>
      <c r="N277" t="s">
        <v>194</v>
      </c>
      <c r="O277" t="s">
        <v>175</v>
      </c>
      <c r="P277">
        <v>2.4203553114314914E-2</v>
      </c>
      <c r="Q277" t="s">
        <v>167</v>
      </c>
      <c r="S277" t="s">
        <v>204</v>
      </c>
      <c r="T277" t="s">
        <v>175</v>
      </c>
      <c r="U277">
        <v>2.7416136168417454E-2</v>
      </c>
      <c r="V277" t="s">
        <v>167</v>
      </c>
    </row>
    <row r="278" spans="9:22" x14ac:dyDescent="0.45">
      <c r="I278" t="s">
        <v>184</v>
      </c>
      <c r="J278" t="s">
        <v>231</v>
      </c>
      <c r="K278">
        <v>0.16242907658801395</v>
      </c>
      <c r="L278" t="s">
        <v>167</v>
      </c>
      <c r="N278" t="s">
        <v>194</v>
      </c>
      <c r="O278" t="s">
        <v>231</v>
      </c>
      <c r="P278">
        <v>4.1742048867142251E-2</v>
      </c>
      <c r="Q278" t="s">
        <v>167</v>
      </c>
      <c r="S278" t="s">
        <v>204</v>
      </c>
      <c r="T278" t="s">
        <v>231</v>
      </c>
      <c r="U278">
        <v>4.8281499507022554E-2</v>
      </c>
      <c r="V278" t="s">
        <v>167</v>
      </c>
    </row>
    <row r="279" spans="9:22" x14ac:dyDescent="0.45">
      <c r="I279" t="s">
        <v>184</v>
      </c>
      <c r="J279" t="s">
        <v>232</v>
      </c>
      <c r="K279">
        <v>1.8804016273786226E-2</v>
      </c>
      <c r="L279" t="s">
        <v>167</v>
      </c>
      <c r="N279" t="s">
        <v>194</v>
      </c>
      <c r="O279" t="s">
        <v>232</v>
      </c>
      <c r="P279">
        <v>6.2638649824845998E-3</v>
      </c>
      <c r="Q279" t="s">
        <v>167</v>
      </c>
      <c r="S279" t="s">
        <v>204</v>
      </c>
      <c r="T279" t="s">
        <v>232</v>
      </c>
      <c r="U279">
        <v>7.0138260679144448E-3</v>
      </c>
      <c r="V279" t="s">
        <v>167</v>
      </c>
    </row>
    <row r="280" spans="9:22" x14ac:dyDescent="0.45">
      <c r="I280" t="s">
        <v>184</v>
      </c>
      <c r="J280" t="s">
        <v>233</v>
      </c>
      <c r="K280">
        <v>2.8838993617368899E-2</v>
      </c>
      <c r="L280" t="s">
        <v>167</v>
      </c>
      <c r="N280" t="s">
        <v>194</v>
      </c>
      <c r="O280" t="s">
        <v>233</v>
      </c>
      <c r="P280">
        <v>4.6566209639517041E-2</v>
      </c>
      <c r="Q280" t="s">
        <v>167</v>
      </c>
      <c r="S280" t="s">
        <v>204</v>
      </c>
      <c r="T280" t="s">
        <v>233</v>
      </c>
      <c r="U280">
        <v>4.8176705712347598E-2</v>
      </c>
      <c r="V280" t="s">
        <v>167</v>
      </c>
    </row>
    <row r="281" spans="9:22" x14ac:dyDescent="0.45">
      <c r="I281" t="s">
        <v>184</v>
      </c>
      <c r="J281" t="s">
        <v>176</v>
      </c>
      <c r="K281">
        <v>0</v>
      </c>
      <c r="L281" t="s">
        <v>167</v>
      </c>
      <c r="N281" t="s">
        <v>194</v>
      </c>
      <c r="O281" t="s">
        <v>176</v>
      </c>
      <c r="P281">
        <v>1.2635034692068592E-2</v>
      </c>
      <c r="Q281" t="s">
        <v>167</v>
      </c>
      <c r="S281" t="s">
        <v>204</v>
      </c>
      <c r="T281" t="s">
        <v>176</v>
      </c>
      <c r="U281">
        <v>1.1850873902259213E-2</v>
      </c>
      <c r="V281" t="s">
        <v>167</v>
      </c>
    </row>
    <row r="282" spans="9:22" x14ac:dyDescent="0.45">
      <c r="I282" t="s">
        <v>184</v>
      </c>
      <c r="J282" t="s">
        <v>177</v>
      </c>
      <c r="K282">
        <v>1.8921628165288096E-3</v>
      </c>
      <c r="L282" t="s">
        <v>167</v>
      </c>
      <c r="N282" t="s">
        <v>194</v>
      </c>
      <c r="O282" t="s">
        <v>177</v>
      </c>
      <c r="P282">
        <v>3.1367514372553436E-3</v>
      </c>
      <c r="Q282" t="s">
        <v>167</v>
      </c>
      <c r="S282" t="s">
        <v>204</v>
      </c>
      <c r="T282" t="s">
        <v>177</v>
      </c>
      <c r="U282">
        <v>3.1135172248789363E-3</v>
      </c>
      <c r="V282" t="s">
        <v>167</v>
      </c>
    </row>
    <row r="283" spans="9:22" x14ac:dyDescent="0.45">
      <c r="I283" t="s">
        <v>184</v>
      </c>
      <c r="J283" t="s">
        <v>178</v>
      </c>
      <c r="K283">
        <v>2.9604422095541299E-2</v>
      </c>
      <c r="L283" t="s">
        <v>167</v>
      </c>
      <c r="N283" t="s">
        <v>194</v>
      </c>
      <c r="O283" t="s">
        <v>178</v>
      </c>
      <c r="P283">
        <v>1.255180873685984E-2</v>
      </c>
      <c r="Q283" t="s">
        <v>167</v>
      </c>
      <c r="S283" t="s">
        <v>204</v>
      </c>
      <c r="T283" t="s">
        <v>178</v>
      </c>
      <c r="U283">
        <v>1.2320349510550371E-2</v>
      </c>
      <c r="V283" t="s">
        <v>167</v>
      </c>
    </row>
    <row r="284" spans="9:22" x14ac:dyDescent="0.45">
      <c r="I284" t="s">
        <v>184</v>
      </c>
      <c r="J284" t="s">
        <v>234</v>
      </c>
      <c r="K284">
        <v>8.1775875401417925E-2</v>
      </c>
      <c r="L284" t="s">
        <v>167</v>
      </c>
      <c r="N284" t="s">
        <v>194</v>
      </c>
      <c r="O284" t="s">
        <v>234</v>
      </c>
      <c r="P284">
        <v>2.1718938526329026E-2</v>
      </c>
      <c r="Q284" t="s">
        <v>167</v>
      </c>
      <c r="S284" t="s">
        <v>204</v>
      </c>
      <c r="T284" t="s">
        <v>234</v>
      </c>
      <c r="U284">
        <v>2.1004100488715174E-2</v>
      </c>
      <c r="V284" t="s">
        <v>167</v>
      </c>
    </row>
    <row r="285" spans="9:22" x14ac:dyDescent="0.45">
      <c r="I285" t="s">
        <v>184</v>
      </c>
      <c r="J285" t="s">
        <v>235</v>
      </c>
      <c r="K285">
        <v>1.0020760093648218E-2</v>
      </c>
      <c r="L285" t="s">
        <v>167</v>
      </c>
      <c r="N285" t="s">
        <v>194</v>
      </c>
      <c r="O285" t="s">
        <v>235</v>
      </c>
      <c r="P285">
        <v>3.3341527657816559E-3</v>
      </c>
      <c r="Q285" t="s">
        <v>167</v>
      </c>
      <c r="S285" t="s">
        <v>204</v>
      </c>
      <c r="T285" t="s">
        <v>235</v>
      </c>
      <c r="U285">
        <v>3.1059161069335859E-3</v>
      </c>
      <c r="V285" t="s">
        <v>167</v>
      </c>
    </row>
    <row r="286" spans="9:22" x14ac:dyDescent="0.45">
      <c r="I286" t="s">
        <v>184</v>
      </c>
      <c r="J286" t="s">
        <v>236</v>
      </c>
      <c r="K286">
        <v>1.9298714948001755E-2</v>
      </c>
      <c r="L286" t="s">
        <v>167</v>
      </c>
      <c r="N286" t="s">
        <v>194</v>
      </c>
      <c r="O286" t="s">
        <v>236</v>
      </c>
      <c r="P286">
        <v>2.400970915354499E-2</v>
      </c>
      <c r="Q286" t="s">
        <v>167</v>
      </c>
      <c r="S286" t="s">
        <v>204</v>
      </c>
      <c r="T286" t="s">
        <v>236</v>
      </c>
      <c r="U286">
        <v>2.1416151005820644E-2</v>
      </c>
      <c r="V286" t="s">
        <v>167</v>
      </c>
    </row>
    <row r="287" spans="9:22" x14ac:dyDescent="0.45">
      <c r="I287" t="s">
        <v>184</v>
      </c>
      <c r="J287" t="s">
        <v>237</v>
      </c>
      <c r="K287">
        <v>0</v>
      </c>
      <c r="L287" t="s">
        <v>167</v>
      </c>
      <c r="N287" t="s">
        <v>194</v>
      </c>
      <c r="O287" t="s">
        <v>237</v>
      </c>
      <c r="P287">
        <v>5.0801509843963595E-2</v>
      </c>
      <c r="Q287" t="s">
        <v>167</v>
      </c>
      <c r="S287" t="s">
        <v>204</v>
      </c>
      <c r="T287" t="s">
        <v>237</v>
      </c>
      <c r="U287">
        <v>4.9949821615398342E-2</v>
      </c>
      <c r="V287" t="s">
        <v>167</v>
      </c>
    </row>
    <row r="288" spans="9:22" x14ac:dyDescent="0.45">
      <c r="I288" t="s">
        <v>184</v>
      </c>
      <c r="J288" t="s">
        <v>238</v>
      </c>
      <c r="K288">
        <v>2.1550173577196928E-3</v>
      </c>
      <c r="L288" t="s">
        <v>167</v>
      </c>
      <c r="N288" t="s">
        <v>194</v>
      </c>
      <c r="O288" t="s">
        <v>238</v>
      </c>
      <c r="P288">
        <v>1.2164225278107515E-2</v>
      </c>
      <c r="Q288" t="s">
        <v>167</v>
      </c>
      <c r="S288" t="s">
        <v>204</v>
      </c>
      <c r="T288" t="s">
        <v>238</v>
      </c>
      <c r="U288">
        <v>1.1688558093459702E-2</v>
      </c>
      <c r="V288" t="s">
        <v>167</v>
      </c>
    </row>
    <row r="289" spans="9:22" x14ac:dyDescent="0.45">
      <c r="I289" t="s">
        <v>184</v>
      </c>
      <c r="J289" t="s">
        <v>239</v>
      </c>
      <c r="K289">
        <v>7.7052926131039187E-2</v>
      </c>
      <c r="L289" t="s">
        <v>167</v>
      </c>
      <c r="N289" t="s">
        <v>194</v>
      </c>
      <c r="O289" t="s">
        <v>239</v>
      </c>
      <c r="P289">
        <v>4.7214199357074792E-2</v>
      </c>
      <c r="Q289" t="s">
        <v>167</v>
      </c>
      <c r="S289" t="s">
        <v>204</v>
      </c>
      <c r="T289" t="s">
        <v>239</v>
      </c>
      <c r="U289">
        <v>4.6088125434765544E-2</v>
      </c>
      <c r="V289" t="s">
        <v>167</v>
      </c>
    </row>
    <row r="290" spans="9:22" x14ac:dyDescent="0.45">
      <c r="I290" t="s">
        <v>184</v>
      </c>
      <c r="J290" t="s">
        <v>240</v>
      </c>
      <c r="K290">
        <v>0.25595300267494014</v>
      </c>
      <c r="L290" t="s">
        <v>167</v>
      </c>
      <c r="N290" t="s">
        <v>194</v>
      </c>
      <c r="O290" t="s">
        <v>240</v>
      </c>
      <c r="P290">
        <v>8.2690481022528198E-2</v>
      </c>
      <c r="Q290" t="s">
        <v>167</v>
      </c>
      <c r="S290" t="s">
        <v>204</v>
      </c>
      <c r="T290" t="s">
        <v>240</v>
      </c>
      <c r="U290">
        <v>8.4997413440786818E-2</v>
      </c>
      <c r="V290" t="s">
        <v>167</v>
      </c>
    </row>
    <row r="291" spans="9:22" x14ac:dyDescent="0.45">
      <c r="I291" t="s">
        <v>184</v>
      </c>
      <c r="J291" t="s">
        <v>241</v>
      </c>
      <c r="K291">
        <v>2.8429432300878413E-2</v>
      </c>
      <c r="L291" t="s">
        <v>167</v>
      </c>
      <c r="N291" t="s">
        <v>194</v>
      </c>
      <c r="O291" t="s">
        <v>241</v>
      </c>
      <c r="P291">
        <v>1.2655808900896926E-2</v>
      </c>
      <c r="Q291" t="s">
        <v>167</v>
      </c>
      <c r="S291" t="s">
        <v>204</v>
      </c>
      <c r="T291" t="s">
        <v>241</v>
      </c>
      <c r="U291">
        <v>1.3083816336031921E-2</v>
      </c>
      <c r="V291" t="s">
        <v>167</v>
      </c>
    </row>
    <row r="292" spans="9:22" x14ac:dyDescent="0.45">
      <c r="I292" t="s">
        <v>184</v>
      </c>
      <c r="J292" t="s">
        <v>242</v>
      </c>
      <c r="K292">
        <v>4.1689646187087613E-2</v>
      </c>
      <c r="L292" t="s">
        <v>167</v>
      </c>
      <c r="N292" t="s">
        <v>194</v>
      </c>
      <c r="O292" t="s">
        <v>242</v>
      </c>
      <c r="P292">
        <v>9.3036240949724708E-2</v>
      </c>
      <c r="Q292" t="s">
        <v>167</v>
      </c>
      <c r="S292" t="s">
        <v>204</v>
      </c>
      <c r="T292" t="s">
        <v>242</v>
      </c>
      <c r="U292">
        <v>9.1863081007304767E-2</v>
      </c>
      <c r="V292" t="s">
        <v>167</v>
      </c>
    </row>
    <row r="293" spans="9:22" x14ac:dyDescent="0.45">
      <c r="I293" t="s">
        <v>184</v>
      </c>
      <c r="J293" t="s">
        <v>243</v>
      </c>
      <c r="K293">
        <v>0</v>
      </c>
      <c r="L293" t="s">
        <v>167</v>
      </c>
      <c r="N293" t="s">
        <v>194</v>
      </c>
      <c r="O293" t="s">
        <v>243</v>
      </c>
      <c r="P293">
        <v>1.5792637961142816E-2</v>
      </c>
      <c r="Q293" t="s">
        <v>167</v>
      </c>
      <c r="S293" t="s">
        <v>204</v>
      </c>
      <c r="T293" t="s">
        <v>243</v>
      </c>
      <c r="U293">
        <v>1.5445769269209658E-2</v>
      </c>
      <c r="V293" t="s">
        <v>167</v>
      </c>
    </row>
    <row r="294" spans="9:22" x14ac:dyDescent="0.45">
      <c r="I294" t="s">
        <v>184</v>
      </c>
      <c r="J294" t="s">
        <v>244</v>
      </c>
      <c r="K294">
        <v>0</v>
      </c>
      <c r="L294" t="s">
        <v>167</v>
      </c>
      <c r="N294" t="s">
        <v>194</v>
      </c>
      <c r="O294" t="s">
        <v>244</v>
      </c>
      <c r="P294">
        <v>3.857024698976991E-3</v>
      </c>
      <c r="Q294" t="s">
        <v>167</v>
      </c>
      <c r="S294" t="s">
        <v>204</v>
      </c>
      <c r="T294" t="s">
        <v>244</v>
      </c>
      <c r="U294">
        <v>3.760392362553181E-3</v>
      </c>
      <c r="V294" t="s">
        <v>167</v>
      </c>
    </row>
    <row r="295" spans="9:22" x14ac:dyDescent="0.45">
      <c r="I295" t="s">
        <v>184</v>
      </c>
      <c r="J295" t="s">
        <v>245</v>
      </c>
      <c r="K295">
        <v>1.2052561914765187E-3</v>
      </c>
      <c r="L295" t="s">
        <v>167</v>
      </c>
      <c r="N295" t="s">
        <v>194</v>
      </c>
      <c r="O295" t="s">
        <v>245</v>
      </c>
      <c r="P295">
        <v>1.4922367998484299E-2</v>
      </c>
      <c r="Q295" t="s">
        <v>167</v>
      </c>
      <c r="S295" t="s">
        <v>204</v>
      </c>
      <c r="T295" t="s">
        <v>245</v>
      </c>
      <c r="U295">
        <v>1.5995036631509158E-2</v>
      </c>
      <c r="V295" t="s">
        <v>167</v>
      </c>
    </row>
    <row r="296" spans="9:22" x14ac:dyDescent="0.45">
      <c r="I296" t="s">
        <v>184</v>
      </c>
      <c r="J296" t="s">
        <v>246</v>
      </c>
      <c r="K296">
        <v>2.1620415454841758E-2</v>
      </c>
      <c r="L296" t="s">
        <v>167</v>
      </c>
      <c r="N296" t="s">
        <v>194</v>
      </c>
      <c r="O296" t="s">
        <v>246</v>
      </c>
      <c r="P296">
        <v>2.4645842013716477E-2</v>
      </c>
      <c r="Q296" t="s">
        <v>167</v>
      </c>
      <c r="S296" t="s">
        <v>204</v>
      </c>
      <c r="T296" t="s">
        <v>246</v>
      </c>
      <c r="U296">
        <v>2.7707532458035304E-2</v>
      </c>
      <c r="V296" t="s">
        <v>167</v>
      </c>
    </row>
    <row r="297" spans="9:22" x14ac:dyDescent="0.45">
      <c r="I297" t="s">
        <v>184</v>
      </c>
      <c r="J297" t="s">
        <v>247</v>
      </c>
      <c r="K297">
        <v>0</v>
      </c>
      <c r="L297" t="s">
        <v>167</v>
      </c>
      <c r="N297" t="s">
        <v>194</v>
      </c>
      <c r="O297" t="s">
        <v>247</v>
      </c>
      <c r="P297">
        <v>3.4866709442550104E-3</v>
      </c>
      <c r="Q297" t="s">
        <v>167</v>
      </c>
      <c r="S297" t="s">
        <v>204</v>
      </c>
      <c r="T297" t="s">
        <v>247</v>
      </c>
      <c r="U297">
        <v>4.0317014208200346E-3</v>
      </c>
      <c r="V297" t="s">
        <v>167</v>
      </c>
    </row>
    <row r="298" spans="9:22" x14ac:dyDescent="0.45">
      <c r="I298" t="s">
        <v>184</v>
      </c>
      <c r="J298" t="s">
        <v>248</v>
      </c>
      <c r="K298">
        <v>0</v>
      </c>
      <c r="L298" t="s">
        <v>167</v>
      </c>
      <c r="N298" t="s">
        <v>194</v>
      </c>
      <c r="O298" t="s">
        <v>248</v>
      </c>
      <c r="P298">
        <v>2.7099488963430594E-2</v>
      </c>
      <c r="Q298" t="s">
        <v>167</v>
      </c>
      <c r="S298" t="s">
        <v>204</v>
      </c>
      <c r="T298" t="s">
        <v>248</v>
      </c>
      <c r="U298">
        <v>2.7522377576196713E-2</v>
      </c>
      <c r="V298" t="s">
        <v>167</v>
      </c>
    </row>
    <row r="299" spans="9:22" x14ac:dyDescent="0.45">
      <c r="I299" t="s">
        <v>184</v>
      </c>
      <c r="J299" t="s">
        <v>249</v>
      </c>
      <c r="K299">
        <v>0</v>
      </c>
      <c r="L299" t="s">
        <v>167</v>
      </c>
      <c r="N299" t="s">
        <v>194</v>
      </c>
      <c r="O299" t="s">
        <v>249</v>
      </c>
      <c r="P299">
        <v>2.0360939106914888E-2</v>
      </c>
      <c r="Q299" t="s">
        <v>167</v>
      </c>
      <c r="S299" t="s">
        <v>204</v>
      </c>
      <c r="T299" t="s">
        <v>249</v>
      </c>
      <c r="U299">
        <v>1.9356959034777091E-2</v>
      </c>
      <c r="V299" t="s">
        <v>167</v>
      </c>
    </row>
    <row r="300" spans="9:22" x14ac:dyDescent="0.45">
      <c r="I300" t="s">
        <v>184</v>
      </c>
      <c r="J300" t="s">
        <v>250</v>
      </c>
      <c r="K300">
        <v>0</v>
      </c>
      <c r="L300" t="s">
        <v>167</v>
      </c>
      <c r="N300" t="s">
        <v>194</v>
      </c>
      <c r="O300" t="s">
        <v>250</v>
      </c>
      <c r="P300">
        <v>5.2077767875427792E-3</v>
      </c>
      <c r="Q300" t="s">
        <v>167</v>
      </c>
      <c r="S300" t="s">
        <v>204</v>
      </c>
      <c r="T300" t="s">
        <v>250</v>
      </c>
      <c r="U300">
        <v>5.0164656364467116E-3</v>
      </c>
      <c r="V300" t="s">
        <v>167</v>
      </c>
    </row>
    <row r="301" spans="9:22" x14ac:dyDescent="0.45">
      <c r="I301" t="s">
        <v>184</v>
      </c>
      <c r="J301" t="s">
        <v>251</v>
      </c>
      <c r="K301">
        <v>0</v>
      </c>
      <c r="L301" t="s">
        <v>167</v>
      </c>
      <c r="N301" t="s">
        <v>194</v>
      </c>
      <c r="O301" t="s">
        <v>251</v>
      </c>
      <c r="P301">
        <v>2.1483457004975094E-2</v>
      </c>
      <c r="Q301" t="s">
        <v>167</v>
      </c>
      <c r="S301" t="s">
        <v>204</v>
      </c>
      <c r="T301" t="s">
        <v>251</v>
      </c>
      <c r="U301">
        <v>1.8916018638841358E-2</v>
      </c>
      <c r="V301" t="s">
        <v>167</v>
      </c>
    </row>
    <row r="302" spans="9:22" x14ac:dyDescent="0.45">
      <c r="I302" t="s">
        <v>184</v>
      </c>
      <c r="J302" t="s">
        <v>252</v>
      </c>
      <c r="K302">
        <v>1.2703593852849413E-2</v>
      </c>
      <c r="L302" t="s">
        <v>167</v>
      </c>
      <c r="N302" t="s">
        <v>194</v>
      </c>
      <c r="O302" t="s">
        <v>252</v>
      </c>
      <c r="P302">
        <v>3.7587336592176029E-2</v>
      </c>
      <c r="Q302" t="s">
        <v>167</v>
      </c>
      <c r="S302" t="s">
        <v>204</v>
      </c>
      <c r="T302" t="s">
        <v>252</v>
      </c>
      <c r="U302">
        <v>3.217355468050128E-2</v>
      </c>
      <c r="V302" t="s">
        <v>167</v>
      </c>
    </row>
    <row r="303" spans="9:22" x14ac:dyDescent="0.45">
      <c r="I303" t="s">
        <v>184</v>
      </c>
      <c r="J303" t="s">
        <v>253</v>
      </c>
      <c r="K303">
        <v>0</v>
      </c>
      <c r="L303" t="s">
        <v>167</v>
      </c>
      <c r="N303" t="s">
        <v>194</v>
      </c>
      <c r="O303" t="s">
        <v>253</v>
      </c>
      <c r="P303">
        <v>5.4058209683075804E-3</v>
      </c>
      <c r="Q303" t="s">
        <v>167</v>
      </c>
      <c r="S303" t="s">
        <v>204</v>
      </c>
      <c r="T303" t="s">
        <v>253</v>
      </c>
      <c r="U303">
        <v>4.6586436561917065E-3</v>
      </c>
      <c r="V303" t="s">
        <v>167</v>
      </c>
    </row>
    <row r="304" spans="9:22" x14ac:dyDescent="0.45">
      <c r="I304" t="s">
        <v>184</v>
      </c>
      <c r="J304" t="s">
        <v>254</v>
      </c>
      <c r="K304">
        <v>0</v>
      </c>
      <c r="L304" t="s">
        <v>167</v>
      </c>
      <c r="N304" t="s">
        <v>194</v>
      </c>
      <c r="O304" t="s">
        <v>254</v>
      </c>
      <c r="P304">
        <v>3.7118822798910635E-2</v>
      </c>
      <c r="Q304" t="s">
        <v>167</v>
      </c>
      <c r="S304" t="s">
        <v>204</v>
      </c>
      <c r="T304" t="s">
        <v>254</v>
      </c>
      <c r="U304">
        <v>3.3056342427704756E-2</v>
      </c>
      <c r="V304" t="s">
        <v>167</v>
      </c>
    </row>
    <row r="305" spans="9:22" x14ac:dyDescent="0.45">
      <c r="I305" t="s">
        <v>185</v>
      </c>
      <c r="J305" t="s">
        <v>166</v>
      </c>
      <c r="K305">
        <v>0</v>
      </c>
      <c r="L305" t="s">
        <v>167</v>
      </c>
      <c r="N305" t="s">
        <v>195</v>
      </c>
      <c r="O305" t="s">
        <v>166</v>
      </c>
      <c r="P305">
        <v>2.3997603775945588E-2</v>
      </c>
      <c r="Q305" t="s">
        <v>167</v>
      </c>
      <c r="S305" t="s">
        <v>205</v>
      </c>
      <c r="T305" t="s">
        <v>166</v>
      </c>
      <c r="U305">
        <v>2.5066559472012962E-2</v>
      </c>
      <c r="V305" t="s">
        <v>167</v>
      </c>
    </row>
    <row r="306" spans="9:22" x14ac:dyDescent="0.45">
      <c r="I306" t="s">
        <v>185</v>
      </c>
      <c r="J306" t="s">
        <v>168</v>
      </c>
      <c r="K306">
        <v>0</v>
      </c>
      <c r="L306" t="s">
        <v>167</v>
      </c>
      <c r="N306" t="s">
        <v>195</v>
      </c>
      <c r="O306" t="s">
        <v>168</v>
      </c>
      <c r="P306">
        <v>5.9528806116581597E-3</v>
      </c>
      <c r="Q306" t="s">
        <v>167</v>
      </c>
      <c r="S306" t="s">
        <v>205</v>
      </c>
      <c r="T306" t="s">
        <v>168</v>
      </c>
      <c r="U306">
        <v>6.3740535277868318E-3</v>
      </c>
      <c r="V306" t="s">
        <v>167</v>
      </c>
    </row>
    <row r="307" spans="9:22" x14ac:dyDescent="0.45">
      <c r="I307" t="s">
        <v>185</v>
      </c>
      <c r="J307" t="s">
        <v>169</v>
      </c>
      <c r="K307">
        <v>2.5296482449155039E-3</v>
      </c>
      <c r="L307" t="s">
        <v>167</v>
      </c>
      <c r="N307" t="s">
        <v>195</v>
      </c>
      <c r="O307" t="s">
        <v>169</v>
      </c>
      <c r="P307">
        <v>2.4660875381262989E-2</v>
      </c>
      <c r="Q307" t="s">
        <v>167</v>
      </c>
      <c r="S307" t="s">
        <v>205</v>
      </c>
      <c r="T307" t="s">
        <v>169</v>
      </c>
      <c r="U307">
        <v>2.7414940340434596E-2</v>
      </c>
      <c r="V307" t="s">
        <v>167</v>
      </c>
    </row>
    <row r="308" spans="9:22" x14ac:dyDescent="0.45">
      <c r="I308" t="s">
        <v>185</v>
      </c>
      <c r="J308" t="s">
        <v>225</v>
      </c>
      <c r="K308">
        <v>5.2442350019424121E-2</v>
      </c>
      <c r="L308" t="s">
        <v>167</v>
      </c>
      <c r="N308" t="s">
        <v>195</v>
      </c>
      <c r="O308" t="s">
        <v>225</v>
      </c>
      <c r="P308">
        <v>4.3696620969875651E-2</v>
      </c>
      <c r="Q308" t="s">
        <v>167</v>
      </c>
      <c r="S308" t="s">
        <v>205</v>
      </c>
      <c r="T308" t="s">
        <v>225</v>
      </c>
      <c r="U308">
        <v>4.6340109242186296E-2</v>
      </c>
      <c r="V308" t="s">
        <v>167</v>
      </c>
    </row>
    <row r="309" spans="9:22" x14ac:dyDescent="0.45">
      <c r="I309" t="s">
        <v>185</v>
      </c>
      <c r="J309" t="s">
        <v>226</v>
      </c>
      <c r="K309">
        <v>2.2716193641215709E-3</v>
      </c>
      <c r="L309" t="s">
        <v>167</v>
      </c>
      <c r="N309" t="s">
        <v>195</v>
      </c>
      <c r="O309" t="s">
        <v>226</v>
      </c>
      <c r="P309">
        <v>6.3238055896752913E-3</v>
      </c>
      <c r="Q309" t="s">
        <v>167</v>
      </c>
      <c r="S309" t="s">
        <v>205</v>
      </c>
      <c r="T309" t="s">
        <v>226</v>
      </c>
      <c r="U309">
        <v>6.7181962148798171E-3</v>
      </c>
      <c r="V309" t="s">
        <v>167</v>
      </c>
    </row>
    <row r="310" spans="9:22" x14ac:dyDescent="0.45">
      <c r="I310" t="s">
        <v>185</v>
      </c>
      <c r="J310" t="s">
        <v>227</v>
      </c>
      <c r="K310">
        <v>3.7523984544629894E-4</v>
      </c>
      <c r="L310" t="s">
        <v>167</v>
      </c>
      <c r="N310" t="s">
        <v>195</v>
      </c>
      <c r="O310" t="s">
        <v>227</v>
      </c>
      <c r="P310">
        <v>4.4496963003435468E-2</v>
      </c>
      <c r="Q310" t="s">
        <v>167</v>
      </c>
      <c r="S310" t="s">
        <v>205</v>
      </c>
      <c r="T310" t="s">
        <v>227</v>
      </c>
      <c r="U310">
        <v>4.576560628965573E-2</v>
      </c>
      <c r="V310" t="s">
        <v>167</v>
      </c>
    </row>
    <row r="311" spans="9:22" x14ac:dyDescent="0.45">
      <c r="I311" t="s">
        <v>185</v>
      </c>
      <c r="J311" t="s">
        <v>170</v>
      </c>
      <c r="K311">
        <v>0</v>
      </c>
      <c r="L311" t="s">
        <v>167</v>
      </c>
      <c r="N311" t="s">
        <v>195</v>
      </c>
      <c r="O311" t="s">
        <v>170</v>
      </c>
      <c r="P311">
        <v>1.5771683409234041E-2</v>
      </c>
      <c r="Q311" t="s">
        <v>167</v>
      </c>
      <c r="S311" t="s">
        <v>205</v>
      </c>
      <c r="T311" t="s">
        <v>170</v>
      </c>
      <c r="U311">
        <v>1.5478569518123059E-2</v>
      </c>
      <c r="V311" t="s">
        <v>167</v>
      </c>
    </row>
    <row r="312" spans="9:22" x14ac:dyDescent="0.45">
      <c r="I312" t="s">
        <v>185</v>
      </c>
      <c r="J312" t="s">
        <v>171</v>
      </c>
      <c r="K312">
        <v>0</v>
      </c>
      <c r="L312" t="s">
        <v>167</v>
      </c>
      <c r="N312" t="s">
        <v>195</v>
      </c>
      <c r="O312" t="s">
        <v>171</v>
      </c>
      <c r="P312">
        <v>4.0484803254145748E-3</v>
      </c>
      <c r="Q312" t="s">
        <v>167</v>
      </c>
      <c r="S312" t="s">
        <v>205</v>
      </c>
      <c r="T312" t="s">
        <v>171</v>
      </c>
      <c r="U312">
        <v>3.9555410199754249E-3</v>
      </c>
      <c r="V312" t="s">
        <v>167</v>
      </c>
    </row>
    <row r="313" spans="9:22" x14ac:dyDescent="0.45">
      <c r="I313" t="s">
        <v>185</v>
      </c>
      <c r="J313" t="s">
        <v>172</v>
      </c>
      <c r="K313">
        <v>1.4030587183190476E-2</v>
      </c>
      <c r="L313" t="s">
        <v>167</v>
      </c>
      <c r="N313" t="s">
        <v>195</v>
      </c>
      <c r="O313" t="s">
        <v>172</v>
      </c>
      <c r="P313">
        <v>1.6445562490270019E-2</v>
      </c>
      <c r="Q313" t="s">
        <v>167</v>
      </c>
      <c r="S313" t="s">
        <v>205</v>
      </c>
      <c r="T313" t="s">
        <v>172</v>
      </c>
      <c r="U313">
        <v>1.6387703332392065E-2</v>
      </c>
      <c r="V313" t="s">
        <v>167</v>
      </c>
    </row>
    <row r="314" spans="9:22" x14ac:dyDescent="0.45">
      <c r="I314" t="s">
        <v>185</v>
      </c>
      <c r="J314" t="s">
        <v>228</v>
      </c>
      <c r="K314">
        <v>6.6798057016692128E-2</v>
      </c>
      <c r="L314" t="s">
        <v>167</v>
      </c>
      <c r="N314" t="s">
        <v>195</v>
      </c>
      <c r="O314" t="s">
        <v>228</v>
      </c>
      <c r="P314">
        <v>2.9511881878212912E-2</v>
      </c>
      <c r="Q314" t="s">
        <v>167</v>
      </c>
      <c r="S314" t="s">
        <v>205</v>
      </c>
      <c r="T314" t="s">
        <v>228</v>
      </c>
      <c r="U314">
        <v>2.9253952629478726E-2</v>
      </c>
      <c r="V314" t="s">
        <v>167</v>
      </c>
    </row>
    <row r="315" spans="9:22" x14ac:dyDescent="0.45">
      <c r="I315" t="s">
        <v>185</v>
      </c>
      <c r="J315" t="s">
        <v>229</v>
      </c>
      <c r="K315">
        <v>6.5908717043186927E-3</v>
      </c>
      <c r="L315" t="s">
        <v>167</v>
      </c>
      <c r="N315" t="s">
        <v>195</v>
      </c>
      <c r="O315" t="s">
        <v>229</v>
      </c>
      <c r="P315">
        <v>4.1266242053198858E-3</v>
      </c>
      <c r="Q315" t="s">
        <v>167</v>
      </c>
      <c r="S315" t="s">
        <v>205</v>
      </c>
      <c r="T315" t="s">
        <v>229</v>
      </c>
      <c r="U315">
        <v>4.1761295664475076E-3</v>
      </c>
      <c r="V315" t="s">
        <v>167</v>
      </c>
    </row>
    <row r="316" spans="9:22" x14ac:dyDescent="0.45">
      <c r="I316" t="s">
        <v>185</v>
      </c>
      <c r="J316" t="s">
        <v>230</v>
      </c>
      <c r="K316">
        <v>4.8847520795822913E-3</v>
      </c>
      <c r="L316" t="s">
        <v>167</v>
      </c>
      <c r="N316" t="s">
        <v>195</v>
      </c>
      <c r="O316" t="s">
        <v>230</v>
      </c>
      <c r="P316">
        <v>2.7462792191059394E-2</v>
      </c>
      <c r="Q316" t="s">
        <v>167</v>
      </c>
      <c r="S316" t="s">
        <v>205</v>
      </c>
      <c r="T316" t="s">
        <v>230</v>
      </c>
      <c r="U316">
        <v>2.6662404054433275E-2</v>
      </c>
      <c r="V316" t="s">
        <v>167</v>
      </c>
    </row>
    <row r="317" spans="9:22" x14ac:dyDescent="0.45">
      <c r="I317" t="s">
        <v>185</v>
      </c>
      <c r="J317" t="s">
        <v>173</v>
      </c>
      <c r="K317">
        <v>0</v>
      </c>
      <c r="L317" t="s">
        <v>167</v>
      </c>
      <c r="N317" t="s">
        <v>195</v>
      </c>
      <c r="O317" t="s">
        <v>173</v>
      </c>
      <c r="P317">
        <v>2.3967625603787429E-2</v>
      </c>
      <c r="Q317" t="s">
        <v>167</v>
      </c>
      <c r="S317" t="s">
        <v>205</v>
      </c>
      <c r="T317" t="s">
        <v>173</v>
      </c>
      <c r="U317">
        <v>2.5075466323377132E-2</v>
      </c>
      <c r="V317" t="s">
        <v>167</v>
      </c>
    </row>
    <row r="318" spans="9:22" x14ac:dyDescent="0.45">
      <c r="I318" t="s">
        <v>185</v>
      </c>
      <c r="J318" t="s">
        <v>174</v>
      </c>
      <c r="K318">
        <v>6.5615448426694343E-4</v>
      </c>
      <c r="L318" t="s">
        <v>167</v>
      </c>
      <c r="N318" t="s">
        <v>195</v>
      </c>
      <c r="O318" t="s">
        <v>174</v>
      </c>
      <c r="P318">
        <v>6.2179171018036305E-3</v>
      </c>
      <c r="Q318" t="s">
        <v>167</v>
      </c>
      <c r="S318" t="s">
        <v>205</v>
      </c>
      <c r="T318" t="s">
        <v>174</v>
      </c>
      <c r="U318">
        <v>6.5658810192913523E-3</v>
      </c>
      <c r="V318" t="s">
        <v>167</v>
      </c>
    </row>
    <row r="319" spans="9:22" x14ac:dyDescent="0.45">
      <c r="I319" t="s">
        <v>185</v>
      </c>
      <c r="J319" t="s">
        <v>175</v>
      </c>
      <c r="K319">
        <v>5.2205400753246284E-2</v>
      </c>
      <c r="L319" t="s">
        <v>167</v>
      </c>
      <c r="N319" t="s">
        <v>195</v>
      </c>
      <c r="O319" t="s">
        <v>175</v>
      </c>
      <c r="P319">
        <v>2.4103434881685235E-2</v>
      </c>
      <c r="Q319" t="s">
        <v>167</v>
      </c>
      <c r="S319" t="s">
        <v>205</v>
      </c>
      <c r="T319" t="s">
        <v>175</v>
      </c>
      <c r="U319">
        <v>2.6774053689223226E-2</v>
      </c>
      <c r="V319" t="s">
        <v>167</v>
      </c>
    </row>
    <row r="320" spans="9:22" x14ac:dyDescent="0.45">
      <c r="I320" t="s">
        <v>185</v>
      </c>
      <c r="J320" t="s">
        <v>231</v>
      </c>
      <c r="K320">
        <v>0.16338681997381457</v>
      </c>
      <c r="L320" t="s">
        <v>167</v>
      </c>
      <c r="N320" t="s">
        <v>195</v>
      </c>
      <c r="O320" t="s">
        <v>231</v>
      </c>
      <c r="P320">
        <v>4.5967481924640771E-2</v>
      </c>
      <c r="Q320" t="s">
        <v>167</v>
      </c>
      <c r="S320" t="s">
        <v>205</v>
      </c>
      <c r="T320" t="s">
        <v>231</v>
      </c>
      <c r="U320">
        <v>4.8971405160485579E-2</v>
      </c>
      <c r="V320" t="s">
        <v>167</v>
      </c>
    </row>
    <row r="321" spans="9:22" x14ac:dyDescent="0.45">
      <c r="I321" t="s">
        <v>185</v>
      </c>
      <c r="J321" t="s">
        <v>232</v>
      </c>
      <c r="K321">
        <v>1.8809994893760177E-2</v>
      </c>
      <c r="L321" t="s">
        <v>167</v>
      </c>
      <c r="N321" t="s">
        <v>195</v>
      </c>
      <c r="O321" t="s">
        <v>232</v>
      </c>
      <c r="P321">
        <v>6.3250787953291893E-3</v>
      </c>
      <c r="Q321" t="s">
        <v>167</v>
      </c>
      <c r="S321" t="s">
        <v>205</v>
      </c>
      <c r="T321" t="s">
        <v>232</v>
      </c>
      <c r="U321">
        <v>7.009427412367931E-3</v>
      </c>
      <c r="V321" t="s">
        <v>167</v>
      </c>
    </row>
    <row r="322" spans="9:22" x14ac:dyDescent="0.45">
      <c r="I322" t="s">
        <v>185</v>
      </c>
      <c r="J322" t="s">
        <v>233</v>
      </c>
      <c r="K322">
        <v>2.739480131683366E-2</v>
      </c>
      <c r="L322" t="s">
        <v>167</v>
      </c>
      <c r="N322" t="s">
        <v>195</v>
      </c>
      <c r="O322" t="s">
        <v>233</v>
      </c>
      <c r="P322">
        <v>4.3111301974550958E-2</v>
      </c>
      <c r="Q322" t="s">
        <v>167</v>
      </c>
      <c r="S322" t="s">
        <v>205</v>
      </c>
      <c r="T322" t="s">
        <v>233</v>
      </c>
      <c r="U322">
        <v>4.5324690870686413E-2</v>
      </c>
      <c r="V322" t="s">
        <v>167</v>
      </c>
    </row>
    <row r="323" spans="9:22" x14ac:dyDescent="0.45">
      <c r="I323" t="s">
        <v>185</v>
      </c>
      <c r="J323" t="s">
        <v>176</v>
      </c>
      <c r="K323">
        <v>0</v>
      </c>
      <c r="L323" t="s">
        <v>167</v>
      </c>
      <c r="N323" t="s">
        <v>195</v>
      </c>
      <c r="O323" t="s">
        <v>176</v>
      </c>
      <c r="P323">
        <v>1.2605324739106308E-2</v>
      </c>
      <c r="Q323" t="s">
        <v>167</v>
      </c>
      <c r="S323" t="s">
        <v>205</v>
      </c>
      <c r="T323" t="s">
        <v>176</v>
      </c>
      <c r="U323">
        <v>1.2042978931900332E-2</v>
      </c>
      <c r="V323" t="s">
        <v>167</v>
      </c>
    </row>
    <row r="324" spans="9:22" x14ac:dyDescent="0.45">
      <c r="I324" t="s">
        <v>185</v>
      </c>
      <c r="J324" t="s">
        <v>177</v>
      </c>
      <c r="K324">
        <v>1.8072203520807953E-3</v>
      </c>
      <c r="L324" t="s">
        <v>167</v>
      </c>
      <c r="N324" t="s">
        <v>195</v>
      </c>
      <c r="O324" t="s">
        <v>177</v>
      </c>
      <c r="P324">
        <v>3.2373722493730319E-3</v>
      </c>
      <c r="Q324" t="s">
        <v>167</v>
      </c>
      <c r="S324" t="s">
        <v>205</v>
      </c>
      <c r="T324" t="s">
        <v>177</v>
      </c>
      <c r="U324">
        <v>3.0551061028424253E-3</v>
      </c>
      <c r="V324" t="s">
        <v>167</v>
      </c>
    </row>
    <row r="325" spans="9:22" x14ac:dyDescent="0.45">
      <c r="I325" t="s">
        <v>185</v>
      </c>
      <c r="J325" t="s">
        <v>178</v>
      </c>
      <c r="K325">
        <v>2.9272416867245951E-2</v>
      </c>
      <c r="L325" t="s">
        <v>167</v>
      </c>
      <c r="N325" t="s">
        <v>195</v>
      </c>
      <c r="O325" t="s">
        <v>178</v>
      </c>
      <c r="P325">
        <v>1.3083110726812281E-2</v>
      </c>
      <c r="Q325" t="s">
        <v>167</v>
      </c>
      <c r="S325" t="s">
        <v>205</v>
      </c>
      <c r="T325" t="s">
        <v>178</v>
      </c>
      <c r="U325">
        <v>1.2089224511685301E-2</v>
      </c>
      <c r="V325" t="s">
        <v>167</v>
      </c>
    </row>
    <row r="326" spans="9:22" x14ac:dyDescent="0.45">
      <c r="I326" t="s">
        <v>185</v>
      </c>
      <c r="J326" t="s">
        <v>234</v>
      </c>
      <c r="K326">
        <v>8.2549177479696562E-2</v>
      </c>
      <c r="L326" t="s">
        <v>167</v>
      </c>
      <c r="N326" t="s">
        <v>195</v>
      </c>
      <c r="O326" t="s">
        <v>234</v>
      </c>
      <c r="P326">
        <v>2.3374093521932971E-2</v>
      </c>
      <c r="Q326" t="s">
        <v>167</v>
      </c>
      <c r="S326" t="s">
        <v>205</v>
      </c>
      <c r="T326" t="s">
        <v>234</v>
      </c>
      <c r="U326">
        <v>2.1122622652040467E-2</v>
      </c>
      <c r="V326" t="s">
        <v>167</v>
      </c>
    </row>
    <row r="327" spans="9:22" x14ac:dyDescent="0.45">
      <c r="I327" t="s">
        <v>185</v>
      </c>
      <c r="J327" t="s">
        <v>235</v>
      </c>
      <c r="K327">
        <v>9.9549861176919906E-3</v>
      </c>
      <c r="L327" t="s">
        <v>167</v>
      </c>
      <c r="N327" t="s">
        <v>195</v>
      </c>
      <c r="O327" t="s">
        <v>235</v>
      </c>
      <c r="P327">
        <v>3.7475218784291981E-3</v>
      </c>
      <c r="Q327" t="s">
        <v>167</v>
      </c>
      <c r="S327" t="s">
        <v>205</v>
      </c>
      <c r="T327" t="s">
        <v>235</v>
      </c>
      <c r="U327">
        <v>3.307646983517677E-3</v>
      </c>
      <c r="V327" t="s">
        <v>167</v>
      </c>
    </row>
    <row r="328" spans="9:22" x14ac:dyDescent="0.45">
      <c r="I328" t="s">
        <v>185</v>
      </c>
      <c r="J328" t="s">
        <v>236</v>
      </c>
      <c r="K328">
        <v>1.8255585084606923E-2</v>
      </c>
      <c r="L328" t="s">
        <v>167</v>
      </c>
      <c r="N328" t="s">
        <v>195</v>
      </c>
      <c r="O328" t="s">
        <v>236</v>
      </c>
      <c r="P328">
        <v>2.3227371511659448E-2</v>
      </c>
      <c r="Q328" t="s">
        <v>167</v>
      </c>
      <c r="S328" t="s">
        <v>205</v>
      </c>
      <c r="T328" t="s">
        <v>236</v>
      </c>
      <c r="U328">
        <v>2.2484587078165291E-2</v>
      </c>
      <c r="V328" t="s">
        <v>167</v>
      </c>
    </row>
    <row r="329" spans="9:22" x14ac:dyDescent="0.45">
      <c r="I329" t="s">
        <v>185</v>
      </c>
      <c r="J329" t="s">
        <v>237</v>
      </c>
      <c r="K329">
        <v>0</v>
      </c>
      <c r="L329" t="s">
        <v>167</v>
      </c>
      <c r="N329" t="s">
        <v>195</v>
      </c>
      <c r="O329" t="s">
        <v>237</v>
      </c>
      <c r="P329">
        <v>4.8050422959359296E-2</v>
      </c>
      <c r="Q329" t="s">
        <v>167</v>
      </c>
      <c r="S329" t="s">
        <v>205</v>
      </c>
      <c r="T329" t="s">
        <v>237</v>
      </c>
      <c r="U329">
        <v>4.9299721052018373E-2</v>
      </c>
      <c r="V329" t="s">
        <v>167</v>
      </c>
    </row>
    <row r="330" spans="9:22" x14ac:dyDescent="0.45">
      <c r="I330" t="s">
        <v>185</v>
      </c>
      <c r="J330" t="s">
        <v>238</v>
      </c>
      <c r="K330">
        <v>1.8750600031048701E-3</v>
      </c>
      <c r="L330" t="s">
        <v>167</v>
      </c>
      <c r="N330" t="s">
        <v>195</v>
      </c>
      <c r="O330" t="s">
        <v>238</v>
      </c>
      <c r="P330">
        <v>1.1775117992446404E-2</v>
      </c>
      <c r="Q330" t="s">
        <v>167</v>
      </c>
      <c r="S330" t="s">
        <v>205</v>
      </c>
      <c r="T330" t="s">
        <v>238</v>
      </c>
      <c r="U330">
        <v>1.182006814407123E-2</v>
      </c>
      <c r="V330" t="s">
        <v>167</v>
      </c>
    </row>
    <row r="331" spans="9:22" x14ac:dyDescent="0.45">
      <c r="I331" t="s">
        <v>185</v>
      </c>
      <c r="J331" t="s">
        <v>239</v>
      </c>
      <c r="K331">
        <v>7.6683880458740833E-2</v>
      </c>
      <c r="L331" t="s">
        <v>167</v>
      </c>
      <c r="N331" t="s">
        <v>195</v>
      </c>
      <c r="O331" t="s">
        <v>239</v>
      </c>
      <c r="P331">
        <v>4.5986472695282866E-2</v>
      </c>
      <c r="Q331" t="s">
        <v>167</v>
      </c>
      <c r="S331" t="s">
        <v>205</v>
      </c>
      <c r="T331" t="s">
        <v>239</v>
      </c>
      <c r="U331">
        <v>4.7245920912819435E-2</v>
      </c>
      <c r="V331" t="s">
        <v>167</v>
      </c>
    </row>
    <row r="332" spans="9:22" x14ac:dyDescent="0.45">
      <c r="I332" t="s">
        <v>185</v>
      </c>
      <c r="J332" t="s">
        <v>240</v>
      </c>
      <c r="K332">
        <v>0.2619049289596832</v>
      </c>
      <c r="L332" t="s">
        <v>167</v>
      </c>
      <c r="N332" t="s">
        <v>195</v>
      </c>
      <c r="O332" t="s">
        <v>240</v>
      </c>
      <c r="P332">
        <v>8.9628949067496008E-2</v>
      </c>
      <c r="Q332" t="s">
        <v>167</v>
      </c>
      <c r="S332" t="s">
        <v>205</v>
      </c>
      <c r="T332" t="s">
        <v>240</v>
      </c>
      <c r="U332">
        <v>8.3487674323874078E-2</v>
      </c>
      <c r="V332" t="s">
        <v>167</v>
      </c>
    </row>
    <row r="333" spans="9:22" x14ac:dyDescent="0.45">
      <c r="I333" t="s">
        <v>185</v>
      </c>
      <c r="J333" t="s">
        <v>241</v>
      </c>
      <c r="K333">
        <v>2.8739626941067548E-2</v>
      </c>
      <c r="L333" t="s">
        <v>167</v>
      </c>
      <c r="N333" t="s">
        <v>195</v>
      </c>
      <c r="O333" t="s">
        <v>241</v>
      </c>
      <c r="P333">
        <v>1.3626427161888836E-2</v>
      </c>
      <c r="Q333" t="s">
        <v>167</v>
      </c>
      <c r="S333" t="s">
        <v>205</v>
      </c>
      <c r="T333" t="s">
        <v>241</v>
      </c>
      <c r="U333">
        <v>1.2994129513097329E-2</v>
      </c>
      <c r="V333" t="s">
        <v>167</v>
      </c>
    </row>
    <row r="334" spans="9:22" x14ac:dyDescent="0.45">
      <c r="I334" t="s">
        <v>185</v>
      </c>
      <c r="J334" t="s">
        <v>242</v>
      </c>
      <c r="K334">
        <v>4.0376779517239898E-2</v>
      </c>
      <c r="L334" t="s">
        <v>167</v>
      </c>
      <c r="N334" t="s">
        <v>195</v>
      </c>
      <c r="O334" t="s">
        <v>242</v>
      </c>
      <c r="P334">
        <v>9.0442980080877228E-2</v>
      </c>
      <c r="Q334" t="s">
        <v>167</v>
      </c>
      <c r="S334" t="s">
        <v>205</v>
      </c>
      <c r="T334" t="s">
        <v>242</v>
      </c>
      <c r="U334">
        <v>9.2373822515790571E-2</v>
      </c>
      <c r="V334" t="s">
        <v>167</v>
      </c>
    </row>
    <row r="335" spans="9:22" x14ac:dyDescent="0.45">
      <c r="I335" t="s">
        <v>185</v>
      </c>
      <c r="J335" t="s">
        <v>243</v>
      </c>
      <c r="K335">
        <v>0</v>
      </c>
      <c r="L335" t="s">
        <v>167</v>
      </c>
      <c r="N335" t="s">
        <v>195</v>
      </c>
      <c r="O335" t="s">
        <v>243</v>
      </c>
      <c r="P335">
        <v>1.5031343300327743E-2</v>
      </c>
      <c r="Q335" t="s">
        <v>167</v>
      </c>
      <c r="S335" t="s">
        <v>205</v>
      </c>
      <c r="T335" t="s">
        <v>243</v>
      </c>
      <c r="U335">
        <v>1.5243750929401681E-2</v>
      </c>
      <c r="V335" t="s">
        <v>167</v>
      </c>
    </row>
    <row r="336" spans="9:22" x14ac:dyDescent="0.45">
      <c r="I336" t="s">
        <v>185</v>
      </c>
      <c r="J336" t="s">
        <v>244</v>
      </c>
      <c r="K336">
        <v>0</v>
      </c>
      <c r="L336" t="s">
        <v>167</v>
      </c>
      <c r="N336" t="s">
        <v>195</v>
      </c>
      <c r="O336" t="s">
        <v>244</v>
      </c>
      <c r="P336">
        <v>3.6470373237434146E-3</v>
      </c>
      <c r="Q336" t="s">
        <v>167</v>
      </c>
      <c r="S336" t="s">
        <v>205</v>
      </c>
      <c r="T336" t="s">
        <v>244</v>
      </c>
      <c r="U336">
        <v>3.5946985677067752E-3</v>
      </c>
      <c r="V336" t="s">
        <v>167</v>
      </c>
    </row>
    <row r="337" spans="9:22" x14ac:dyDescent="0.45">
      <c r="I337" t="s">
        <v>185</v>
      </c>
      <c r="J337" t="s">
        <v>245</v>
      </c>
      <c r="K337">
        <v>1.4287398861671913E-3</v>
      </c>
      <c r="L337" t="s">
        <v>167</v>
      </c>
      <c r="N337" t="s">
        <v>195</v>
      </c>
      <c r="O337" t="s">
        <v>245</v>
      </c>
      <c r="P337">
        <v>1.4420156850815548E-2</v>
      </c>
      <c r="Q337" t="s">
        <v>167</v>
      </c>
      <c r="S337" t="s">
        <v>205</v>
      </c>
      <c r="T337" t="s">
        <v>245</v>
      </c>
      <c r="U337">
        <v>1.4912009227786946E-2</v>
      </c>
      <c r="V337" t="s">
        <v>167</v>
      </c>
    </row>
    <row r="338" spans="9:22" x14ac:dyDescent="0.45">
      <c r="I338" t="s">
        <v>185</v>
      </c>
      <c r="J338" t="s">
        <v>246</v>
      </c>
      <c r="K338">
        <v>2.3006674756525625E-2</v>
      </c>
      <c r="L338" t="s">
        <v>167</v>
      </c>
      <c r="N338" t="s">
        <v>195</v>
      </c>
      <c r="O338" t="s">
        <v>246</v>
      </c>
      <c r="P338">
        <v>2.448567611731527E-2</v>
      </c>
      <c r="Q338" t="s">
        <v>167</v>
      </c>
      <c r="S338" t="s">
        <v>205</v>
      </c>
      <c r="T338" t="s">
        <v>246</v>
      </c>
      <c r="U338">
        <v>2.7944359379005891E-2</v>
      </c>
      <c r="V338" t="s">
        <v>167</v>
      </c>
    </row>
    <row r="339" spans="9:22" x14ac:dyDescent="0.45">
      <c r="I339" t="s">
        <v>185</v>
      </c>
      <c r="J339" t="s">
        <v>247</v>
      </c>
      <c r="K339">
        <v>7.6907709242529608E-7</v>
      </c>
      <c r="L339" t="s">
        <v>167</v>
      </c>
      <c r="N339" t="s">
        <v>195</v>
      </c>
      <c r="O339" t="s">
        <v>247</v>
      </c>
      <c r="P339">
        <v>3.6711812203703677E-3</v>
      </c>
      <c r="Q339" t="s">
        <v>167</v>
      </c>
      <c r="S339" t="s">
        <v>205</v>
      </c>
      <c r="T339" t="s">
        <v>247</v>
      </c>
      <c r="U339">
        <v>4.0208214396283033E-3</v>
      </c>
      <c r="V339" t="s">
        <v>167</v>
      </c>
    </row>
    <row r="340" spans="9:22" x14ac:dyDescent="0.45">
      <c r="I340" t="s">
        <v>185</v>
      </c>
      <c r="J340" t="s">
        <v>248</v>
      </c>
      <c r="K340">
        <v>0</v>
      </c>
      <c r="L340" t="s">
        <v>167</v>
      </c>
      <c r="N340" t="s">
        <v>195</v>
      </c>
      <c r="O340" t="s">
        <v>248</v>
      </c>
      <c r="P340">
        <v>2.7577538734653875E-2</v>
      </c>
      <c r="Q340" t="s">
        <v>167</v>
      </c>
      <c r="S340" t="s">
        <v>205</v>
      </c>
      <c r="T340" t="s">
        <v>248</v>
      </c>
      <c r="U340">
        <v>2.7666915590861377E-2</v>
      </c>
      <c r="V340" t="s">
        <v>167</v>
      </c>
    </row>
    <row r="341" spans="9:22" x14ac:dyDescent="0.45">
      <c r="I341" t="s">
        <v>185</v>
      </c>
      <c r="J341" t="s">
        <v>249</v>
      </c>
      <c r="K341">
        <v>0</v>
      </c>
      <c r="L341" t="s">
        <v>167</v>
      </c>
      <c r="N341" t="s">
        <v>195</v>
      </c>
      <c r="O341" t="s">
        <v>249</v>
      </c>
      <c r="P341">
        <v>2.2605849209838918E-2</v>
      </c>
      <c r="Q341" t="s">
        <v>167</v>
      </c>
      <c r="S341" t="s">
        <v>205</v>
      </c>
      <c r="T341" t="s">
        <v>249</v>
      </c>
      <c r="U341">
        <v>2.0661392213778912E-2</v>
      </c>
      <c r="V341" t="s">
        <v>167</v>
      </c>
    </row>
    <row r="342" spans="9:22" x14ac:dyDescent="0.45">
      <c r="I342" t="s">
        <v>185</v>
      </c>
      <c r="J342" t="s">
        <v>250</v>
      </c>
      <c r="K342">
        <v>0</v>
      </c>
      <c r="L342" t="s">
        <v>167</v>
      </c>
      <c r="N342" t="s">
        <v>195</v>
      </c>
      <c r="O342" t="s">
        <v>250</v>
      </c>
      <c r="P342">
        <v>5.8830891091320421E-3</v>
      </c>
      <c r="Q342" t="s">
        <v>167</v>
      </c>
      <c r="S342" t="s">
        <v>205</v>
      </c>
      <c r="T342" t="s">
        <v>250</v>
      </c>
      <c r="U342">
        <v>5.2831945350755713E-3</v>
      </c>
      <c r="V342" t="s">
        <v>167</v>
      </c>
    </row>
    <row r="343" spans="9:22" x14ac:dyDescent="0.45">
      <c r="I343" t="s">
        <v>185</v>
      </c>
      <c r="J343" t="s">
        <v>251</v>
      </c>
      <c r="K343">
        <v>0</v>
      </c>
      <c r="L343" t="s">
        <v>167</v>
      </c>
      <c r="N343" t="s">
        <v>195</v>
      </c>
      <c r="O343" t="s">
        <v>251</v>
      </c>
      <c r="P343">
        <v>2.3532377395036167E-2</v>
      </c>
      <c r="Q343" t="s">
        <v>167</v>
      </c>
      <c r="S343" t="s">
        <v>205</v>
      </c>
      <c r="T343" t="s">
        <v>251</v>
      </c>
      <c r="U343">
        <v>2.0891933353421512E-2</v>
      </c>
      <c r="V343" t="s">
        <v>167</v>
      </c>
    </row>
    <row r="344" spans="9:22" x14ac:dyDescent="0.45">
      <c r="I344" t="s">
        <v>185</v>
      </c>
      <c r="J344" t="s">
        <v>252</v>
      </c>
      <c r="K344">
        <v>1.1767857619442594E-2</v>
      </c>
      <c r="L344" t="s">
        <v>167</v>
      </c>
      <c r="N344" t="s">
        <v>195</v>
      </c>
      <c r="O344" t="s">
        <v>252</v>
      </c>
      <c r="P344">
        <v>3.968377119591647E-2</v>
      </c>
      <c r="Q344" t="s">
        <v>167</v>
      </c>
      <c r="S344" t="s">
        <v>205</v>
      </c>
      <c r="T344" t="s">
        <v>252</v>
      </c>
      <c r="U344">
        <v>3.5302565216176224E-2</v>
      </c>
      <c r="V344" t="s">
        <v>167</v>
      </c>
    </row>
    <row r="345" spans="9:22" x14ac:dyDescent="0.45">
      <c r="I345" t="s">
        <v>185</v>
      </c>
      <c r="J345" t="s">
        <v>253</v>
      </c>
      <c r="K345">
        <v>0</v>
      </c>
      <c r="L345" t="s">
        <v>167</v>
      </c>
      <c r="N345" t="s">
        <v>195</v>
      </c>
      <c r="O345" t="s">
        <v>253</v>
      </c>
      <c r="P345">
        <v>5.4772386273227065E-3</v>
      </c>
      <c r="Q345" t="s">
        <v>167</v>
      </c>
      <c r="S345" t="s">
        <v>205</v>
      </c>
      <c r="T345" t="s">
        <v>253</v>
      </c>
      <c r="U345">
        <v>5.008753464103689E-3</v>
      </c>
      <c r="V345" t="s">
        <v>167</v>
      </c>
    </row>
    <row r="346" spans="9:22" x14ac:dyDescent="0.45">
      <c r="I346" t="s">
        <v>185</v>
      </c>
      <c r="J346" t="s">
        <v>254</v>
      </c>
      <c r="K346">
        <v>0</v>
      </c>
      <c r="L346" t="s">
        <v>167</v>
      </c>
      <c r="N346" t="s">
        <v>195</v>
      </c>
      <c r="O346" t="s">
        <v>254</v>
      </c>
      <c r="P346">
        <v>3.9010962217704594E-2</v>
      </c>
      <c r="Q346" t="s">
        <v>167</v>
      </c>
      <c r="S346" t="s">
        <v>205</v>
      </c>
      <c r="T346" t="s">
        <v>254</v>
      </c>
      <c r="U346">
        <v>3.4831413677993875E-2</v>
      </c>
      <c r="V346" t="s">
        <v>167</v>
      </c>
    </row>
    <row r="347" spans="9:22" x14ac:dyDescent="0.45">
      <c r="I347" t="s">
        <v>186</v>
      </c>
      <c r="J347" t="s">
        <v>166</v>
      </c>
      <c r="K347">
        <v>0</v>
      </c>
      <c r="L347" t="s">
        <v>167</v>
      </c>
      <c r="N347" t="s">
        <v>196</v>
      </c>
      <c r="O347" t="s">
        <v>166</v>
      </c>
      <c r="P347">
        <v>2.7441175799039191E-2</v>
      </c>
      <c r="Q347" t="s">
        <v>167</v>
      </c>
      <c r="S347" t="s">
        <v>206</v>
      </c>
      <c r="T347" t="s">
        <v>166</v>
      </c>
      <c r="U347">
        <v>2.4976061937656686E-2</v>
      </c>
      <c r="V347" t="s">
        <v>167</v>
      </c>
    </row>
    <row r="348" spans="9:22" x14ac:dyDescent="0.45">
      <c r="I348" t="s">
        <v>186</v>
      </c>
      <c r="J348" t="s">
        <v>168</v>
      </c>
      <c r="K348">
        <v>0</v>
      </c>
      <c r="L348" t="s">
        <v>167</v>
      </c>
      <c r="N348" t="s">
        <v>196</v>
      </c>
      <c r="O348" t="s">
        <v>168</v>
      </c>
      <c r="P348">
        <v>6.4923795753418674E-3</v>
      </c>
      <c r="Q348" t="s">
        <v>167</v>
      </c>
      <c r="S348" t="s">
        <v>206</v>
      </c>
      <c r="T348" t="s">
        <v>168</v>
      </c>
      <c r="U348">
        <v>6.3405593802642836E-3</v>
      </c>
      <c r="V348" t="s">
        <v>167</v>
      </c>
    </row>
    <row r="349" spans="9:22" x14ac:dyDescent="0.45">
      <c r="I349" t="s">
        <v>186</v>
      </c>
      <c r="J349" t="s">
        <v>169</v>
      </c>
      <c r="K349">
        <v>2.2996229944917089E-3</v>
      </c>
      <c r="L349" t="s">
        <v>167</v>
      </c>
      <c r="N349" t="s">
        <v>196</v>
      </c>
      <c r="O349" t="s">
        <v>169</v>
      </c>
      <c r="P349">
        <v>2.6411031777085155E-2</v>
      </c>
      <c r="Q349" t="s">
        <v>167</v>
      </c>
      <c r="S349" t="s">
        <v>206</v>
      </c>
      <c r="T349" t="s">
        <v>169</v>
      </c>
      <c r="U349">
        <v>2.6466784597987847E-2</v>
      </c>
      <c r="V349" t="s">
        <v>167</v>
      </c>
    </row>
    <row r="350" spans="9:22" x14ac:dyDescent="0.45">
      <c r="I350" t="s">
        <v>186</v>
      </c>
      <c r="J350" t="s">
        <v>225</v>
      </c>
      <c r="K350">
        <v>5.2841153283017549E-2</v>
      </c>
      <c r="L350" t="s">
        <v>167</v>
      </c>
      <c r="N350" t="s">
        <v>196</v>
      </c>
      <c r="O350" t="s">
        <v>225</v>
      </c>
      <c r="P350">
        <v>4.7249144547422406E-2</v>
      </c>
      <c r="Q350" t="s">
        <v>167</v>
      </c>
      <c r="S350" t="s">
        <v>206</v>
      </c>
      <c r="T350" t="s">
        <v>225</v>
      </c>
      <c r="U350">
        <v>4.6555204930728664E-2</v>
      </c>
      <c r="V350" t="s">
        <v>167</v>
      </c>
    </row>
    <row r="351" spans="9:22" x14ac:dyDescent="0.45">
      <c r="I351" t="s">
        <v>186</v>
      </c>
      <c r="J351" t="s">
        <v>226</v>
      </c>
      <c r="K351">
        <v>2.1458713571469927E-3</v>
      </c>
      <c r="L351" t="s">
        <v>167</v>
      </c>
      <c r="N351" t="s">
        <v>196</v>
      </c>
      <c r="O351" t="s">
        <v>226</v>
      </c>
      <c r="P351">
        <v>6.9469350646628059E-3</v>
      </c>
      <c r="Q351" t="s">
        <v>167</v>
      </c>
      <c r="S351" t="s">
        <v>206</v>
      </c>
      <c r="T351" t="s">
        <v>226</v>
      </c>
      <c r="U351">
        <v>6.7020862980437558E-3</v>
      </c>
      <c r="V351" t="s">
        <v>167</v>
      </c>
    </row>
    <row r="352" spans="9:22" x14ac:dyDescent="0.45">
      <c r="I352" t="s">
        <v>186</v>
      </c>
      <c r="J352" t="s">
        <v>227</v>
      </c>
      <c r="K352">
        <v>4.5313032755616291E-4</v>
      </c>
      <c r="L352" t="s">
        <v>167</v>
      </c>
      <c r="N352" t="s">
        <v>196</v>
      </c>
      <c r="O352" t="s">
        <v>227</v>
      </c>
      <c r="P352">
        <v>5.088196641045014E-2</v>
      </c>
      <c r="Q352" t="s">
        <v>167</v>
      </c>
      <c r="S352" t="s">
        <v>206</v>
      </c>
      <c r="T352" t="s">
        <v>227</v>
      </c>
      <c r="U352">
        <v>4.7180213390436349E-2</v>
      </c>
      <c r="V352" t="s">
        <v>167</v>
      </c>
    </row>
    <row r="353" spans="9:22" x14ac:dyDescent="0.45">
      <c r="I353" t="s">
        <v>186</v>
      </c>
      <c r="J353" t="s">
        <v>170</v>
      </c>
      <c r="K353">
        <v>0</v>
      </c>
      <c r="L353" t="s">
        <v>167</v>
      </c>
      <c r="N353" t="s">
        <v>196</v>
      </c>
      <c r="O353" t="s">
        <v>170</v>
      </c>
      <c r="P353">
        <v>1.8125736734242632E-2</v>
      </c>
      <c r="Q353" t="s">
        <v>167</v>
      </c>
      <c r="S353" t="s">
        <v>206</v>
      </c>
      <c r="T353" t="s">
        <v>170</v>
      </c>
      <c r="U353">
        <v>1.6471928628317145E-2</v>
      </c>
      <c r="V353" t="s">
        <v>167</v>
      </c>
    </row>
    <row r="354" spans="9:22" x14ac:dyDescent="0.45">
      <c r="I354" t="s">
        <v>186</v>
      </c>
      <c r="J354" t="s">
        <v>171</v>
      </c>
      <c r="K354">
        <v>0</v>
      </c>
      <c r="L354" t="s">
        <v>167</v>
      </c>
      <c r="N354" t="s">
        <v>196</v>
      </c>
      <c r="O354" t="s">
        <v>171</v>
      </c>
      <c r="P354">
        <v>4.4210410141431178E-3</v>
      </c>
      <c r="Q354" t="s">
        <v>167</v>
      </c>
      <c r="S354" t="s">
        <v>206</v>
      </c>
      <c r="T354" t="s">
        <v>171</v>
      </c>
      <c r="U354">
        <v>4.1216707067416392E-3</v>
      </c>
      <c r="V354" t="s">
        <v>167</v>
      </c>
    </row>
    <row r="355" spans="9:22" x14ac:dyDescent="0.45">
      <c r="I355" t="s">
        <v>186</v>
      </c>
      <c r="J355" t="s">
        <v>172</v>
      </c>
      <c r="K355">
        <v>1.53431576607498E-2</v>
      </c>
      <c r="L355" t="s">
        <v>167</v>
      </c>
      <c r="N355" t="s">
        <v>196</v>
      </c>
      <c r="O355" t="s">
        <v>172</v>
      </c>
      <c r="P355">
        <v>1.7240725503686761E-2</v>
      </c>
      <c r="Q355" t="s">
        <v>167</v>
      </c>
      <c r="S355" t="s">
        <v>206</v>
      </c>
      <c r="T355" t="s">
        <v>172</v>
      </c>
      <c r="U355">
        <v>1.6774413282076416E-2</v>
      </c>
      <c r="V355" t="s">
        <v>167</v>
      </c>
    </row>
    <row r="356" spans="9:22" x14ac:dyDescent="0.45">
      <c r="I356" t="s">
        <v>186</v>
      </c>
      <c r="J356" t="s">
        <v>228</v>
      </c>
      <c r="K356">
        <v>6.6815979683216703E-2</v>
      </c>
      <c r="L356" t="s">
        <v>167</v>
      </c>
      <c r="N356" t="s">
        <v>196</v>
      </c>
      <c r="O356" t="s">
        <v>228</v>
      </c>
      <c r="P356">
        <v>3.0966428230783986E-2</v>
      </c>
      <c r="Q356" t="s">
        <v>167</v>
      </c>
      <c r="S356" t="s">
        <v>206</v>
      </c>
      <c r="T356" t="s">
        <v>228</v>
      </c>
      <c r="U356">
        <v>2.8630306594529802E-2</v>
      </c>
      <c r="V356" t="s">
        <v>167</v>
      </c>
    </row>
    <row r="357" spans="9:22" x14ac:dyDescent="0.45">
      <c r="I357" t="s">
        <v>186</v>
      </c>
      <c r="J357" t="s">
        <v>229</v>
      </c>
      <c r="K357">
        <v>7.0181130443860715E-3</v>
      </c>
      <c r="L357" t="s">
        <v>167</v>
      </c>
      <c r="N357" t="s">
        <v>196</v>
      </c>
      <c r="O357" t="s">
        <v>229</v>
      </c>
      <c r="P357">
        <v>4.4811350418917121E-3</v>
      </c>
      <c r="Q357" t="s">
        <v>167</v>
      </c>
      <c r="S357" t="s">
        <v>206</v>
      </c>
      <c r="T357" t="s">
        <v>229</v>
      </c>
      <c r="U357">
        <v>4.11468250553324E-3</v>
      </c>
      <c r="V357" t="s">
        <v>167</v>
      </c>
    </row>
    <row r="358" spans="9:22" x14ac:dyDescent="0.45">
      <c r="I358" t="s">
        <v>186</v>
      </c>
      <c r="J358" t="s">
        <v>230</v>
      </c>
      <c r="K358">
        <v>6.1222698015657119E-3</v>
      </c>
      <c r="L358" t="s">
        <v>167</v>
      </c>
      <c r="N358" t="s">
        <v>196</v>
      </c>
      <c r="O358" t="s">
        <v>230</v>
      </c>
      <c r="P358">
        <v>3.2153259370569634E-2</v>
      </c>
      <c r="Q358" t="s">
        <v>167</v>
      </c>
      <c r="S358" t="s">
        <v>206</v>
      </c>
      <c r="T358" t="s">
        <v>230</v>
      </c>
      <c r="U358">
        <v>2.9916879944391236E-2</v>
      </c>
      <c r="V358" t="s">
        <v>167</v>
      </c>
    </row>
    <row r="359" spans="9:22" x14ac:dyDescent="0.45">
      <c r="I359" t="s">
        <v>186</v>
      </c>
      <c r="J359" t="s">
        <v>173</v>
      </c>
      <c r="K359">
        <v>0</v>
      </c>
      <c r="L359" t="s">
        <v>167</v>
      </c>
      <c r="N359" t="s">
        <v>196</v>
      </c>
      <c r="O359" t="s">
        <v>173</v>
      </c>
      <c r="P359">
        <v>2.2729197567693163E-2</v>
      </c>
      <c r="Q359" t="s">
        <v>167</v>
      </c>
      <c r="S359" t="s">
        <v>206</v>
      </c>
      <c r="T359" t="s">
        <v>173</v>
      </c>
      <c r="U359">
        <v>2.4685781892025315E-2</v>
      </c>
      <c r="V359" t="s">
        <v>167</v>
      </c>
    </row>
    <row r="360" spans="9:22" x14ac:dyDescent="0.45">
      <c r="I360" t="s">
        <v>186</v>
      </c>
      <c r="J360" t="s">
        <v>174</v>
      </c>
      <c r="K360">
        <v>6.9707671214878496E-4</v>
      </c>
      <c r="L360" t="s">
        <v>167</v>
      </c>
      <c r="N360" t="s">
        <v>196</v>
      </c>
      <c r="O360" t="s">
        <v>174</v>
      </c>
      <c r="P360">
        <v>5.8291119175117676E-3</v>
      </c>
      <c r="Q360" t="s">
        <v>167</v>
      </c>
      <c r="S360" t="s">
        <v>206</v>
      </c>
      <c r="T360" t="s">
        <v>174</v>
      </c>
      <c r="U360">
        <v>5.9769875537622873E-3</v>
      </c>
      <c r="V360" t="s">
        <v>167</v>
      </c>
    </row>
    <row r="361" spans="9:22" x14ac:dyDescent="0.45">
      <c r="I361" t="s">
        <v>186</v>
      </c>
      <c r="J361" t="s">
        <v>175</v>
      </c>
      <c r="K361">
        <v>5.2751297957209252E-2</v>
      </c>
      <c r="L361" t="s">
        <v>167</v>
      </c>
      <c r="N361" t="s">
        <v>196</v>
      </c>
      <c r="O361" t="s">
        <v>175</v>
      </c>
      <c r="P361">
        <v>2.1481387506999693E-2</v>
      </c>
      <c r="Q361" t="s">
        <v>167</v>
      </c>
      <c r="S361" t="s">
        <v>206</v>
      </c>
      <c r="T361" t="s">
        <v>175</v>
      </c>
      <c r="U361">
        <v>2.4131749437029733E-2</v>
      </c>
      <c r="V361" t="s">
        <v>167</v>
      </c>
    </row>
    <row r="362" spans="9:22" x14ac:dyDescent="0.45">
      <c r="I362" t="s">
        <v>186</v>
      </c>
      <c r="J362" t="s">
        <v>231</v>
      </c>
      <c r="K362">
        <v>0.1669710896046826</v>
      </c>
      <c r="L362" t="s">
        <v>167</v>
      </c>
      <c r="N362" t="s">
        <v>196</v>
      </c>
      <c r="O362" t="s">
        <v>231</v>
      </c>
      <c r="P362">
        <v>4.1432339271733218E-2</v>
      </c>
      <c r="Q362" t="s">
        <v>167</v>
      </c>
      <c r="S362" t="s">
        <v>206</v>
      </c>
      <c r="T362" t="s">
        <v>231</v>
      </c>
      <c r="U362">
        <v>4.4542434360651424E-2</v>
      </c>
      <c r="V362" t="s">
        <v>167</v>
      </c>
    </row>
    <row r="363" spans="9:22" x14ac:dyDescent="0.45">
      <c r="I363" t="s">
        <v>186</v>
      </c>
      <c r="J363" t="s">
        <v>232</v>
      </c>
      <c r="K363">
        <v>1.9436149882490747E-2</v>
      </c>
      <c r="L363" t="s">
        <v>167</v>
      </c>
      <c r="N363" t="s">
        <v>196</v>
      </c>
      <c r="O363" t="s">
        <v>232</v>
      </c>
      <c r="P363">
        <v>5.6824465714114362E-3</v>
      </c>
      <c r="Q363" t="s">
        <v>167</v>
      </c>
      <c r="S363" t="s">
        <v>206</v>
      </c>
      <c r="T363" t="s">
        <v>232</v>
      </c>
      <c r="U363">
        <v>6.8590625709261431E-3</v>
      </c>
      <c r="V363" t="s">
        <v>167</v>
      </c>
    </row>
    <row r="364" spans="9:22" x14ac:dyDescent="0.45">
      <c r="I364" t="s">
        <v>186</v>
      </c>
      <c r="J364" t="s">
        <v>233</v>
      </c>
      <c r="K364">
        <v>3.0989461533041072E-2</v>
      </c>
      <c r="L364" t="s">
        <v>167</v>
      </c>
      <c r="N364" t="s">
        <v>196</v>
      </c>
      <c r="O364" t="s">
        <v>233</v>
      </c>
      <c r="P364">
        <v>3.8717040541082694E-2</v>
      </c>
      <c r="Q364" t="s">
        <v>167</v>
      </c>
      <c r="S364" t="s">
        <v>206</v>
      </c>
      <c r="T364" t="s">
        <v>233</v>
      </c>
      <c r="U364">
        <v>4.7467604286720394E-2</v>
      </c>
      <c r="V364" t="s">
        <v>167</v>
      </c>
    </row>
    <row r="365" spans="9:22" x14ac:dyDescent="0.45">
      <c r="I365" t="s">
        <v>186</v>
      </c>
      <c r="J365" t="s">
        <v>176</v>
      </c>
      <c r="K365">
        <v>0</v>
      </c>
      <c r="L365" t="s">
        <v>167</v>
      </c>
      <c r="N365" t="s">
        <v>196</v>
      </c>
      <c r="O365" t="s">
        <v>176</v>
      </c>
      <c r="P365">
        <v>1.2510625338287664E-2</v>
      </c>
      <c r="Q365" t="s">
        <v>167</v>
      </c>
      <c r="S365" t="s">
        <v>206</v>
      </c>
      <c r="T365" t="s">
        <v>176</v>
      </c>
      <c r="U365">
        <v>1.2700653809837847E-2</v>
      </c>
      <c r="V365" t="s">
        <v>167</v>
      </c>
    </row>
    <row r="366" spans="9:22" x14ac:dyDescent="0.45">
      <c r="I366" t="s">
        <v>186</v>
      </c>
      <c r="J366" t="s">
        <v>177</v>
      </c>
      <c r="K366">
        <v>1.7357829199038789E-3</v>
      </c>
      <c r="L366" t="s">
        <v>167</v>
      </c>
      <c r="N366" t="s">
        <v>196</v>
      </c>
      <c r="O366" t="s">
        <v>177</v>
      </c>
      <c r="P366">
        <v>3.1087877430761397E-3</v>
      </c>
      <c r="Q366" t="s">
        <v>167</v>
      </c>
      <c r="S366" t="s">
        <v>206</v>
      </c>
      <c r="T366" t="s">
        <v>177</v>
      </c>
      <c r="U366">
        <v>3.3403329424784513E-3</v>
      </c>
      <c r="V366" t="s">
        <v>167</v>
      </c>
    </row>
    <row r="367" spans="9:22" x14ac:dyDescent="0.45">
      <c r="I367" t="s">
        <v>186</v>
      </c>
      <c r="J367" t="s">
        <v>178</v>
      </c>
      <c r="K367">
        <v>2.6813701878620286E-2</v>
      </c>
      <c r="L367" t="s">
        <v>167</v>
      </c>
      <c r="N367" t="s">
        <v>196</v>
      </c>
      <c r="O367" t="s">
        <v>178</v>
      </c>
      <c r="P367">
        <v>1.3024290788628136E-2</v>
      </c>
      <c r="Q367" t="s">
        <v>167</v>
      </c>
      <c r="S367" t="s">
        <v>206</v>
      </c>
      <c r="T367" t="s">
        <v>178</v>
      </c>
      <c r="U367">
        <v>1.3310431386317764E-2</v>
      </c>
      <c r="V367" t="s">
        <v>167</v>
      </c>
    </row>
    <row r="368" spans="9:22" x14ac:dyDescent="0.45">
      <c r="I368" t="s">
        <v>186</v>
      </c>
      <c r="J368" t="s">
        <v>234</v>
      </c>
      <c r="K368">
        <v>7.909140900190266E-2</v>
      </c>
      <c r="L368" t="s">
        <v>167</v>
      </c>
      <c r="N368" t="s">
        <v>196</v>
      </c>
      <c r="O368" t="s">
        <v>234</v>
      </c>
      <c r="P368">
        <v>2.4274451436302913E-2</v>
      </c>
      <c r="Q368" t="s">
        <v>167</v>
      </c>
      <c r="S368" t="s">
        <v>206</v>
      </c>
      <c r="T368" t="s">
        <v>234</v>
      </c>
      <c r="U368">
        <v>2.2134401711903357E-2</v>
      </c>
      <c r="V368" t="s">
        <v>167</v>
      </c>
    </row>
    <row r="369" spans="9:22" x14ac:dyDescent="0.45">
      <c r="I369" t="s">
        <v>186</v>
      </c>
      <c r="J369" t="s">
        <v>235</v>
      </c>
      <c r="K369">
        <v>9.8100556619427973E-3</v>
      </c>
      <c r="L369" t="s">
        <v>167</v>
      </c>
      <c r="N369" t="s">
        <v>196</v>
      </c>
      <c r="O369" t="s">
        <v>235</v>
      </c>
      <c r="P369">
        <v>3.5707736193867469E-3</v>
      </c>
      <c r="Q369" t="s">
        <v>167</v>
      </c>
      <c r="S369" t="s">
        <v>206</v>
      </c>
      <c r="T369" t="s">
        <v>235</v>
      </c>
      <c r="U369">
        <v>3.417385396992934E-3</v>
      </c>
      <c r="V369" t="s">
        <v>167</v>
      </c>
    </row>
    <row r="370" spans="9:22" x14ac:dyDescent="0.45">
      <c r="I370" t="s">
        <v>186</v>
      </c>
      <c r="J370" t="s">
        <v>236</v>
      </c>
      <c r="K370">
        <v>1.9861659161304432E-2</v>
      </c>
      <c r="L370" t="s">
        <v>167</v>
      </c>
      <c r="N370" t="s">
        <v>196</v>
      </c>
      <c r="O370" t="s">
        <v>236</v>
      </c>
      <c r="P370">
        <v>2.2794894455633964E-2</v>
      </c>
      <c r="Q370" t="s">
        <v>167</v>
      </c>
      <c r="S370" t="s">
        <v>206</v>
      </c>
      <c r="T370" t="s">
        <v>236</v>
      </c>
      <c r="U370">
        <v>2.2722480656438226E-2</v>
      </c>
      <c r="V370" t="s">
        <v>167</v>
      </c>
    </row>
    <row r="371" spans="9:22" x14ac:dyDescent="0.45">
      <c r="I371" t="s">
        <v>186</v>
      </c>
      <c r="J371" t="s">
        <v>237</v>
      </c>
      <c r="K371">
        <v>0</v>
      </c>
      <c r="L371" t="s">
        <v>167</v>
      </c>
      <c r="N371" t="s">
        <v>196</v>
      </c>
      <c r="O371" t="s">
        <v>237</v>
      </c>
      <c r="P371">
        <v>4.7705276230836619E-2</v>
      </c>
      <c r="Q371" t="s">
        <v>167</v>
      </c>
      <c r="S371" t="s">
        <v>206</v>
      </c>
      <c r="T371" t="s">
        <v>237</v>
      </c>
      <c r="U371">
        <v>4.8003043279555208E-2</v>
      </c>
      <c r="V371" t="s">
        <v>167</v>
      </c>
    </row>
    <row r="372" spans="9:22" x14ac:dyDescent="0.45">
      <c r="I372" t="s">
        <v>186</v>
      </c>
      <c r="J372" t="s">
        <v>238</v>
      </c>
      <c r="K372">
        <v>1.633310951915299E-3</v>
      </c>
      <c r="L372" t="s">
        <v>167</v>
      </c>
      <c r="N372" t="s">
        <v>196</v>
      </c>
      <c r="O372" t="s">
        <v>238</v>
      </c>
      <c r="P372">
        <v>1.1726553228251753E-2</v>
      </c>
      <c r="Q372" t="s">
        <v>167</v>
      </c>
      <c r="S372" t="s">
        <v>206</v>
      </c>
      <c r="T372" t="s">
        <v>238</v>
      </c>
      <c r="U372">
        <v>1.2023323578362655E-2</v>
      </c>
      <c r="V372" t="s">
        <v>167</v>
      </c>
    </row>
    <row r="373" spans="9:22" x14ac:dyDescent="0.45">
      <c r="I373" t="s">
        <v>186</v>
      </c>
      <c r="J373" t="s">
        <v>239</v>
      </c>
      <c r="K373">
        <v>7.0238539371214923E-2</v>
      </c>
      <c r="L373" t="s">
        <v>167</v>
      </c>
      <c r="N373" t="s">
        <v>196</v>
      </c>
      <c r="O373" t="s">
        <v>239</v>
      </c>
      <c r="P373">
        <v>4.5441052712066894E-2</v>
      </c>
      <c r="Q373" t="s">
        <v>167</v>
      </c>
      <c r="S373" t="s">
        <v>206</v>
      </c>
      <c r="T373" t="s">
        <v>239</v>
      </c>
      <c r="U373">
        <v>4.8505347223627315E-2</v>
      </c>
      <c r="V373" t="s">
        <v>167</v>
      </c>
    </row>
    <row r="374" spans="9:22" x14ac:dyDescent="0.45">
      <c r="I374" t="s">
        <v>186</v>
      </c>
      <c r="J374" t="s">
        <v>240</v>
      </c>
      <c r="K374">
        <v>0.25403133886174994</v>
      </c>
      <c r="L374" t="s">
        <v>167</v>
      </c>
      <c r="N374" t="s">
        <v>196</v>
      </c>
      <c r="O374" t="s">
        <v>240</v>
      </c>
      <c r="P374">
        <v>8.794588603575175E-2</v>
      </c>
      <c r="Q374" t="s">
        <v>167</v>
      </c>
      <c r="S374" t="s">
        <v>206</v>
      </c>
      <c r="T374" t="s">
        <v>240</v>
      </c>
      <c r="U374">
        <v>8.7449139319482422E-2</v>
      </c>
      <c r="V374" t="s">
        <v>167</v>
      </c>
    </row>
    <row r="375" spans="9:22" x14ac:dyDescent="0.45">
      <c r="I375" t="s">
        <v>186</v>
      </c>
      <c r="J375" t="s">
        <v>241</v>
      </c>
      <c r="K375">
        <v>2.9706473449542123E-2</v>
      </c>
      <c r="L375" t="s">
        <v>167</v>
      </c>
      <c r="N375" t="s">
        <v>196</v>
      </c>
      <c r="O375" t="s">
        <v>241</v>
      </c>
      <c r="P375">
        <v>1.3234375872168941E-2</v>
      </c>
      <c r="Q375" t="s">
        <v>167</v>
      </c>
      <c r="S375" t="s">
        <v>206</v>
      </c>
      <c r="T375" t="s">
        <v>241</v>
      </c>
      <c r="U375">
        <v>1.2418405399101617E-2</v>
      </c>
      <c r="V375" t="s">
        <v>167</v>
      </c>
    </row>
    <row r="376" spans="9:22" x14ac:dyDescent="0.45">
      <c r="I376" t="s">
        <v>186</v>
      </c>
      <c r="J376" t="s">
        <v>242</v>
      </c>
      <c r="K376">
        <v>4.5542981488437613E-2</v>
      </c>
      <c r="L376" t="s">
        <v>167</v>
      </c>
      <c r="N376" t="s">
        <v>196</v>
      </c>
      <c r="O376" t="s">
        <v>242</v>
      </c>
      <c r="P376">
        <v>8.6848714748587644E-2</v>
      </c>
      <c r="Q376" t="s">
        <v>167</v>
      </c>
      <c r="S376" t="s">
        <v>206</v>
      </c>
      <c r="T376" t="s">
        <v>242</v>
      </c>
      <c r="U376">
        <v>8.4781867252616383E-2</v>
      </c>
      <c r="V376" t="s">
        <v>167</v>
      </c>
    </row>
    <row r="377" spans="9:22" x14ac:dyDescent="0.45">
      <c r="I377" t="s">
        <v>186</v>
      </c>
      <c r="J377" t="s">
        <v>243</v>
      </c>
      <c r="K377">
        <v>0</v>
      </c>
      <c r="L377" t="s">
        <v>167</v>
      </c>
      <c r="N377" t="s">
        <v>196</v>
      </c>
      <c r="O377" t="s">
        <v>243</v>
      </c>
      <c r="P377">
        <v>1.5319929880789463E-2</v>
      </c>
      <c r="Q377" t="s">
        <v>167</v>
      </c>
      <c r="S377" t="s">
        <v>206</v>
      </c>
      <c r="T377" t="s">
        <v>243</v>
      </c>
      <c r="U377">
        <v>1.6007764066419291E-2</v>
      </c>
      <c r="V377" t="s">
        <v>167</v>
      </c>
    </row>
    <row r="378" spans="9:22" x14ac:dyDescent="0.45">
      <c r="I378" t="s">
        <v>186</v>
      </c>
      <c r="J378" t="s">
        <v>244</v>
      </c>
      <c r="K378">
        <v>0</v>
      </c>
      <c r="L378" t="s">
        <v>167</v>
      </c>
      <c r="N378" t="s">
        <v>196</v>
      </c>
      <c r="O378" t="s">
        <v>244</v>
      </c>
      <c r="P378">
        <v>3.7607953880349505E-3</v>
      </c>
      <c r="Q378" t="s">
        <v>167</v>
      </c>
      <c r="S378" t="s">
        <v>206</v>
      </c>
      <c r="T378" t="s">
        <v>244</v>
      </c>
      <c r="U378">
        <v>3.8446941935018184E-3</v>
      </c>
      <c r="V378" t="s">
        <v>167</v>
      </c>
    </row>
    <row r="379" spans="9:22" x14ac:dyDescent="0.45">
      <c r="I379" t="s">
        <v>186</v>
      </c>
      <c r="J379" t="s">
        <v>245</v>
      </c>
      <c r="K379">
        <v>1.1442515057365984E-3</v>
      </c>
      <c r="L379" t="s">
        <v>167</v>
      </c>
      <c r="N379" t="s">
        <v>196</v>
      </c>
      <c r="O379" t="s">
        <v>245</v>
      </c>
      <c r="P379">
        <v>1.423263258972262E-2</v>
      </c>
      <c r="Q379" t="s">
        <v>167</v>
      </c>
      <c r="S379" t="s">
        <v>206</v>
      </c>
      <c r="T379" t="s">
        <v>245</v>
      </c>
      <c r="U379">
        <v>1.5876118664785624E-2</v>
      </c>
      <c r="V379" t="s">
        <v>167</v>
      </c>
    </row>
    <row r="380" spans="9:22" x14ac:dyDescent="0.45">
      <c r="I380" t="s">
        <v>186</v>
      </c>
      <c r="J380" t="s">
        <v>246</v>
      </c>
      <c r="K380">
        <v>2.3578465382726781E-2</v>
      </c>
      <c r="L380" t="s">
        <v>167</v>
      </c>
      <c r="N380" t="s">
        <v>196</v>
      </c>
      <c r="O380" t="s">
        <v>246</v>
      </c>
      <c r="P380">
        <v>2.3255546160959189E-2</v>
      </c>
      <c r="Q380" t="s">
        <v>167</v>
      </c>
      <c r="S380" t="s">
        <v>206</v>
      </c>
      <c r="T380" t="s">
        <v>246</v>
      </c>
      <c r="U380">
        <v>2.819999971856867E-2</v>
      </c>
      <c r="V380" t="s">
        <v>167</v>
      </c>
    </row>
    <row r="381" spans="9:22" x14ac:dyDescent="0.45">
      <c r="I381" t="s">
        <v>186</v>
      </c>
      <c r="J381" t="s">
        <v>247</v>
      </c>
      <c r="K381">
        <v>3.2030030920497035E-5</v>
      </c>
      <c r="L381" t="s">
        <v>167</v>
      </c>
      <c r="N381" t="s">
        <v>196</v>
      </c>
      <c r="O381" t="s">
        <v>247</v>
      </c>
      <c r="P381">
        <v>3.4520270104898896E-3</v>
      </c>
      <c r="Q381" t="s">
        <v>167</v>
      </c>
      <c r="S381" t="s">
        <v>206</v>
      </c>
      <c r="T381" t="s">
        <v>247</v>
      </c>
      <c r="U381">
        <v>4.2424970588559588E-3</v>
      </c>
      <c r="V381" t="s">
        <v>167</v>
      </c>
    </row>
    <row r="382" spans="9:22" x14ac:dyDescent="0.45">
      <c r="I382" t="s">
        <v>186</v>
      </c>
      <c r="J382" t="s">
        <v>248</v>
      </c>
      <c r="K382">
        <v>0</v>
      </c>
      <c r="L382" t="s">
        <v>167</v>
      </c>
      <c r="N382" t="s">
        <v>196</v>
      </c>
      <c r="O382" t="s">
        <v>248</v>
      </c>
      <c r="P382">
        <v>2.5177516355293819E-2</v>
      </c>
      <c r="Q382" t="s">
        <v>167</v>
      </c>
      <c r="S382" t="s">
        <v>206</v>
      </c>
      <c r="T382" t="s">
        <v>248</v>
      </c>
      <c r="U382">
        <v>2.961596309490264E-2</v>
      </c>
      <c r="V382" t="s">
        <v>167</v>
      </c>
    </row>
    <row r="383" spans="9:22" x14ac:dyDescent="0.45">
      <c r="I383" t="s">
        <v>186</v>
      </c>
      <c r="J383" t="s">
        <v>249</v>
      </c>
      <c r="K383">
        <v>0</v>
      </c>
      <c r="L383" t="s">
        <v>167</v>
      </c>
      <c r="N383" t="s">
        <v>196</v>
      </c>
      <c r="O383" t="s">
        <v>249</v>
      </c>
      <c r="P383">
        <v>2.2106300924222177E-2</v>
      </c>
      <c r="Q383" t="s">
        <v>167</v>
      </c>
      <c r="S383" t="s">
        <v>206</v>
      </c>
      <c r="T383" t="s">
        <v>249</v>
      </c>
      <c r="U383">
        <v>2.0944720654556128E-2</v>
      </c>
      <c r="V383" t="s">
        <v>167</v>
      </c>
    </row>
    <row r="384" spans="9:22" x14ac:dyDescent="0.45">
      <c r="I384" t="s">
        <v>186</v>
      </c>
      <c r="J384" t="s">
        <v>250</v>
      </c>
      <c r="K384">
        <v>0</v>
      </c>
      <c r="L384" t="s">
        <v>167</v>
      </c>
      <c r="N384" t="s">
        <v>196</v>
      </c>
      <c r="O384" t="s">
        <v>250</v>
      </c>
      <c r="P384">
        <v>5.6899152075484309E-3</v>
      </c>
      <c r="Q384" t="s">
        <v>167</v>
      </c>
      <c r="S384" t="s">
        <v>206</v>
      </c>
      <c r="T384" t="s">
        <v>250</v>
      </c>
      <c r="U384">
        <v>5.0837509600992915E-3</v>
      </c>
      <c r="V384" t="s">
        <v>167</v>
      </c>
    </row>
    <row r="385" spans="9:22" x14ac:dyDescent="0.45">
      <c r="I385" t="s">
        <v>186</v>
      </c>
      <c r="J385" t="s">
        <v>251</v>
      </c>
      <c r="K385">
        <v>0</v>
      </c>
      <c r="L385" t="s">
        <v>167</v>
      </c>
      <c r="N385" t="s">
        <v>196</v>
      </c>
      <c r="O385" t="s">
        <v>251</v>
      </c>
      <c r="P385">
        <v>2.2630062390270392E-2</v>
      </c>
      <c r="Q385" t="s">
        <v>167</v>
      </c>
      <c r="S385" t="s">
        <v>206</v>
      </c>
      <c r="T385" t="s">
        <v>251</v>
      </c>
      <c r="U385">
        <v>1.9746621813664583E-2</v>
      </c>
      <c r="V385" t="s">
        <v>167</v>
      </c>
    </row>
    <row r="386" spans="9:22" x14ac:dyDescent="0.45">
      <c r="I386" t="s">
        <v>186</v>
      </c>
      <c r="J386" t="s">
        <v>252</v>
      </c>
      <c r="K386">
        <v>1.2895626492378704E-2</v>
      </c>
      <c r="L386" t="s">
        <v>167</v>
      </c>
      <c r="N386" t="s">
        <v>196</v>
      </c>
      <c r="O386" t="s">
        <v>252</v>
      </c>
      <c r="P386">
        <v>3.8726484511331663E-2</v>
      </c>
      <c r="Q386" t="s">
        <v>167</v>
      </c>
      <c r="S386" t="s">
        <v>206</v>
      </c>
      <c r="T386" t="s">
        <v>252</v>
      </c>
      <c r="U386">
        <v>3.4002943129273273E-2</v>
      </c>
      <c r="V386" t="s">
        <v>167</v>
      </c>
    </row>
    <row r="387" spans="9:22" x14ac:dyDescent="0.45">
      <c r="I387" t="s">
        <v>186</v>
      </c>
      <c r="J387" t="s">
        <v>253</v>
      </c>
      <c r="K387">
        <v>0</v>
      </c>
      <c r="L387" t="s">
        <v>167</v>
      </c>
      <c r="N387" t="s">
        <v>196</v>
      </c>
      <c r="O387" t="s">
        <v>253</v>
      </c>
      <c r="P387">
        <v>5.4834983339639024E-3</v>
      </c>
      <c r="Q387" t="s">
        <v>167</v>
      </c>
      <c r="S387" t="s">
        <v>206</v>
      </c>
      <c r="T387" t="s">
        <v>253</v>
      </c>
      <c r="U387">
        <v>4.9464601283598104E-3</v>
      </c>
      <c r="V387" t="s">
        <v>167</v>
      </c>
    </row>
    <row r="388" spans="9:22" x14ac:dyDescent="0.45">
      <c r="I388" t="s">
        <v>186</v>
      </c>
      <c r="J388" t="s">
        <v>254</v>
      </c>
      <c r="K388">
        <v>0</v>
      </c>
      <c r="L388" t="s">
        <v>167</v>
      </c>
      <c r="N388" t="s">
        <v>196</v>
      </c>
      <c r="O388" t="s">
        <v>254</v>
      </c>
      <c r="P388">
        <v>3.9297126592639058E-2</v>
      </c>
      <c r="Q388" t="s">
        <v>167</v>
      </c>
      <c r="S388" t="s">
        <v>206</v>
      </c>
      <c r="T388" t="s">
        <v>254</v>
      </c>
      <c r="U388">
        <v>3.4767242262474754E-2</v>
      </c>
      <c r="V388" t="s">
        <v>167</v>
      </c>
    </row>
    <row r="389" spans="9:22" x14ac:dyDescent="0.45">
      <c r="I389" t="s">
        <v>187</v>
      </c>
      <c r="J389" t="s">
        <v>166</v>
      </c>
      <c r="K389">
        <v>0</v>
      </c>
      <c r="L389" t="s">
        <v>167</v>
      </c>
      <c r="N389" t="s">
        <v>197</v>
      </c>
      <c r="O389" t="s">
        <v>166</v>
      </c>
      <c r="P389">
        <v>2.6481272862957709E-2</v>
      </c>
      <c r="Q389" t="s">
        <v>167</v>
      </c>
      <c r="S389" t="s">
        <v>207</v>
      </c>
      <c r="T389" t="s">
        <v>166</v>
      </c>
      <c r="U389">
        <v>2.4430246117549612E-2</v>
      </c>
      <c r="V389" t="s">
        <v>167</v>
      </c>
    </row>
    <row r="390" spans="9:22" x14ac:dyDescent="0.45">
      <c r="I390" t="s">
        <v>187</v>
      </c>
      <c r="J390" t="s">
        <v>168</v>
      </c>
      <c r="K390">
        <v>0</v>
      </c>
      <c r="L390" t="s">
        <v>167</v>
      </c>
      <c r="N390" t="s">
        <v>197</v>
      </c>
      <c r="O390" t="s">
        <v>168</v>
      </c>
      <c r="P390">
        <v>6.3952413313576465E-3</v>
      </c>
      <c r="Q390" t="s">
        <v>167</v>
      </c>
      <c r="S390" t="s">
        <v>207</v>
      </c>
      <c r="T390" t="s">
        <v>168</v>
      </c>
      <c r="U390">
        <v>6.4479171775267087E-3</v>
      </c>
      <c r="V390" t="s">
        <v>167</v>
      </c>
    </row>
    <row r="391" spans="9:22" x14ac:dyDescent="0.45">
      <c r="I391" t="s">
        <v>187</v>
      </c>
      <c r="J391" t="s">
        <v>169</v>
      </c>
      <c r="K391">
        <v>2.5012042125857393E-3</v>
      </c>
      <c r="L391" t="s">
        <v>167</v>
      </c>
      <c r="N391" t="s">
        <v>197</v>
      </c>
      <c r="O391" t="s">
        <v>169</v>
      </c>
      <c r="P391">
        <v>2.6002959967999818E-2</v>
      </c>
      <c r="Q391" t="s">
        <v>167</v>
      </c>
      <c r="S391" t="s">
        <v>207</v>
      </c>
      <c r="T391" t="s">
        <v>169</v>
      </c>
      <c r="U391">
        <v>2.6858563174339909E-2</v>
      </c>
      <c r="V391" t="s">
        <v>167</v>
      </c>
    </row>
    <row r="392" spans="9:22" x14ac:dyDescent="0.45">
      <c r="I392" t="s">
        <v>187</v>
      </c>
      <c r="J392" t="s">
        <v>225</v>
      </c>
      <c r="K392">
        <v>5.4012938279856926E-2</v>
      </c>
      <c r="L392" t="s">
        <v>167</v>
      </c>
      <c r="N392" t="s">
        <v>197</v>
      </c>
      <c r="O392" t="s">
        <v>225</v>
      </c>
      <c r="P392">
        <v>4.7190472860994905E-2</v>
      </c>
      <c r="Q392" t="s">
        <v>167</v>
      </c>
      <c r="S392" t="s">
        <v>207</v>
      </c>
      <c r="T392" t="s">
        <v>225</v>
      </c>
      <c r="U392">
        <v>4.5376859441892299E-2</v>
      </c>
      <c r="V392" t="s">
        <v>167</v>
      </c>
    </row>
    <row r="393" spans="9:22" x14ac:dyDescent="0.45">
      <c r="I393" t="s">
        <v>187</v>
      </c>
      <c r="J393" t="s">
        <v>226</v>
      </c>
      <c r="K393">
        <v>2.2839681284885622E-3</v>
      </c>
      <c r="L393" t="s">
        <v>167</v>
      </c>
      <c r="N393" t="s">
        <v>197</v>
      </c>
      <c r="O393" t="s">
        <v>226</v>
      </c>
      <c r="P393">
        <v>6.9389211789229821E-3</v>
      </c>
      <c r="Q393" t="s">
        <v>167</v>
      </c>
      <c r="S393" t="s">
        <v>207</v>
      </c>
      <c r="T393" t="s">
        <v>226</v>
      </c>
      <c r="U393">
        <v>6.5474376565186065E-3</v>
      </c>
      <c r="V393" t="s">
        <v>167</v>
      </c>
    </row>
    <row r="394" spans="9:22" x14ac:dyDescent="0.45">
      <c r="I394" t="s">
        <v>187</v>
      </c>
      <c r="J394" t="s">
        <v>227</v>
      </c>
      <c r="K394">
        <v>3.2365929430215785E-4</v>
      </c>
      <c r="L394" t="s">
        <v>167</v>
      </c>
      <c r="N394" t="s">
        <v>197</v>
      </c>
      <c r="O394" t="s">
        <v>227</v>
      </c>
      <c r="P394">
        <v>4.927133440600566E-2</v>
      </c>
      <c r="Q394" t="s">
        <v>167</v>
      </c>
      <c r="S394" t="s">
        <v>207</v>
      </c>
      <c r="T394" t="s">
        <v>227</v>
      </c>
      <c r="U394">
        <v>4.6460613799711808E-2</v>
      </c>
      <c r="V394" t="s">
        <v>167</v>
      </c>
    </row>
    <row r="395" spans="9:22" x14ac:dyDescent="0.45">
      <c r="I395" t="s">
        <v>187</v>
      </c>
      <c r="J395" t="s">
        <v>170</v>
      </c>
      <c r="K395">
        <v>0</v>
      </c>
      <c r="L395" t="s">
        <v>167</v>
      </c>
      <c r="N395" t="s">
        <v>197</v>
      </c>
      <c r="O395" t="s">
        <v>170</v>
      </c>
      <c r="P395">
        <v>1.6531269766887961E-2</v>
      </c>
      <c r="Q395" t="s">
        <v>167</v>
      </c>
      <c r="S395" t="s">
        <v>207</v>
      </c>
      <c r="T395" t="s">
        <v>170</v>
      </c>
      <c r="U395">
        <v>1.5540287259455794E-2</v>
      </c>
      <c r="V395" t="s">
        <v>167</v>
      </c>
    </row>
    <row r="396" spans="9:22" x14ac:dyDescent="0.45">
      <c r="I396" t="s">
        <v>187</v>
      </c>
      <c r="J396" t="s">
        <v>171</v>
      </c>
      <c r="K396">
        <v>0</v>
      </c>
      <c r="L396" t="s">
        <v>167</v>
      </c>
      <c r="N396" t="s">
        <v>197</v>
      </c>
      <c r="O396" t="s">
        <v>171</v>
      </c>
      <c r="P396">
        <v>4.0618197668048483E-3</v>
      </c>
      <c r="Q396" t="s">
        <v>167</v>
      </c>
      <c r="S396" t="s">
        <v>207</v>
      </c>
      <c r="T396" t="s">
        <v>171</v>
      </c>
      <c r="U396">
        <v>3.9295608624844106E-3</v>
      </c>
      <c r="V396" t="s">
        <v>167</v>
      </c>
    </row>
    <row r="397" spans="9:22" x14ac:dyDescent="0.45">
      <c r="I397" t="s">
        <v>187</v>
      </c>
      <c r="J397" t="s">
        <v>172</v>
      </c>
      <c r="K397">
        <v>1.4932899908526453E-2</v>
      </c>
      <c r="L397" t="s">
        <v>167</v>
      </c>
      <c r="N397" t="s">
        <v>197</v>
      </c>
      <c r="O397" t="s">
        <v>172</v>
      </c>
      <c r="P397">
        <v>1.6110145449743297E-2</v>
      </c>
      <c r="Q397" t="s">
        <v>167</v>
      </c>
      <c r="S397" t="s">
        <v>207</v>
      </c>
      <c r="T397" t="s">
        <v>172</v>
      </c>
      <c r="U397">
        <v>1.6065028087103111E-2</v>
      </c>
      <c r="V397" t="s">
        <v>167</v>
      </c>
    </row>
    <row r="398" spans="9:22" x14ac:dyDescent="0.45">
      <c r="I398" t="s">
        <v>187</v>
      </c>
      <c r="J398" t="s">
        <v>228</v>
      </c>
      <c r="K398">
        <v>6.6076065575865317E-2</v>
      </c>
      <c r="L398" t="s">
        <v>167</v>
      </c>
      <c r="N398" t="s">
        <v>197</v>
      </c>
      <c r="O398" t="s">
        <v>228</v>
      </c>
      <c r="P398">
        <v>2.8628329122385048E-2</v>
      </c>
      <c r="Q398" t="s">
        <v>167</v>
      </c>
      <c r="S398" t="s">
        <v>207</v>
      </c>
      <c r="T398" t="s">
        <v>228</v>
      </c>
      <c r="U398">
        <v>2.7356799764166863E-2</v>
      </c>
      <c r="V398" t="s">
        <v>167</v>
      </c>
    </row>
    <row r="399" spans="9:22" x14ac:dyDescent="0.45">
      <c r="I399" t="s">
        <v>187</v>
      </c>
      <c r="J399" t="s">
        <v>229</v>
      </c>
      <c r="K399">
        <v>6.9773131585723191E-3</v>
      </c>
      <c r="L399" t="s">
        <v>167</v>
      </c>
      <c r="N399" t="s">
        <v>197</v>
      </c>
      <c r="O399" t="s">
        <v>229</v>
      </c>
      <c r="P399">
        <v>4.274747506675264E-3</v>
      </c>
      <c r="Q399" t="s">
        <v>167</v>
      </c>
      <c r="S399" t="s">
        <v>207</v>
      </c>
      <c r="T399" t="s">
        <v>229</v>
      </c>
      <c r="U399">
        <v>4.025117324183306E-3</v>
      </c>
      <c r="V399" t="s">
        <v>167</v>
      </c>
    </row>
    <row r="400" spans="9:22" x14ac:dyDescent="0.45">
      <c r="I400" t="s">
        <v>187</v>
      </c>
      <c r="J400" t="s">
        <v>230</v>
      </c>
      <c r="K400">
        <v>6.2399077666254691E-3</v>
      </c>
      <c r="L400" t="s">
        <v>167</v>
      </c>
      <c r="N400" t="s">
        <v>197</v>
      </c>
      <c r="O400" t="s">
        <v>230</v>
      </c>
      <c r="P400">
        <v>2.9585362878618772E-2</v>
      </c>
      <c r="Q400" t="s">
        <v>167</v>
      </c>
      <c r="S400" t="s">
        <v>207</v>
      </c>
      <c r="T400" t="s">
        <v>230</v>
      </c>
      <c r="U400">
        <v>2.7999534223638142E-2</v>
      </c>
      <c r="V400" t="s">
        <v>167</v>
      </c>
    </row>
    <row r="401" spans="9:22" x14ac:dyDescent="0.45">
      <c r="I401" t="s">
        <v>187</v>
      </c>
      <c r="J401" t="s">
        <v>173</v>
      </c>
      <c r="K401">
        <v>0</v>
      </c>
      <c r="L401" t="s">
        <v>167</v>
      </c>
      <c r="N401" t="s">
        <v>197</v>
      </c>
      <c r="O401" t="s">
        <v>173</v>
      </c>
      <c r="P401">
        <v>2.3895521528448573E-2</v>
      </c>
      <c r="Q401" t="s">
        <v>167</v>
      </c>
      <c r="S401" t="s">
        <v>207</v>
      </c>
      <c r="T401" t="s">
        <v>173</v>
      </c>
      <c r="U401">
        <v>2.7477073771266007E-2</v>
      </c>
      <c r="V401" t="s">
        <v>167</v>
      </c>
    </row>
    <row r="402" spans="9:22" x14ac:dyDescent="0.45">
      <c r="I402" t="s">
        <v>187</v>
      </c>
      <c r="J402" t="s">
        <v>174</v>
      </c>
      <c r="K402">
        <v>4.4406949774794703E-4</v>
      </c>
      <c r="L402" t="s">
        <v>167</v>
      </c>
      <c r="N402" t="s">
        <v>197</v>
      </c>
      <c r="O402" t="s">
        <v>174</v>
      </c>
      <c r="P402">
        <v>5.9306626546317001E-3</v>
      </c>
      <c r="Q402" t="s">
        <v>167</v>
      </c>
      <c r="S402" t="s">
        <v>207</v>
      </c>
      <c r="T402" t="s">
        <v>174</v>
      </c>
      <c r="U402">
        <v>6.6178828098778742E-3</v>
      </c>
      <c r="V402" t="s">
        <v>167</v>
      </c>
    </row>
    <row r="403" spans="9:22" x14ac:dyDescent="0.45">
      <c r="I403" t="s">
        <v>187</v>
      </c>
      <c r="J403" t="s">
        <v>175</v>
      </c>
      <c r="K403">
        <v>5.0591211024677826E-2</v>
      </c>
      <c r="L403" t="s">
        <v>167</v>
      </c>
      <c r="N403" t="s">
        <v>197</v>
      </c>
      <c r="O403" t="s">
        <v>175</v>
      </c>
      <c r="P403">
        <v>2.2200863570099757E-2</v>
      </c>
      <c r="Q403" t="s">
        <v>167</v>
      </c>
      <c r="S403" t="s">
        <v>207</v>
      </c>
      <c r="T403" t="s">
        <v>175</v>
      </c>
      <c r="U403">
        <v>2.7102416388137117E-2</v>
      </c>
      <c r="V403" t="s">
        <v>167</v>
      </c>
    </row>
    <row r="404" spans="9:22" x14ac:dyDescent="0.45">
      <c r="I404" t="s">
        <v>187</v>
      </c>
      <c r="J404" t="s">
        <v>231</v>
      </c>
      <c r="K404">
        <v>0.16384236762356563</v>
      </c>
      <c r="L404" t="s">
        <v>167</v>
      </c>
      <c r="N404" t="s">
        <v>197</v>
      </c>
      <c r="O404" t="s">
        <v>231</v>
      </c>
      <c r="P404">
        <v>4.0172812985307386E-2</v>
      </c>
      <c r="Q404" t="s">
        <v>167</v>
      </c>
      <c r="S404" t="s">
        <v>207</v>
      </c>
      <c r="T404" t="s">
        <v>231</v>
      </c>
      <c r="U404">
        <v>4.8740716372546108E-2</v>
      </c>
      <c r="V404" t="s">
        <v>167</v>
      </c>
    </row>
    <row r="405" spans="9:22" x14ac:dyDescent="0.45">
      <c r="I405" t="s">
        <v>187</v>
      </c>
      <c r="J405" t="s">
        <v>232</v>
      </c>
      <c r="K405">
        <v>1.8965668260592931E-2</v>
      </c>
      <c r="L405" t="s">
        <v>167</v>
      </c>
      <c r="N405" t="s">
        <v>197</v>
      </c>
      <c r="O405" t="s">
        <v>232</v>
      </c>
      <c r="P405">
        <v>5.8635298096339616E-3</v>
      </c>
      <c r="Q405" t="s">
        <v>167</v>
      </c>
      <c r="S405" t="s">
        <v>207</v>
      </c>
      <c r="T405" t="s">
        <v>232</v>
      </c>
      <c r="U405">
        <v>7.1269923891933568E-3</v>
      </c>
      <c r="V405" t="s">
        <v>167</v>
      </c>
    </row>
    <row r="406" spans="9:22" x14ac:dyDescent="0.45">
      <c r="I406" t="s">
        <v>187</v>
      </c>
      <c r="J406" t="s">
        <v>233</v>
      </c>
      <c r="K406">
        <v>2.8835143032470738E-2</v>
      </c>
      <c r="L406" t="s">
        <v>167</v>
      </c>
      <c r="N406" t="s">
        <v>197</v>
      </c>
      <c r="O406" t="s">
        <v>233</v>
      </c>
      <c r="P406">
        <v>4.0950521892887504E-2</v>
      </c>
      <c r="Q406" t="s">
        <v>167</v>
      </c>
      <c r="S406" t="s">
        <v>207</v>
      </c>
      <c r="T406" t="s">
        <v>233</v>
      </c>
      <c r="U406">
        <v>4.9465869757382805E-2</v>
      </c>
      <c r="V406" t="s">
        <v>167</v>
      </c>
    </row>
    <row r="407" spans="9:22" x14ac:dyDescent="0.45">
      <c r="I407" t="s">
        <v>187</v>
      </c>
      <c r="J407" t="s">
        <v>176</v>
      </c>
      <c r="K407">
        <v>0</v>
      </c>
      <c r="L407" t="s">
        <v>167</v>
      </c>
      <c r="N407" t="s">
        <v>197</v>
      </c>
      <c r="O407" t="s">
        <v>176</v>
      </c>
      <c r="P407">
        <v>1.3742319178583564E-2</v>
      </c>
      <c r="Q407" t="s">
        <v>167</v>
      </c>
      <c r="S407" t="s">
        <v>207</v>
      </c>
      <c r="T407" t="s">
        <v>176</v>
      </c>
      <c r="U407">
        <v>1.233694832266E-2</v>
      </c>
      <c r="V407" t="s">
        <v>167</v>
      </c>
    </row>
    <row r="408" spans="9:22" x14ac:dyDescent="0.45">
      <c r="I408" t="s">
        <v>187</v>
      </c>
      <c r="J408" t="s">
        <v>177</v>
      </c>
      <c r="K408">
        <v>1.5700018620524718E-3</v>
      </c>
      <c r="L408" t="s">
        <v>167</v>
      </c>
      <c r="N408" t="s">
        <v>197</v>
      </c>
      <c r="O408" t="s">
        <v>177</v>
      </c>
      <c r="P408">
        <v>3.3965486453907579E-3</v>
      </c>
      <c r="Q408" t="s">
        <v>167</v>
      </c>
      <c r="S408" t="s">
        <v>207</v>
      </c>
      <c r="T408" t="s">
        <v>177</v>
      </c>
      <c r="U408">
        <v>3.2502915449541129E-3</v>
      </c>
      <c r="V408" t="s">
        <v>167</v>
      </c>
    </row>
    <row r="409" spans="9:22" x14ac:dyDescent="0.45">
      <c r="I409" t="s">
        <v>187</v>
      </c>
      <c r="J409" t="s">
        <v>178</v>
      </c>
      <c r="K409">
        <v>2.6111730955064746E-2</v>
      </c>
      <c r="L409" t="s">
        <v>167</v>
      </c>
      <c r="N409" t="s">
        <v>197</v>
      </c>
      <c r="O409" t="s">
        <v>178</v>
      </c>
      <c r="P409">
        <v>1.3834856496221943E-2</v>
      </c>
      <c r="Q409" t="s">
        <v>167</v>
      </c>
      <c r="S409" t="s">
        <v>207</v>
      </c>
      <c r="T409" t="s">
        <v>178</v>
      </c>
      <c r="U409">
        <v>1.2686959300529575E-2</v>
      </c>
      <c r="V409" t="s">
        <v>167</v>
      </c>
    </row>
    <row r="410" spans="9:22" x14ac:dyDescent="0.45">
      <c r="I410" t="s">
        <v>187</v>
      </c>
      <c r="J410" t="s">
        <v>234</v>
      </c>
      <c r="K410">
        <v>7.8117477155006568E-2</v>
      </c>
      <c r="L410" t="s">
        <v>167</v>
      </c>
      <c r="N410" t="s">
        <v>197</v>
      </c>
      <c r="O410" t="s">
        <v>234</v>
      </c>
      <c r="P410">
        <v>2.6604857664332876E-2</v>
      </c>
      <c r="Q410" t="s">
        <v>167</v>
      </c>
      <c r="S410" t="s">
        <v>207</v>
      </c>
      <c r="T410" t="s">
        <v>234</v>
      </c>
      <c r="U410">
        <v>2.1653595926582166E-2</v>
      </c>
      <c r="V410" t="s">
        <v>167</v>
      </c>
    </row>
    <row r="411" spans="9:22" x14ac:dyDescent="0.45">
      <c r="I411" t="s">
        <v>187</v>
      </c>
      <c r="J411" t="s">
        <v>235</v>
      </c>
      <c r="K411">
        <v>9.7831083859988011E-3</v>
      </c>
      <c r="L411" t="s">
        <v>167</v>
      </c>
      <c r="N411" t="s">
        <v>197</v>
      </c>
      <c r="O411" t="s">
        <v>235</v>
      </c>
      <c r="P411">
        <v>4.0251593591224396E-3</v>
      </c>
      <c r="Q411" t="s">
        <v>167</v>
      </c>
      <c r="S411" t="s">
        <v>207</v>
      </c>
      <c r="T411" t="s">
        <v>235</v>
      </c>
      <c r="U411">
        <v>3.0599225646428885E-3</v>
      </c>
      <c r="V411" t="s">
        <v>167</v>
      </c>
    </row>
    <row r="412" spans="9:22" x14ac:dyDescent="0.45">
      <c r="I412" t="s">
        <v>187</v>
      </c>
      <c r="J412" t="s">
        <v>236</v>
      </c>
      <c r="K412">
        <v>1.8655524957591142E-2</v>
      </c>
      <c r="L412" t="s">
        <v>167</v>
      </c>
      <c r="N412" t="s">
        <v>197</v>
      </c>
      <c r="O412" t="s">
        <v>236</v>
      </c>
      <c r="P412">
        <v>2.5543894843085887E-2</v>
      </c>
      <c r="Q412" t="s">
        <v>167</v>
      </c>
      <c r="S412" t="s">
        <v>207</v>
      </c>
      <c r="T412" t="s">
        <v>236</v>
      </c>
      <c r="U412">
        <v>2.1307116162993734E-2</v>
      </c>
      <c r="V412" t="s">
        <v>167</v>
      </c>
    </row>
    <row r="413" spans="9:22" x14ac:dyDescent="0.45">
      <c r="I413" t="s">
        <v>187</v>
      </c>
      <c r="J413" t="s">
        <v>237</v>
      </c>
      <c r="K413">
        <v>0</v>
      </c>
      <c r="L413" t="s">
        <v>167</v>
      </c>
      <c r="N413" t="s">
        <v>197</v>
      </c>
      <c r="O413" t="s">
        <v>237</v>
      </c>
      <c r="P413">
        <v>4.920943738704793E-2</v>
      </c>
      <c r="Q413" t="s">
        <v>167</v>
      </c>
      <c r="S413" t="s">
        <v>207</v>
      </c>
      <c r="T413" t="s">
        <v>237</v>
      </c>
      <c r="U413">
        <v>4.9138576828977772E-2</v>
      </c>
      <c r="V413" t="s">
        <v>167</v>
      </c>
    </row>
    <row r="414" spans="9:22" x14ac:dyDescent="0.45">
      <c r="I414" t="s">
        <v>187</v>
      </c>
      <c r="J414" t="s">
        <v>238</v>
      </c>
      <c r="K414">
        <v>1.2609123610962136E-3</v>
      </c>
      <c r="L414" t="s">
        <v>167</v>
      </c>
      <c r="N414" t="s">
        <v>197</v>
      </c>
      <c r="O414" t="s">
        <v>238</v>
      </c>
      <c r="P414">
        <v>1.2222036513694906E-2</v>
      </c>
      <c r="Q414" t="s">
        <v>167</v>
      </c>
      <c r="S414" t="s">
        <v>207</v>
      </c>
      <c r="T414" t="s">
        <v>238</v>
      </c>
      <c r="U414">
        <v>1.1774209179713349E-2</v>
      </c>
      <c r="V414" t="s">
        <v>167</v>
      </c>
    </row>
    <row r="415" spans="9:22" x14ac:dyDescent="0.45">
      <c r="I415" t="s">
        <v>187</v>
      </c>
      <c r="J415" t="s">
        <v>239</v>
      </c>
      <c r="K415">
        <v>6.9840269753696449E-2</v>
      </c>
      <c r="L415" t="s">
        <v>167</v>
      </c>
      <c r="N415" t="s">
        <v>197</v>
      </c>
      <c r="O415" t="s">
        <v>239</v>
      </c>
      <c r="P415">
        <v>4.7922577772910264E-2</v>
      </c>
      <c r="Q415" t="s">
        <v>167</v>
      </c>
      <c r="S415" t="s">
        <v>207</v>
      </c>
      <c r="T415" t="s">
        <v>239</v>
      </c>
      <c r="U415">
        <v>4.6490680981083769E-2</v>
      </c>
      <c r="V415" t="s">
        <v>167</v>
      </c>
    </row>
    <row r="416" spans="9:22" x14ac:dyDescent="0.45">
      <c r="I416" t="s">
        <v>187</v>
      </c>
      <c r="J416" t="s">
        <v>240</v>
      </c>
      <c r="K416">
        <v>0.2627789496627112</v>
      </c>
      <c r="L416" t="s">
        <v>167</v>
      </c>
      <c r="N416" t="s">
        <v>197</v>
      </c>
      <c r="O416" t="s">
        <v>240</v>
      </c>
      <c r="P416">
        <v>8.8710594353605274E-2</v>
      </c>
      <c r="Q416" t="s">
        <v>167</v>
      </c>
      <c r="S416" t="s">
        <v>207</v>
      </c>
      <c r="T416" t="s">
        <v>240</v>
      </c>
      <c r="U416">
        <v>8.644880258127699E-2</v>
      </c>
      <c r="V416" t="s">
        <v>167</v>
      </c>
    </row>
    <row r="417" spans="9:22" x14ac:dyDescent="0.45">
      <c r="I417" t="s">
        <v>187</v>
      </c>
      <c r="J417" t="s">
        <v>241</v>
      </c>
      <c r="K417">
        <v>3.0570538237443726E-2</v>
      </c>
      <c r="L417" t="s">
        <v>167</v>
      </c>
      <c r="N417" t="s">
        <v>197</v>
      </c>
      <c r="O417" t="s">
        <v>241</v>
      </c>
      <c r="P417">
        <v>1.3326483312647094E-2</v>
      </c>
      <c r="Q417" t="s">
        <v>167</v>
      </c>
      <c r="S417" t="s">
        <v>207</v>
      </c>
      <c r="T417" t="s">
        <v>241</v>
      </c>
      <c r="U417">
        <v>1.2414669999702015E-2</v>
      </c>
      <c r="V417" t="s">
        <v>167</v>
      </c>
    </row>
    <row r="418" spans="9:22" x14ac:dyDescent="0.45">
      <c r="I418" t="s">
        <v>187</v>
      </c>
      <c r="J418" t="s">
        <v>242</v>
      </c>
      <c r="K418">
        <v>4.6150571021250551E-2</v>
      </c>
      <c r="L418" t="s">
        <v>167</v>
      </c>
      <c r="N418" t="s">
        <v>197</v>
      </c>
      <c r="O418" t="s">
        <v>242</v>
      </c>
      <c r="P418">
        <v>8.9304947852810859E-2</v>
      </c>
      <c r="Q418" t="s">
        <v>167</v>
      </c>
      <c r="S418" t="s">
        <v>207</v>
      </c>
      <c r="T418" t="s">
        <v>242</v>
      </c>
      <c r="U418">
        <v>8.6664145887783428E-2</v>
      </c>
      <c r="V418" t="s">
        <v>167</v>
      </c>
    </row>
    <row r="419" spans="9:22" x14ac:dyDescent="0.45">
      <c r="I419" t="s">
        <v>187</v>
      </c>
      <c r="J419" t="s">
        <v>243</v>
      </c>
      <c r="K419">
        <v>0</v>
      </c>
      <c r="L419" t="s">
        <v>167</v>
      </c>
      <c r="N419" t="s">
        <v>197</v>
      </c>
      <c r="O419" t="s">
        <v>243</v>
      </c>
      <c r="P419">
        <v>1.5136867264620543E-2</v>
      </c>
      <c r="Q419" t="s">
        <v>167</v>
      </c>
      <c r="S419" t="s">
        <v>207</v>
      </c>
      <c r="T419" t="s">
        <v>243</v>
      </c>
      <c r="U419">
        <v>1.5799643049240673E-2</v>
      </c>
      <c r="V419" t="s">
        <v>167</v>
      </c>
    </row>
    <row r="420" spans="9:22" x14ac:dyDescent="0.45">
      <c r="I420" t="s">
        <v>187</v>
      </c>
      <c r="J420" t="s">
        <v>244</v>
      </c>
      <c r="K420">
        <v>0</v>
      </c>
      <c r="L420" t="s">
        <v>167</v>
      </c>
      <c r="N420" t="s">
        <v>197</v>
      </c>
      <c r="O420" t="s">
        <v>244</v>
      </c>
      <c r="P420">
        <v>3.509238297996326E-3</v>
      </c>
      <c r="Q420" t="s">
        <v>167</v>
      </c>
      <c r="S420" t="s">
        <v>207</v>
      </c>
      <c r="T420" t="s">
        <v>244</v>
      </c>
      <c r="U420">
        <v>3.911003216392271E-3</v>
      </c>
      <c r="V420" t="s">
        <v>167</v>
      </c>
    </row>
    <row r="421" spans="9:22" x14ac:dyDescent="0.45">
      <c r="I421" t="s">
        <v>187</v>
      </c>
      <c r="J421" t="s">
        <v>245</v>
      </c>
      <c r="K421">
        <v>1.4719972527931465E-3</v>
      </c>
      <c r="L421" t="s">
        <v>167</v>
      </c>
      <c r="N421" t="s">
        <v>197</v>
      </c>
      <c r="O421" t="s">
        <v>245</v>
      </c>
      <c r="P421">
        <v>1.3770694960494876E-2</v>
      </c>
      <c r="Q421" t="s">
        <v>167</v>
      </c>
      <c r="S421" t="s">
        <v>207</v>
      </c>
      <c r="T421" t="s">
        <v>245</v>
      </c>
      <c r="U421">
        <v>1.6414446658326819E-2</v>
      </c>
      <c r="V421" t="s">
        <v>167</v>
      </c>
    </row>
    <row r="422" spans="9:22" x14ac:dyDescent="0.45">
      <c r="I422" t="s">
        <v>187</v>
      </c>
      <c r="J422" t="s">
        <v>246</v>
      </c>
      <c r="K422">
        <v>2.4309888041285827E-2</v>
      </c>
      <c r="L422" t="s">
        <v>167</v>
      </c>
      <c r="N422" t="s">
        <v>197</v>
      </c>
      <c r="O422" t="s">
        <v>246</v>
      </c>
      <c r="P422">
        <v>2.4164654354571637E-2</v>
      </c>
      <c r="Q422" t="s">
        <v>167</v>
      </c>
      <c r="S422" t="s">
        <v>207</v>
      </c>
      <c r="T422" t="s">
        <v>246</v>
      </c>
      <c r="U422">
        <v>2.8906504000154654E-2</v>
      </c>
      <c r="V422" t="s">
        <v>167</v>
      </c>
    </row>
    <row r="423" spans="9:22" x14ac:dyDescent="0.45">
      <c r="I423" t="s">
        <v>187</v>
      </c>
      <c r="J423" t="s">
        <v>247</v>
      </c>
      <c r="K423">
        <v>6.9580066463349115E-5</v>
      </c>
      <c r="L423" t="s">
        <v>167</v>
      </c>
      <c r="N423" t="s">
        <v>197</v>
      </c>
      <c r="O423" t="s">
        <v>247</v>
      </c>
      <c r="P423">
        <v>3.5759120289011572E-3</v>
      </c>
      <c r="Q423" t="s">
        <v>167</v>
      </c>
      <c r="S423" t="s">
        <v>207</v>
      </c>
      <c r="T423" t="s">
        <v>247</v>
      </c>
      <c r="U423">
        <v>4.2512356671533151E-3</v>
      </c>
      <c r="V423" t="s">
        <v>167</v>
      </c>
    </row>
    <row r="424" spans="9:22" x14ac:dyDescent="0.45">
      <c r="I424" t="s">
        <v>187</v>
      </c>
      <c r="J424" t="s">
        <v>248</v>
      </c>
      <c r="K424">
        <v>0</v>
      </c>
      <c r="L424" t="s">
        <v>167</v>
      </c>
      <c r="N424" t="s">
        <v>197</v>
      </c>
      <c r="O424" t="s">
        <v>248</v>
      </c>
      <c r="P424">
        <v>2.5955209796734987E-2</v>
      </c>
      <c r="Q424" t="s">
        <v>167</v>
      </c>
      <c r="S424" t="s">
        <v>207</v>
      </c>
      <c r="T424" t="s">
        <v>248</v>
      </c>
      <c r="U424">
        <v>2.9243511176820999E-2</v>
      </c>
      <c r="V424" t="s">
        <v>167</v>
      </c>
    </row>
    <row r="425" spans="9:22" x14ac:dyDescent="0.45">
      <c r="I425" t="s">
        <v>187</v>
      </c>
      <c r="J425" t="s">
        <v>249</v>
      </c>
      <c r="K425">
        <v>0</v>
      </c>
      <c r="L425" t="s">
        <v>167</v>
      </c>
      <c r="N425" t="s">
        <v>197</v>
      </c>
      <c r="O425" t="s">
        <v>249</v>
      </c>
      <c r="P425">
        <v>2.10735738979443E-2</v>
      </c>
      <c r="Q425" t="s">
        <v>167</v>
      </c>
      <c r="S425" t="s">
        <v>207</v>
      </c>
      <c r="T425" t="s">
        <v>249</v>
      </c>
      <c r="U425">
        <v>2.0427320149853798E-2</v>
      </c>
      <c r="V425" t="s">
        <v>167</v>
      </c>
    </row>
    <row r="426" spans="9:22" x14ac:dyDescent="0.45">
      <c r="I426" t="s">
        <v>187</v>
      </c>
      <c r="J426" t="s">
        <v>250</v>
      </c>
      <c r="K426">
        <v>0</v>
      </c>
      <c r="L426" t="s">
        <v>167</v>
      </c>
      <c r="N426" t="s">
        <v>197</v>
      </c>
      <c r="O426" t="s">
        <v>250</v>
      </c>
      <c r="P426">
        <v>5.387660845595982E-3</v>
      </c>
      <c r="Q426" t="s">
        <v>167</v>
      </c>
      <c r="S426" t="s">
        <v>207</v>
      </c>
      <c r="T426" t="s">
        <v>250</v>
      </c>
      <c r="U426">
        <v>5.186474612341424E-3</v>
      </c>
      <c r="V426" t="s">
        <v>167</v>
      </c>
    </row>
    <row r="427" spans="9:22" x14ac:dyDescent="0.45">
      <c r="I427" t="s">
        <v>187</v>
      </c>
      <c r="J427" t="s">
        <v>251</v>
      </c>
      <c r="K427">
        <v>0</v>
      </c>
      <c r="L427" t="s">
        <v>167</v>
      </c>
      <c r="N427" t="s">
        <v>197</v>
      </c>
      <c r="O427" t="s">
        <v>251</v>
      </c>
      <c r="P427">
        <v>2.1227830226209044E-2</v>
      </c>
      <c r="Q427" t="s">
        <v>167</v>
      </c>
      <c r="S427" t="s">
        <v>207</v>
      </c>
      <c r="T427" t="s">
        <v>251</v>
      </c>
      <c r="U427">
        <v>1.933136919764563E-2</v>
      </c>
      <c r="V427" t="s">
        <v>167</v>
      </c>
    </row>
    <row r="428" spans="9:22" x14ac:dyDescent="0.45">
      <c r="I428" t="s">
        <v>187</v>
      </c>
      <c r="J428" t="s">
        <v>252</v>
      </c>
      <c r="K428">
        <v>1.3283034523671416E-2</v>
      </c>
      <c r="L428" t="s">
        <v>167</v>
      </c>
      <c r="N428" t="s">
        <v>197</v>
      </c>
      <c r="O428" t="s">
        <v>252</v>
      </c>
      <c r="P428">
        <v>3.656515130521891E-2</v>
      </c>
      <c r="Q428" t="s">
        <v>167</v>
      </c>
      <c r="S428" t="s">
        <v>207</v>
      </c>
      <c r="T428" t="s">
        <v>252</v>
      </c>
      <c r="U428">
        <v>3.290416857123598E-2</v>
      </c>
      <c r="V428" t="s">
        <v>167</v>
      </c>
    </row>
    <row r="429" spans="9:22" x14ac:dyDescent="0.45">
      <c r="I429" t="s">
        <v>187</v>
      </c>
      <c r="J429" t="s">
        <v>253</v>
      </c>
      <c r="K429">
        <v>0</v>
      </c>
      <c r="L429" t="s">
        <v>167</v>
      </c>
      <c r="N429" t="s">
        <v>197</v>
      </c>
      <c r="O429" t="s">
        <v>253</v>
      </c>
      <c r="P429">
        <v>5.0956866813055912E-3</v>
      </c>
      <c r="Q429" t="s">
        <v>167</v>
      </c>
      <c r="S429" t="s">
        <v>207</v>
      </c>
      <c r="T429" t="s">
        <v>253</v>
      </c>
      <c r="U429">
        <v>4.7937466324339635E-3</v>
      </c>
      <c r="V429" t="s">
        <v>167</v>
      </c>
    </row>
    <row r="430" spans="9:22" x14ac:dyDescent="0.45">
      <c r="I430" t="s">
        <v>187</v>
      </c>
      <c r="J430" t="s">
        <v>254</v>
      </c>
      <c r="K430">
        <v>0</v>
      </c>
      <c r="L430" t="s">
        <v>167</v>
      </c>
      <c r="N430" t="s">
        <v>197</v>
      </c>
      <c r="O430" t="s">
        <v>254</v>
      </c>
      <c r="P430">
        <v>3.6208017420590662E-2</v>
      </c>
      <c r="Q430" t="s">
        <v>167</v>
      </c>
      <c r="S430" t="s">
        <v>207</v>
      </c>
      <c r="T430" t="s">
        <v>254</v>
      </c>
      <c r="U430">
        <v>3.4035741410527211E-2</v>
      </c>
      <c r="V430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4B06-06B9-485B-860E-71D0354A7F1D}">
  <dimension ref="A9:AN3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164</v>
      </c>
      <c r="L10" t="s">
        <v>30</v>
      </c>
      <c r="N10" t="s">
        <v>13</v>
      </c>
      <c r="O10" t="s">
        <v>121</v>
      </c>
      <c r="P10" t="s">
        <v>164</v>
      </c>
      <c r="Q10" t="s">
        <v>30</v>
      </c>
      <c r="S10" t="s">
        <v>13</v>
      </c>
      <c r="T10" t="s">
        <v>121</v>
      </c>
      <c r="U10" t="s">
        <v>164</v>
      </c>
      <c r="V10" t="s">
        <v>30</v>
      </c>
      <c r="X10" t="s">
        <v>208</v>
      </c>
      <c r="Y10" t="s">
        <v>164</v>
      </c>
      <c r="Z10" t="s">
        <v>121</v>
      </c>
      <c r="AA10" t="s">
        <v>13</v>
      </c>
      <c r="AC10" t="s">
        <v>13</v>
      </c>
      <c r="AD10" t="s">
        <v>121</v>
      </c>
      <c r="AE10" t="s">
        <v>164</v>
      </c>
      <c r="AG10" t="s">
        <v>13</v>
      </c>
      <c r="AH10" t="s">
        <v>121</v>
      </c>
      <c r="AI10" t="s">
        <v>214</v>
      </c>
      <c r="AK10" t="s">
        <v>47</v>
      </c>
      <c r="AL10" t="s">
        <v>121</v>
      </c>
      <c r="AM10" t="s">
        <v>215</v>
      </c>
      <c r="AN10" t="s">
        <v>216</v>
      </c>
    </row>
    <row r="11" spans="1:40" x14ac:dyDescent="0.45">
      <c r="A11" t="str">
        <f>IFERROR(IF(Veda!D5=A10,"ok","x"),"")</f>
        <v>ok</v>
      </c>
      <c r="C11" t="s">
        <v>257</v>
      </c>
      <c r="D11" t="s">
        <v>156</v>
      </c>
      <c r="E11" t="s">
        <v>258</v>
      </c>
      <c r="F11" t="s">
        <v>257</v>
      </c>
      <c r="G11" t="s">
        <v>156</v>
      </c>
      <c r="I11" t="s">
        <v>165</v>
      </c>
      <c r="J11" t="s">
        <v>259</v>
      </c>
      <c r="K11">
        <v>0.99999999999999922</v>
      </c>
      <c r="L11" t="s">
        <v>167</v>
      </c>
      <c r="N11" t="s">
        <v>188</v>
      </c>
      <c r="O11" t="s">
        <v>259</v>
      </c>
      <c r="P11">
        <v>0.99999999999999767</v>
      </c>
      <c r="Q11" t="s">
        <v>167</v>
      </c>
      <c r="S11" t="s">
        <v>198</v>
      </c>
      <c r="T11" t="s">
        <v>259</v>
      </c>
      <c r="U11">
        <v>1.0000000000000002</v>
      </c>
      <c r="V11" t="s">
        <v>167</v>
      </c>
      <c r="X11">
        <v>1</v>
      </c>
      <c r="Y11">
        <v>1.0000000000000002</v>
      </c>
      <c r="Z11" t="s">
        <v>259</v>
      </c>
      <c r="AA11" t="s">
        <v>25</v>
      </c>
      <c r="AC11" t="s">
        <v>22</v>
      </c>
      <c r="AD11" t="s">
        <v>259</v>
      </c>
      <c r="AE11">
        <v>1</v>
      </c>
      <c r="AG11" t="s">
        <v>96</v>
      </c>
      <c r="AH11" t="s">
        <v>259</v>
      </c>
      <c r="AI11">
        <v>0.38190068749121409</v>
      </c>
      <c r="AK11">
        <v>2025</v>
      </c>
      <c r="AL11" t="s">
        <v>257</v>
      </c>
      <c r="AM11">
        <v>0.39423333333333338</v>
      </c>
      <c r="AN11" t="s">
        <v>217</v>
      </c>
    </row>
    <row r="12" spans="1:40" x14ac:dyDescent="0.45">
      <c r="I12" t="s">
        <v>179</v>
      </c>
      <c r="J12" t="s">
        <v>259</v>
      </c>
      <c r="K12">
        <v>1.0000000000000029</v>
      </c>
      <c r="L12" t="s">
        <v>167</v>
      </c>
      <c r="N12" t="s">
        <v>189</v>
      </c>
      <c r="O12" t="s">
        <v>259</v>
      </c>
      <c r="P12">
        <v>0.99999999999999745</v>
      </c>
      <c r="Q12" t="s">
        <v>167</v>
      </c>
      <c r="S12" t="s">
        <v>199</v>
      </c>
      <c r="T12" t="s">
        <v>259</v>
      </c>
      <c r="U12">
        <v>1.0000000000000011</v>
      </c>
      <c r="V12" t="s">
        <v>167</v>
      </c>
      <c r="AC12" t="s">
        <v>19</v>
      </c>
      <c r="AD12" t="s">
        <v>259</v>
      </c>
      <c r="AE12">
        <v>1</v>
      </c>
      <c r="AK12">
        <v>2026</v>
      </c>
      <c r="AL12" t="s">
        <v>257</v>
      </c>
      <c r="AM12">
        <v>0.39209166666666673</v>
      </c>
      <c r="AN12" t="s">
        <v>217</v>
      </c>
    </row>
    <row r="13" spans="1:40" x14ac:dyDescent="0.45">
      <c r="I13" t="s">
        <v>180</v>
      </c>
      <c r="J13" t="s">
        <v>259</v>
      </c>
      <c r="K13">
        <v>0.99999999999999956</v>
      </c>
      <c r="L13" t="s">
        <v>167</v>
      </c>
      <c r="N13" t="s">
        <v>190</v>
      </c>
      <c r="O13" t="s">
        <v>259</v>
      </c>
      <c r="P13">
        <v>1.0000000000000011</v>
      </c>
      <c r="Q13" t="s">
        <v>167</v>
      </c>
      <c r="S13" t="s">
        <v>200</v>
      </c>
      <c r="T13" t="s">
        <v>259</v>
      </c>
      <c r="U13">
        <v>0.99999999999999933</v>
      </c>
      <c r="V13" t="s">
        <v>167</v>
      </c>
      <c r="AK13">
        <v>2027</v>
      </c>
      <c r="AL13" t="s">
        <v>257</v>
      </c>
      <c r="AM13">
        <v>0.39454166666666662</v>
      </c>
      <c r="AN13" t="s">
        <v>217</v>
      </c>
    </row>
    <row r="14" spans="1:40" x14ac:dyDescent="0.45">
      <c r="I14" t="s">
        <v>181</v>
      </c>
      <c r="J14" t="s">
        <v>259</v>
      </c>
      <c r="K14">
        <v>1.0000000000000051</v>
      </c>
      <c r="L14" t="s">
        <v>167</v>
      </c>
      <c r="N14" t="s">
        <v>191</v>
      </c>
      <c r="O14" t="s">
        <v>259</v>
      </c>
      <c r="P14">
        <v>1.0000000000000027</v>
      </c>
      <c r="Q14" t="s">
        <v>167</v>
      </c>
      <c r="S14" t="s">
        <v>201</v>
      </c>
      <c r="T14" t="s">
        <v>259</v>
      </c>
      <c r="U14">
        <v>0.99999999999999878</v>
      </c>
      <c r="V14" t="s">
        <v>167</v>
      </c>
      <c r="AK14">
        <v>2028</v>
      </c>
      <c r="AL14" t="s">
        <v>257</v>
      </c>
      <c r="AM14">
        <v>0.39011666666666667</v>
      </c>
      <c r="AN14" t="s">
        <v>217</v>
      </c>
    </row>
    <row r="15" spans="1:40" x14ac:dyDescent="0.45">
      <c r="I15" t="s">
        <v>182</v>
      </c>
      <c r="J15" t="s">
        <v>259</v>
      </c>
      <c r="K15">
        <v>0.99999999999999811</v>
      </c>
      <c r="L15" t="s">
        <v>167</v>
      </c>
      <c r="N15" t="s">
        <v>192</v>
      </c>
      <c r="O15" t="s">
        <v>259</v>
      </c>
      <c r="P15">
        <v>1.0000000000000031</v>
      </c>
      <c r="Q15" t="s">
        <v>167</v>
      </c>
      <c r="S15" t="s">
        <v>202</v>
      </c>
      <c r="T15" t="s">
        <v>259</v>
      </c>
      <c r="U15">
        <v>0.99999999999999722</v>
      </c>
      <c r="V15" t="s">
        <v>167</v>
      </c>
      <c r="AK15">
        <v>2029</v>
      </c>
      <c r="AL15" t="s">
        <v>257</v>
      </c>
      <c r="AM15">
        <v>0.39816666666666661</v>
      </c>
      <c r="AN15" t="s">
        <v>217</v>
      </c>
    </row>
    <row r="16" spans="1:40" x14ac:dyDescent="0.45">
      <c r="I16" t="s">
        <v>183</v>
      </c>
      <c r="J16" t="s">
        <v>259</v>
      </c>
      <c r="K16">
        <v>1.0000000000000007</v>
      </c>
      <c r="L16" t="s">
        <v>167</v>
      </c>
      <c r="N16" t="s">
        <v>193</v>
      </c>
      <c r="O16" t="s">
        <v>259</v>
      </c>
      <c r="P16">
        <v>1.0000000000000009</v>
      </c>
      <c r="Q16" t="s">
        <v>167</v>
      </c>
      <c r="S16" t="s">
        <v>203</v>
      </c>
      <c r="T16" t="s">
        <v>259</v>
      </c>
      <c r="U16">
        <v>1.000000000000002</v>
      </c>
      <c r="V16" t="s">
        <v>167</v>
      </c>
      <c r="AK16">
        <v>2030</v>
      </c>
      <c r="AL16" t="s">
        <v>257</v>
      </c>
      <c r="AM16">
        <v>0.39048333333333329</v>
      </c>
      <c r="AN16" t="s">
        <v>217</v>
      </c>
    </row>
    <row r="17" spans="9:40" x14ac:dyDescent="0.45">
      <c r="I17" t="s">
        <v>184</v>
      </c>
      <c r="J17" t="s">
        <v>259</v>
      </c>
      <c r="K17">
        <v>1.0000000000000022</v>
      </c>
      <c r="L17" t="s">
        <v>167</v>
      </c>
      <c r="N17" t="s">
        <v>194</v>
      </c>
      <c r="O17" t="s">
        <v>259</v>
      </c>
      <c r="P17">
        <v>0.99999999999999745</v>
      </c>
      <c r="Q17" t="s">
        <v>167</v>
      </c>
      <c r="S17" t="s">
        <v>204</v>
      </c>
      <c r="T17" t="s">
        <v>259</v>
      </c>
      <c r="U17">
        <v>1.0000000000000011</v>
      </c>
      <c r="V17" t="s">
        <v>167</v>
      </c>
      <c r="AK17">
        <v>2031</v>
      </c>
      <c r="AL17" t="s">
        <v>257</v>
      </c>
      <c r="AM17">
        <v>0.3930083333333334</v>
      </c>
      <c r="AN17" t="s">
        <v>217</v>
      </c>
    </row>
    <row r="18" spans="9:40" x14ac:dyDescent="0.45">
      <c r="I18" t="s">
        <v>185</v>
      </c>
      <c r="J18" t="s">
        <v>259</v>
      </c>
      <c r="K18">
        <v>0.99999999999999911</v>
      </c>
      <c r="L18" t="s">
        <v>167</v>
      </c>
      <c r="N18" t="s">
        <v>195</v>
      </c>
      <c r="O18" t="s">
        <v>259</v>
      </c>
      <c r="P18">
        <v>1.0000000000000022</v>
      </c>
      <c r="Q18" t="s">
        <v>167</v>
      </c>
      <c r="S18" t="s">
        <v>205</v>
      </c>
      <c r="T18" t="s">
        <v>259</v>
      </c>
      <c r="U18">
        <v>1.0000000000000011</v>
      </c>
      <c r="V18" t="s">
        <v>167</v>
      </c>
      <c r="AK18">
        <v>2032</v>
      </c>
      <c r="AL18" t="s">
        <v>257</v>
      </c>
      <c r="AM18">
        <v>0.4103666666666666</v>
      </c>
      <c r="AN18" t="s">
        <v>217</v>
      </c>
    </row>
    <row r="19" spans="9:40" x14ac:dyDescent="0.45">
      <c r="I19" t="s">
        <v>186</v>
      </c>
      <c r="J19" t="s">
        <v>259</v>
      </c>
      <c r="K19">
        <v>0.99999999999999967</v>
      </c>
      <c r="L19" t="s">
        <v>167</v>
      </c>
      <c r="N19" t="s">
        <v>196</v>
      </c>
      <c r="O19" t="s">
        <v>259</v>
      </c>
      <c r="P19">
        <v>0.99999999999999611</v>
      </c>
      <c r="Q19" t="s">
        <v>167</v>
      </c>
      <c r="S19" t="s">
        <v>206</v>
      </c>
      <c r="T19" t="s">
        <v>259</v>
      </c>
      <c r="U19">
        <v>0.99999999999999833</v>
      </c>
      <c r="V19" t="s">
        <v>167</v>
      </c>
      <c r="AK19">
        <v>2033</v>
      </c>
      <c r="AL19" t="s">
        <v>257</v>
      </c>
      <c r="AM19">
        <v>0.3791166666666666</v>
      </c>
      <c r="AN19" t="s">
        <v>217</v>
      </c>
    </row>
    <row r="20" spans="9:40" x14ac:dyDescent="0.45">
      <c r="I20" t="s">
        <v>187</v>
      </c>
      <c r="J20" t="s">
        <v>259</v>
      </c>
      <c r="K20">
        <v>1.0000000000000038</v>
      </c>
      <c r="L20" t="s">
        <v>167</v>
      </c>
      <c r="N20" t="s">
        <v>197</v>
      </c>
      <c r="O20" t="s">
        <v>259</v>
      </c>
      <c r="P20">
        <v>1.0000000000000007</v>
      </c>
      <c r="Q20" t="s">
        <v>167</v>
      </c>
      <c r="S20" t="s">
        <v>207</v>
      </c>
      <c r="T20" t="s">
        <v>259</v>
      </c>
      <c r="U20">
        <v>1.0000000000000004</v>
      </c>
      <c r="V20" t="s">
        <v>167</v>
      </c>
      <c r="AK20">
        <v>2034</v>
      </c>
      <c r="AL20" t="s">
        <v>257</v>
      </c>
      <c r="AM20">
        <v>0.39209166666666667</v>
      </c>
      <c r="AN20" t="s">
        <v>217</v>
      </c>
    </row>
    <row r="21" spans="9:40" x14ac:dyDescent="0.45">
      <c r="AK21">
        <v>2035</v>
      </c>
      <c r="AL21" t="s">
        <v>257</v>
      </c>
      <c r="AM21">
        <v>0.40296666666666664</v>
      </c>
      <c r="AN21" t="s">
        <v>217</v>
      </c>
    </row>
    <row r="22" spans="9:40" x14ac:dyDescent="0.45">
      <c r="AK22">
        <v>2036</v>
      </c>
      <c r="AL22" t="s">
        <v>257</v>
      </c>
      <c r="AM22">
        <v>0.40100833333333336</v>
      </c>
      <c r="AN22" t="s">
        <v>217</v>
      </c>
    </row>
    <row r="23" spans="9:40" x14ac:dyDescent="0.45">
      <c r="AK23">
        <v>2037</v>
      </c>
      <c r="AL23" t="s">
        <v>257</v>
      </c>
      <c r="AM23">
        <v>0.38508333333333328</v>
      </c>
      <c r="AN23" t="s">
        <v>217</v>
      </c>
    </row>
    <row r="24" spans="9:40" x14ac:dyDescent="0.45">
      <c r="AK24">
        <v>2038</v>
      </c>
      <c r="AL24" t="s">
        <v>257</v>
      </c>
      <c r="AM24">
        <v>0.39056666666666667</v>
      </c>
      <c r="AN24" t="s">
        <v>217</v>
      </c>
    </row>
    <row r="25" spans="9:40" x14ac:dyDescent="0.45">
      <c r="AK25">
        <v>2039</v>
      </c>
      <c r="AL25" t="s">
        <v>257</v>
      </c>
      <c r="AM25">
        <v>0.33715000000000001</v>
      </c>
      <c r="AN25" t="s">
        <v>217</v>
      </c>
    </row>
    <row r="26" spans="9:40" x14ac:dyDescent="0.45">
      <c r="AK26">
        <v>2040</v>
      </c>
      <c r="AL26" t="s">
        <v>257</v>
      </c>
      <c r="AM26">
        <v>0.33703333333333335</v>
      </c>
      <c r="AN26" t="s">
        <v>217</v>
      </c>
    </row>
    <row r="27" spans="9:40" x14ac:dyDescent="0.45">
      <c r="AK27">
        <v>2041</v>
      </c>
      <c r="AL27" t="s">
        <v>257</v>
      </c>
      <c r="AM27">
        <v>0.34313333333333335</v>
      </c>
      <c r="AN27" t="s">
        <v>217</v>
      </c>
    </row>
    <row r="28" spans="9:40" x14ac:dyDescent="0.45">
      <c r="AK28">
        <v>2042</v>
      </c>
      <c r="AL28" t="s">
        <v>257</v>
      </c>
      <c r="AM28">
        <v>0.45438333333333331</v>
      </c>
      <c r="AN28" t="s">
        <v>217</v>
      </c>
    </row>
    <row r="29" spans="9:40" x14ac:dyDescent="0.45">
      <c r="AK29">
        <v>2043</v>
      </c>
      <c r="AL29" t="s">
        <v>257</v>
      </c>
      <c r="AM29">
        <v>0.45335833333333331</v>
      </c>
      <c r="AN29" t="s">
        <v>217</v>
      </c>
    </row>
    <row r="30" spans="9:40" x14ac:dyDescent="0.45">
      <c r="AK30">
        <v>2044</v>
      </c>
      <c r="AL30" t="s">
        <v>257</v>
      </c>
      <c r="AM30">
        <v>0.46634999999999999</v>
      </c>
      <c r="AN30" t="s">
        <v>217</v>
      </c>
    </row>
    <row r="31" spans="9:40" x14ac:dyDescent="0.45">
      <c r="AK31">
        <v>2045</v>
      </c>
      <c r="AL31" t="s">
        <v>257</v>
      </c>
      <c r="AM31">
        <v>0.33603333333333335</v>
      </c>
      <c r="AN31" t="s">
        <v>217</v>
      </c>
    </row>
    <row r="32" spans="9:40" x14ac:dyDescent="0.45">
      <c r="AK32">
        <v>2046</v>
      </c>
      <c r="AL32" t="s">
        <v>257</v>
      </c>
      <c r="AM32">
        <v>0.34516666666666662</v>
      </c>
      <c r="AN32" t="s">
        <v>217</v>
      </c>
    </row>
    <row r="33" spans="37:40" x14ac:dyDescent="0.45">
      <c r="AK33">
        <v>2047</v>
      </c>
      <c r="AL33" t="s">
        <v>257</v>
      </c>
      <c r="AM33">
        <v>0.39184999999999998</v>
      </c>
      <c r="AN33" t="s">
        <v>217</v>
      </c>
    </row>
    <row r="34" spans="37:40" x14ac:dyDescent="0.45">
      <c r="AK34">
        <v>2048</v>
      </c>
      <c r="AL34" t="s">
        <v>257</v>
      </c>
      <c r="AM34">
        <v>0.4498583333333333</v>
      </c>
      <c r="AN34" t="s">
        <v>217</v>
      </c>
    </row>
    <row r="35" spans="37:40" x14ac:dyDescent="0.45">
      <c r="AK35">
        <v>2049</v>
      </c>
      <c r="AL35" t="s">
        <v>257</v>
      </c>
      <c r="AM35">
        <v>0.45200833333333335</v>
      </c>
      <c r="AN35" t="s">
        <v>217</v>
      </c>
    </row>
    <row r="36" spans="37:40" x14ac:dyDescent="0.45">
      <c r="AK36">
        <v>2050</v>
      </c>
      <c r="AL36" t="s">
        <v>257</v>
      </c>
      <c r="AM36">
        <v>0.46268333333333334</v>
      </c>
      <c r="AN36" t="s">
        <v>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0C55A-3719-42B6-99D3-2B549635CCA3}">
  <dimension ref="A9:AN13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164</v>
      </c>
      <c r="L10" t="s">
        <v>30</v>
      </c>
      <c r="N10" t="s">
        <v>13</v>
      </c>
      <c r="O10" t="s">
        <v>121</v>
      </c>
      <c r="P10" t="s">
        <v>164</v>
      </c>
      <c r="Q10" t="s">
        <v>30</v>
      </c>
      <c r="S10" t="s">
        <v>13</v>
      </c>
      <c r="T10" t="s">
        <v>121</v>
      </c>
      <c r="U10" t="s">
        <v>164</v>
      </c>
      <c r="V10" t="s">
        <v>30</v>
      </c>
      <c r="X10" t="s">
        <v>208</v>
      </c>
      <c r="Y10" t="s">
        <v>164</v>
      </c>
      <c r="Z10" t="s">
        <v>121</v>
      </c>
      <c r="AA10" t="s">
        <v>13</v>
      </c>
      <c r="AC10" t="s">
        <v>13</v>
      </c>
      <c r="AD10" t="s">
        <v>121</v>
      </c>
      <c r="AE10" t="s">
        <v>164</v>
      </c>
      <c r="AG10" t="s">
        <v>13</v>
      </c>
      <c r="AH10" t="s">
        <v>121</v>
      </c>
      <c r="AI10" t="s">
        <v>214</v>
      </c>
      <c r="AK10" t="s">
        <v>47</v>
      </c>
      <c r="AL10" t="s">
        <v>121</v>
      </c>
      <c r="AM10" t="s">
        <v>215</v>
      </c>
      <c r="AN10" t="s">
        <v>216</v>
      </c>
    </row>
    <row r="11" spans="1:40" x14ac:dyDescent="0.45">
      <c r="A11" t="str">
        <f>IFERROR(IF(Veda!D5=A10,"ok","x"),"")</f>
        <v>x</v>
      </c>
      <c r="C11" t="s">
        <v>260</v>
      </c>
      <c r="D11" t="s">
        <v>156</v>
      </c>
      <c r="E11" t="s">
        <v>210</v>
      </c>
      <c r="F11" t="s">
        <v>261</v>
      </c>
      <c r="G11" t="s">
        <v>156</v>
      </c>
      <c r="I11" t="s">
        <v>165</v>
      </c>
      <c r="J11" t="s">
        <v>266</v>
      </c>
      <c r="K11">
        <v>0.1415177574949365</v>
      </c>
      <c r="L11" t="s">
        <v>167</v>
      </c>
      <c r="N11" t="s">
        <v>188</v>
      </c>
      <c r="O11" t="s">
        <v>266</v>
      </c>
      <c r="P11">
        <v>0.11575394418107508</v>
      </c>
      <c r="Q11" t="s">
        <v>167</v>
      </c>
      <c r="S11" t="s">
        <v>198</v>
      </c>
      <c r="T11" t="s">
        <v>266</v>
      </c>
      <c r="U11">
        <v>0.12227436190692625</v>
      </c>
      <c r="V11" t="s">
        <v>167</v>
      </c>
      <c r="X11">
        <v>0.11426940639269406</v>
      </c>
      <c r="Y11">
        <v>0.16087081189037786</v>
      </c>
      <c r="Z11" t="s">
        <v>266</v>
      </c>
      <c r="AA11" t="s">
        <v>25</v>
      </c>
      <c r="AC11" t="s">
        <v>22</v>
      </c>
      <c r="AD11" t="s">
        <v>266</v>
      </c>
      <c r="AE11">
        <v>0.12155202875473381</v>
      </c>
      <c r="AG11" t="s">
        <v>96</v>
      </c>
      <c r="AH11" t="s">
        <v>266</v>
      </c>
      <c r="AI11">
        <v>0.18910621388440707</v>
      </c>
      <c r="AK11">
        <v>2025</v>
      </c>
      <c r="AL11" t="s">
        <v>260</v>
      </c>
      <c r="AM11">
        <v>0.36303333333333332</v>
      </c>
      <c r="AN11" t="s">
        <v>217</v>
      </c>
    </row>
    <row r="12" spans="1:40" x14ac:dyDescent="0.45">
      <c r="C12" t="s">
        <v>262</v>
      </c>
      <c r="E12" t="s">
        <v>212</v>
      </c>
      <c r="G12" t="s">
        <v>156</v>
      </c>
      <c r="I12" t="s">
        <v>165</v>
      </c>
      <c r="J12" t="s">
        <v>267</v>
      </c>
      <c r="K12">
        <v>5.3888875336524796E-4</v>
      </c>
      <c r="L12" t="s">
        <v>167</v>
      </c>
      <c r="N12" t="s">
        <v>188</v>
      </c>
      <c r="O12" t="s">
        <v>267</v>
      </c>
      <c r="P12">
        <v>0.12156425872142934</v>
      </c>
      <c r="Q12" t="s">
        <v>167</v>
      </c>
      <c r="S12" t="s">
        <v>198</v>
      </c>
      <c r="T12" t="s">
        <v>267</v>
      </c>
      <c r="U12">
        <v>0.12631961372962841</v>
      </c>
      <c r="V12" t="s">
        <v>167</v>
      </c>
      <c r="X12">
        <v>0.11426940639269406</v>
      </c>
      <c r="Y12">
        <v>5.2547713165767528E-2</v>
      </c>
      <c r="Z12" t="s">
        <v>267</v>
      </c>
      <c r="AA12" t="s">
        <v>25</v>
      </c>
      <c r="AC12" t="s">
        <v>22</v>
      </c>
      <c r="AD12" t="s">
        <v>267</v>
      </c>
      <c r="AE12">
        <v>9.1195943423866568E-2</v>
      </c>
      <c r="AG12" t="s">
        <v>96</v>
      </c>
      <c r="AH12" t="s">
        <v>267</v>
      </c>
      <c r="AI12">
        <v>0.40509719837059732</v>
      </c>
      <c r="AK12">
        <v>2025</v>
      </c>
      <c r="AL12" t="s">
        <v>262</v>
      </c>
      <c r="AM12">
        <v>0.41833333333333339</v>
      </c>
      <c r="AN12" t="s">
        <v>217</v>
      </c>
    </row>
    <row r="13" spans="1:40" x14ac:dyDescent="0.45">
      <c r="C13" t="s">
        <v>263</v>
      </c>
      <c r="E13" t="s">
        <v>264</v>
      </c>
      <c r="G13" t="s">
        <v>156</v>
      </c>
      <c r="I13" t="s">
        <v>165</v>
      </c>
      <c r="J13" t="s">
        <v>268</v>
      </c>
      <c r="K13">
        <v>1.144744935820223E-2</v>
      </c>
      <c r="L13" t="s">
        <v>167</v>
      </c>
      <c r="N13" t="s">
        <v>188</v>
      </c>
      <c r="O13" t="s">
        <v>268</v>
      </c>
      <c r="P13">
        <v>2.2398790616255635E-2</v>
      </c>
      <c r="Q13" t="s">
        <v>167</v>
      </c>
      <c r="S13" t="s">
        <v>198</v>
      </c>
      <c r="T13" t="s">
        <v>268</v>
      </c>
      <c r="U13">
        <v>2.2827699789496558E-2</v>
      </c>
      <c r="V13" t="s">
        <v>167</v>
      </c>
      <c r="X13">
        <v>2.0776255707762557E-2</v>
      </c>
      <c r="Y13">
        <v>3.5896543437005365E-2</v>
      </c>
      <c r="Z13" t="s">
        <v>268</v>
      </c>
      <c r="AA13" t="s">
        <v>25</v>
      </c>
      <c r="AC13" t="s">
        <v>22</v>
      </c>
      <c r="AD13" t="s">
        <v>268</v>
      </c>
      <c r="AE13">
        <v>2.2768358781645376E-2</v>
      </c>
      <c r="AG13" t="s">
        <v>96</v>
      </c>
      <c r="AH13" t="s">
        <v>268</v>
      </c>
      <c r="AI13">
        <v>0.1511493262319239</v>
      </c>
      <c r="AK13">
        <v>2025</v>
      </c>
      <c r="AL13" t="s">
        <v>263</v>
      </c>
      <c r="AM13">
        <v>0.42376666666666662</v>
      </c>
      <c r="AN13" t="s">
        <v>217</v>
      </c>
    </row>
    <row r="14" spans="1:40" x14ac:dyDescent="0.45">
      <c r="C14" t="s">
        <v>265</v>
      </c>
      <c r="I14" t="s">
        <v>165</v>
      </c>
      <c r="J14" t="s">
        <v>269</v>
      </c>
      <c r="K14">
        <v>0.30247817748902078</v>
      </c>
      <c r="L14" t="s">
        <v>167</v>
      </c>
      <c r="N14" t="s">
        <v>188</v>
      </c>
      <c r="O14" t="s">
        <v>269</v>
      </c>
      <c r="P14">
        <v>0.11917214227842915</v>
      </c>
      <c r="Q14" t="s">
        <v>167</v>
      </c>
      <c r="S14" t="s">
        <v>198</v>
      </c>
      <c r="T14" t="s">
        <v>269</v>
      </c>
      <c r="U14">
        <v>0.10764485626666137</v>
      </c>
      <c r="V14" t="s">
        <v>167</v>
      </c>
      <c r="X14">
        <v>0.11552511415525114</v>
      </c>
      <c r="Y14">
        <v>0.16263862301005233</v>
      </c>
      <c r="Z14" t="s">
        <v>269</v>
      </c>
      <c r="AA14" t="s">
        <v>25</v>
      </c>
      <c r="AC14" t="s">
        <v>22</v>
      </c>
      <c r="AD14" t="s">
        <v>269</v>
      </c>
      <c r="AE14">
        <v>0.13489777050325624</v>
      </c>
      <c r="AG14" t="s">
        <v>96</v>
      </c>
      <c r="AH14" t="s">
        <v>269</v>
      </c>
      <c r="AI14">
        <v>0.23236814272648298</v>
      </c>
      <c r="AK14">
        <v>2025</v>
      </c>
      <c r="AL14" t="s">
        <v>265</v>
      </c>
      <c r="AM14">
        <v>0.37180000000000007</v>
      </c>
      <c r="AN14" t="s">
        <v>217</v>
      </c>
    </row>
    <row r="15" spans="1:40" x14ac:dyDescent="0.45">
      <c r="I15" t="s">
        <v>165</v>
      </c>
      <c r="J15" t="s">
        <v>270</v>
      </c>
      <c r="K15">
        <v>1.2890497362649774E-2</v>
      </c>
      <c r="L15" t="s">
        <v>167</v>
      </c>
      <c r="N15" t="s">
        <v>188</v>
      </c>
      <c r="O15" t="s">
        <v>270</v>
      </c>
      <c r="P15">
        <v>0.11123049697008418</v>
      </c>
      <c r="Q15" t="s">
        <v>167</v>
      </c>
      <c r="S15" t="s">
        <v>198</v>
      </c>
      <c r="T15" t="s">
        <v>270</v>
      </c>
      <c r="U15">
        <v>0.11299608748407201</v>
      </c>
      <c r="V15" t="s">
        <v>167</v>
      </c>
      <c r="X15">
        <v>0.11552511415525114</v>
      </c>
      <c r="Y15">
        <v>5.3125160563193538E-2</v>
      </c>
      <c r="Z15" t="s">
        <v>270</v>
      </c>
      <c r="AA15" t="s">
        <v>25</v>
      </c>
      <c r="AC15" t="s">
        <v>22</v>
      </c>
      <c r="AD15" t="s">
        <v>270</v>
      </c>
      <c r="AE15">
        <v>0.10422708996535081</v>
      </c>
      <c r="AG15" t="s">
        <v>96</v>
      </c>
      <c r="AH15" t="s">
        <v>270</v>
      </c>
      <c r="AI15">
        <v>0.4601669586725754</v>
      </c>
      <c r="AK15">
        <v>2026</v>
      </c>
      <c r="AL15" t="s">
        <v>260</v>
      </c>
      <c r="AM15">
        <v>0.36549999999999999</v>
      </c>
      <c r="AN15" t="s">
        <v>217</v>
      </c>
    </row>
    <row r="16" spans="1:40" x14ac:dyDescent="0.45">
      <c r="I16" t="s">
        <v>165</v>
      </c>
      <c r="J16" t="s">
        <v>271</v>
      </c>
      <c r="K16">
        <v>4.4725793993635257E-2</v>
      </c>
      <c r="L16" t="s">
        <v>167</v>
      </c>
      <c r="N16" t="s">
        <v>188</v>
      </c>
      <c r="O16" t="s">
        <v>271</v>
      </c>
      <c r="P16">
        <v>2.07217907115642E-2</v>
      </c>
      <c r="Q16" t="s">
        <v>167</v>
      </c>
      <c r="S16" t="s">
        <v>198</v>
      </c>
      <c r="T16" t="s">
        <v>271</v>
      </c>
      <c r="U16">
        <v>1.9992687037065585E-2</v>
      </c>
      <c r="V16" t="s">
        <v>167</v>
      </c>
      <c r="X16">
        <v>2.1004566210045664E-2</v>
      </c>
      <c r="Y16">
        <v>3.6291010947302131E-2</v>
      </c>
      <c r="Z16" t="s">
        <v>271</v>
      </c>
      <c r="AA16" t="s">
        <v>25</v>
      </c>
      <c r="AC16" t="s">
        <v>22</v>
      </c>
      <c r="AD16" t="s">
        <v>271</v>
      </c>
      <c r="AE16">
        <v>2.5105364520255299E-2</v>
      </c>
      <c r="AG16" t="s">
        <v>96</v>
      </c>
      <c r="AH16" t="s">
        <v>271</v>
      </c>
      <c r="AI16">
        <v>0.20778539033968157</v>
      </c>
      <c r="AK16">
        <v>2026</v>
      </c>
      <c r="AL16" t="s">
        <v>262</v>
      </c>
      <c r="AM16">
        <v>0.42693333333333333</v>
      </c>
      <c r="AN16" t="s">
        <v>217</v>
      </c>
    </row>
    <row r="17" spans="9:40" x14ac:dyDescent="0.45">
      <c r="I17" t="s">
        <v>165</v>
      </c>
      <c r="J17" t="s">
        <v>272</v>
      </c>
      <c r="K17">
        <v>0.33666959617160902</v>
      </c>
      <c r="L17" t="s">
        <v>167</v>
      </c>
      <c r="N17" t="s">
        <v>188</v>
      </c>
      <c r="O17" t="s">
        <v>272</v>
      </c>
      <c r="P17">
        <v>9.2952688019058052E-2</v>
      </c>
      <c r="Q17" t="s">
        <v>167</v>
      </c>
      <c r="S17" t="s">
        <v>198</v>
      </c>
      <c r="T17" t="s">
        <v>272</v>
      </c>
      <c r="U17">
        <v>8.3338300781276201E-2</v>
      </c>
      <c r="V17" t="s">
        <v>167</v>
      </c>
      <c r="X17">
        <v>0.11552511415525114</v>
      </c>
      <c r="Y17">
        <v>0.16263862301005233</v>
      </c>
      <c r="Z17" t="s">
        <v>272</v>
      </c>
      <c r="AA17" t="s">
        <v>25</v>
      </c>
      <c r="AC17" t="s">
        <v>22</v>
      </c>
      <c r="AD17" t="s">
        <v>272</v>
      </c>
      <c r="AE17">
        <v>0.11305047405916094</v>
      </c>
      <c r="AG17" t="s">
        <v>96</v>
      </c>
      <c r="AH17" t="s">
        <v>272</v>
      </c>
      <c r="AI17">
        <v>9.9638479016723513E-2</v>
      </c>
      <c r="AK17">
        <v>2026</v>
      </c>
      <c r="AL17" t="s">
        <v>263</v>
      </c>
      <c r="AM17">
        <v>0.41233333333333338</v>
      </c>
      <c r="AN17" t="s">
        <v>217</v>
      </c>
    </row>
    <row r="18" spans="9:40" x14ac:dyDescent="0.45">
      <c r="I18" t="s">
        <v>165</v>
      </c>
      <c r="J18" t="s">
        <v>273</v>
      </c>
      <c r="K18">
        <v>3.0125774944752708E-2</v>
      </c>
      <c r="L18" t="s">
        <v>167</v>
      </c>
      <c r="N18" t="s">
        <v>188</v>
      </c>
      <c r="O18" t="s">
        <v>273</v>
      </c>
      <c r="P18">
        <v>0.10068132416513931</v>
      </c>
      <c r="Q18" t="s">
        <v>167</v>
      </c>
      <c r="S18" t="s">
        <v>198</v>
      </c>
      <c r="T18" t="s">
        <v>273</v>
      </c>
      <c r="U18">
        <v>8.9286439443375457E-2</v>
      </c>
      <c r="V18" t="s">
        <v>167</v>
      </c>
      <c r="X18">
        <v>0.11552511415525114</v>
      </c>
      <c r="Y18">
        <v>5.3125160563193538E-2</v>
      </c>
      <c r="Z18" t="s">
        <v>273</v>
      </c>
      <c r="AA18" t="s">
        <v>25</v>
      </c>
      <c r="AC18" t="s">
        <v>22</v>
      </c>
      <c r="AD18" t="s">
        <v>273</v>
      </c>
      <c r="AE18">
        <v>7.9707234450514461E-2</v>
      </c>
      <c r="AG18" t="s">
        <v>96</v>
      </c>
      <c r="AH18" t="s">
        <v>273</v>
      </c>
      <c r="AI18">
        <v>0.32624399885167943</v>
      </c>
      <c r="AK18">
        <v>2026</v>
      </c>
      <c r="AL18" t="s">
        <v>265</v>
      </c>
      <c r="AM18">
        <v>0.36359999999999998</v>
      </c>
      <c r="AN18" t="s">
        <v>217</v>
      </c>
    </row>
    <row r="19" spans="9:40" x14ac:dyDescent="0.45">
      <c r="I19" t="s">
        <v>165</v>
      </c>
      <c r="J19" t="s">
        <v>274</v>
      </c>
      <c r="K19">
        <v>5.3732351398602905E-2</v>
      </c>
      <c r="L19" t="s">
        <v>167</v>
      </c>
      <c r="N19" t="s">
        <v>188</v>
      </c>
      <c r="O19" t="s">
        <v>274</v>
      </c>
      <c r="P19">
        <v>1.8734729629039062E-2</v>
      </c>
      <c r="Q19" t="s">
        <v>167</v>
      </c>
      <c r="S19" t="s">
        <v>198</v>
      </c>
      <c r="T19" t="s">
        <v>274</v>
      </c>
      <c r="U19">
        <v>1.6240068700541527E-2</v>
      </c>
      <c r="V19" t="s">
        <v>167</v>
      </c>
      <c r="X19">
        <v>2.1004566210045664E-2</v>
      </c>
      <c r="Y19">
        <v>3.6291010947302131E-2</v>
      </c>
      <c r="Z19" t="s">
        <v>274</v>
      </c>
      <c r="AA19" t="s">
        <v>25</v>
      </c>
      <c r="AC19" t="s">
        <v>22</v>
      </c>
      <c r="AD19" t="s">
        <v>274</v>
      </c>
      <c r="AE19">
        <v>2.0790368430018455E-2</v>
      </c>
      <c r="AG19" t="s">
        <v>96</v>
      </c>
      <c r="AH19" t="s">
        <v>274</v>
      </c>
      <c r="AI19">
        <v>6.7071713739181416E-2</v>
      </c>
      <c r="AK19">
        <v>2027</v>
      </c>
      <c r="AL19" t="s">
        <v>260</v>
      </c>
      <c r="AM19">
        <v>0.34643333333333332</v>
      </c>
      <c r="AN19" t="s">
        <v>217</v>
      </c>
    </row>
    <row r="20" spans="9:40" x14ac:dyDescent="0.45">
      <c r="I20" t="s">
        <v>165</v>
      </c>
      <c r="J20" t="s">
        <v>275</v>
      </c>
      <c r="K20">
        <v>6.3610728427192939E-2</v>
      </c>
      <c r="L20" t="s">
        <v>167</v>
      </c>
      <c r="N20" t="s">
        <v>188</v>
      </c>
      <c r="O20" t="s">
        <v>275</v>
      </c>
      <c r="P20">
        <v>0.13057198177817994</v>
      </c>
      <c r="Q20" t="s">
        <v>167</v>
      </c>
      <c r="S20" t="s">
        <v>198</v>
      </c>
      <c r="T20" t="s">
        <v>275</v>
      </c>
      <c r="U20">
        <v>0.13694217926903232</v>
      </c>
      <c r="V20" t="s">
        <v>167</v>
      </c>
      <c r="X20">
        <v>0.11301369863013698</v>
      </c>
      <c r="Y20">
        <v>0.15910300077070333</v>
      </c>
      <c r="Z20" t="s">
        <v>275</v>
      </c>
      <c r="AA20" t="s">
        <v>25</v>
      </c>
      <c r="AC20" t="s">
        <v>22</v>
      </c>
      <c r="AD20" t="s">
        <v>275</v>
      </c>
      <c r="AE20">
        <v>0.14534724940516161</v>
      </c>
      <c r="AG20" t="s">
        <v>96</v>
      </c>
      <c r="AH20" t="s">
        <v>275</v>
      </c>
      <c r="AI20">
        <v>0.13732894370875437</v>
      </c>
      <c r="AK20">
        <v>2027</v>
      </c>
      <c r="AL20" t="s">
        <v>262</v>
      </c>
      <c r="AM20">
        <v>0.44636666666666663</v>
      </c>
      <c r="AN20" t="s">
        <v>217</v>
      </c>
    </row>
    <row r="21" spans="9:40" x14ac:dyDescent="0.45">
      <c r="I21" t="s">
        <v>165</v>
      </c>
      <c r="J21" t="s">
        <v>276</v>
      </c>
      <c r="K21">
        <v>0</v>
      </c>
      <c r="L21" t="s">
        <v>167</v>
      </c>
      <c r="N21" t="s">
        <v>188</v>
      </c>
      <c r="O21" t="s">
        <v>276</v>
      </c>
      <c r="P21">
        <v>0.12294559661323566</v>
      </c>
      <c r="Q21" t="s">
        <v>167</v>
      </c>
      <c r="S21" t="s">
        <v>198</v>
      </c>
      <c r="T21" t="s">
        <v>276</v>
      </c>
      <c r="U21">
        <v>0.13652886766693798</v>
      </c>
      <c r="V21" t="s">
        <v>167</v>
      </c>
      <c r="X21">
        <v>0.11301369863013698</v>
      </c>
      <c r="Y21">
        <v>5.197026576834151E-2</v>
      </c>
      <c r="Z21" t="s">
        <v>276</v>
      </c>
      <c r="AA21" t="s">
        <v>25</v>
      </c>
      <c r="AC21" t="s">
        <v>22</v>
      </c>
      <c r="AD21" t="s">
        <v>276</v>
      </c>
      <c r="AE21">
        <v>0.11407171485386561</v>
      </c>
      <c r="AG21" t="s">
        <v>96</v>
      </c>
      <c r="AH21" t="s">
        <v>276</v>
      </c>
      <c r="AI21">
        <v>0.33579730980055644</v>
      </c>
      <c r="AK21">
        <v>2027</v>
      </c>
      <c r="AL21" t="s">
        <v>263</v>
      </c>
      <c r="AM21">
        <v>0.43509999999999999</v>
      </c>
      <c r="AN21" t="s">
        <v>217</v>
      </c>
    </row>
    <row r="22" spans="9:40" x14ac:dyDescent="0.45">
      <c r="I22" t="s">
        <v>165</v>
      </c>
      <c r="J22" t="s">
        <v>277</v>
      </c>
      <c r="K22">
        <v>2.262984606031848E-3</v>
      </c>
      <c r="L22" t="s">
        <v>167</v>
      </c>
      <c r="N22" t="s">
        <v>188</v>
      </c>
      <c r="O22" t="s">
        <v>277</v>
      </c>
      <c r="P22">
        <v>2.3272256316508023E-2</v>
      </c>
      <c r="Q22" t="s">
        <v>167</v>
      </c>
      <c r="S22" t="s">
        <v>198</v>
      </c>
      <c r="T22" t="s">
        <v>277</v>
      </c>
      <c r="U22">
        <v>2.5608837924986541E-2</v>
      </c>
      <c r="V22" t="s">
        <v>167</v>
      </c>
      <c r="X22">
        <v>2.0547945205479451E-2</v>
      </c>
      <c r="Y22">
        <v>3.5502075926708607E-2</v>
      </c>
      <c r="Z22" t="s">
        <v>277</v>
      </c>
      <c r="AA22" t="s">
        <v>25</v>
      </c>
      <c r="AC22" t="s">
        <v>22</v>
      </c>
      <c r="AD22" t="s">
        <v>277</v>
      </c>
      <c r="AE22">
        <v>2.7286402852170929E-2</v>
      </c>
      <c r="AG22" t="s">
        <v>96</v>
      </c>
      <c r="AH22" t="s">
        <v>277</v>
      </c>
      <c r="AI22">
        <v>0.11155775046897132</v>
      </c>
      <c r="AK22">
        <v>2027</v>
      </c>
      <c r="AL22" t="s">
        <v>265</v>
      </c>
      <c r="AM22">
        <v>0.35026666666666667</v>
      </c>
      <c r="AN22" t="s">
        <v>217</v>
      </c>
    </row>
    <row r="23" spans="9:40" x14ac:dyDescent="0.45">
      <c r="I23" t="s">
        <v>179</v>
      </c>
      <c r="J23" t="s">
        <v>266</v>
      </c>
      <c r="K23">
        <v>0.13891313273762834</v>
      </c>
      <c r="L23" t="s">
        <v>167</v>
      </c>
      <c r="N23" t="s">
        <v>189</v>
      </c>
      <c r="O23" t="s">
        <v>266</v>
      </c>
      <c r="P23">
        <v>0.11664498342269672</v>
      </c>
      <c r="Q23" t="s">
        <v>167</v>
      </c>
      <c r="S23" t="s">
        <v>199</v>
      </c>
      <c r="T23" t="s">
        <v>266</v>
      </c>
      <c r="U23">
        <v>0.11473846226909662</v>
      </c>
      <c r="V23" t="s">
        <v>167</v>
      </c>
      <c r="AC23" t="s">
        <v>19</v>
      </c>
      <c r="AD23" t="s">
        <v>266</v>
      </c>
      <c r="AE23">
        <v>0.11521661698664129</v>
      </c>
      <c r="AK23">
        <v>2028</v>
      </c>
      <c r="AL23" t="s">
        <v>260</v>
      </c>
      <c r="AM23">
        <v>0.37696666666666667</v>
      </c>
      <c r="AN23" t="s">
        <v>217</v>
      </c>
    </row>
    <row r="24" spans="9:40" x14ac:dyDescent="0.45">
      <c r="I24" t="s">
        <v>179</v>
      </c>
      <c r="J24" t="s">
        <v>267</v>
      </c>
      <c r="K24">
        <v>5.9605996522149997E-4</v>
      </c>
      <c r="L24" t="s">
        <v>167</v>
      </c>
      <c r="N24" t="s">
        <v>189</v>
      </c>
      <c r="O24" t="s">
        <v>267</v>
      </c>
      <c r="P24">
        <v>0.12354582694315175</v>
      </c>
      <c r="Q24" t="s">
        <v>167</v>
      </c>
      <c r="S24" t="s">
        <v>199</v>
      </c>
      <c r="T24" t="s">
        <v>267</v>
      </c>
      <c r="U24">
        <v>0.11769704110126039</v>
      </c>
      <c r="V24" t="s">
        <v>167</v>
      </c>
      <c r="AC24" t="s">
        <v>19</v>
      </c>
      <c r="AD24" t="s">
        <v>267</v>
      </c>
      <c r="AE24">
        <v>0.1130033168654178</v>
      </c>
      <c r="AK24">
        <v>2028</v>
      </c>
      <c r="AL24" t="s">
        <v>262</v>
      </c>
      <c r="AM24">
        <v>0.41606666666666664</v>
      </c>
      <c r="AN24" t="s">
        <v>217</v>
      </c>
    </row>
    <row r="25" spans="9:40" x14ac:dyDescent="0.45">
      <c r="I25" t="s">
        <v>179</v>
      </c>
      <c r="J25" t="s">
        <v>268</v>
      </c>
      <c r="K25">
        <v>1.2029886809242746E-2</v>
      </c>
      <c r="L25" t="s">
        <v>167</v>
      </c>
      <c r="N25" t="s">
        <v>189</v>
      </c>
      <c r="O25" t="s">
        <v>268</v>
      </c>
      <c r="P25">
        <v>2.1706899669399569E-2</v>
      </c>
      <c r="Q25" t="s">
        <v>167</v>
      </c>
      <c r="S25" t="s">
        <v>199</v>
      </c>
      <c r="T25" t="s">
        <v>268</v>
      </c>
      <c r="U25">
        <v>2.1500313637518798E-2</v>
      </c>
      <c r="V25" t="s">
        <v>167</v>
      </c>
      <c r="AC25" t="s">
        <v>19</v>
      </c>
      <c r="AD25" t="s">
        <v>268</v>
      </c>
      <c r="AE25">
        <v>2.0997179795481768E-2</v>
      </c>
      <c r="AK25">
        <v>2028</v>
      </c>
      <c r="AL25" t="s">
        <v>263</v>
      </c>
      <c r="AM25">
        <v>0.43619999999999998</v>
      </c>
      <c r="AN25" t="s">
        <v>217</v>
      </c>
    </row>
    <row r="26" spans="9:40" x14ac:dyDescent="0.45">
      <c r="I26" t="s">
        <v>179</v>
      </c>
      <c r="J26" t="s">
        <v>269</v>
      </c>
      <c r="K26">
        <v>0.30509974373697296</v>
      </c>
      <c r="L26" t="s">
        <v>167</v>
      </c>
      <c r="N26" t="s">
        <v>189</v>
      </c>
      <c r="O26" t="s">
        <v>269</v>
      </c>
      <c r="P26">
        <v>0.11073812323566361</v>
      </c>
      <c r="Q26" t="s">
        <v>167</v>
      </c>
      <c r="S26" t="s">
        <v>199</v>
      </c>
      <c r="T26" t="s">
        <v>269</v>
      </c>
      <c r="U26">
        <v>0.12004617175477163</v>
      </c>
      <c r="V26" t="s">
        <v>167</v>
      </c>
      <c r="AC26" t="s">
        <v>19</v>
      </c>
      <c r="AD26" t="s">
        <v>269</v>
      </c>
      <c r="AE26">
        <v>0.11657033872504766</v>
      </c>
      <c r="AK26">
        <v>2028</v>
      </c>
      <c r="AL26" t="s">
        <v>265</v>
      </c>
      <c r="AM26">
        <v>0.33123333333333332</v>
      </c>
      <c r="AN26" t="s">
        <v>217</v>
      </c>
    </row>
    <row r="27" spans="9:40" x14ac:dyDescent="0.45">
      <c r="I27" t="s">
        <v>179</v>
      </c>
      <c r="J27" t="s">
        <v>270</v>
      </c>
      <c r="K27">
        <v>1.4210634735844633E-2</v>
      </c>
      <c r="L27" t="s">
        <v>167</v>
      </c>
      <c r="N27" t="s">
        <v>189</v>
      </c>
      <c r="O27" t="s">
        <v>270</v>
      </c>
      <c r="P27">
        <v>0.1143730638018796</v>
      </c>
      <c r="Q27" t="s">
        <v>167</v>
      </c>
      <c r="S27" t="s">
        <v>199</v>
      </c>
      <c r="T27" t="s">
        <v>270</v>
      </c>
      <c r="U27">
        <v>0.13184451677343639</v>
      </c>
      <c r="V27" t="s">
        <v>167</v>
      </c>
      <c r="AC27" t="s">
        <v>19</v>
      </c>
      <c r="AD27" t="s">
        <v>270</v>
      </c>
      <c r="AE27">
        <v>0.11433410107409053</v>
      </c>
      <c r="AK27">
        <v>2029</v>
      </c>
      <c r="AL27" t="s">
        <v>260</v>
      </c>
      <c r="AM27">
        <v>0.35539999999999999</v>
      </c>
      <c r="AN27" t="s">
        <v>217</v>
      </c>
    </row>
    <row r="28" spans="9:40" x14ac:dyDescent="0.45">
      <c r="I28" t="s">
        <v>179</v>
      </c>
      <c r="J28" t="s">
        <v>271</v>
      </c>
      <c r="K28">
        <v>4.3727038725517912E-2</v>
      </c>
      <c r="L28" t="s">
        <v>167</v>
      </c>
      <c r="N28" t="s">
        <v>189</v>
      </c>
      <c r="O28" t="s">
        <v>271</v>
      </c>
      <c r="P28">
        <v>2.0906786112140825E-2</v>
      </c>
      <c r="Q28" t="s">
        <v>167</v>
      </c>
      <c r="S28" t="s">
        <v>199</v>
      </c>
      <c r="T28" t="s">
        <v>271</v>
      </c>
      <c r="U28">
        <v>2.3617778732082727E-2</v>
      </c>
      <c r="V28" t="s">
        <v>167</v>
      </c>
      <c r="AC28" t="s">
        <v>19</v>
      </c>
      <c r="AD28" t="s">
        <v>271</v>
      </c>
      <c r="AE28">
        <v>2.1236785991583039E-2</v>
      </c>
      <c r="AK28">
        <v>2029</v>
      </c>
      <c r="AL28" t="s">
        <v>262</v>
      </c>
      <c r="AM28">
        <v>0.44856666666666661</v>
      </c>
      <c r="AN28" t="s">
        <v>217</v>
      </c>
    </row>
    <row r="29" spans="9:40" x14ac:dyDescent="0.45">
      <c r="I29" t="s">
        <v>179</v>
      </c>
      <c r="J29" t="s">
        <v>272</v>
      </c>
      <c r="K29">
        <v>0.32900721029208285</v>
      </c>
      <c r="L29" t="s">
        <v>167</v>
      </c>
      <c r="N29" t="s">
        <v>189</v>
      </c>
      <c r="O29" t="s">
        <v>272</v>
      </c>
      <c r="P29">
        <v>8.9435122823198224E-2</v>
      </c>
      <c r="Q29" t="s">
        <v>167</v>
      </c>
      <c r="S29" t="s">
        <v>199</v>
      </c>
      <c r="T29" t="s">
        <v>272</v>
      </c>
      <c r="U29">
        <v>7.5349848852449886E-2</v>
      </c>
      <c r="V29" t="s">
        <v>167</v>
      </c>
      <c r="AC29" t="s">
        <v>19</v>
      </c>
      <c r="AD29" t="s">
        <v>272</v>
      </c>
      <c r="AE29">
        <v>0.11650620273301707</v>
      </c>
      <c r="AK29">
        <v>2029</v>
      </c>
      <c r="AL29" t="s">
        <v>263</v>
      </c>
      <c r="AM29">
        <v>0.44979999999999998</v>
      </c>
      <c r="AN29" t="s">
        <v>217</v>
      </c>
    </row>
    <row r="30" spans="9:40" x14ac:dyDescent="0.45">
      <c r="I30" t="s">
        <v>179</v>
      </c>
      <c r="J30" t="s">
        <v>273</v>
      </c>
      <c r="K30">
        <v>3.2994323804508313E-2</v>
      </c>
      <c r="L30" t="s">
        <v>167</v>
      </c>
      <c r="N30" t="s">
        <v>189</v>
      </c>
      <c r="O30" t="s">
        <v>273</v>
      </c>
      <c r="P30">
        <v>0.10201935390818136</v>
      </c>
      <c r="Q30" t="s">
        <v>167</v>
      </c>
      <c r="S30" t="s">
        <v>199</v>
      </c>
      <c r="T30" t="s">
        <v>273</v>
      </c>
      <c r="U30">
        <v>8.5614173108634964E-2</v>
      </c>
      <c r="V30" t="s">
        <v>167</v>
      </c>
      <c r="AC30" t="s">
        <v>19</v>
      </c>
      <c r="AD30" t="s">
        <v>273</v>
      </c>
      <c r="AE30">
        <v>0.11407510545998496</v>
      </c>
      <c r="AK30">
        <v>2029</v>
      </c>
      <c r="AL30" t="s">
        <v>265</v>
      </c>
      <c r="AM30">
        <v>0.33889999999999998</v>
      </c>
      <c r="AN30" t="s">
        <v>217</v>
      </c>
    </row>
    <row r="31" spans="9:40" x14ac:dyDescent="0.45">
      <c r="I31" t="s">
        <v>179</v>
      </c>
      <c r="J31" t="s">
        <v>274</v>
      </c>
      <c r="K31">
        <v>5.4334876117622277E-2</v>
      </c>
      <c r="L31" t="s">
        <v>167</v>
      </c>
      <c r="N31" t="s">
        <v>189</v>
      </c>
      <c r="O31" t="s">
        <v>274</v>
      </c>
      <c r="P31">
        <v>1.8524002229896738E-2</v>
      </c>
      <c r="Q31" t="s">
        <v>167</v>
      </c>
      <c r="S31" t="s">
        <v>199</v>
      </c>
      <c r="T31" t="s">
        <v>274</v>
      </c>
      <c r="U31">
        <v>1.6687058775652873E-2</v>
      </c>
      <c r="V31" t="s">
        <v>167</v>
      </c>
      <c r="AC31" t="s">
        <v>19</v>
      </c>
      <c r="AD31" t="s">
        <v>274</v>
      </c>
      <c r="AE31">
        <v>2.1200133814928138E-2</v>
      </c>
      <c r="AK31">
        <v>2030</v>
      </c>
      <c r="AL31" t="s">
        <v>260</v>
      </c>
      <c r="AM31">
        <v>0.35949999999999999</v>
      </c>
      <c r="AN31" t="s">
        <v>217</v>
      </c>
    </row>
    <row r="32" spans="9:40" x14ac:dyDescent="0.45">
      <c r="I32" t="s">
        <v>179</v>
      </c>
      <c r="J32" t="s">
        <v>275</v>
      </c>
      <c r="K32">
        <v>6.6872559648187585E-2</v>
      </c>
      <c r="L32" t="s">
        <v>167</v>
      </c>
      <c r="N32" t="s">
        <v>189</v>
      </c>
      <c r="O32" t="s">
        <v>275</v>
      </c>
      <c r="P32">
        <v>0.13404223177866623</v>
      </c>
      <c r="Q32" t="s">
        <v>167</v>
      </c>
      <c r="S32" t="s">
        <v>199</v>
      </c>
      <c r="T32" t="s">
        <v>275</v>
      </c>
      <c r="U32">
        <v>0.1340444034648138</v>
      </c>
      <c r="V32" t="s">
        <v>167</v>
      </c>
      <c r="AC32" t="s">
        <v>19</v>
      </c>
      <c r="AD32" t="s">
        <v>275</v>
      </c>
      <c r="AE32">
        <v>0.11416069506974191</v>
      </c>
      <c r="AK32">
        <v>2030</v>
      </c>
      <c r="AL32" t="s">
        <v>262</v>
      </c>
      <c r="AM32">
        <v>0.42349999999999999</v>
      </c>
      <c r="AN32" t="s">
        <v>217</v>
      </c>
    </row>
    <row r="33" spans="9:40" x14ac:dyDescent="0.45">
      <c r="I33" t="s">
        <v>179</v>
      </c>
      <c r="J33" t="s">
        <v>276</v>
      </c>
      <c r="K33">
        <v>0</v>
      </c>
      <c r="L33" t="s">
        <v>167</v>
      </c>
      <c r="N33" t="s">
        <v>189</v>
      </c>
      <c r="O33" t="s">
        <v>276</v>
      </c>
      <c r="P33">
        <v>0.12377350689851077</v>
      </c>
      <c r="Q33" t="s">
        <v>167</v>
      </c>
      <c r="S33" t="s">
        <v>199</v>
      </c>
      <c r="T33" t="s">
        <v>276</v>
      </c>
      <c r="U33">
        <v>0.13349504818673563</v>
      </c>
      <c r="V33" t="s">
        <v>167</v>
      </c>
      <c r="AC33" t="s">
        <v>19</v>
      </c>
      <c r="AD33" t="s">
        <v>276</v>
      </c>
      <c r="AE33">
        <v>0.1118803567567077</v>
      </c>
      <c r="AK33">
        <v>2030</v>
      </c>
      <c r="AL33" t="s">
        <v>263</v>
      </c>
      <c r="AM33">
        <v>0.42396666666666666</v>
      </c>
      <c r="AN33" t="s">
        <v>217</v>
      </c>
    </row>
    <row r="34" spans="9:40" x14ac:dyDescent="0.45">
      <c r="I34" t="s">
        <v>179</v>
      </c>
      <c r="J34" t="s">
        <v>277</v>
      </c>
      <c r="K34">
        <v>2.2145334271737888E-3</v>
      </c>
      <c r="L34" t="s">
        <v>167</v>
      </c>
      <c r="N34" t="s">
        <v>189</v>
      </c>
      <c r="O34" t="s">
        <v>277</v>
      </c>
      <c r="P34">
        <v>2.4290099176612057E-2</v>
      </c>
      <c r="Q34" t="s">
        <v>167</v>
      </c>
      <c r="S34" t="s">
        <v>199</v>
      </c>
      <c r="T34" t="s">
        <v>277</v>
      </c>
      <c r="U34">
        <v>2.5365183343547471E-2</v>
      </c>
      <c r="V34" t="s">
        <v>167</v>
      </c>
      <c r="AC34" t="s">
        <v>19</v>
      </c>
      <c r="AD34" t="s">
        <v>277</v>
      </c>
      <c r="AE34">
        <v>2.0819166727358167E-2</v>
      </c>
      <c r="AK34">
        <v>2030</v>
      </c>
      <c r="AL34" t="s">
        <v>265</v>
      </c>
      <c r="AM34">
        <v>0.35496666666666665</v>
      </c>
      <c r="AN34" t="s">
        <v>217</v>
      </c>
    </row>
    <row r="35" spans="9:40" x14ac:dyDescent="0.45">
      <c r="I35" t="s">
        <v>180</v>
      </c>
      <c r="J35" t="s">
        <v>266</v>
      </c>
      <c r="K35">
        <v>0.1358855279450602</v>
      </c>
      <c r="L35" t="s">
        <v>167</v>
      </c>
      <c r="N35" t="s">
        <v>190</v>
      </c>
      <c r="O35" t="s">
        <v>266</v>
      </c>
      <c r="P35">
        <v>0.11394243118757152</v>
      </c>
      <c r="Q35" t="s">
        <v>167</v>
      </c>
      <c r="S35" t="s">
        <v>200</v>
      </c>
      <c r="T35" t="s">
        <v>266</v>
      </c>
      <c r="U35">
        <v>0.11501124261215152</v>
      </c>
      <c r="V35" t="s">
        <v>167</v>
      </c>
      <c r="AK35">
        <v>2031</v>
      </c>
      <c r="AL35" t="s">
        <v>260</v>
      </c>
      <c r="AM35">
        <v>0.35410000000000003</v>
      </c>
      <c r="AN35" t="s">
        <v>217</v>
      </c>
    </row>
    <row r="36" spans="9:40" x14ac:dyDescent="0.45">
      <c r="I36" t="s">
        <v>180</v>
      </c>
      <c r="J36" t="s">
        <v>267</v>
      </c>
      <c r="K36">
        <v>0</v>
      </c>
      <c r="L36" t="s">
        <v>167</v>
      </c>
      <c r="N36" t="s">
        <v>190</v>
      </c>
      <c r="O36" t="s">
        <v>267</v>
      </c>
      <c r="P36">
        <v>0.12553044584235354</v>
      </c>
      <c r="Q36" t="s">
        <v>167</v>
      </c>
      <c r="S36" t="s">
        <v>200</v>
      </c>
      <c r="T36" t="s">
        <v>267</v>
      </c>
      <c r="U36">
        <v>0.12005000197807009</v>
      </c>
      <c r="V36" t="s">
        <v>167</v>
      </c>
      <c r="AK36">
        <v>2031</v>
      </c>
      <c r="AL36" t="s">
        <v>262</v>
      </c>
      <c r="AM36">
        <v>0.43283333333333335</v>
      </c>
      <c r="AN36" t="s">
        <v>217</v>
      </c>
    </row>
    <row r="37" spans="9:40" x14ac:dyDescent="0.45">
      <c r="I37" t="s">
        <v>180</v>
      </c>
      <c r="J37" t="s">
        <v>268</v>
      </c>
      <c r="K37">
        <v>5.2069550893044467E-3</v>
      </c>
      <c r="L37" t="s">
        <v>167</v>
      </c>
      <c r="N37" t="s">
        <v>190</v>
      </c>
      <c r="O37" t="s">
        <v>268</v>
      </c>
      <c r="P37">
        <v>2.1665322974581736E-2</v>
      </c>
      <c r="Q37" t="s">
        <v>167</v>
      </c>
      <c r="S37" t="s">
        <v>200</v>
      </c>
      <c r="T37" t="s">
        <v>268</v>
      </c>
      <c r="U37">
        <v>2.1815281668896583E-2</v>
      </c>
      <c r="V37" t="s">
        <v>167</v>
      </c>
      <c r="AK37">
        <v>2031</v>
      </c>
      <c r="AL37" t="s">
        <v>263</v>
      </c>
      <c r="AM37">
        <v>0.41290000000000004</v>
      </c>
      <c r="AN37" t="s">
        <v>217</v>
      </c>
    </row>
    <row r="38" spans="9:40" x14ac:dyDescent="0.45">
      <c r="I38" t="s">
        <v>180</v>
      </c>
      <c r="J38" t="s">
        <v>269</v>
      </c>
      <c r="K38">
        <v>0.32066493617008424</v>
      </c>
      <c r="L38" t="s">
        <v>167</v>
      </c>
      <c r="N38" t="s">
        <v>190</v>
      </c>
      <c r="O38" t="s">
        <v>269</v>
      </c>
      <c r="P38">
        <v>0.11004579537898641</v>
      </c>
      <c r="Q38" t="s">
        <v>167</v>
      </c>
      <c r="S38" t="s">
        <v>200</v>
      </c>
      <c r="T38" t="s">
        <v>269</v>
      </c>
      <c r="U38">
        <v>0.11674523128617803</v>
      </c>
      <c r="V38" t="s">
        <v>167</v>
      </c>
      <c r="AK38">
        <v>2031</v>
      </c>
      <c r="AL38" t="s">
        <v>265</v>
      </c>
      <c r="AM38">
        <v>0.37220000000000003</v>
      </c>
      <c r="AN38" t="s">
        <v>217</v>
      </c>
    </row>
    <row r="39" spans="9:40" x14ac:dyDescent="0.45">
      <c r="I39" t="s">
        <v>180</v>
      </c>
      <c r="J39" t="s">
        <v>270</v>
      </c>
      <c r="K39">
        <v>1.1398464450789623E-2</v>
      </c>
      <c r="L39" t="s">
        <v>167</v>
      </c>
      <c r="N39" t="s">
        <v>190</v>
      </c>
      <c r="O39" t="s">
        <v>270</v>
      </c>
      <c r="P39">
        <v>0.11840321747876555</v>
      </c>
      <c r="Q39" t="s">
        <v>167</v>
      </c>
      <c r="S39" t="s">
        <v>200</v>
      </c>
      <c r="T39" t="s">
        <v>270</v>
      </c>
      <c r="U39">
        <v>0.12728699274345445</v>
      </c>
      <c r="V39" t="s">
        <v>167</v>
      </c>
      <c r="AK39">
        <v>2032</v>
      </c>
      <c r="AL39" t="s">
        <v>260</v>
      </c>
      <c r="AM39">
        <v>0.36660000000000004</v>
      </c>
      <c r="AN39" t="s">
        <v>217</v>
      </c>
    </row>
    <row r="40" spans="9:40" x14ac:dyDescent="0.45">
      <c r="I40" t="s">
        <v>180</v>
      </c>
      <c r="J40" t="s">
        <v>271</v>
      </c>
      <c r="K40">
        <v>3.4269416668716149E-2</v>
      </c>
      <c r="L40" t="s">
        <v>167</v>
      </c>
      <c r="N40" t="s">
        <v>190</v>
      </c>
      <c r="O40" t="s">
        <v>271</v>
      </c>
      <c r="P40">
        <v>2.0750861363609929E-2</v>
      </c>
      <c r="Q40" t="s">
        <v>167</v>
      </c>
      <c r="S40" t="s">
        <v>200</v>
      </c>
      <c r="T40" t="s">
        <v>271</v>
      </c>
      <c r="U40">
        <v>2.2431345189319666E-2</v>
      </c>
      <c r="V40" t="s">
        <v>167</v>
      </c>
      <c r="AK40">
        <v>2032</v>
      </c>
      <c r="AL40" t="s">
        <v>262</v>
      </c>
      <c r="AM40">
        <v>0.45369999999999999</v>
      </c>
      <c r="AN40" t="s">
        <v>217</v>
      </c>
    </row>
    <row r="41" spans="9:40" x14ac:dyDescent="0.45">
      <c r="I41" t="s">
        <v>180</v>
      </c>
      <c r="J41" t="s">
        <v>272</v>
      </c>
      <c r="K41">
        <v>0.34500099534667944</v>
      </c>
      <c r="L41" t="s">
        <v>167</v>
      </c>
      <c r="N41" t="s">
        <v>190</v>
      </c>
      <c r="O41" t="s">
        <v>272</v>
      </c>
      <c r="P41">
        <v>8.8390876188439993E-2</v>
      </c>
      <c r="Q41" t="s">
        <v>167</v>
      </c>
      <c r="S41" t="s">
        <v>200</v>
      </c>
      <c r="T41" t="s">
        <v>272</v>
      </c>
      <c r="U41">
        <v>7.9143697193632415E-2</v>
      </c>
      <c r="V41" t="s">
        <v>167</v>
      </c>
      <c r="AK41">
        <v>2032</v>
      </c>
      <c r="AL41" t="s">
        <v>263</v>
      </c>
      <c r="AM41">
        <v>0.43966666666666665</v>
      </c>
      <c r="AN41" t="s">
        <v>217</v>
      </c>
    </row>
    <row r="42" spans="9:40" x14ac:dyDescent="0.45">
      <c r="I42" t="s">
        <v>180</v>
      </c>
      <c r="J42" t="s">
        <v>273</v>
      </c>
      <c r="K42">
        <v>3.1510453654527613E-2</v>
      </c>
      <c r="L42" t="s">
        <v>167</v>
      </c>
      <c r="N42" t="s">
        <v>190</v>
      </c>
      <c r="O42" t="s">
        <v>273</v>
      </c>
      <c r="P42">
        <v>9.8661749383955444E-2</v>
      </c>
      <c r="Q42" t="s">
        <v>167</v>
      </c>
      <c r="S42" t="s">
        <v>200</v>
      </c>
      <c r="T42" t="s">
        <v>273</v>
      </c>
      <c r="U42">
        <v>8.8715030244166854E-2</v>
      </c>
      <c r="V42" t="s">
        <v>167</v>
      </c>
      <c r="AK42">
        <v>2032</v>
      </c>
      <c r="AL42" t="s">
        <v>265</v>
      </c>
      <c r="AM42">
        <v>0.38149999999999995</v>
      </c>
      <c r="AN42" t="s">
        <v>217</v>
      </c>
    </row>
    <row r="43" spans="9:40" x14ac:dyDescent="0.45">
      <c r="I43" t="s">
        <v>180</v>
      </c>
      <c r="J43" t="s">
        <v>274</v>
      </c>
      <c r="K43">
        <v>4.7195212010302565E-2</v>
      </c>
      <c r="L43" t="s">
        <v>167</v>
      </c>
      <c r="N43" t="s">
        <v>190</v>
      </c>
      <c r="O43" t="s">
        <v>274</v>
      </c>
      <c r="P43">
        <v>1.7644885040229187E-2</v>
      </c>
      <c r="Q43" t="s">
        <v>167</v>
      </c>
      <c r="S43" t="s">
        <v>200</v>
      </c>
      <c r="T43" t="s">
        <v>274</v>
      </c>
      <c r="U43">
        <v>1.6571628836817405E-2</v>
      </c>
      <c r="V43" t="s">
        <v>167</v>
      </c>
      <c r="AK43">
        <v>2033</v>
      </c>
      <c r="AL43" t="s">
        <v>260</v>
      </c>
      <c r="AM43">
        <v>0.34013333333333334</v>
      </c>
      <c r="AN43" t="s">
        <v>217</v>
      </c>
    </row>
    <row r="44" spans="9:40" x14ac:dyDescent="0.45">
      <c r="I44" t="s">
        <v>180</v>
      </c>
      <c r="J44" t="s">
        <v>275</v>
      </c>
      <c r="K44">
        <v>6.8211799883183807E-2</v>
      </c>
      <c r="L44" t="s">
        <v>167</v>
      </c>
      <c r="N44" t="s">
        <v>190</v>
      </c>
      <c r="O44" t="s">
        <v>275</v>
      </c>
      <c r="P44">
        <v>0.13330238607103825</v>
      </c>
      <c r="Q44" t="s">
        <v>167</v>
      </c>
      <c r="S44" t="s">
        <v>200</v>
      </c>
      <c r="T44" t="s">
        <v>275</v>
      </c>
      <c r="U44">
        <v>0.13342969007709887</v>
      </c>
      <c r="V44" t="s">
        <v>167</v>
      </c>
      <c r="AK44">
        <v>2033</v>
      </c>
      <c r="AL44" t="s">
        <v>262</v>
      </c>
      <c r="AM44">
        <v>0.4094666666666667</v>
      </c>
      <c r="AN44" t="s">
        <v>217</v>
      </c>
    </row>
    <row r="45" spans="9:40" x14ac:dyDescent="0.45">
      <c r="I45" t="s">
        <v>180</v>
      </c>
      <c r="J45" t="s">
        <v>276</v>
      </c>
      <c r="K45">
        <v>0</v>
      </c>
      <c r="L45" t="s">
        <v>167</v>
      </c>
      <c r="N45" t="s">
        <v>190</v>
      </c>
      <c r="O45" t="s">
        <v>276</v>
      </c>
      <c r="P45">
        <v>0.12724249656034362</v>
      </c>
      <c r="Q45" t="s">
        <v>167</v>
      </c>
      <c r="S45" t="s">
        <v>200</v>
      </c>
      <c r="T45" t="s">
        <v>276</v>
      </c>
      <c r="U45">
        <v>0.13312877308768509</v>
      </c>
      <c r="V45" t="s">
        <v>167</v>
      </c>
      <c r="AK45">
        <v>2033</v>
      </c>
      <c r="AL45" t="s">
        <v>263</v>
      </c>
      <c r="AM45">
        <v>0.42450000000000004</v>
      </c>
      <c r="AN45" t="s">
        <v>217</v>
      </c>
    </row>
    <row r="46" spans="9:40" x14ac:dyDescent="0.45">
      <c r="I46" t="s">
        <v>180</v>
      </c>
      <c r="J46" t="s">
        <v>277</v>
      </c>
      <c r="K46">
        <v>6.5623878135142027E-4</v>
      </c>
      <c r="L46" t="s">
        <v>167</v>
      </c>
      <c r="N46" t="s">
        <v>190</v>
      </c>
      <c r="O46" t="s">
        <v>277</v>
      </c>
      <c r="P46">
        <v>2.4419532530125843E-2</v>
      </c>
      <c r="Q46" t="s">
        <v>167</v>
      </c>
      <c r="S46" t="s">
        <v>200</v>
      </c>
      <c r="T46" t="s">
        <v>277</v>
      </c>
      <c r="U46">
        <v>2.5671085082528355E-2</v>
      </c>
      <c r="V46" t="s">
        <v>167</v>
      </c>
      <c r="AK46">
        <v>2033</v>
      </c>
      <c r="AL46" t="s">
        <v>265</v>
      </c>
      <c r="AM46">
        <v>0.34236666666666665</v>
      </c>
      <c r="AN46" t="s">
        <v>217</v>
      </c>
    </row>
    <row r="47" spans="9:40" x14ac:dyDescent="0.45">
      <c r="I47" t="s">
        <v>181</v>
      </c>
      <c r="J47" t="s">
        <v>266</v>
      </c>
      <c r="K47">
        <v>0.13828581006733756</v>
      </c>
      <c r="L47" t="s">
        <v>167</v>
      </c>
      <c r="N47" t="s">
        <v>191</v>
      </c>
      <c r="O47" t="s">
        <v>266</v>
      </c>
      <c r="P47">
        <v>0.11871297313037339</v>
      </c>
      <c r="Q47" t="s">
        <v>167</v>
      </c>
      <c r="S47" t="s">
        <v>201</v>
      </c>
      <c r="T47" t="s">
        <v>266</v>
      </c>
      <c r="U47">
        <v>0.11419963009581237</v>
      </c>
      <c r="V47" t="s">
        <v>167</v>
      </c>
      <c r="AK47">
        <v>2034</v>
      </c>
      <c r="AL47" t="s">
        <v>260</v>
      </c>
      <c r="AM47">
        <v>0.37796666666666662</v>
      </c>
      <c r="AN47" t="s">
        <v>217</v>
      </c>
    </row>
    <row r="48" spans="9:40" x14ac:dyDescent="0.45">
      <c r="I48" t="s">
        <v>181</v>
      </c>
      <c r="J48" t="s">
        <v>267</v>
      </c>
      <c r="K48">
        <v>0</v>
      </c>
      <c r="L48" t="s">
        <v>167</v>
      </c>
      <c r="N48" t="s">
        <v>191</v>
      </c>
      <c r="O48" t="s">
        <v>267</v>
      </c>
      <c r="P48">
        <v>0.12517047515441818</v>
      </c>
      <c r="Q48" t="s">
        <v>167</v>
      </c>
      <c r="S48" t="s">
        <v>201</v>
      </c>
      <c r="T48" t="s">
        <v>267</v>
      </c>
      <c r="U48">
        <v>0.11923644111067554</v>
      </c>
      <c r="V48" t="s">
        <v>167</v>
      </c>
      <c r="AK48">
        <v>2034</v>
      </c>
      <c r="AL48" t="s">
        <v>262</v>
      </c>
      <c r="AM48">
        <v>0.4088</v>
      </c>
      <c r="AN48" t="s">
        <v>217</v>
      </c>
    </row>
    <row r="49" spans="9:40" x14ac:dyDescent="0.45">
      <c r="I49" t="s">
        <v>181</v>
      </c>
      <c r="J49" t="s">
        <v>268</v>
      </c>
      <c r="K49">
        <v>5.2454738327286973E-3</v>
      </c>
      <c r="L49" t="s">
        <v>167</v>
      </c>
      <c r="N49" t="s">
        <v>191</v>
      </c>
      <c r="O49" t="s">
        <v>268</v>
      </c>
      <c r="P49">
        <v>2.1842525838327027E-2</v>
      </c>
      <c r="Q49" t="s">
        <v>167</v>
      </c>
      <c r="S49" t="s">
        <v>201</v>
      </c>
      <c r="T49" t="s">
        <v>268</v>
      </c>
      <c r="U49">
        <v>2.1823801052194041E-2</v>
      </c>
      <c r="V49" t="s">
        <v>167</v>
      </c>
      <c r="AK49">
        <v>2034</v>
      </c>
      <c r="AL49" t="s">
        <v>263</v>
      </c>
      <c r="AM49">
        <v>0.43366666666666664</v>
      </c>
      <c r="AN49" t="s">
        <v>217</v>
      </c>
    </row>
    <row r="50" spans="9:40" x14ac:dyDescent="0.45">
      <c r="I50" t="s">
        <v>181</v>
      </c>
      <c r="J50" t="s">
        <v>269</v>
      </c>
      <c r="K50">
        <v>0.31162874427481618</v>
      </c>
      <c r="L50" t="s">
        <v>167</v>
      </c>
      <c r="N50" t="s">
        <v>191</v>
      </c>
      <c r="O50" t="s">
        <v>269</v>
      </c>
      <c r="P50">
        <v>0.10980279500102366</v>
      </c>
      <c r="Q50" t="s">
        <v>167</v>
      </c>
      <c r="S50" t="s">
        <v>201</v>
      </c>
      <c r="T50" t="s">
        <v>269</v>
      </c>
      <c r="U50">
        <v>0.12100068151082084</v>
      </c>
      <c r="V50" t="s">
        <v>167</v>
      </c>
      <c r="AK50">
        <v>2034</v>
      </c>
      <c r="AL50" t="s">
        <v>265</v>
      </c>
      <c r="AM50">
        <v>0.34793333333333337</v>
      </c>
      <c r="AN50" t="s">
        <v>217</v>
      </c>
    </row>
    <row r="51" spans="9:40" x14ac:dyDescent="0.45">
      <c r="I51" t="s">
        <v>181</v>
      </c>
      <c r="J51" t="s">
        <v>270</v>
      </c>
      <c r="K51">
        <v>1.237600209900166E-2</v>
      </c>
      <c r="L51" t="s">
        <v>167</v>
      </c>
      <c r="N51" t="s">
        <v>191</v>
      </c>
      <c r="O51" t="s">
        <v>270</v>
      </c>
      <c r="P51">
        <v>0.11595548241883898</v>
      </c>
      <c r="Q51" t="s">
        <v>167</v>
      </c>
      <c r="S51" t="s">
        <v>201</v>
      </c>
      <c r="T51" t="s">
        <v>270</v>
      </c>
      <c r="U51">
        <v>0.11189598837917751</v>
      </c>
      <c r="V51" t="s">
        <v>167</v>
      </c>
      <c r="AK51">
        <v>2035</v>
      </c>
      <c r="AL51" t="s">
        <v>260</v>
      </c>
      <c r="AM51">
        <v>0.33866666666666667</v>
      </c>
      <c r="AN51" t="s">
        <v>217</v>
      </c>
    </row>
    <row r="52" spans="9:40" x14ac:dyDescent="0.45">
      <c r="I52" t="s">
        <v>181</v>
      </c>
      <c r="J52" t="s">
        <v>271</v>
      </c>
      <c r="K52">
        <v>3.4167898630850027E-2</v>
      </c>
      <c r="L52" t="s">
        <v>167</v>
      </c>
      <c r="N52" t="s">
        <v>191</v>
      </c>
      <c r="O52" t="s">
        <v>271</v>
      </c>
      <c r="P52">
        <v>2.0131304282160142E-2</v>
      </c>
      <c r="Q52" t="s">
        <v>167</v>
      </c>
      <c r="S52" t="s">
        <v>201</v>
      </c>
      <c r="T52" t="s">
        <v>271</v>
      </c>
      <c r="U52">
        <v>2.1557983694372181E-2</v>
      </c>
      <c r="V52" t="s">
        <v>167</v>
      </c>
      <c r="AK52">
        <v>2035</v>
      </c>
      <c r="AL52" t="s">
        <v>262</v>
      </c>
      <c r="AM52">
        <v>0.46266666666666673</v>
      </c>
      <c r="AN52" t="s">
        <v>217</v>
      </c>
    </row>
    <row r="53" spans="9:40" x14ac:dyDescent="0.45">
      <c r="I53" t="s">
        <v>181</v>
      </c>
      <c r="J53" t="s">
        <v>272</v>
      </c>
      <c r="K53">
        <v>0.35028172884884062</v>
      </c>
      <c r="L53" t="s">
        <v>167</v>
      </c>
      <c r="N53" t="s">
        <v>191</v>
      </c>
      <c r="O53" t="s">
        <v>272</v>
      </c>
      <c r="P53">
        <v>8.694726130626429E-2</v>
      </c>
      <c r="Q53" t="s">
        <v>167</v>
      </c>
      <c r="S53" t="s">
        <v>201</v>
      </c>
      <c r="T53" t="s">
        <v>272</v>
      </c>
      <c r="U53">
        <v>8.6962729459754112E-2</v>
      </c>
      <c r="V53" t="s">
        <v>167</v>
      </c>
      <c r="AK53">
        <v>2035</v>
      </c>
      <c r="AL53" t="s">
        <v>263</v>
      </c>
      <c r="AM53">
        <v>0.45926666666666666</v>
      </c>
      <c r="AN53" t="s">
        <v>217</v>
      </c>
    </row>
    <row r="54" spans="9:40" x14ac:dyDescent="0.45">
      <c r="I54" t="s">
        <v>181</v>
      </c>
      <c r="J54" t="s">
        <v>273</v>
      </c>
      <c r="K54">
        <v>3.3558978015064363E-2</v>
      </c>
      <c r="L54" t="s">
        <v>167</v>
      </c>
      <c r="N54" t="s">
        <v>191</v>
      </c>
      <c r="O54" t="s">
        <v>273</v>
      </c>
      <c r="P54">
        <v>9.2314575039454574E-2</v>
      </c>
      <c r="Q54" t="s">
        <v>167</v>
      </c>
      <c r="S54" t="s">
        <v>201</v>
      </c>
      <c r="T54" t="s">
        <v>273</v>
      </c>
      <c r="U54">
        <v>9.6057873432761468E-2</v>
      </c>
      <c r="V54" t="s">
        <v>167</v>
      </c>
      <c r="AK54">
        <v>2035</v>
      </c>
      <c r="AL54" t="s">
        <v>265</v>
      </c>
      <c r="AM54">
        <v>0.35126666666666667</v>
      </c>
      <c r="AN54" t="s">
        <v>217</v>
      </c>
    </row>
    <row r="55" spans="9:40" x14ac:dyDescent="0.45">
      <c r="I55" t="s">
        <v>181</v>
      </c>
      <c r="J55" t="s">
        <v>274</v>
      </c>
      <c r="K55">
        <v>4.8498344962072136E-2</v>
      </c>
      <c r="L55" t="s">
        <v>167</v>
      </c>
      <c r="N55" t="s">
        <v>191</v>
      </c>
      <c r="O55" t="s">
        <v>274</v>
      </c>
      <c r="P55">
        <v>1.7920203097443358E-2</v>
      </c>
      <c r="Q55" t="s">
        <v>167</v>
      </c>
      <c r="S55" t="s">
        <v>201</v>
      </c>
      <c r="T55" t="s">
        <v>274</v>
      </c>
      <c r="U55">
        <v>1.8849421759436501E-2</v>
      </c>
      <c r="V55" t="s">
        <v>167</v>
      </c>
      <c r="AK55">
        <v>2036</v>
      </c>
      <c r="AL55" t="s">
        <v>260</v>
      </c>
      <c r="AM55">
        <v>0.33046666666666669</v>
      </c>
      <c r="AN55" t="s">
        <v>217</v>
      </c>
    </row>
    <row r="56" spans="9:40" x14ac:dyDescent="0.45">
      <c r="I56" t="s">
        <v>181</v>
      </c>
      <c r="J56" t="s">
        <v>275</v>
      </c>
      <c r="K56">
        <v>6.5118159875516904E-2</v>
      </c>
      <c r="L56" t="s">
        <v>167</v>
      </c>
      <c r="N56" t="s">
        <v>191</v>
      </c>
      <c r="O56" t="s">
        <v>275</v>
      </c>
      <c r="P56">
        <v>0.13371621849556659</v>
      </c>
      <c r="Q56" t="s">
        <v>167</v>
      </c>
      <c r="S56" t="s">
        <v>201</v>
      </c>
      <c r="T56" t="s">
        <v>275</v>
      </c>
      <c r="U56">
        <v>0.13708675133840906</v>
      </c>
      <c r="V56" t="s">
        <v>167</v>
      </c>
      <c r="AK56">
        <v>2036</v>
      </c>
      <c r="AL56" t="s">
        <v>262</v>
      </c>
      <c r="AM56">
        <v>0.46349999999999997</v>
      </c>
      <c r="AN56" t="s">
        <v>217</v>
      </c>
    </row>
    <row r="57" spans="9:40" x14ac:dyDescent="0.45">
      <c r="I57" t="s">
        <v>181</v>
      </c>
      <c r="J57" t="s">
        <v>276</v>
      </c>
      <c r="K57">
        <v>0</v>
      </c>
      <c r="L57" t="s">
        <v>167</v>
      </c>
      <c r="N57" t="s">
        <v>191</v>
      </c>
      <c r="O57" t="s">
        <v>276</v>
      </c>
      <c r="P57">
        <v>0.13286823963360625</v>
      </c>
      <c r="Q57" t="s">
        <v>167</v>
      </c>
      <c r="S57" t="s">
        <v>201</v>
      </c>
      <c r="T57" t="s">
        <v>276</v>
      </c>
      <c r="U57">
        <v>0.12715418262231348</v>
      </c>
      <c r="V57" t="s">
        <v>167</v>
      </c>
      <c r="AK57">
        <v>2036</v>
      </c>
      <c r="AL57" t="s">
        <v>263</v>
      </c>
      <c r="AM57">
        <v>0.45710000000000001</v>
      </c>
      <c r="AN57" t="s">
        <v>217</v>
      </c>
    </row>
    <row r="58" spans="9:40" x14ac:dyDescent="0.45">
      <c r="I58" t="s">
        <v>181</v>
      </c>
      <c r="J58" t="s">
        <v>277</v>
      </c>
      <c r="K58">
        <v>8.3885939377705281E-4</v>
      </c>
      <c r="L58" t="s">
        <v>167</v>
      </c>
      <c r="N58" t="s">
        <v>191</v>
      </c>
      <c r="O58" t="s">
        <v>277</v>
      </c>
      <c r="P58">
        <v>2.4617946602526131E-2</v>
      </c>
      <c r="Q58" t="s">
        <v>167</v>
      </c>
      <c r="S58" t="s">
        <v>201</v>
      </c>
      <c r="T58" t="s">
        <v>277</v>
      </c>
      <c r="U58">
        <v>2.4174515544271691E-2</v>
      </c>
      <c r="V58" t="s">
        <v>167</v>
      </c>
      <c r="AK58">
        <v>2036</v>
      </c>
      <c r="AL58" t="s">
        <v>265</v>
      </c>
      <c r="AM58">
        <v>0.35296666666666665</v>
      </c>
      <c r="AN58" t="s">
        <v>217</v>
      </c>
    </row>
    <row r="59" spans="9:40" x14ac:dyDescent="0.45">
      <c r="I59" t="s">
        <v>182</v>
      </c>
      <c r="J59" t="s">
        <v>266</v>
      </c>
      <c r="K59">
        <v>0.14318871283652321</v>
      </c>
      <c r="L59" t="s">
        <v>167</v>
      </c>
      <c r="N59" t="s">
        <v>192</v>
      </c>
      <c r="O59" t="s">
        <v>266</v>
      </c>
      <c r="P59">
        <v>0.11688172057549545</v>
      </c>
      <c r="Q59" t="s">
        <v>167</v>
      </c>
      <c r="S59" t="s">
        <v>202</v>
      </c>
      <c r="T59" t="s">
        <v>266</v>
      </c>
      <c r="U59">
        <v>0.11977181138575342</v>
      </c>
      <c r="V59" t="s">
        <v>167</v>
      </c>
      <c r="AK59">
        <v>2037</v>
      </c>
      <c r="AL59" t="s">
        <v>260</v>
      </c>
      <c r="AM59">
        <v>0.35543333333333332</v>
      </c>
      <c r="AN59" t="s">
        <v>217</v>
      </c>
    </row>
    <row r="60" spans="9:40" x14ac:dyDescent="0.45">
      <c r="I60" t="s">
        <v>182</v>
      </c>
      <c r="J60" t="s">
        <v>267</v>
      </c>
      <c r="K60">
        <v>0</v>
      </c>
      <c r="L60" t="s">
        <v>167</v>
      </c>
      <c r="N60" t="s">
        <v>192</v>
      </c>
      <c r="O60" t="s">
        <v>267</v>
      </c>
      <c r="P60">
        <v>0.1280220244759136</v>
      </c>
      <c r="Q60" t="s">
        <v>167</v>
      </c>
      <c r="S60" t="s">
        <v>202</v>
      </c>
      <c r="T60" t="s">
        <v>267</v>
      </c>
      <c r="U60">
        <v>0.12481233702026066</v>
      </c>
      <c r="V60" t="s">
        <v>167</v>
      </c>
      <c r="AK60">
        <v>2037</v>
      </c>
      <c r="AL60" t="s">
        <v>262</v>
      </c>
      <c r="AM60">
        <v>0.43656666666666671</v>
      </c>
      <c r="AN60" t="s">
        <v>217</v>
      </c>
    </row>
    <row r="61" spans="9:40" x14ac:dyDescent="0.45">
      <c r="I61" t="s">
        <v>182</v>
      </c>
      <c r="J61" t="s">
        <v>268</v>
      </c>
      <c r="K61">
        <v>5.3108991765941386E-3</v>
      </c>
      <c r="L61" t="s">
        <v>167</v>
      </c>
      <c r="N61" t="s">
        <v>192</v>
      </c>
      <c r="O61" t="s">
        <v>268</v>
      </c>
      <c r="P61">
        <v>2.1379111736579356E-2</v>
      </c>
      <c r="Q61" t="s">
        <v>167</v>
      </c>
      <c r="S61" t="s">
        <v>202</v>
      </c>
      <c r="T61" t="s">
        <v>268</v>
      </c>
      <c r="U61">
        <v>2.1718206779350654E-2</v>
      </c>
      <c r="V61" t="s">
        <v>167</v>
      </c>
      <c r="AK61">
        <v>2037</v>
      </c>
      <c r="AL61" t="s">
        <v>263</v>
      </c>
      <c r="AM61">
        <v>0.40476666666666666</v>
      </c>
      <c r="AN61" t="s">
        <v>217</v>
      </c>
    </row>
    <row r="62" spans="9:40" x14ac:dyDescent="0.45">
      <c r="I62" t="s">
        <v>182</v>
      </c>
      <c r="J62" t="s">
        <v>269</v>
      </c>
      <c r="K62">
        <v>0.31468135450833301</v>
      </c>
      <c r="L62" t="s">
        <v>167</v>
      </c>
      <c r="N62" t="s">
        <v>192</v>
      </c>
      <c r="O62" t="s">
        <v>269</v>
      </c>
      <c r="P62">
        <v>0.10714104446481736</v>
      </c>
      <c r="Q62" t="s">
        <v>167</v>
      </c>
      <c r="S62" t="s">
        <v>202</v>
      </c>
      <c r="T62" t="s">
        <v>269</v>
      </c>
      <c r="U62">
        <v>0.11240049347899989</v>
      </c>
      <c r="V62" t="s">
        <v>167</v>
      </c>
      <c r="AK62">
        <v>2037</v>
      </c>
      <c r="AL62" t="s">
        <v>265</v>
      </c>
      <c r="AM62">
        <v>0.34356666666666663</v>
      </c>
      <c r="AN62" t="s">
        <v>217</v>
      </c>
    </row>
    <row r="63" spans="9:40" x14ac:dyDescent="0.45">
      <c r="I63" t="s">
        <v>182</v>
      </c>
      <c r="J63" t="s">
        <v>270</v>
      </c>
      <c r="K63">
        <v>1.2170629006005343E-2</v>
      </c>
      <c r="L63" t="s">
        <v>167</v>
      </c>
      <c r="N63" t="s">
        <v>192</v>
      </c>
      <c r="O63" t="s">
        <v>270</v>
      </c>
      <c r="P63">
        <v>0.11992486054938008</v>
      </c>
      <c r="Q63" t="s">
        <v>167</v>
      </c>
      <c r="S63" t="s">
        <v>202</v>
      </c>
      <c r="T63" t="s">
        <v>270</v>
      </c>
      <c r="U63">
        <v>0.1121655591395047</v>
      </c>
      <c r="V63" t="s">
        <v>167</v>
      </c>
      <c r="AK63">
        <v>2038</v>
      </c>
      <c r="AL63" t="s">
        <v>260</v>
      </c>
      <c r="AM63">
        <v>0.34246666666666664</v>
      </c>
      <c r="AN63" t="s">
        <v>217</v>
      </c>
    </row>
    <row r="64" spans="9:40" x14ac:dyDescent="0.45">
      <c r="I64" t="s">
        <v>182</v>
      </c>
      <c r="J64" t="s">
        <v>271</v>
      </c>
      <c r="K64">
        <v>3.0820566147175429E-2</v>
      </c>
      <c r="L64" t="s">
        <v>167</v>
      </c>
      <c r="N64" t="s">
        <v>192</v>
      </c>
      <c r="O64" t="s">
        <v>271</v>
      </c>
      <c r="P64">
        <v>2.0106586913352931E-2</v>
      </c>
      <c r="Q64" t="s">
        <v>167</v>
      </c>
      <c r="S64" t="s">
        <v>202</v>
      </c>
      <c r="T64" t="s">
        <v>271</v>
      </c>
      <c r="U64">
        <v>2.0509658407119657E-2</v>
      </c>
      <c r="V64" t="s">
        <v>167</v>
      </c>
      <c r="AK64">
        <v>2038</v>
      </c>
      <c r="AL64" t="s">
        <v>262</v>
      </c>
      <c r="AM64">
        <v>0.44283333333333336</v>
      </c>
      <c r="AN64" t="s">
        <v>217</v>
      </c>
    </row>
    <row r="65" spans="9:40" x14ac:dyDescent="0.45">
      <c r="I65" t="s">
        <v>182</v>
      </c>
      <c r="J65" t="s">
        <v>272</v>
      </c>
      <c r="K65">
        <v>0.35054248412488809</v>
      </c>
      <c r="L65" t="s">
        <v>167</v>
      </c>
      <c r="N65" t="s">
        <v>192</v>
      </c>
      <c r="O65" t="s">
        <v>272</v>
      </c>
      <c r="P65">
        <v>8.8193600340808351E-2</v>
      </c>
      <c r="Q65" t="s">
        <v>167</v>
      </c>
      <c r="S65" t="s">
        <v>202</v>
      </c>
      <c r="T65" t="s">
        <v>272</v>
      </c>
      <c r="U65">
        <v>8.6384863025241232E-2</v>
      </c>
      <c r="V65" t="s">
        <v>167</v>
      </c>
      <c r="AK65">
        <v>2038</v>
      </c>
      <c r="AL65" t="s">
        <v>263</v>
      </c>
      <c r="AM65">
        <v>0.41476666666666667</v>
      </c>
      <c r="AN65" t="s">
        <v>217</v>
      </c>
    </row>
    <row r="66" spans="9:40" x14ac:dyDescent="0.45">
      <c r="I66" t="s">
        <v>182</v>
      </c>
      <c r="J66" t="s">
        <v>273</v>
      </c>
      <c r="K66">
        <v>3.2820930814558544E-2</v>
      </c>
      <c r="L66" t="s">
        <v>167</v>
      </c>
      <c r="N66" t="s">
        <v>192</v>
      </c>
      <c r="O66" t="s">
        <v>273</v>
      </c>
      <c r="P66">
        <v>9.5905481326419156E-2</v>
      </c>
      <c r="Q66" t="s">
        <v>167</v>
      </c>
      <c r="S66" t="s">
        <v>202</v>
      </c>
      <c r="T66" t="s">
        <v>273</v>
      </c>
      <c r="U66">
        <v>9.644481018069527E-2</v>
      </c>
      <c r="V66" t="s">
        <v>167</v>
      </c>
      <c r="AK66">
        <v>2038</v>
      </c>
      <c r="AL66" t="s">
        <v>265</v>
      </c>
      <c r="AM66">
        <v>0.36220000000000002</v>
      </c>
      <c r="AN66" t="s">
        <v>217</v>
      </c>
    </row>
    <row r="67" spans="9:40" x14ac:dyDescent="0.45">
      <c r="I67" t="s">
        <v>182</v>
      </c>
      <c r="J67" t="s">
        <v>274</v>
      </c>
      <c r="K67">
        <v>4.6195574657223432E-2</v>
      </c>
      <c r="L67" t="s">
        <v>167</v>
      </c>
      <c r="N67" t="s">
        <v>192</v>
      </c>
      <c r="O67" t="s">
        <v>274</v>
      </c>
      <c r="P67">
        <v>1.7262194253328395E-2</v>
      </c>
      <c r="Q67" t="s">
        <v>167</v>
      </c>
      <c r="S67" t="s">
        <v>202</v>
      </c>
      <c r="T67" t="s">
        <v>274</v>
      </c>
      <c r="U67">
        <v>1.8084884006907997E-2</v>
      </c>
      <c r="V67" t="s">
        <v>167</v>
      </c>
      <c r="AK67">
        <v>2039</v>
      </c>
      <c r="AL67" t="s">
        <v>260</v>
      </c>
      <c r="AM67">
        <v>0.28749999999999998</v>
      </c>
      <c r="AN67" t="s">
        <v>217</v>
      </c>
    </row>
    <row r="68" spans="9:40" x14ac:dyDescent="0.45">
      <c r="I68" t="s">
        <v>182</v>
      </c>
      <c r="J68" t="s">
        <v>275</v>
      </c>
      <c r="K68">
        <v>6.3889406542526686E-2</v>
      </c>
      <c r="L68" t="s">
        <v>167</v>
      </c>
      <c r="N68" t="s">
        <v>192</v>
      </c>
      <c r="O68" t="s">
        <v>275</v>
      </c>
      <c r="P68">
        <v>0.12957691104628044</v>
      </c>
      <c r="Q68" t="s">
        <v>167</v>
      </c>
      <c r="S68" t="s">
        <v>202</v>
      </c>
      <c r="T68" t="s">
        <v>275</v>
      </c>
      <c r="U68">
        <v>0.13488596242438558</v>
      </c>
      <c r="V68" t="s">
        <v>167</v>
      </c>
      <c r="AK68">
        <v>2039</v>
      </c>
      <c r="AL68" t="s">
        <v>262</v>
      </c>
      <c r="AM68">
        <v>0.39889999999999998</v>
      </c>
      <c r="AN68" t="s">
        <v>217</v>
      </c>
    </row>
    <row r="69" spans="9:40" x14ac:dyDescent="0.45">
      <c r="I69" t="s">
        <v>182</v>
      </c>
      <c r="J69" t="s">
        <v>276</v>
      </c>
      <c r="K69">
        <v>0</v>
      </c>
      <c r="L69" t="s">
        <v>167</v>
      </c>
      <c r="N69" t="s">
        <v>192</v>
      </c>
      <c r="O69" t="s">
        <v>276</v>
      </c>
      <c r="P69">
        <v>0.13083524801033727</v>
      </c>
      <c r="Q69" t="s">
        <v>167</v>
      </c>
      <c r="S69" t="s">
        <v>202</v>
      </c>
      <c r="T69" t="s">
        <v>276</v>
      </c>
      <c r="U69">
        <v>0.12798767149939319</v>
      </c>
      <c r="V69" t="s">
        <v>167</v>
      </c>
      <c r="AK69">
        <v>2039</v>
      </c>
      <c r="AL69" t="s">
        <v>263</v>
      </c>
      <c r="AM69">
        <v>0.35796666666666671</v>
      </c>
      <c r="AN69" t="s">
        <v>217</v>
      </c>
    </row>
    <row r="70" spans="9:40" x14ac:dyDescent="0.45">
      <c r="I70" t="s">
        <v>182</v>
      </c>
      <c r="J70" t="s">
        <v>277</v>
      </c>
      <c r="K70">
        <v>3.7944218617026916E-4</v>
      </c>
      <c r="L70" t="s">
        <v>167</v>
      </c>
      <c r="N70" t="s">
        <v>192</v>
      </c>
      <c r="O70" t="s">
        <v>277</v>
      </c>
      <c r="P70">
        <v>2.4771216307290664E-2</v>
      </c>
      <c r="Q70" t="s">
        <v>167</v>
      </c>
      <c r="S70" t="s">
        <v>202</v>
      </c>
      <c r="T70" t="s">
        <v>277</v>
      </c>
      <c r="U70">
        <v>2.4833742652384912E-2</v>
      </c>
      <c r="V70" t="s">
        <v>167</v>
      </c>
      <c r="AK70">
        <v>2039</v>
      </c>
      <c r="AL70" t="s">
        <v>265</v>
      </c>
      <c r="AM70">
        <v>0.30423333333333336</v>
      </c>
      <c r="AN70" t="s">
        <v>217</v>
      </c>
    </row>
    <row r="71" spans="9:40" x14ac:dyDescent="0.45">
      <c r="I71" t="s">
        <v>183</v>
      </c>
      <c r="J71" t="s">
        <v>266</v>
      </c>
      <c r="K71">
        <v>0.14028267347122916</v>
      </c>
      <c r="L71" t="s">
        <v>167</v>
      </c>
      <c r="N71" t="s">
        <v>193</v>
      </c>
      <c r="O71" t="s">
        <v>266</v>
      </c>
      <c r="P71">
        <v>0.12066497211061848</v>
      </c>
      <c r="Q71" t="s">
        <v>167</v>
      </c>
      <c r="S71" t="s">
        <v>203</v>
      </c>
      <c r="T71" t="s">
        <v>266</v>
      </c>
      <c r="U71">
        <v>0.12058286306280433</v>
      </c>
      <c r="V71" t="s">
        <v>167</v>
      </c>
      <c r="AK71">
        <v>2040</v>
      </c>
      <c r="AL71" t="s">
        <v>260</v>
      </c>
      <c r="AM71">
        <v>0.30553333333333332</v>
      </c>
      <c r="AN71" t="s">
        <v>217</v>
      </c>
    </row>
    <row r="72" spans="9:40" x14ac:dyDescent="0.45">
      <c r="I72" t="s">
        <v>183</v>
      </c>
      <c r="J72" t="s">
        <v>267</v>
      </c>
      <c r="K72">
        <v>0</v>
      </c>
      <c r="L72" t="s">
        <v>167</v>
      </c>
      <c r="N72" t="s">
        <v>193</v>
      </c>
      <c r="O72" t="s">
        <v>267</v>
      </c>
      <c r="P72">
        <v>0.12603919143387879</v>
      </c>
      <c r="Q72" t="s">
        <v>167</v>
      </c>
      <c r="S72" t="s">
        <v>203</v>
      </c>
      <c r="T72" t="s">
        <v>267</v>
      </c>
      <c r="U72">
        <v>0.12990092086744304</v>
      </c>
      <c r="V72" t="s">
        <v>167</v>
      </c>
      <c r="AK72">
        <v>2040</v>
      </c>
      <c r="AL72" t="s">
        <v>262</v>
      </c>
      <c r="AM72">
        <v>0.3493</v>
      </c>
      <c r="AN72" t="s">
        <v>217</v>
      </c>
    </row>
    <row r="73" spans="9:40" x14ac:dyDescent="0.45">
      <c r="I73" t="s">
        <v>183</v>
      </c>
      <c r="J73" t="s">
        <v>268</v>
      </c>
      <c r="K73">
        <v>5.0579775560110202E-3</v>
      </c>
      <c r="L73" t="s">
        <v>167</v>
      </c>
      <c r="N73" t="s">
        <v>193</v>
      </c>
      <c r="O73" t="s">
        <v>268</v>
      </c>
      <c r="P73">
        <v>2.2799300553661538E-2</v>
      </c>
      <c r="Q73" t="s">
        <v>167</v>
      </c>
      <c r="S73" t="s">
        <v>203</v>
      </c>
      <c r="T73" t="s">
        <v>268</v>
      </c>
      <c r="U73">
        <v>2.1931721359984013E-2</v>
      </c>
      <c r="V73" t="s">
        <v>167</v>
      </c>
      <c r="AK73">
        <v>2040</v>
      </c>
      <c r="AL73" t="s">
        <v>263</v>
      </c>
      <c r="AM73">
        <v>0.37179999999999996</v>
      </c>
      <c r="AN73" t="s">
        <v>217</v>
      </c>
    </row>
    <row r="74" spans="9:40" x14ac:dyDescent="0.45">
      <c r="I74" t="s">
        <v>183</v>
      </c>
      <c r="J74" t="s">
        <v>269</v>
      </c>
      <c r="K74">
        <v>0.32027522360985666</v>
      </c>
      <c r="L74" t="s">
        <v>167</v>
      </c>
      <c r="N74" t="s">
        <v>193</v>
      </c>
      <c r="O74" t="s">
        <v>269</v>
      </c>
      <c r="P74">
        <v>0.10747356539175415</v>
      </c>
      <c r="Q74" t="s">
        <v>167</v>
      </c>
      <c r="S74" t="s">
        <v>203</v>
      </c>
      <c r="T74" t="s">
        <v>269</v>
      </c>
      <c r="U74">
        <v>0.10650750117694174</v>
      </c>
      <c r="V74" t="s">
        <v>167</v>
      </c>
      <c r="AK74">
        <v>2040</v>
      </c>
      <c r="AL74" t="s">
        <v>265</v>
      </c>
      <c r="AM74">
        <v>0.32149999999999995</v>
      </c>
      <c r="AN74" t="s">
        <v>217</v>
      </c>
    </row>
    <row r="75" spans="9:40" x14ac:dyDescent="0.45">
      <c r="I75" t="s">
        <v>183</v>
      </c>
      <c r="J75" t="s">
        <v>270</v>
      </c>
      <c r="K75">
        <v>1.1627707593616272E-2</v>
      </c>
      <c r="L75" t="s">
        <v>167</v>
      </c>
      <c r="N75" t="s">
        <v>193</v>
      </c>
      <c r="O75" t="s">
        <v>270</v>
      </c>
      <c r="P75">
        <v>0.11430668861448355</v>
      </c>
      <c r="Q75" t="s">
        <v>167</v>
      </c>
      <c r="S75" t="s">
        <v>203</v>
      </c>
      <c r="T75" t="s">
        <v>270</v>
      </c>
      <c r="U75">
        <v>0.11837626433154846</v>
      </c>
      <c r="V75" t="s">
        <v>167</v>
      </c>
      <c r="AK75">
        <v>2041</v>
      </c>
      <c r="AL75" t="s">
        <v>260</v>
      </c>
      <c r="AM75">
        <v>0.30353333333333332</v>
      </c>
      <c r="AN75" t="s">
        <v>217</v>
      </c>
    </row>
    <row r="76" spans="9:40" x14ac:dyDescent="0.45">
      <c r="I76" t="s">
        <v>183</v>
      </c>
      <c r="J76" t="s">
        <v>271</v>
      </c>
      <c r="K76">
        <v>3.0838314958710519E-2</v>
      </c>
      <c r="L76" t="s">
        <v>167</v>
      </c>
      <c r="N76" t="s">
        <v>193</v>
      </c>
      <c r="O76" t="s">
        <v>271</v>
      </c>
      <c r="P76">
        <v>1.9871012595237218E-2</v>
      </c>
      <c r="Q76" t="s">
        <v>167</v>
      </c>
      <c r="S76" t="s">
        <v>203</v>
      </c>
      <c r="T76" t="s">
        <v>271</v>
      </c>
      <c r="U76">
        <v>2.0075428716789908E-2</v>
      </c>
      <c r="V76" t="s">
        <v>167</v>
      </c>
      <c r="AK76">
        <v>2041</v>
      </c>
      <c r="AL76" t="s">
        <v>262</v>
      </c>
      <c r="AM76">
        <v>0.37843333333333334</v>
      </c>
      <c r="AN76" t="s">
        <v>217</v>
      </c>
    </row>
    <row r="77" spans="9:40" x14ac:dyDescent="0.45">
      <c r="I77" t="s">
        <v>183</v>
      </c>
      <c r="J77" t="s">
        <v>272</v>
      </c>
      <c r="K77">
        <v>0.34786757624562442</v>
      </c>
      <c r="L77" t="s">
        <v>167</v>
      </c>
      <c r="N77" t="s">
        <v>193</v>
      </c>
      <c r="O77" t="s">
        <v>272</v>
      </c>
      <c r="P77">
        <v>8.7535986998337506E-2</v>
      </c>
      <c r="Q77" t="s">
        <v>167</v>
      </c>
      <c r="S77" t="s">
        <v>203</v>
      </c>
      <c r="T77" t="s">
        <v>272</v>
      </c>
      <c r="U77">
        <v>8.2913071158168386E-2</v>
      </c>
      <c r="V77" t="s">
        <v>167</v>
      </c>
      <c r="AK77">
        <v>2041</v>
      </c>
      <c r="AL77" t="s">
        <v>263</v>
      </c>
      <c r="AM77">
        <v>0.38900000000000001</v>
      </c>
      <c r="AN77" t="s">
        <v>217</v>
      </c>
    </row>
    <row r="78" spans="9:40" x14ac:dyDescent="0.45">
      <c r="I78" t="s">
        <v>183</v>
      </c>
      <c r="J78" t="s">
        <v>273</v>
      </c>
      <c r="K78">
        <v>3.1590339398807836E-2</v>
      </c>
      <c r="L78" t="s">
        <v>167</v>
      </c>
      <c r="N78" t="s">
        <v>193</v>
      </c>
      <c r="O78" t="s">
        <v>273</v>
      </c>
      <c r="P78">
        <v>9.1983919718740925E-2</v>
      </c>
      <c r="Q78" t="s">
        <v>167</v>
      </c>
      <c r="S78" t="s">
        <v>203</v>
      </c>
      <c r="T78" t="s">
        <v>273</v>
      </c>
      <c r="U78">
        <v>9.4556765827570305E-2</v>
      </c>
      <c r="V78" t="s">
        <v>167</v>
      </c>
      <c r="AK78">
        <v>2041</v>
      </c>
      <c r="AL78" t="s">
        <v>265</v>
      </c>
      <c r="AM78">
        <v>0.30156666666666671</v>
      </c>
      <c r="AN78" t="s">
        <v>217</v>
      </c>
    </row>
    <row r="79" spans="9:40" x14ac:dyDescent="0.45">
      <c r="I79" t="s">
        <v>183</v>
      </c>
      <c r="J79" t="s">
        <v>274</v>
      </c>
      <c r="K79">
        <v>4.4964915120509284E-2</v>
      </c>
      <c r="L79" t="s">
        <v>167</v>
      </c>
      <c r="N79" t="s">
        <v>193</v>
      </c>
      <c r="O79" t="s">
        <v>274</v>
      </c>
      <c r="P79">
        <v>1.6949417203393505E-2</v>
      </c>
      <c r="Q79" t="s">
        <v>167</v>
      </c>
      <c r="S79" t="s">
        <v>203</v>
      </c>
      <c r="T79" t="s">
        <v>274</v>
      </c>
      <c r="U79">
        <v>1.669126453042797E-2</v>
      </c>
      <c r="V79" t="s">
        <v>167</v>
      </c>
      <c r="AK79">
        <v>2042</v>
      </c>
      <c r="AL79" t="s">
        <v>260</v>
      </c>
      <c r="AM79">
        <v>0.39826666666666671</v>
      </c>
      <c r="AN79" t="s">
        <v>217</v>
      </c>
    </row>
    <row r="80" spans="9:40" x14ac:dyDescent="0.45">
      <c r="I80" t="s">
        <v>183</v>
      </c>
      <c r="J80" t="s">
        <v>275</v>
      </c>
      <c r="K80">
        <v>6.7011556782168663E-2</v>
      </c>
      <c r="L80" t="s">
        <v>167</v>
      </c>
      <c r="N80" t="s">
        <v>193</v>
      </c>
      <c r="O80" t="s">
        <v>275</v>
      </c>
      <c r="P80">
        <v>0.13431071630765698</v>
      </c>
      <c r="Q80" t="s">
        <v>167</v>
      </c>
      <c r="S80" t="s">
        <v>203</v>
      </c>
      <c r="T80" t="s">
        <v>275</v>
      </c>
      <c r="U80">
        <v>0.13289267922335446</v>
      </c>
      <c r="V80" t="s">
        <v>167</v>
      </c>
      <c r="AK80">
        <v>2042</v>
      </c>
      <c r="AL80" t="s">
        <v>262</v>
      </c>
      <c r="AM80">
        <v>0.49440000000000001</v>
      </c>
      <c r="AN80" t="s">
        <v>217</v>
      </c>
    </row>
    <row r="81" spans="9:40" x14ac:dyDescent="0.45">
      <c r="I81" t="s">
        <v>183</v>
      </c>
      <c r="J81" t="s">
        <v>276</v>
      </c>
      <c r="K81">
        <v>0</v>
      </c>
      <c r="L81" t="s">
        <v>167</v>
      </c>
      <c r="N81" t="s">
        <v>193</v>
      </c>
      <c r="O81" t="s">
        <v>276</v>
      </c>
      <c r="P81">
        <v>0.13304302300075752</v>
      </c>
      <c r="Q81" t="s">
        <v>167</v>
      </c>
      <c r="S81" t="s">
        <v>203</v>
      </c>
      <c r="T81" t="s">
        <v>276</v>
      </c>
      <c r="U81">
        <v>0.13030915879550667</v>
      </c>
      <c r="V81" t="s">
        <v>167</v>
      </c>
      <c r="AK81">
        <v>2042</v>
      </c>
      <c r="AL81" t="s">
        <v>263</v>
      </c>
      <c r="AM81">
        <v>0.52959999999999996</v>
      </c>
      <c r="AN81" t="s">
        <v>217</v>
      </c>
    </row>
    <row r="82" spans="9:40" x14ac:dyDescent="0.45">
      <c r="I82" t="s">
        <v>183</v>
      </c>
      <c r="J82" t="s">
        <v>277</v>
      </c>
      <c r="K82">
        <v>4.8371526346676144E-4</v>
      </c>
      <c r="L82" t="s">
        <v>167</v>
      </c>
      <c r="N82" t="s">
        <v>193</v>
      </c>
      <c r="O82" t="s">
        <v>277</v>
      </c>
      <c r="P82">
        <v>2.5022206071480719E-2</v>
      </c>
      <c r="Q82" t="s">
        <v>167</v>
      </c>
      <c r="S82" t="s">
        <v>203</v>
      </c>
      <c r="T82" t="s">
        <v>277</v>
      </c>
      <c r="U82">
        <v>2.5262360949462808E-2</v>
      </c>
      <c r="V82" t="s">
        <v>167</v>
      </c>
      <c r="AK82">
        <v>2042</v>
      </c>
      <c r="AL82" t="s">
        <v>265</v>
      </c>
      <c r="AM82">
        <v>0.39526666666666666</v>
      </c>
      <c r="AN82" t="s">
        <v>217</v>
      </c>
    </row>
    <row r="83" spans="9:40" x14ac:dyDescent="0.45">
      <c r="I83" t="s">
        <v>184</v>
      </c>
      <c r="J83" t="s">
        <v>266</v>
      </c>
      <c r="K83">
        <v>0.1420970236909391</v>
      </c>
      <c r="L83" t="s">
        <v>167</v>
      </c>
      <c r="N83" t="s">
        <v>194</v>
      </c>
      <c r="O83" t="s">
        <v>266</v>
      </c>
      <c r="P83">
        <v>0.11583784137011677</v>
      </c>
      <c r="Q83" t="s">
        <v>167</v>
      </c>
      <c r="S83" t="s">
        <v>204</v>
      </c>
      <c r="T83" t="s">
        <v>266</v>
      </c>
      <c r="U83">
        <v>0.1156157493819228</v>
      </c>
      <c r="V83" t="s">
        <v>167</v>
      </c>
      <c r="AK83">
        <v>2043</v>
      </c>
      <c r="AL83" t="s">
        <v>260</v>
      </c>
      <c r="AM83">
        <v>0.41979999999999995</v>
      </c>
      <c r="AN83" t="s">
        <v>217</v>
      </c>
    </row>
    <row r="84" spans="9:40" x14ac:dyDescent="0.45">
      <c r="I84" t="s">
        <v>184</v>
      </c>
      <c r="J84" t="s">
        <v>267</v>
      </c>
      <c r="K84">
        <v>0</v>
      </c>
      <c r="L84" t="s">
        <v>167</v>
      </c>
      <c r="N84" t="s">
        <v>194</v>
      </c>
      <c r="O84" t="s">
        <v>267</v>
      </c>
      <c r="P84">
        <v>0.12685693441491822</v>
      </c>
      <c r="Q84" t="s">
        <v>167</v>
      </c>
      <c r="S84" t="s">
        <v>204</v>
      </c>
      <c r="T84" t="s">
        <v>267</v>
      </c>
      <c r="U84">
        <v>0.11963449630276288</v>
      </c>
      <c r="V84" t="s">
        <v>167</v>
      </c>
      <c r="AK84">
        <v>2043</v>
      </c>
      <c r="AL84" t="s">
        <v>262</v>
      </c>
      <c r="AM84">
        <v>0.48603333333333332</v>
      </c>
      <c r="AN84" t="s">
        <v>217</v>
      </c>
    </row>
    <row r="85" spans="9:40" x14ac:dyDescent="0.45">
      <c r="I85" t="s">
        <v>184</v>
      </c>
      <c r="J85" t="s">
        <v>268</v>
      </c>
      <c r="K85">
        <v>4.6277719725372514E-3</v>
      </c>
      <c r="L85" t="s">
        <v>167</v>
      </c>
      <c r="N85" t="s">
        <v>194</v>
      </c>
      <c r="O85" t="s">
        <v>268</v>
      </c>
      <c r="P85">
        <v>2.2676088356822912E-2</v>
      </c>
      <c r="Q85" t="s">
        <v>167</v>
      </c>
      <c r="S85" t="s">
        <v>204</v>
      </c>
      <c r="T85" t="s">
        <v>268</v>
      </c>
      <c r="U85">
        <v>2.2392098689803554E-2</v>
      </c>
      <c r="V85" t="s">
        <v>167</v>
      </c>
      <c r="AK85">
        <v>2043</v>
      </c>
      <c r="AL85" t="s">
        <v>263</v>
      </c>
      <c r="AM85">
        <v>0.48629999999999995</v>
      </c>
      <c r="AN85" t="s">
        <v>217</v>
      </c>
    </row>
    <row r="86" spans="9:40" x14ac:dyDescent="0.45">
      <c r="I86" t="s">
        <v>184</v>
      </c>
      <c r="J86" t="s">
        <v>269</v>
      </c>
      <c r="K86">
        <v>0.3195238806440448</v>
      </c>
      <c r="L86" t="s">
        <v>167</v>
      </c>
      <c r="N86" t="s">
        <v>194</v>
      </c>
      <c r="O86" t="s">
        <v>269</v>
      </c>
      <c r="P86">
        <v>0.10960300863769072</v>
      </c>
      <c r="Q86" t="s">
        <v>167</v>
      </c>
      <c r="S86" t="s">
        <v>204</v>
      </c>
      <c r="T86" t="s">
        <v>269</v>
      </c>
      <c r="U86">
        <v>0.12092999155460452</v>
      </c>
      <c r="V86" t="s">
        <v>167</v>
      </c>
      <c r="AK86">
        <v>2043</v>
      </c>
      <c r="AL86" t="s">
        <v>265</v>
      </c>
      <c r="AM86">
        <v>0.42130000000000001</v>
      </c>
      <c r="AN86" t="s">
        <v>217</v>
      </c>
    </row>
    <row r="87" spans="9:40" x14ac:dyDescent="0.45">
      <c r="I87" t="s">
        <v>184</v>
      </c>
      <c r="J87" t="s">
        <v>270</v>
      </c>
      <c r="K87">
        <v>1.0369976573612355E-2</v>
      </c>
      <c r="L87" t="s">
        <v>167</v>
      </c>
      <c r="N87" t="s">
        <v>194</v>
      </c>
      <c r="O87" t="s">
        <v>270</v>
      </c>
      <c r="P87">
        <v>0.11556805868414975</v>
      </c>
      <c r="Q87" t="s">
        <v>167</v>
      </c>
      <c r="S87" t="s">
        <v>204</v>
      </c>
      <c r="T87" t="s">
        <v>270</v>
      </c>
      <c r="U87">
        <v>0.11689192847169393</v>
      </c>
      <c r="V87" t="s">
        <v>167</v>
      </c>
      <c r="AK87">
        <v>2044</v>
      </c>
      <c r="AL87" t="s">
        <v>260</v>
      </c>
      <c r="AM87">
        <v>0.43323333333333336</v>
      </c>
      <c r="AN87" t="s">
        <v>217</v>
      </c>
    </row>
    <row r="88" spans="9:40" x14ac:dyDescent="0.45">
      <c r="I88" t="s">
        <v>184</v>
      </c>
      <c r="J88" t="s">
        <v>271</v>
      </c>
      <c r="K88">
        <v>3.0065491505336227E-2</v>
      </c>
      <c r="L88" t="s">
        <v>167</v>
      </c>
      <c r="N88" t="s">
        <v>194</v>
      </c>
      <c r="O88" t="s">
        <v>271</v>
      </c>
      <c r="P88">
        <v>2.0587703923310767E-2</v>
      </c>
      <c r="Q88" t="s">
        <v>167</v>
      </c>
      <c r="S88" t="s">
        <v>204</v>
      </c>
      <c r="T88" t="s">
        <v>271</v>
      </c>
      <c r="U88">
        <v>2.1922233627896349E-2</v>
      </c>
      <c r="V88" t="s">
        <v>167</v>
      </c>
      <c r="AK88">
        <v>2044</v>
      </c>
      <c r="AL88" t="s">
        <v>262</v>
      </c>
      <c r="AM88">
        <v>0.5220999999999999</v>
      </c>
      <c r="AN88" t="s">
        <v>217</v>
      </c>
    </row>
    <row r="89" spans="9:40" x14ac:dyDescent="0.45">
      <c r="I89" t="s">
        <v>184</v>
      </c>
      <c r="J89" t="s">
        <v>272</v>
      </c>
      <c r="K89">
        <v>0.35128200108065416</v>
      </c>
      <c r="L89" t="s">
        <v>167</v>
      </c>
      <c r="N89" t="s">
        <v>194</v>
      </c>
      <c r="O89" t="s">
        <v>272</v>
      </c>
      <c r="P89">
        <v>8.8432285544990261E-2</v>
      </c>
      <c r="Q89" t="s">
        <v>167</v>
      </c>
      <c r="S89" t="s">
        <v>204</v>
      </c>
      <c r="T89" t="s">
        <v>272</v>
      </c>
      <c r="U89">
        <v>9.4194322958964599E-2</v>
      </c>
      <c r="V89" t="s">
        <v>167</v>
      </c>
      <c r="AK89">
        <v>2044</v>
      </c>
      <c r="AL89" t="s">
        <v>263</v>
      </c>
      <c r="AM89">
        <v>0.51866666666666672</v>
      </c>
      <c r="AN89" t="s">
        <v>217</v>
      </c>
    </row>
    <row r="90" spans="9:40" x14ac:dyDescent="0.45">
      <c r="I90" t="s">
        <v>184</v>
      </c>
      <c r="J90" t="s">
        <v>273</v>
      </c>
      <c r="K90">
        <v>2.8808682112107315E-2</v>
      </c>
      <c r="L90" t="s">
        <v>167</v>
      </c>
      <c r="N90" t="s">
        <v>194</v>
      </c>
      <c r="O90" t="s">
        <v>273</v>
      </c>
      <c r="P90">
        <v>9.4548222526283671E-2</v>
      </c>
      <c r="Q90" t="s">
        <v>167</v>
      </c>
      <c r="S90" t="s">
        <v>204</v>
      </c>
      <c r="T90" t="s">
        <v>273</v>
      </c>
      <c r="U90">
        <v>9.4929110473631215E-2</v>
      </c>
      <c r="V90" t="s">
        <v>167</v>
      </c>
      <c r="AK90">
        <v>2044</v>
      </c>
      <c r="AL90" t="s">
        <v>265</v>
      </c>
      <c r="AM90">
        <v>0.39140000000000003</v>
      </c>
      <c r="AN90" t="s">
        <v>217</v>
      </c>
    </row>
    <row r="91" spans="9:40" x14ac:dyDescent="0.45">
      <c r="I91" t="s">
        <v>184</v>
      </c>
      <c r="J91" t="s">
        <v>274</v>
      </c>
      <c r="K91">
        <v>4.3882152796883456E-2</v>
      </c>
      <c r="L91" t="s">
        <v>167</v>
      </c>
      <c r="N91" t="s">
        <v>194</v>
      </c>
      <c r="O91" t="s">
        <v>274</v>
      </c>
      <c r="P91">
        <v>1.7401521031009559E-2</v>
      </c>
      <c r="Q91" t="s">
        <v>167</v>
      </c>
      <c r="S91" t="s">
        <v>204</v>
      </c>
      <c r="T91" t="s">
        <v>274</v>
      </c>
      <c r="U91">
        <v>1.8178756078143999E-2</v>
      </c>
      <c r="V91" t="s">
        <v>167</v>
      </c>
      <c r="AK91">
        <v>2045</v>
      </c>
      <c r="AL91" t="s">
        <v>260</v>
      </c>
      <c r="AM91">
        <v>0.30609999999999998</v>
      </c>
      <c r="AN91" t="s">
        <v>217</v>
      </c>
    </row>
    <row r="92" spans="9:40" x14ac:dyDescent="0.45">
      <c r="I92" t="s">
        <v>184</v>
      </c>
      <c r="J92" t="s">
        <v>275</v>
      </c>
      <c r="K92">
        <v>6.8879538821975062E-2</v>
      </c>
      <c r="L92" t="s">
        <v>167</v>
      </c>
      <c r="N92" t="s">
        <v>194</v>
      </c>
      <c r="O92" t="s">
        <v>275</v>
      </c>
      <c r="P92">
        <v>0.13317766103466652</v>
      </c>
      <c r="Q92" t="s">
        <v>167</v>
      </c>
      <c r="S92" t="s">
        <v>204</v>
      </c>
      <c r="T92" t="s">
        <v>275</v>
      </c>
      <c r="U92">
        <v>0.12614529054746301</v>
      </c>
      <c r="V92" t="s">
        <v>167</v>
      </c>
      <c r="AK92">
        <v>2045</v>
      </c>
      <c r="AL92" t="s">
        <v>262</v>
      </c>
      <c r="AM92">
        <v>0.35523333333333335</v>
      </c>
      <c r="AN92" t="s">
        <v>217</v>
      </c>
    </row>
    <row r="93" spans="9:40" x14ac:dyDescent="0.45">
      <c r="I93" t="s">
        <v>184</v>
      </c>
      <c r="J93" t="s">
        <v>276</v>
      </c>
      <c r="K93">
        <v>0</v>
      </c>
      <c r="L93" t="s">
        <v>167</v>
      </c>
      <c r="N93" t="s">
        <v>194</v>
      </c>
      <c r="O93" t="s">
        <v>276</v>
      </c>
      <c r="P93">
        <v>0.13052263006266471</v>
      </c>
      <c r="Q93" t="s">
        <v>167</v>
      </c>
      <c r="S93" t="s">
        <v>204</v>
      </c>
      <c r="T93" t="s">
        <v>276</v>
      </c>
      <c r="U93">
        <v>0.12627888176850482</v>
      </c>
      <c r="V93" t="s">
        <v>167</v>
      </c>
      <c r="AK93">
        <v>2045</v>
      </c>
      <c r="AL93" t="s">
        <v>263</v>
      </c>
      <c r="AM93">
        <v>0.36830000000000002</v>
      </c>
      <c r="AN93" t="s">
        <v>217</v>
      </c>
    </row>
    <row r="94" spans="9:40" x14ac:dyDescent="0.45">
      <c r="I94" t="s">
        <v>184</v>
      </c>
      <c r="J94" t="s">
        <v>277</v>
      </c>
      <c r="K94">
        <v>4.6348080191249409E-4</v>
      </c>
      <c r="L94" t="s">
        <v>167</v>
      </c>
      <c r="N94" t="s">
        <v>194</v>
      </c>
      <c r="O94" t="s">
        <v>277</v>
      </c>
      <c r="P94">
        <v>2.4788044413373646E-2</v>
      </c>
      <c r="Q94" t="s">
        <v>167</v>
      </c>
      <c r="S94" t="s">
        <v>204</v>
      </c>
      <c r="T94" t="s">
        <v>277</v>
      </c>
      <c r="U94">
        <v>2.2887140144609491E-2</v>
      </c>
      <c r="V94" t="s">
        <v>167</v>
      </c>
      <c r="AK94">
        <v>2045</v>
      </c>
      <c r="AL94" t="s">
        <v>265</v>
      </c>
      <c r="AM94">
        <v>0.3145</v>
      </c>
      <c r="AN94" t="s">
        <v>217</v>
      </c>
    </row>
    <row r="95" spans="9:40" x14ac:dyDescent="0.45">
      <c r="I95" t="s">
        <v>185</v>
      </c>
      <c r="J95" t="s">
        <v>266</v>
      </c>
      <c r="K95">
        <v>0.14518840500107461</v>
      </c>
      <c r="L95" t="s">
        <v>167</v>
      </c>
      <c r="N95" t="s">
        <v>195</v>
      </c>
      <c r="O95" t="s">
        <v>266</v>
      </c>
      <c r="P95">
        <v>0.11743799917945952</v>
      </c>
      <c r="Q95" t="s">
        <v>167</v>
      </c>
      <c r="S95" t="s">
        <v>205</v>
      </c>
      <c r="T95" t="s">
        <v>266</v>
      </c>
      <c r="U95">
        <v>0.11645829180597007</v>
      </c>
      <c r="V95" t="s">
        <v>167</v>
      </c>
      <c r="AK95">
        <v>2046</v>
      </c>
      <c r="AL95" t="s">
        <v>260</v>
      </c>
      <c r="AM95">
        <v>0.31346666666666662</v>
      </c>
      <c r="AN95" t="s">
        <v>217</v>
      </c>
    </row>
    <row r="96" spans="9:40" x14ac:dyDescent="0.45">
      <c r="I96" t="s">
        <v>185</v>
      </c>
      <c r="J96" t="s">
        <v>267</v>
      </c>
      <c r="K96">
        <v>0</v>
      </c>
      <c r="L96" t="s">
        <v>167</v>
      </c>
      <c r="N96" t="s">
        <v>195</v>
      </c>
      <c r="O96" t="s">
        <v>267</v>
      </c>
      <c r="P96">
        <v>0.12509433473220527</v>
      </c>
      <c r="Q96" t="s">
        <v>167</v>
      </c>
      <c r="S96" t="s">
        <v>205</v>
      </c>
      <c r="T96" t="s">
        <v>267</v>
      </c>
      <c r="U96">
        <v>0.11936954535674596</v>
      </c>
      <c r="V96" t="s">
        <v>167</v>
      </c>
      <c r="AK96">
        <v>2046</v>
      </c>
      <c r="AL96" t="s">
        <v>262</v>
      </c>
      <c r="AM96">
        <v>0.39116666666666666</v>
      </c>
      <c r="AN96" t="s">
        <v>217</v>
      </c>
    </row>
    <row r="97" spans="9:40" x14ac:dyDescent="0.45">
      <c r="I97" t="s">
        <v>185</v>
      </c>
      <c r="J97" t="s">
        <v>268</v>
      </c>
      <c r="K97">
        <v>4.3933488556949715E-3</v>
      </c>
      <c r="L97" t="s">
        <v>167</v>
      </c>
      <c r="N97" t="s">
        <v>195</v>
      </c>
      <c r="O97" t="s">
        <v>268</v>
      </c>
      <c r="P97">
        <v>2.3231083698456011E-2</v>
      </c>
      <c r="Q97" t="s">
        <v>167</v>
      </c>
      <c r="S97" t="s">
        <v>205</v>
      </c>
      <c r="T97" t="s">
        <v>268</v>
      </c>
      <c r="U97">
        <v>2.2576414040016077E-2</v>
      </c>
      <c r="V97" t="s">
        <v>167</v>
      </c>
      <c r="AK97">
        <v>2046</v>
      </c>
      <c r="AL97" t="s">
        <v>263</v>
      </c>
      <c r="AM97">
        <v>0.36363333333333331</v>
      </c>
      <c r="AN97" t="s">
        <v>217</v>
      </c>
    </row>
    <row r="98" spans="9:40" x14ac:dyDescent="0.45">
      <c r="I98" t="s">
        <v>185</v>
      </c>
      <c r="J98" t="s">
        <v>269</v>
      </c>
      <c r="K98">
        <v>0.31663152928459898</v>
      </c>
      <c r="L98" t="s">
        <v>167</v>
      </c>
      <c r="N98" t="s">
        <v>195</v>
      </c>
      <c r="O98" t="s">
        <v>269</v>
      </c>
      <c r="P98">
        <v>0.11612675378532883</v>
      </c>
      <c r="Q98" t="s">
        <v>167</v>
      </c>
      <c r="S98" t="s">
        <v>205</v>
      </c>
      <c r="T98" t="s">
        <v>269</v>
      </c>
      <c r="U98">
        <v>0.12193649599614848</v>
      </c>
      <c r="V98" t="s">
        <v>167</v>
      </c>
      <c r="AK98">
        <v>2046</v>
      </c>
      <c r="AL98" t="s">
        <v>265</v>
      </c>
      <c r="AM98">
        <v>0.31240000000000001</v>
      </c>
      <c r="AN98" t="s">
        <v>217</v>
      </c>
    </row>
    <row r="99" spans="9:40" x14ac:dyDescent="0.45">
      <c r="I99" t="s">
        <v>185</v>
      </c>
      <c r="J99" t="s">
        <v>270</v>
      </c>
      <c r="K99">
        <v>8.7334630940621143E-3</v>
      </c>
      <c r="L99" t="s">
        <v>167</v>
      </c>
      <c r="N99" t="s">
        <v>195</v>
      </c>
      <c r="O99" t="s">
        <v>270</v>
      </c>
      <c r="P99">
        <v>0.11116012211519417</v>
      </c>
      <c r="Q99" t="s">
        <v>167</v>
      </c>
      <c r="S99" t="s">
        <v>205</v>
      </c>
      <c r="T99" t="s">
        <v>270</v>
      </c>
      <c r="U99">
        <v>0.11218354400699707</v>
      </c>
      <c r="V99" t="s">
        <v>167</v>
      </c>
      <c r="AK99">
        <v>2047</v>
      </c>
      <c r="AL99" t="s">
        <v>260</v>
      </c>
      <c r="AM99">
        <v>0.34533333333333333</v>
      </c>
      <c r="AN99" t="s">
        <v>217</v>
      </c>
    </row>
    <row r="100" spans="9:40" x14ac:dyDescent="0.45">
      <c r="I100" t="s">
        <v>185</v>
      </c>
      <c r="J100" t="s">
        <v>271</v>
      </c>
      <c r="K100">
        <v>2.9392447027044161E-2</v>
      </c>
      <c r="L100" t="s">
        <v>167</v>
      </c>
      <c r="N100" t="s">
        <v>195</v>
      </c>
      <c r="O100" t="s">
        <v>271</v>
      </c>
      <c r="P100">
        <v>1.9772988880785044E-2</v>
      </c>
      <c r="Q100" t="s">
        <v>167</v>
      </c>
      <c r="S100" t="s">
        <v>205</v>
      </c>
      <c r="T100" t="s">
        <v>271</v>
      </c>
      <c r="U100">
        <v>2.1515184593136154E-2</v>
      </c>
      <c r="V100" t="s">
        <v>167</v>
      </c>
      <c r="AK100">
        <v>2047</v>
      </c>
      <c r="AL100" t="s">
        <v>262</v>
      </c>
      <c r="AM100">
        <v>0.41199999999999998</v>
      </c>
      <c r="AN100" t="s">
        <v>217</v>
      </c>
    </row>
    <row r="101" spans="9:40" x14ac:dyDescent="0.45">
      <c r="I101" t="s">
        <v>185</v>
      </c>
      <c r="J101" t="s">
        <v>272</v>
      </c>
      <c r="K101">
        <v>0.35645720446056889</v>
      </c>
      <c r="L101" t="s">
        <v>167</v>
      </c>
      <c r="N101" t="s">
        <v>195</v>
      </c>
      <c r="O101" t="s">
        <v>272</v>
      </c>
      <c r="P101">
        <v>9.6008804281338719E-2</v>
      </c>
      <c r="Q101" t="s">
        <v>167</v>
      </c>
      <c r="S101" t="s">
        <v>205</v>
      </c>
      <c r="T101" t="s">
        <v>272</v>
      </c>
      <c r="U101">
        <v>9.2319542904068255E-2</v>
      </c>
      <c r="V101" t="s">
        <v>167</v>
      </c>
      <c r="AK101">
        <v>2047</v>
      </c>
      <c r="AL101" t="s">
        <v>263</v>
      </c>
      <c r="AM101">
        <v>0.4456</v>
      </c>
      <c r="AN101" t="s">
        <v>217</v>
      </c>
    </row>
    <row r="102" spans="9:40" x14ac:dyDescent="0.45">
      <c r="I102" t="s">
        <v>185</v>
      </c>
      <c r="J102" t="s">
        <v>273</v>
      </c>
      <c r="K102">
        <v>2.6546141243661933E-2</v>
      </c>
      <c r="L102" t="s">
        <v>167</v>
      </c>
      <c r="N102" t="s">
        <v>195</v>
      </c>
      <c r="O102" t="s">
        <v>273</v>
      </c>
      <c r="P102">
        <v>8.7944680983931295E-2</v>
      </c>
      <c r="Q102" t="s">
        <v>167</v>
      </c>
      <c r="S102" t="s">
        <v>205</v>
      </c>
      <c r="T102" t="s">
        <v>273</v>
      </c>
      <c r="U102">
        <v>9.5486666266508174E-2</v>
      </c>
      <c r="V102" t="s">
        <v>167</v>
      </c>
      <c r="AK102">
        <v>2047</v>
      </c>
      <c r="AL102" t="s">
        <v>265</v>
      </c>
      <c r="AM102">
        <v>0.36446666666666666</v>
      </c>
      <c r="AN102" t="s">
        <v>217</v>
      </c>
    </row>
    <row r="103" spans="9:40" x14ac:dyDescent="0.45">
      <c r="I103" t="s">
        <v>185</v>
      </c>
      <c r="J103" t="s">
        <v>274</v>
      </c>
      <c r="K103">
        <v>4.3270745939943407E-2</v>
      </c>
      <c r="L103" t="s">
        <v>167</v>
      </c>
      <c r="N103" t="s">
        <v>195</v>
      </c>
      <c r="O103" t="s">
        <v>274</v>
      </c>
      <c r="P103">
        <v>1.7901195256499303E-2</v>
      </c>
      <c r="Q103" t="s">
        <v>167</v>
      </c>
      <c r="S103" t="s">
        <v>205</v>
      </c>
      <c r="T103" t="s">
        <v>274</v>
      </c>
      <c r="U103">
        <v>1.8495597482904916E-2</v>
      </c>
      <c r="V103" t="s">
        <v>167</v>
      </c>
      <c r="AK103">
        <v>2048</v>
      </c>
      <c r="AL103" t="s">
        <v>260</v>
      </c>
      <c r="AM103">
        <v>0.41323333333333334</v>
      </c>
      <c r="AN103" t="s">
        <v>217</v>
      </c>
    </row>
    <row r="104" spans="9:40" x14ac:dyDescent="0.45">
      <c r="I104" t="s">
        <v>185</v>
      </c>
      <c r="J104" t="s">
        <v>275</v>
      </c>
      <c r="K104">
        <v>6.9011475247903784E-2</v>
      </c>
      <c r="L104" t="s">
        <v>167</v>
      </c>
      <c r="N104" t="s">
        <v>195</v>
      </c>
      <c r="O104" t="s">
        <v>275</v>
      </c>
      <c r="P104">
        <v>0.13134251564334509</v>
      </c>
      <c r="Q104" t="s">
        <v>167</v>
      </c>
      <c r="S104" t="s">
        <v>205</v>
      </c>
      <c r="T104" t="s">
        <v>275</v>
      </c>
      <c r="U104">
        <v>0.12963866567861698</v>
      </c>
      <c r="V104" t="s">
        <v>167</v>
      </c>
      <c r="AK104">
        <v>2048</v>
      </c>
      <c r="AL104" t="s">
        <v>262</v>
      </c>
      <c r="AM104">
        <v>0.47796666666666665</v>
      </c>
      <c r="AN104" t="s">
        <v>217</v>
      </c>
    </row>
    <row r="105" spans="9:40" x14ac:dyDescent="0.45">
      <c r="I105" t="s">
        <v>185</v>
      </c>
      <c r="J105" t="s">
        <v>276</v>
      </c>
      <c r="K105">
        <v>0</v>
      </c>
      <c r="L105" t="s">
        <v>167</v>
      </c>
      <c r="N105" t="s">
        <v>195</v>
      </c>
      <c r="O105" t="s">
        <v>276</v>
      </c>
      <c r="P105">
        <v>0.12976578638877601</v>
      </c>
      <c r="Q105" t="s">
        <v>167</v>
      </c>
      <c r="S105" t="s">
        <v>205</v>
      </c>
      <c r="T105" t="s">
        <v>276</v>
      </c>
      <c r="U105">
        <v>0.12636863214558788</v>
      </c>
      <c r="V105" t="s">
        <v>167</v>
      </c>
      <c r="AK105">
        <v>2048</v>
      </c>
      <c r="AL105" t="s">
        <v>263</v>
      </c>
      <c r="AM105">
        <v>0.51606666666666667</v>
      </c>
      <c r="AN105" t="s">
        <v>217</v>
      </c>
    </row>
    <row r="106" spans="9:40" x14ac:dyDescent="0.45">
      <c r="I106" t="s">
        <v>185</v>
      </c>
      <c r="J106" t="s">
        <v>277</v>
      </c>
      <c r="K106">
        <v>3.7523984544629894E-4</v>
      </c>
      <c r="L106" t="s">
        <v>167</v>
      </c>
      <c r="N106" t="s">
        <v>195</v>
      </c>
      <c r="O106" t="s">
        <v>277</v>
      </c>
      <c r="P106">
        <v>2.4213735054682942E-2</v>
      </c>
      <c r="Q106" t="s">
        <v>167</v>
      </c>
      <c r="S106" t="s">
        <v>205</v>
      </c>
      <c r="T106" t="s">
        <v>277</v>
      </c>
      <c r="U106">
        <v>2.3651419723301155E-2</v>
      </c>
      <c r="V106" t="s">
        <v>167</v>
      </c>
      <c r="AK106">
        <v>2048</v>
      </c>
      <c r="AL106" t="s">
        <v>265</v>
      </c>
      <c r="AM106">
        <v>0.39216666666666661</v>
      </c>
      <c r="AN106" t="s">
        <v>217</v>
      </c>
    </row>
    <row r="107" spans="9:40" x14ac:dyDescent="0.45">
      <c r="I107" t="s">
        <v>186</v>
      </c>
      <c r="J107" t="s">
        <v>266</v>
      </c>
      <c r="K107">
        <v>0.13778375297348613</v>
      </c>
      <c r="L107" t="s">
        <v>167</v>
      </c>
      <c r="N107" t="s">
        <v>196</v>
      </c>
      <c r="O107" t="s">
        <v>266</v>
      </c>
      <c r="P107">
        <v>0.12109281438963641</v>
      </c>
      <c r="Q107" t="s">
        <v>167</v>
      </c>
      <c r="S107" t="s">
        <v>206</v>
      </c>
      <c r="T107" t="s">
        <v>266</v>
      </c>
      <c r="U107">
        <v>0.12397134946146143</v>
      </c>
      <c r="V107" t="s">
        <v>167</v>
      </c>
      <c r="AK107">
        <v>2049</v>
      </c>
      <c r="AL107" t="s">
        <v>260</v>
      </c>
      <c r="AM107">
        <v>0.40983333333333333</v>
      </c>
      <c r="AN107" t="s">
        <v>217</v>
      </c>
    </row>
    <row r="108" spans="9:40" x14ac:dyDescent="0.45">
      <c r="I108" t="s">
        <v>186</v>
      </c>
      <c r="J108" t="s">
        <v>267</v>
      </c>
      <c r="K108">
        <v>0</v>
      </c>
      <c r="L108" t="s">
        <v>167</v>
      </c>
      <c r="N108" t="s">
        <v>196</v>
      </c>
      <c r="O108" t="s">
        <v>267</v>
      </c>
      <c r="P108">
        <v>0.12545039227872629</v>
      </c>
      <c r="Q108" t="s">
        <v>167</v>
      </c>
      <c r="S108" t="s">
        <v>206</v>
      </c>
      <c r="T108" t="s">
        <v>267</v>
      </c>
      <c r="U108">
        <v>0.12692606030944267</v>
      </c>
      <c r="V108" t="s">
        <v>167</v>
      </c>
      <c r="AK108">
        <v>2049</v>
      </c>
      <c r="AL108" t="s">
        <v>262</v>
      </c>
      <c r="AM108">
        <v>0.47483333333333327</v>
      </c>
      <c r="AN108" t="s">
        <v>217</v>
      </c>
    </row>
    <row r="109" spans="9:40" x14ac:dyDescent="0.45">
      <c r="I109" t="s">
        <v>186</v>
      </c>
      <c r="J109" t="s">
        <v>268</v>
      </c>
      <c r="K109">
        <v>5.1383486450827676E-3</v>
      </c>
      <c r="L109" t="s">
        <v>167</v>
      </c>
      <c r="N109" t="s">
        <v>196</v>
      </c>
      <c r="O109" t="s">
        <v>268</v>
      </c>
      <c r="P109">
        <v>2.311241653718106E-2</v>
      </c>
      <c r="Q109" t="s">
        <v>167</v>
      </c>
      <c r="S109" t="s">
        <v>206</v>
      </c>
      <c r="T109" t="s">
        <v>268</v>
      </c>
      <c r="U109">
        <v>2.3017142733092657E-2</v>
      </c>
      <c r="V109" t="s">
        <v>167</v>
      </c>
      <c r="AK109">
        <v>2049</v>
      </c>
      <c r="AL109" t="s">
        <v>263</v>
      </c>
      <c r="AM109">
        <v>0.52600000000000002</v>
      </c>
      <c r="AN109" t="s">
        <v>217</v>
      </c>
    </row>
    <row r="110" spans="9:40" x14ac:dyDescent="0.45">
      <c r="I110" t="s">
        <v>186</v>
      </c>
      <c r="J110" t="s">
        <v>269</v>
      </c>
      <c r="K110">
        <v>0.32330113252337866</v>
      </c>
      <c r="L110" t="s">
        <v>167</v>
      </c>
      <c r="N110" t="s">
        <v>196</v>
      </c>
      <c r="O110" t="s">
        <v>269</v>
      </c>
      <c r="P110">
        <v>0.11118360491300922</v>
      </c>
      <c r="Q110" t="s">
        <v>167</v>
      </c>
      <c r="S110" t="s">
        <v>206</v>
      </c>
      <c r="T110" t="s">
        <v>269</v>
      </c>
      <c r="U110">
        <v>0.1148816289609904</v>
      </c>
      <c r="V110" t="s">
        <v>167</v>
      </c>
      <c r="AK110">
        <v>2049</v>
      </c>
      <c r="AL110" t="s">
        <v>265</v>
      </c>
      <c r="AM110">
        <v>0.39736666666666665</v>
      </c>
      <c r="AN110" t="s">
        <v>217</v>
      </c>
    </row>
    <row r="111" spans="9:40" x14ac:dyDescent="0.45">
      <c r="I111" t="s">
        <v>186</v>
      </c>
      <c r="J111" t="s">
        <v>270</v>
      </c>
      <c r="K111">
        <v>9.8719039169781753E-3</v>
      </c>
      <c r="L111" t="s">
        <v>167</v>
      </c>
      <c r="N111" t="s">
        <v>196</v>
      </c>
      <c r="O111" t="s">
        <v>270</v>
      </c>
      <c r="P111">
        <v>0.11256319457216371</v>
      </c>
      <c r="Q111" t="s">
        <v>167</v>
      </c>
      <c r="S111" t="s">
        <v>206</v>
      </c>
      <c r="T111" t="s">
        <v>270</v>
      </c>
      <c r="U111">
        <v>0.11658356481254796</v>
      </c>
      <c r="V111" t="s">
        <v>167</v>
      </c>
      <c r="AK111">
        <v>2050</v>
      </c>
      <c r="AL111" t="s">
        <v>260</v>
      </c>
      <c r="AM111">
        <v>0.41723333333333334</v>
      </c>
      <c r="AN111" t="s">
        <v>217</v>
      </c>
    </row>
    <row r="112" spans="9:40" x14ac:dyDescent="0.45">
      <c r="I112" t="s">
        <v>186</v>
      </c>
      <c r="J112" t="s">
        <v>271</v>
      </c>
      <c r="K112">
        <v>3.2971559439133914E-2</v>
      </c>
      <c r="L112" t="s">
        <v>167</v>
      </c>
      <c r="N112" t="s">
        <v>196</v>
      </c>
      <c r="O112" t="s">
        <v>271</v>
      </c>
      <c r="P112">
        <v>1.9513049786576895E-2</v>
      </c>
      <c r="Q112" t="s">
        <v>167</v>
      </c>
      <c r="S112" t="s">
        <v>206</v>
      </c>
      <c r="T112" t="s">
        <v>271</v>
      </c>
      <c r="U112">
        <v>2.2228307989166418E-2</v>
      </c>
      <c r="V112" t="s">
        <v>167</v>
      </c>
      <c r="AK112">
        <v>2050</v>
      </c>
      <c r="AL112" t="s">
        <v>262</v>
      </c>
      <c r="AM112">
        <v>0.49930000000000002</v>
      </c>
      <c r="AN112" t="s">
        <v>217</v>
      </c>
    </row>
    <row r="113" spans="9:40" x14ac:dyDescent="0.45">
      <c r="I113" t="s">
        <v>186</v>
      </c>
      <c r="J113" t="s">
        <v>272</v>
      </c>
      <c r="K113">
        <v>0.3461597114914079</v>
      </c>
      <c r="L113" t="s">
        <v>167</v>
      </c>
      <c r="N113" t="s">
        <v>196</v>
      </c>
      <c r="O113" t="s">
        <v>272</v>
      </c>
      <c r="P113">
        <v>8.8953633391568226E-2</v>
      </c>
      <c r="Q113" t="s">
        <v>167</v>
      </c>
      <c r="S113" t="s">
        <v>206</v>
      </c>
      <c r="T113" t="s">
        <v>272</v>
      </c>
      <c r="U113">
        <v>9.2251143466347857E-2</v>
      </c>
      <c r="V113" t="s">
        <v>167</v>
      </c>
      <c r="AK113">
        <v>2050</v>
      </c>
      <c r="AL113" t="s">
        <v>263</v>
      </c>
      <c r="AM113">
        <v>0.50863333333333338</v>
      </c>
      <c r="AN113" t="s">
        <v>217</v>
      </c>
    </row>
    <row r="114" spans="9:40" x14ac:dyDescent="0.45">
      <c r="I114" t="s">
        <v>186</v>
      </c>
      <c r="J114" t="s">
        <v>273</v>
      </c>
      <c r="K114">
        <v>2.7654991307788871E-2</v>
      </c>
      <c r="L114" t="s">
        <v>167</v>
      </c>
      <c r="N114" t="s">
        <v>196</v>
      </c>
      <c r="O114" t="s">
        <v>273</v>
      </c>
      <c r="P114">
        <v>8.244678136798711E-2</v>
      </c>
      <c r="Q114" t="s">
        <v>167</v>
      </c>
      <c r="S114" t="s">
        <v>206</v>
      </c>
      <c r="T114" t="s">
        <v>273</v>
      </c>
      <c r="U114">
        <v>8.5816799224944049E-2</v>
      </c>
      <c r="V114" t="s">
        <v>167</v>
      </c>
      <c r="AK114">
        <v>2050</v>
      </c>
      <c r="AL114" t="s">
        <v>265</v>
      </c>
      <c r="AM114">
        <v>0.42556666666666665</v>
      </c>
      <c r="AN114" t="s">
        <v>217</v>
      </c>
    </row>
    <row r="115" spans="9:40" x14ac:dyDescent="0.45">
      <c r="I115" t="s">
        <v>186</v>
      </c>
      <c r="J115" t="s">
        <v>274</v>
      </c>
      <c r="K115">
        <v>4.6483195248152122E-2</v>
      </c>
      <c r="L115" t="s">
        <v>167</v>
      </c>
      <c r="N115" t="s">
        <v>196</v>
      </c>
      <c r="O115" t="s">
        <v>274</v>
      </c>
      <c r="P115">
        <v>1.6328091629170011E-2</v>
      </c>
      <c r="Q115" t="s">
        <v>167</v>
      </c>
      <c r="S115" t="s">
        <v>206</v>
      </c>
      <c r="T115" t="s">
        <v>274</v>
      </c>
      <c r="U115">
        <v>1.6611353558459507E-2</v>
      </c>
      <c r="V115" t="s">
        <v>167</v>
      </c>
    </row>
    <row r="116" spans="9:40" x14ac:dyDescent="0.45">
      <c r="I116" t="s">
        <v>186</v>
      </c>
      <c r="J116" t="s">
        <v>275</v>
      </c>
      <c r="K116">
        <v>7.0182274127034955E-2</v>
      </c>
      <c r="L116" t="s">
        <v>167</v>
      </c>
      <c r="N116" t="s">
        <v>196</v>
      </c>
      <c r="O116" t="s">
        <v>275</v>
      </c>
      <c r="P116">
        <v>0.13514874454166301</v>
      </c>
      <c r="Q116" t="s">
        <v>167</v>
      </c>
      <c r="S116" t="s">
        <v>206</v>
      </c>
      <c r="T116" t="s">
        <v>275</v>
      </c>
      <c r="U116">
        <v>0.12697981432438921</v>
      </c>
      <c r="V116" t="s">
        <v>167</v>
      </c>
    </row>
    <row r="117" spans="9:40" x14ac:dyDescent="0.45">
      <c r="I117" t="s">
        <v>186</v>
      </c>
      <c r="J117" t="s">
        <v>276</v>
      </c>
      <c r="K117">
        <v>0</v>
      </c>
      <c r="L117" t="s">
        <v>167</v>
      </c>
      <c r="N117" t="s">
        <v>196</v>
      </c>
      <c r="O117" t="s">
        <v>276</v>
      </c>
      <c r="P117">
        <v>0.13828872791561228</v>
      </c>
      <c r="Q117" t="s">
        <v>167</v>
      </c>
      <c r="S117" t="s">
        <v>206</v>
      </c>
      <c r="T117" t="s">
        <v>276</v>
      </c>
      <c r="U117">
        <v>0.12747480665322453</v>
      </c>
      <c r="V117" t="s">
        <v>167</v>
      </c>
    </row>
    <row r="118" spans="9:40" x14ac:dyDescent="0.45">
      <c r="I118" t="s">
        <v>186</v>
      </c>
      <c r="J118" t="s">
        <v>277</v>
      </c>
      <c r="K118">
        <v>4.5313032755616291E-4</v>
      </c>
      <c r="L118" t="s">
        <v>167</v>
      </c>
      <c r="N118" t="s">
        <v>196</v>
      </c>
      <c r="O118" t="s">
        <v>277</v>
      </c>
      <c r="P118">
        <v>2.5918548676701885E-2</v>
      </c>
      <c r="Q118" t="s">
        <v>167</v>
      </c>
      <c r="S118" t="s">
        <v>206</v>
      </c>
      <c r="T118" t="s">
        <v>277</v>
      </c>
      <c r="U118">
        <v>2.3258028505931689E-2</v>
      </c>
      <c r="V118" t="s">
        <v>167</v>
      </c>
    </row>
    <row r="119" spans="9:40" x14ac:dyDescent="0.45">
      <c r="I119" t="s">
        <v>187</v>
      </c>
      <c r="J119" t="s">
        <v>266</v>
      </c>
      <c r="K119">
        <v>0.14225150431704484</v>
      </c>
      <c r="L119" t="s">
        <v>167</v>
      </c>
      <c r="N119" t="s">
        <v>197</v>
      </c>
      <c r="O119" t="s">
        <v>266</v>
      </c>
      <c r="P119">
        <v>0.11938138970105032</v>
      </c>
      <c r="Q119" t="s">
        <v>167</v>
      </c>
      <c r="S119" t="s">
        <v>207</v>
      </c>
      <c r="T119" t="s">
        <v>266</v>
      </c>
      <c r="U119">
        <v>0.11901817809778827</v>
      </c>
      <c r="V119" t="s">
        <v>167</v>
      </c>
    </row>
    <row r="120" spans="9:40" x14ac:dyDescent="0.45">
      <c r="I120" t="s">
        <v>187</v>
      </c>
      <c r="J120" t="s">
        <v>267</v>
      </c>
      <c r="K120">
        <v>0</v>
      </c>
      <c r="L120" t="s">
        <v>167</v>
      </c>
      <c r="N120" t="s">
        <v>197</v>
      </c>
      <c r="O120" t="s">
        <v>267</v>
      </c>
      <c r="P120">
        <v>0.12502845922680683</v>
      </c>
      <c r="Q120" t="s">
        <v>167</v>
      </c>
      <c r="S120" t="s">
        <v>207</v>
      </c>
      <c r="T120" t="s">
        <v>267</v>
      </c>
      <c r="U120">
        <v>0.12196536023035233</v>
      </c>
      <c r="V120" t="s">
        <v>167</v>
      </c>
    </row>
    <row r="121" spans="9:40" x14ac:dyDescent="0.45">
      <c r="I121" t="s">
        <v>187</v>
      </c>
      <c r="J121" t="s">
        <v>268</v>
      </c>
      <c r="K121">
        <v>4.9361769799217328E-3</v>
      </c>
      <c r="L121" t="s">
        <v>167</v>
      </c>
      <c r="N121" t="s">
        <v>197</v>
      </c>
      <c r="O121" t="s">
        <v>268</v>
      </c>
      <c r="P121">
        <v>2.2916947431233306E-2</v>
      </c>
      <c r="Q121" t="s">
        <v>167</v>
      </c>
      <c r="S121" t="s">
        <v>207</v>
      </c>
      <c r="T121" t="s">
        <v>268</v>
      </c>
      <c r="U121">
        <v>2.2323397691559783E-2</v>
      </c>
      <c r="V121" t="s">
        <v>167</v>
      </c>
    </row>
    <row r="122" spans="9:40" x14ac:dyDescent="0.45">
      <c r="I122" t="s">
        <v>187</v>
      </c>
      <c r="J122" t="s">
        <v>269</v>
      </c>
      <c r="K122">
        <v>0.31704569754216122</v>
      </c>
      <c r="L122" t="s">
        <v>167</v>
      </c>
      <c r="N122" t="s">
        <v>197</v>
      </c>
      <c r="O122" t="s">
        <v>269</v>
      </c>
      <c r="P122">
        <v>0.10740334655042079</v>
      </c>
      <c r="Q122" t="s">
        <v>167</v>
      </c>
      <c r="S122" t="s">
        <v>207</v>
      </c>
      <c r="T122" t="s">
        <v>269</v>
      </c>
      <c r="U122">
        <v>0.11973715166677078</v>
      </c>
      <c r="V122" t="s">
        <v>167</v>
      </c>
    </row>
    <row r="123" spans="9:40" x14ac:dyDescent="0.45">
      <c r="I123" t="s">
        <v>187</v>
      </c>
      <c r="J123" t="s">
        <v>270</v>
      </c>
      <c r="K123">
        <v>7.9973904367873581E-3</v>
      </c>
      <c r="L123" t="s">
        <v>167</v>
      </c>
      <c r="N123" t="s">
        <v>197</v>
      </c>
      <c r="O123" t="s">
        <v>270</v>
      </c>
      <c r="P123">
        <v>0.11086916561519403</v>
      </c>
      <c r="Q123" t="s">
        <v>167</v>
      </c>
      <c r="S123" t="s">
        <v>207</v>
      </c>
      <c r="T123" t="s">
        <v>270</v>
      </c>
      <c r="U123">
        <v>0.11938927497931073</v>
      </c>
      <c r="V123" t="s">
        <v>167</v>
      </c>
    </row>
    <row r="124" spans="9:40" x14ac:dyDescent="0.45">
      <c r="I124" t="s">
        <v>187</v>
      </c>
      <c r="J124" t="s">
        <v>271</v>
      </c>
      <c r="K124">
        <v>3.186155786969605E-2</v>
      </c>
      <c r="L124" t="s">
        <v>167</v>
      </c>
      <c r="N124" t="s">
        <v>197</v>
      </c>
      <c r="O124" t="s">
        <v>271</v>
      </c>
      <c r="P124">
        <v>1.9933074766509247E-2</v>
      </c>
      <c r="Q124" t="s">
        <v>167</v>
      </c>
      <c r="S124" t="s">
        <v>207</v>
      </c>
      <c r="T124" t="s">
        <v>271</v>
      </c>
      <c r="U124">
        <v>2.2320852363353377E-2</v>
      </c>
      <c r="V124" t="s">
        <v>167</v>
      </c>
    </row>
    <row r="125" spans="9:40" x14ac:dyDescent="0.45">
      <c r="I125" t="s">
        <v>187</v>
      </c>
      <c r="J125" t="s">
        <v>272</v>
      </c>
      <c r="K125">
        <v>0.3509282598227213</v>
      </c>
      <c r="L125" t="s">
        <v>167</v>
      </c>
      <c r="N125" t="s">
        <v>197</v>
      </c>
      <c r="O125" t="s">
        <v>272</v>
      </c>
      <c r="P125">
        <v>9.7622064403934616E-2</v>
      </c>
      <c r="Q125" t="s">
        <v>167</v>
      </c>
      <c r="S125" t="s">
        <v>207</v>
      </c>
      <c r="T125" t="s">
        <v>272</v>
      </c>
      <c r="U125">
        <v>9.4374599455494229E-2</v>
      </c>
      <c r="V125" t="s">
        <v>167</v>
      </c>
    </row>
    <row r="126" spans="9:40" x14ac:dyDescent="0.45">
      <c r="I126" t="s">
        <v>187</v>
      </c>
      <c r="J126" t="s">
        <v>273</v>
      </c>
      <c r="K126">
        <v>2.5696672401320092E-2</v>
      </c>
      <c r="L126" t="s">
        <v>167</v>
      </c>
      <c r="N126" t="s">
        <v>197</v>
      </c>
      <c r="O126" t="s">
        <v>273</v>
      </c>
      <c r="P126">
        <v>9.053724103456634E-2</v>
      </c>
      <c r="Q126" t="s">
        <v>167</v>
      </c>
      <c r="S126" t="s">
        <v>207</v>
      </c>
      <c r="T126" t="s">
        <v>273</v>
      </c>
      <c r="U126">
        <v>9.126067905728287E-2</v>
      </c>
      <c r="V126" t="s">
        <v>167</v>
      </c>
    </row>
    <row r="127" spans="9:40" x14ac:dyDescent="0.45">
      <c r="I127" t="s">
        <v>187</v>
      </c>
      <c r="J127" t="s">
        <v>274</v>
      </c>
      <c r="K127">
        <v>4.6877936191446271E-2</v>
      </c>
      <c r="L127" t="s">
        <v>167</v>
      </c>
      <c r="N127" t="s">
        <v>197</v>
      </c>
      <c r="O127" t="s">
        <v>274</v>
      </c>
      <c r="P127">
        <v>1.8470188285181897E-2</v>
      </c>
      <c r="Q127" t="s">
        <v>167</v>
      </c>
      <c r="S127" t="s">
        <v>207</v>
      </c>
      <c r="T127" t="s">
        <v>274</v>
      </c>
      <c r="U127">
        <v>1.681004851651105E-2</v>
      </c>
      <c r="V127" t="s">
        <v>167</v>
      </c>
    </row>
    <row r="128" spans="9:40" x14ac:dyDescent="0.45">
      <c r="I128" t="s">
        <v>187</v>
      </c>
      <c r="J128" t="s">
        <v>275</v>
      </c>
      <c r="K128">
        <v>7.2081145144602635E-2</v>
      </c>
      <c r="L128" t="s">
        <v>167</v>
      </c>
      <c r="N128" t="s">
        <v>197</v>
      </c>
      <c r="O128" t="s">
        <v>275</v>
      </c>
      <c r="P128">
        <v>0.13120336147711684</v>
      </c>
      <c r="Q128" t="s">
        <v>167</v>
      </c>
      <c r="S128" t="s">
        <v>207</v>
      </c>
      <c r="T128" t="s">
        <v>275</v>
      </c>
      <c r="U128">
        <v>0.12429467246955286</v>
      </c>
      <c r="V128" t="s">
        <v>167</v>
      </c>
    </row>
    <row r="129" spans="9:22" x14ac:dyDescent="0.45">
      <c r="I129" t="s">
        <v>187</v>
      </c>
      <c r="J129" t="s">
        <v>276</v>
      </c>
      <c r="K129">
        <v>0</v>
      </c>
      <c r="L129" t="s">
        <v>167</v>
      </c>
      <c r="N129" t="s">
        <v>197</v>
      </c>
      <c r="O129" t="s">
        <v>276</v>
      </c>
      <c r="P129">
        <v>0.13199990990554611</v>
      </c>
      <c r="Q129" t="s">
        <v>167</v>
      </c>
      <c r="S129" t="s">
        <v>207</v>
      </c>
      <c r="T129" t="s">
        <v>276</v>
      </c>
      <c r="U129">
        <v>0.12566439560113205</v>
      </c>
      <c r="V129" t="s">
        <v>167</v>
      </c>
    </row>
    <row r="130" spans="9:22" x14ac:dyDescent="0.45">
      <c r="I130" t="s">
        <v>187</v>
      </c>
      <c r="J130" t="s">
        <v>277</v>
      </c>
      <c r="K130">
        <v>3.2365929430215785E-4</v>
      </c>
      <c r="L130" t="s">
        <v>167</v>
      </c>
      <c r="N130" t="s">
        <v>197</v>
      </c>
      <c r="O130" t="s">
        <v>277</v>
      </c>
      <c r="P130">
        <v>2.4634851602440271E-2</v>
      </c>
      <c r="Q130" t="s">
        <v>167</v>
      </c>
      <c r="S130" t="s">
        <v>207</v>
      </c>
      <c r="T130" t="s">
        <v>277</v>
      </c>
      <c r="U130">
        <v>2.2841389870892029E-2</v>
      </c>
      <c r="V130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2025-11-24T14:17:21Z</dcterms:modified>
</cp:coreProperties>
</file>