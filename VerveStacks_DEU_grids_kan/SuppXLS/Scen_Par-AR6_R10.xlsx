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DEU_grids_kan\SuppXLS\"/>
    </mc:Choice>
  </mc:AlternateContent>
  <xr:revisionPtr revIDLastSave="0" documentId="8_{CAAAD7A0-A484-4373-A161-FFF26DBE5431}" xr6:coauthVersionLast="47" xr6:coauthVersionMax="47" xr10:uidLastSave="{00000000-0000-0000-0000-000000000000}"/>
  <bookViews>
    <workbookView xWindow="-98" yWindow="-98" windowWidth="28996" windowHeight="17475" firstSheet="8" activeTab="8" xr2:uid="{00000000-000D-0000-FFFF-FFFF00000000}"/>
  </bookViews>
  <sheets>
    <sheet name="Veda" sheetId="1" r:id="rId1"/>
    <sheet name="fuel_prices" sheetId="4" r:id="rId2"/>
    <sheet name="iea_data" sheetId="2" r:id="rId3"/>
    <sheet name="ar6_r10" sheetId="3" r:id="rId4"/>
    <sheet name="ev_charging_uc" sheetId="6" r:id="rId5"/>
    <sheet name="ts_012" sheetId="7" r:id="rId6"/>
    <sheet name="ts_048" sheetId="8" r:id="rId7"/>
    <sheet name="ts_annual" sheetId="9" r:id="rId8"/>
    <sheet name="ts_12t" sheetId="10" r:id="rId9"/>
  </sheets>
  <definedNames>
    <definedName name="_xlnm._FilterDatabase" localSheetId="0" hidden="1">Veda!$C$6:$E$63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9" i="10" l="1"/>
  <c r="AG9" i="10"/>
  <c r="AC9" i="10"/>
  <c r="A10" i="6"/>
  <c r="X9" i="10"/>
  <c r="S9" i="10"/>
  <c r="N9" i="10"/>
  <c r="I9" i="10"/>
  <c r="A11" i="10"/>
  <c r="C9" i="10" s="1"/>
  <c r="AK9" i="9"/>
  <c r="AG9" i="9"/>
  <c r="AC9" i="9"/>
  <c r="X9" i="9"/>
  <c r="S9" i="9"/>
  <c r="N9" i="9"/>
  <c r="I9" i="9"/>
  <c r="A11" i="9"/>
  <c r="C9" i="9" s="1"/>
  <c r="AK9" i="8"/>
  <c r="AG9" i="8"/>
  <c r="AC9" i="8"/>
  <c r="X9" i="8"/>
  <c r="S9" i="8"/>
  <c r="N9" i="8"/>
  <c r="I9" i="8"/>
  <c r="A11" i="8"/>
  <c r="C9" i="8"/>
  <c r="AK9" i="7"/>
  <c r="AG9" i="7"/>
  <c r="AC9" i="7"/>
  <c r="X9" i="7"/>
  <c r="S9" i="7"/>
  <c r="N9" i="7"/>
  <c r="I9" i="7"/>
  <c r="A11" i="7"/>
  <c r="C9" i="7" s="1"/>
  <c r="C10" i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D77" i="1"/>
  <c r="D73" i="1"/>
  <c r="D72" i="1"/>
  <c r="E69" i="1"/>
  <c r="E74" i="1" s="1"/>
  <c r="D67" i="1"/>
  <c r="E64" i="1"/>
  <c r="D10" i="1"/>
  <c r="B10" i="1" s="1"/>
  <c r="D11" i="1"/>
  <c r="B11" i="1" s="1"/>
  <c r="D12" i="1"/>
  <c r="B12" i="1" s="1"/>
  <c r="D13" i="1"/>
  <c r="B13" i="1" s="1"/>
  <c r="D17" i="1"/>
  <c r="D18" i="1"/>
  <c r="D22" i="1"/>
  <c r="D27" i="1"/>
  <c r="D32" i="1"/>
  <c r="D37" i="1"/>
  <c r="D38" i="1"/>
  <c r="D42" i="1"/>
  <c r="D43" i="1"/>
  <c r="D47" i="1"/>
  <c r="D52" i="1"/>
  <c r="D57" i="1"/>
  <c r="D58" i="1"/>
  <c r="D62" i="1"/>
  <c r="D63" i="1"/>
  <c r="D9" i="1"/>
  <c r="B9" i="1" s="1"/>
  <c r="AJ15" i="1"/>
  <c r="D15" i="1" s="1"/>
  <c r="AJ16" i="1"/>
  <c r="AJ21" i="1" s="1"/>
  <c r="AJ26" i="1" s="1"/>
  <c r="AJ31" i="1" s="1"/>
  <c r="AJ36" i="1" s="1"/>
  <c r="AJ41" i="1" s="1"/>
  <c r="AJ46" i="1" s="1"/>
  <c r="AJ51" i="1" s="1"/>
  <c r="AJ56" i="1" s="1"/>
  <c r="AJ61" i="1" s="1"/>
  <c r="AJ66" i="1" s="1"/>
  <c r="AJ71" i="1" s="1"/>
  <c r="AJ76" i="1" s="1"/>
  <c r="D76" i="1" s="1"/>
  <c r="AJ17" i="1"/>
  <c r="AJ22" i="1" s="1"/>
  <c r="AJ27" i="1" s="1"/>
  <c r="AJ32" i="1" s="1"/>
  <c r="AJ37" i="1" s="1"/>
  <c r="AJ42" i="1" s="1"/>
  <c r="AJ47" i="1" s="1"/>
  <c r="AJ52" i="1" s="1"/>
  <c r="AJ57" i="1" s="1"/>
  <c r="AJ62" i="1" s="1"/>
  <c r="AJ67" i="1" s="1"/>
  <c r="AJ72" i="1" s="1"/>
  <c r="AJ77" i="1" s="1"/>
  <c r="AJ18" i="1"/>
  <c r="AJ23" i="1"/>
  <c r="D23" i="1" s="1"/>
  <c r="AJ28" i="1"/>
  <c r="D28" i="1" s="1"/>
  <c r="AJ33" i="1"/>
  <c r="AJ38" i="1" s="1"/>
  <c r="AJ43" i="1" s="1"/>
  <c r="AJ48" i="1" s="1"/>
  <c r="AJ53" i="1" s="1"/>
  <c r="AJ58" i="1" s="1"/>
  <c r="AJ63" i="1" s="1"/>
  <c r="AJ68" i="1" s="1"/>
  <c r="AJ73" i="1" s="1"/>
  <c r="AJ78" i="1" s="1"/>
  <c r="D78" i="1" s="1"/>
  <c r="AJ14" i="1"/>
  <c r="AJ19" i="1" s="1"/>
  <c r="E15" i="1"/>
  <c r="E20" i="1" s="1"/>
  <c r="E25" i="1" s="1"/>
  <c r="E30" i="1" s="1"/>
  <c r="E35" i="1" s="1"/>
  <c r="E40" i="1" s="1"/>
  <c r="E45" i="1" s="1"/>
  <c r="E50" i="1" s="1"/>
  <c r="E55" i="1" s="1"/>
  <c r="E60" i="1" s="1"/>
  <c r="E65" i="1" s="1"/>
  <c r="E16" i="1"/>
  <c r="E17" i="1"/>
  <c r="B17" i="1" s="1"/>
  <c r="E18" i="1"/>
  <c r="B18" i="1" s="1"/>
  <c r="E21" i="1"/>
  <c r="E22" i="1"/>
  <c r="E27" i="1" s="1"/>
  <c r="E32" i="1" s="1"/>
  <c r="E37" i="1" s="1"/>
  <c r="E42" i="1" s="1"/>
  <c r="E47" i="1" s="1"/>
  <c r="E52" i="1" s="1"/>
  <c r="E57" i="1" s="1"/>
  <c r="E62" i="1" s="1"/>
  <c r="B62" i="1" s="1"/>
  <c r="E23" i="1"/>
  <c r="E28" i="1" s="1"/>
  <c r="E26" i="1"/>
  <c r="E31" i="1" s="1"/>
  <c r="E36" i="1" s="1"/>
  <c r="E41" i="1" s="1"/>
  <c r="E46" i="1" s="1"/>
  <c r="E51" i="1" s="1"/>
  <c r="E56" i="1" s="1"/>
  <c r="E61" i="1" s="1"/>
  <c r="E66" i="1" s="1"/>
  <c r="E14" i="1"/>
  <c r="E19" i="1" s="1"/>
  <c r="E24" i="1" s="1"/>
  <c r="E29" i="1" s="1"/>
  <c r="E34" i="1" s="1"/>
  <c r="E39" i="1" s="1"/>
  <c r="E44" i="1" s="1"/>
  <c r="E49" i="1" s="1"/>
  <c r="E54" i="1" s="1"/>
  <c r="E59" i="1" s="1"/>
  <c r="E70" i="1" l="1"/>
  <c r="E33" i="1"/>
  <c r="B28" i="1"/>
  <c r="B16" i="1"/>
  <c r="AJ24" i="1"/>
  <c r="D19" i="1"/>
  <c r="B19" i="1" s="1"/>
  <c r="D21" i="1"/>
  <c r="B21" i="1" s="1"/>
  <c r="B52" i="1"/>
  <c r="D36" i="1"/>
  <c r="B36" i="1" s="1"/>
  <c r="B23" i="1"/>
  <c r="D41" i="1"/>
  <c r="B41" i="1" s="1"/>
  <c r="B47" i="1"/>
  <c r="D26" i="1"/>
  <c r="B26" i="1" s="1"/>
  <c r="B57" i="1"/>
  <c r="D71" i="1"/>
  <c r="D16" i="1"/>
  <c r="D31" i="1"/>
  <c r="B31" i="1" s="1"/>
  <c r="B15" i="1"/>
  <c r="B27" i="1"/>
  <c r="D61" i="1"/>
  <c r="B61" i="1" s="1"/>
  <c r="D33" i="1"/>
  <c r="D53" i="1"/>
  <c r="D51" i="1"/>
  <c r="B51" i="1" s="1"/>
  <c r="AJ20" i="1"/>
  <c r="D48" i="1"/>
  <c r="B56" i="1"/>
  <c r="D46" i="1"/>
  <c r="B46" i="1" s="1"/>
  <c r="E67" i="1"/>
  <c r="D14" i="1"/>
  <c r="B14" i="1" s="1"/>
  <c r="B22" i="1"/>
  <c r="D56" i="1"/>
  <c r="B42" i="1"/>
  <c r="B37" i="1"/>
  <c r="D66" i="1"/>
  <c r="B66" i="1" s="1"/>
  <c r="D68" i="1"/>
  <c r="B32" i="1"/>
  <c r="E71" i="1"/>
  <c r="B71" i="1" s="1"/>
  <c r="D2" i="1"/>
  <c r="H48" i="1"/>
  <c r="H47" i="1"/>
  <c r="H46" i="1"/>
  <c r="H45" i="1"/>
  <c r="H24" i="6"/>
  <c r="H23" i="6"/>
  <c r="H21" i="6" s="1"/>
  <c r="D5" i="1"/>
  <c r="AJ25" i="1" l="1"/>
  <c r="D20" i="1"/>
  <c r="B20" i="1" s="1"/>
  <c r="AJ29" i="1"/>
  <c r="D24" i="1"/>
  <c r="B24" i="1" s="1"/>
  <c r="E72" i="1"/>
  <c r="B67" i="1"/>
  <c r="E38" i="1"/>
  <c r="B33" i="1"/>
  <c r="E75" i="1"/>
  <c r="E76" i="1"/>
  <c r="B76" i="1" s="1"/>
  <c r="E5" i="1"/>
  <c r="I24" i="6"/>
  <c r="I23" i="6" s="1"/>
  <c r="E24" i="6"/>
  <c r="E23" i="6"/>
  <c r="S48" i="1"/>
  <c r="R48" i="1"/>
  <c r="S47" i="1"/>
  <c r="R47" i="1"/>
  <c r="S46" i="1"/>
  <c r="R46" i="1"/>
  <c r="S45" i="1"/>
  <c r="R45" i="1"/>
  <c r="I40" i="1"/>
  <c r="I39" i="1"/>
  <c r="I38" i="1"/>
  <c r="I37" i="1"/>
  <c r="Q29" i="1"/>
  <c r="T29" i="1" s="1"/>
  <c r="Q28" i="1"/>
  <c r="T28" i="1" s="1"/>
  <c r="Z27" i="1"/>
  <c r="Y27" i="1"/>
  <c r="X27" i="1"/>
  <c r="W27" i="1"/>
  <c r="V27" i="1"/>
  <c r="U27" i="1"/>
  <c r="T27" i="1"/>
  <c r="O17" i="1"/>
  <c r="O40" i="1" s="1"/>
  <c r="N17" i="1"/>
  <c r="N39" i="1" s="1"/>
  <c r="M17" i="1"/>
  <c r="M38" i="1" s="1"/>
  <c r="L17" i="1"/>
  <c r="L38" i="1" s="1"/>
  <c r="K17" i="1"/>
  <c r="K38" i="1" s="1"/>
  <c r="J17" i="1"/>
  <c r="J44" i="1" s="1"/>
  <c r="E43" i="1" l="1"/>
  <c r="B38" i="1"/>
  <c r="B72" i="1"/>
  <c r="E77" i="1"/>
  <c r="B77" i="1" s="1"/>
  <c r="D29" i="1"/>
  <c r="B29" i="1" s="1"/>
  <c r="AJ34" i="1"/>
  <c r="D25" i="1"/>
  <c r="B25" i="1" s="1"/>
  <c r="AJ30" i="1"/>
  <c r="K40" i="1"/>
  <c r="J37" i="1"/>
  <c r="J45" i="1" s="1"/>
  <c r="J40" i="1"/>
  <c r="I47" i="1"/>
  <c r="L40" i="1"/>
  <c r="M40" i="1"/>
  <c r="N40" i="1"/>
  <c r="M44" i="1"/>
  <c r="N44" i="1"/>
  <c r="K37" i="1"/>
  <c r="K45" i="1" s="1"/>
  <c r="L37" i="1"/>
  <c r="L45" i="1" s="1"/>
  <c r="I46" i="1"/>
  <c r="K46" i="1"/>
  <c r="M37" i="1"/>
  <c r="M45" i="1" s="1"/>
  <c r="N37" i="1"/>
  <c r="N45" i="1" s="1"/>
  <c r="L46" i="1"/>
  <c r="M46" i="1"/>
  <c r="N38" i="1"/>
  <c r="N46" i="1" s="1"/>
  <c r="I48" i="1"/>
  <c r="O48" i="1" s="1"/>
  <c r="N47" i="1"/>
  <c r="I45" i="1"/>
  <c r="K39" i="1"/>
  <c r="K47" i="1" s="1"/>
  <c r="L39" i="1"/>
  <c r="L47" i="1" s="1"/>
  <c r="J39" i="1"/>
  <c r="J47" i="1" s="1"/>
  <c r="M39" i="1"/>
  <c r="M47" i="1" s="1"/>
  <c r="O39" i="1"/>
  <c r="O47" i="1" s="1"/>
  <c r="O37" i="1"/>
  <c r="O45" i="1" s="1"/>
  <c r="K44" i="1"/>
  <c r="L44" i="1"/>
  <c r="O38" i="1"/>
  <c r="O46" i="1" s="1"/>
  <c r="O44" i="1"/>
  <c r="J38" i="1"/>
  <c r="J46" i="1" s="1"/>
  <c r="M20" i="1"/>
  <c r="N20" i="1"/>
  <c r="I21" i="1"/>
  <c r="J21" i="1"/>
  <c r="K18" i="1"/>
  <c r="M21" i="1"/>
  <c r="O21" i="1"/>
  <c r="K24" i="1"/>
  <c r="V24" i="1" s="1"/>
  <c r="J19" i="1"/>
  <c r="K19" i="1"/>
  <c r="L19" i="1"/>
  <c r="I20" i="1"/>
  <c r="I15" i="1"/>
  <c r="J20" i="1"/>
  <c r="I18" i="1"/>
  <c r="K21" i="1"/>
  <c r="L18" i="1"/>
  <c r="M18" i="1"/>
  <c r="N18" i="1"/>
  <c r="L24" i="1"/>
  <c r="W24" i="1" s="1"/>
  <c r="N24" i="1"/>
  <c r="Y24" i="1" s="1"/>
  <c r="M19" i="1"/>
  <c r="N19" i="1"/>
  <c r="J15" i="1"/>
  <c r="K20" i="1"/>
  <c r="L15" i="1"/>
  <c r="M15" i="1"/>
  <c r="N15" i="1"/>
  <c r="O20" i="1"/>
  <c r="O15" i="1"/>
  <c r="J18" i="1"/>
  <c r="L21" i="1"/>
  <c r="N21" i="1"/>
  <c r="O18" i="1"/>
  <c r="I19" i="1"/>
  <c r="M24" i="1"/>
  <c r="X24" i="1" s="1"/>
  <c r="O24" i="1"/>
  <c r="Z24" i="1" s="1"/>
  <c r="O19" i="1"/>
  <c r="K15" i="1"/>
  <c r="L20" i="1"/>
  <c r="S12" i="1"/>
  <c r="T14" i="1" s="1"/>
  <c r="AJ39" i="1" l="1"/>
  <c r="D34" i="1"/>
  <c r="B34" i="1" s="1"/>
  <c r="D30" i="1"/>
  <c r="B30" i="1" s="1"/>
  <c r="AJ35" i="1"/>
  <c r="E48" i="1"/>
  <c r="B43" i="1"/>
  <c r="T18" i="1"/>
  <c r="V14" i="1"/>
  <c r="V19" i="1" s="1"/>
  <c r="Y14" i="1"/>
  <c r="Y18" i="1" s="1"/>
  <c r="Z14" i="1"/>
  <c r="Z20" i="1" s="1"/>
  <c r="W14" i="1"/>
  <c r="W19" i="1" s="1"/>
  <c r="U14" i="1"/>
  <c r="U18" i="1" s="1"/>
  <c r="X14" i="1"/>
  <c r="X20" i="1" s="1"/>
  <c r="T19" i="1"/>
  <c r="T21" i="1"/>
  <c r="U21" i="1" s="1"/>
  <c r="V21" i="1" s="1"/>
  <c r="W21" i="1" s="1"/>
  <c r="X21" i="1" s="1"/>
  <c r="Y21" i="1" s="1"/>
  <c r="Z21" i="1" s="1"/>
  <c r="T20" i="1"/>
  <c r="E53" i="1" l="1"/>
  <c r="B48" i="1"/>
  <c r="AJ40" i="1"/>
  <c r="D35" i="1"/>
  <c r="B35" i="1" s="1"/>
  <c r="AJ44" i="1"/>
  <c r="D39" i="1"/>
  <c r="B39" i="1" s="1"/>
  <c r="X19" i="1"/>
  <c r="X22" i="1" s="1"/>
  <c r="U19" i="1"/>
  <c r="U20" i="1"/>
  <c r="X18" i="1"/>
  <c r="W18" i="1"/>
  <c r="Z18" i="1"/>
  <c r="Y20" i="1"/>
  <c r="Y19" i="1"/>
  <c r="Z19" i="1"/>
  <c r="Z22" i="1" s="1"/>
  <c r="V18" i="1"/>
  <c r="V20" i="1"/>
  <c r="V22" i="1" s="1"/>
  <c r="W20" i="1"/>
  <c r="W22" i="1" s="1"/>
  <c r="T22" i="1"/>
  <c r="AJ49" i="1" l="1"/>
  <c r="D44" i="1"/>
  <c r="B44" i="1" s="1"/>
  <c r="AJ45" i="1"/>
  <c r="D40" i="1"/>
  <c r="B40" i="1" s="1"/>
  <c r="E58" i="1"/>
  <c r="B53" i="1"/>
  <c r="U22" i="1"/>
  <c r="Y22" i="1"/>
  <c r="E63" i="1" l="1"/>
  <c r="B58" i="1"/>
  <c r="AJ50" i="1"/>
  <c r="D45" i="1"/>
  <c r="B45" i="1" s="1"/>
  <c r="AJ54" i="1"/>
  <c r="D49" i="1"/>
  <c r="B49" i="1" s="1"/>
  <c r="B63" i="1" l="1"/>
  <c r="E68" i="1"/>
  <c r="AJ59" i="1"/>
  <c r="D54" i="1"/>
  <c r="B54" i="1" s="1"/>
  <c r="AJ55" i="1"/>
  <c r="D50" i="1"/>
  <c r="B50" i="1" s="1"/>
  <c r="AJ60" i="1" l="1"/>
  <c r="D55" i="1"/>
  <c r="B55" i="1" s="1"/>
  <c r="E73" i="1"/>
  <c r="B68" i="1"/>
  <c r="AJ64" i="1"/>
  <c r="D59" i="1"/>
  <c r="B59" i="1" s="1"/>
  <c r="AJ69" i="1" l="1"/>
  <c r="D64" i="1"/>
  <c r="B64" i="1" s="1"/>
  <c r="B73" i="1"/>
  <c r="E78" i="1"/>
  <c r="B78" i="1" s="1"/>
  <c r="AJ65" i="1"/>
  <c r="D60" i="1"/>
  <c r="B60" i="1" s="1"/>
  <c r="AJ70" i="1" l="1"/>
  <c r="D65" i="1"/>
  <c r="B65" i="1" s="1"/>
  <c r="AJ74" i="1"/>
  <c r="D74" i="1" s="1"/>
  <c r="B74" i="1" s="1"/>
  <c r="D69" i="1"/>
  <c r="B69" i="1" s="1"/>
  <c r="AJ75" i="1" l="1"/>
  <c r="D75" i="1" s="1"/>
  <c r="B75" i="1" s="1"/>
  <c r="D70" i="1"/>
  <c r="B7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M8" authorId="0" shapeId="0" xr:uid="{B8774821-523C-49C0-8481-0CFAD2313CD6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12-10-2025
AR6 info is not useful for this metric
</t>
        </r>
      </text>
    </comment>
  </commentList>
</comments>
</file>

<file path=xl/sharedStrings.xml><?xml version="1.0" encoding="utf-8"?>
<sst xmlns="http://schemas.openxmlformats.org/spreadsheetml/2006/main" count="13738" uniqueCount="305">
  <si>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</si>
  <si>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</si>
  <si>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</si>
  <si>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</si>
  <si>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</si>
  <si>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</si>
  <si>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</si>
  <si>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</si>
  <si>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</si>
  <si>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</si>
  <si>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</si>
  <si>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</si>
  <si>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~TFM_INS-TS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</si>
  <si>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</si>
  <si>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</si>
  <si>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</si>
  <si>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</si>
  <si>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</si>
  <si>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</si>
  <si>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</si>
  <si>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</si>
  <si>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</si>
  <si>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</si>
  <si>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</si>
  <si>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</si>
  <si>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</si>
  <si>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*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</si>
  <si>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</si>
  <si>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</si>
  <si>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</si>
  <si>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</si>
  <si>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</si>
  <si>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</si>
  <si>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</si>
  <si>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</si>
  <si>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</si>
  <si>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</si>
  <si>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</si>
  <si>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</si>
  <si>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</si>
  <si>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</si>
  <si>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</si>
  <si>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</si>
  <si>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</si>
  <si>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</si>
  <si>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</si>
  <si>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</si>
  <si>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</si>
  <si>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</si>
  <si>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</si>
  <si>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</si>
  <si>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</si>
  <si>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</si>
  <si>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</si>
  <si>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</si>
  <si>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</si>
  <si>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</si>
  <si>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</si>
  <si>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</si>
  <si>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</si>
  <si>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</si>
  <si>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</si>
  <si>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</si>
  <si>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</si>
  <si>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</si>
  <si>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</si>
  <si>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</si>
  <si>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</si>
  <si>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</si>
  <si>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</si>
  <si>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</si>
  <si>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</si>
  <si>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</si>
  <si>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</si>
  <si>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</si>
  <si>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</si>
  <si>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</si>
  <si>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</si>
  <si>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</si>
  <si>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</si>
  <si>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</si>
  <si>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</si>
  <si>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</si>
  <si>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</si>
  <si>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</si>
  <si>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</si>
  <si>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</si>
  <si>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</si>
  <si>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</si>
  <si>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</si>
  <si>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</si>
  <si>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</si>
  <si>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</si>
  <si>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</si>
  <si>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</si>
  <si>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</si>
  <si>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</si>
  <si>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</si>
  <si>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</si>
  <si>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</si>
  <si>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</si>
  <si>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s1p1v1_d</t>
  </si>
  <si>
    <t>s3p3v3_d</t>
  </si>
  <si>
    <t>s2_w</t>
  </si>
  <si>
    <t>s2_w_p2_d</t>
  </si>
  <si>
    <t>s5p5v5_d</t>
  </si>
  <si>
    <t>ts_annual</t>
  </si>
  <si>
    <t>pset_co</t>
  </si>
  <si>
    <t>e3d</t>
  </si>
  <si>
    <t>e 1.5 deg no OS</t>
  </si>
  <si>
    <t>d9d</t>
  </si>
  <si>
    <t>d 1.5 deg OS</t>
  </si>
  <si>
    <t>b2w</t>
  </si>
  <si>
    <t>c 2 deg (67%)</t>
  </si>
  <si>
    <t>a2w2d</t>
  </si>
  <si>
    <t>b 2 deg (50%)</t>
  </si>
  <si>
    <t>a 3 deg</t>
  </si>
  <si>
    <t>c15d</t>
  </si>
  <si>
    <t>~Scenmap</t>
  </si>
  <si>
    <t>scen</t>
  </si>
  <si>
    <t>case_no</t>
  </si>
  <si>
    <t>timeslice</t>
  </si>
  <si>
    <t>climate</t>
  </si>
  <si>
    <t>priority</t>
  </si>
  <si>
    <t>ts_012</t>
  </si>
  <si>
    <t>ts_024</t>
  </si>
  <si>
    <t>ts_048</t>
  </si>
  <si>
    <t>ts_064</t>
  </si>
  <si>
    <t>ts_096P50</t>
  </si>
  <si>
    <t>ts_096P10</t>
  </si>
  <si>
    <t>ts_096P90</t>
  </si>
  <si>
    <t>ts_12t</t>
  </si>
  <si>
    <t>f96p90</t>
  </si>
  <si>
    <t>f96p10</t>
  </si>
  <si>
    <t>g64</t>
  </si>
  <si>
    <t>h48</t>
  </si>
  <si>
    <t>i24</t>
  </si>
  <si>
    <t>j12</t>
  </si>
  <si>
    <t>k12</t>
  </si>
  <si>
    <t>kAnn</t>
  </si>
  <si>
    <t>f96p50</t>
  </si>
  <si>
    <t>~TFM_INS-TS: attribute=flo_cost;pset_pn=-IMP*Z</t>
  </si>
  <si>
    <t>bio price multiplier</t>
  </si>
  <si>
    <t>DEU</t>
  </si>
  <si>
    <t>R10EUROPE</t>
  </si>
  <si>
    <t>TTF gas hub, imported coal via ARA</t>
  </si>
  <si>
    <t>1,2,3,4,5,6,7,8,9,10,11,12,13,14,15,21,22,23,24,25</t>
  </si>
  <si>
    <t>~tfm_ins-ts</t>
  </si>
  <si>
    <t>lo</t>
  </si>
  <si>
    <t>cap_bnd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</si>
  <si>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</si>
  <si>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</si>
  <si>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</si>
  <si>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</si>
  <si>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</si>
  <si>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</si>
  <si>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</si>
  <si>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</si>
  <si>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</t>
  </si>
  <si>
    <t>S02</t>
  </si>
  <si>
    <t>H02</t>
  </si>
  <si>
    <t>S03</t>
  </si>
  <si>
    <t>H03</t>
  </si>
  <si>
    <t>com_fr</t>
  </si>
  <si>
    <t>elc_spv_001</t>
  </si>
  <si>
    <t>S01aH01</t>
  </si>
  <si>
    <t>IMPNRGZ</t>
  </si>
  <si>
    <t>S01aH02</t>
  </si>
  <si>
    <t>S01aH03</t>
  </si>
  <si>
    <t>S02aH01</t>
  </si>
  <si>
    <t>S02aH02</t>
  </si>
  <si>
    <t>S02aH03</t>
  </si>
  <si>
    <t>S03aH01</t>
  </si>
  <si>
    <t>S03aH02</t>
  </si>
  <si>
    <t>S03aH03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</si>
  <si>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</si>
  <si>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</si>
  <si>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</si>
  <si>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</si>
  <si>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</si>
  <si>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</si>
  <si>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</si>
  <si>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</si>
  <si>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</si>
  <si>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elc_spv_011</t>
  </si>
  <si>
    <t>elc_spv_012</t>
  </si>
  <si>
    <t>elc_spv_013</t>
  </si>
  <si>
    <t>elc_spv_014</t>
  </si>
  <si>
    <t>elc_spv_015</t>
  </si>
  <si>
    <t>elc_spv_016</t>
  </si>
  <si>
    <t>elc_spv_017</t>
  </si>
  <si>
    <t>elc_spv_018</t>
  </si>
  <si>
    <t>elc_spv_019</t>
  </si>
  <si>
    <t>elc_spv_020</t>
  </si>
  <si>
    <t>elc_spv_021</t>
  </si>
  <si>
    <t>elc_spv_022</t>
  </si>
  <si>
    <t>elc_spv_023</t>
  </si>
  <si>
    <t>elc_won_001</t>
  </si>
  <si>
    <t>elc_won_002</t>
  </si>
  <si>
    <t>elc_won_003</t>
  </si>
  <si>
    <t>elc_won_004</t>
  </si>
  <si>
    <t>elc_won_005</t>
  </si>
  <si>
    <t>elc_won_006</t>
  </si>
  <si>
    <t>elc_won_007</t>
  </si>
  <si>
    <t>elc_won_008</t>
  </si>
  <si>
    <t>elc_won_009</t>
  </si>
  <si>
    <t>elc_won_010</t>
  </si>
  <si>
    <t>elc_won_011</t>
  </si>
  <si>
    <t>elc_won_012</t>
  </si>
  <si>
    <t>elc_won_013</t>
  </si>
  <si>
    <t>elc_won_014</t>
  </si>
  <si>
    <t>elc_won_015</t>
  </si>
  <si>
    <t>elc_won_016</t>
  </si>
  <si>
    <t>elc_won_017</t>
  </si>
  <si>
    <t>elc_won_018</t>
  </si>
  <si>
    <t>elc_won_019</t>
  </si>
  <si>
    <t>elc_won_020</t>
  </si>
  <si>
    <t>elc_won_021</t>
  </si>
  <si>
    <t>elc_won_022</t>
  </si>
  <si>
    <t>elc_wof_001</t>
  </si>
  <si>
    <t>elc_wof_002</t>
  </si>
  <si>
    <t>elc_wof_003</t>
  </si>
  <si>
    <t>elc_wof_004</t>
  </si>
  <si>
    <t>elc_wof_005</t>
  </si>
  <si>
    <t>elc_wof_006</t>
  </si>
  <si>
    <t>elc_wof_007</t>
  </si>
  <si>
    <t>elc_wof_008</t>
  </si>
  <si>
    <t>elc_wof_009</t>
  </si>
  <si>
    <t>elc_wof_010</t>
  </si>
  <si>
    <t>g_yrfr</t>
  </si>
  <si>
    <t>day_night</t>
  </si>
  <si>
    <t>D</t>
  </si>
  <si>
    <t>S03aH01,S01aH02,S02aH02,S02aH01,S01aH01,S03aH02</t>
  </si>
  <si>
    <t>N</t>
  </si>
  <si>
    <t>S03aH03,S02aH03,S01aH03</t>
  </si>
  <si>
    <t>com_pkflx</t>
  </si>
  <si>
    <t>ncap_afs</t>
  </si>
  <si>
    <t>pset_ci</t>
  </si>
  <si>
    <t>hydro</t>
  </si>
  <si>
    <t>S01,S02,S03,S04,S05,S06,S07</t>
  </si>
  <si>
    <t>S04</t>
  </si>
  <si>
    <t>H04</t>
  </si>
  <si>
    <t>S05</t>
  </si>
  <si>
    <t>H05</t>
  </si>
  <si>
    <t>S06</t>
  </si>
  <si>
    <t>H06</t>
  </si>
  <si>
    <t>S07</t>
  </si>
  <si>
    <t>S01aH04</t>
  </si>
  <si>
    <t>S01aH05</t>
  </si>
  <si>
    <t>S01aH06</t>
  </si>
  <si>
    <t>S02aH04</t>
  </si>
  <si>
    <t>S02aH05</t>
  </si>
  <si>
    <t>S02aH06</t>
  </si>
  <si>
    <t>S03aH04</t>
  </si>
  <si>
    <t>S03aH05</t>
  </si>
  <si>
    <t>S03aH06</t>
  </si>
  <si>
    <t>S04aH01</t>
  </si>
  <si>
    <t>S04aH02</t>
  </si>
  <si>
    <t>S04aH03</t>
  </si>
  <si>
    <t>S04aH04</t>
  </si>
  <si>
    <t>S04aH05</t>
  </si>
  <si>
    <t>S04aH06</t>
  </si>
  <si>
    <t>S05aH01</t>
  </si>
  <si>
    <t>S05aH02</t>
  </si>
  <si>
    <t>S05aH03</t>
  </si>
  <si>
    <t>S05aH04</t>
  </si>
  <si>
    <t>S05aH05</t>
  </si>
  <si>
    <t>S05aH06</t>
  </si>
  <si>
    <t>S06aH01</t>
  </si>
  <si>
    <t>S06aH02</t>
  </si>
  <si>
    <t>S06aH03</t>
  </si>
  <si>
    <t>S06aH04</t>
  </si>
  <si>
    <t>S06aH05</t>
  </si>
  <si>
    <t>S06aH06</t>
  </si>
  <si>
    <t>S07aH01</t>
  </si>
  <si>
    <t>S07aH02</t>
  </si>
  <si>
    <t>S07aH03</t>
  </si>
  <si>
    <t>S07aH04</t>
  </si>
  <si>
    <t>S07aH05</t>
  </si>
  <si>
    <t>S07aH06</t>
  </si>
  <si>
    <t>S02aH02,S01aH03,S05aH02,S05aH03,S03aH02,S07aH05,S03aH04,S04aH03,S07aH04,S02aH03,S07aH03,S04aH05,S01aH04,S07aH02,S03aH03,S05aH04,S06aH02,S06aH03,S01aH05,S06aH05,S02aH04,S02aH05,S04aH02,S01aH02,S04aH04,S03aH05,S05aH05,S06aH04</t>
  </si>
  <si>
    <t>S03aH01,S05aH01,S07aH06,S02aH01,S05aH06,S01aH01,S04aH01,S04aH06,S06aH01,S06aH06,S01aH06,S07aH01,S02aH06,S03aH06</t>
  </si>
  <si>
    <t>AllS</t>
  </si>
  <si>
    <t>AllH</t>
  </si>
  <si>
    <t>AllSaAllH</t>
  </si>
  <si>
    <t>F</t>
  </si>
  <si>
    <t>W,R,S,F</t>
  </si>
  <si>
    <t>R</t>
  </si>
  <si>
    <t>S</t>
  </si>
  <si>
    <t>P</t>
  </si>
  <si>
    <t>W</t>
  </si>
  <si>
    <t>FaD</t>
  </si>
  <si>
    <t>FaN</t>
  </si>
  <si>
    <t>FaP</t>
  </si>
  <si>
    <t>RaD</t>
  </si>
  <si>
    <t>RaN</t>
  </si>
  <si>
    <t>RaP</t>
  </si>
  <si>
    <t>SaD</t>
  </si>
  <si>
    <t>SaN</t>
  </si>
  <si>
    <t>SaP</t>
  </si>
  <si>
    <t>WaD</t>
  </si>
  <si>
    <t>WaN</t>
  </si>
  <si>
    <t>WaP</t>
  </si>
  <si>
    <t>SaD,WaP,FaP,SaP,FaD,WaD,RaP,RaD</t>
  </si>
  <si>
    <t>FaP,SaP,FaN,RaN,SaN,WaN,RaP,WaP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</si>
</sst>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0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</cellStyleXfs>
  <cellXfs count="19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8" fillId="4" borderId="4" xfId="7"/>
    <xf numFmtId="0" fontId="4" fillId="0" borderId="2" xfId="8"/>
    <xf numFmtId="0" fontId="5" fillId="0" borderId="3" xfId="9"/>
    <xf numFmtId="0" fontId="0" fillId="5" borderId="0" xfId="0" applyFill="1"/>
    <xf numFmtId="0" fontId="9" fillId="0" borderId="0" xfId="0" applyFont="1"/>
    <xf numFmtId="0" fontId="0" fillId="6" borderId="0" xfId="0" applyFill="1"/>
    <xf numFmtId="49" fontId="0" fillId="0" borderId="0" xfId="0" quotePrefix="1" applyNumberFormat="1"/>
  </cellXfs>
  <cellStyles count="10"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Veda!$T$17:$Z$17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Veda!$T$14:$Z$14</c:f>
              <c:numCache>
                <c:formatCode>0</c:formatCode>
                <c:ptCount val="7"/>
                <c:pt idx="0">
                  <c:v>547.04999999999995</c:v>
                </c:pt>
                <c:pt idx="1">
                  <c:v>574.40250000000003</c:v>
                </c:pt>
                <c:pt idx="2">
                  <c:v>640.04849999999988</c:v>
                </c:pt>
                <c:pt idx="3">
                  <c:v>722.10599999999999</c:v>
                </c:pt>
                <c:pt idx="4">
                  <c:v>820.57499999999993</c:v>
                </c:pt>
                <c:pt idx="5">
                  <c:v>919.04399999999987</c:v>
                </c:pt>
                <c:pt idx="6">
                  <c:v>990.16049999999996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Veda!$I$17:$O$17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Veda!$I$24:$O$24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71.48</c:v>
                </c:pt>
                <c:pt idx="3">
                  <c:v>104.42</c:v>
                </c:pt>
                <c:pt idx="4">
                  <c:v>134.85</c:v>
                </c:pt>
                <c:pt idx="5">
                  <c:v>178.1</c:v>
                </c:pt>
                <c:pt idx="6">
                  <c:v>209.45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454817</xdr:colOff>
      <xdr:row>0</xdr:row>
      <xdr:rowOff>142875</xdr:rowOff>
    </xdr:from>
    <xdr:to>
      <xdr:col>26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481012</xdr:colOff>
      <xdr:row>24</xdr:row>
      <xdr:rowOff>171450</xdr:rowOff>
    </xdr:from>
    <xdr:to>
      <xdr:col>15</xdr:col>
      <xdr:colOff>250032</xdr:colOff>
      <xdr:row>34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85"/>
  <sheetViews>
    <sheetView topLeftCell="A26" workbookViewId="0">
      <selection activeCell="O48" sqref="O48"/>
    </sheetView>
  </sheetViews>
  <sheetFormatPr defaultRowHeight="14.25" x14ac:dyDescent="0.45"/>
  <cols>
    <col min="1" max="1" width="6.46484375" bestFit="1" customWidth="1"/>
    <col min="2" max="2" width="19.06640625" bestFit="1" customWidth="1"/>
    <col min="3" max="3" width="7.265625" bestFit="1" customWidth="1"/>
    <col min="4" max="4" width="12.06640625" bestFit="1" customWidth="1"/>
    <col min="5" max="5" width="9.53125" customWidth="1"/>
    <col min="6" max="6" width="1.73046875" bestFit="1" customWidth="1"/>
    <col min="7" max="7" width="24.53125" customWidth="1"/>
    <col min="8" max="8" width="9.6640625" bestFit="1" customWidth="1"/>
    <col min="9" max="10" width="5.265625" bestFit="1" customWidth="1"/>
    <col min="11" max="11" width="7.265625" bestFit="1" customWidth="1"/>
    <col min="12" max="14" width="5.265625" bestFit="1" customWidth="1"/>
    <col min="15" max="15" width="6.265625" bestFit="1" customWidth="1"/>
    <col min="19" max="19" width="14.6640625" bestFit="1" customWidth="1"/>
    <col min="33" max="33" width="2.73046875" bestFit="1" customWidth="1"/>
    <col min="34" max="34" width="9.265625" bestFit="1" customWidth="1"/>
    <col min="35" max="35" width="6.265625" bestFit="1" customWidth="1"/>
    <col min="36" max="36" width="2.73046875" bestFit="1" customWidth="1"/>
    <col min="37" max="37" width="2.9296875" bestFit="1" customWidth="1"/>
    <col min="38" max="38" width="12.59765625" bestFit="1" customWidth="1"/>
  </cols>
  <sheetData>
    <row r="1" spans="1:39" x14ac:dyDescent="0.45">
      <c r="G1" s="18" t="s">
        <v>146</v>
      </c>
    </row>
    <row r="2" spans="1:39" x14ac:dyDescent="0.45">
      <c r="D2" s="1" t="str">
        <f>"~Inputcell: "&amp;_xlfn.TEXTJOIN(",",TRUE,G1:EE1)</f>
        <v>~Inputcell: 1,2,3,4,5,6,7,8,9,10,11,12,13,14,15,21,22,23,24,25</v>
      </c>
      <c r="G2">
        <v>5</v>
      </c>
      <c r="H2">
        <v>6</v>
      </c>
      <c r="I2">
        <v>7</v>
      </c>
      <c r="J2">
        <v>9</v>
      </c>
      <c r="K2">
        <v>10</v>
      </c>
      <c r="L2">
        <v>11</v>
      </c>
      <c r="M2">
        <v>16</v>
      </c>
      <c r="N2">
        <v>17</v>
      </c>
      <c r="O2">
        <v>18</v>
      </c>
      <c r="P2">
        <v>20</v>
      </c>
      <c r="Q2">
        <v>21</v>
      </c>
      <c r="R2">
        <v>22</v>
      </c>
      <c r="S2">
        <v>27</v>
      </c>
      <c r="T2">
        <v>28</v>
      </c>
      <c r="U2">
        <v>29</v>
      </c>
      <c r="V2">
        <v>31</v>
      </c>
      <c r="W2">
        <v>32</v>
      </c>
      <c r="X2">
        <v>33</v>
      </c>
      <c r="Y2">
        <v>38</v>
      </c>
      <c r="Z2">
        <v>39</v>
      </c>
      <c r="AA2">
        <v>40</v>
      </c>
      <c r="AB2">
        <v>42</v>
      </c>
      <c r="AC2">
        <v>43</v>
      </c>
      <c r="AD2">
        <v>44</v>
      </c>
      <c r="AE2">
        <v>49</v>
      </c>
      <c r="AF2">
        <v>50</v>
      </c>
      <c r="AG2">
        <v>51</v>
      </c>
      <c r="AH2">
        <v>53</v>
      </c>
      <c r="AI2">
        <v>54</v>
      </c>
      <c r="AJ2">
        <v>55</v>
      </c>
    </row>
    <row r="3" spans="1:39" x14ac:dyDescent="0.45">
      <c r="D3" s="9">
        <v>3</v>
      </c>
    </row>
    <row r="5" spans="1:39" x14ac:dyDescent="0.45">
      <c r="D5" s="1" t="str">
        <f>VLOOKUP(D3,$C$9:$E$999,2,FALSE)</f>
        <v>ts_annual</v>
      </c>
      <c r="E5" s="1" t="str">
        <f>VLOOKUP(D3,$C$9:$E$999,3,FALSE)</f>
        <v>C3</v>
      </c>
    </row>
    <row r="7" spans="1:39" x14ac:dyDescent="0.45">
      <c r="B7" s="16" t="s">
        <v>118</v>
      </c>
    </row>
    <row r="8" spans="1:39" ht="14.65" thickBot="1" x14ac:dyDescent="0.5">
      <c r="A8" s="4" t="s">
        <v>123</v>
      </c>
      <c r="B8" s="4" t="s">
        <v>119</v>
      </c>
      <c r="C8" s="4" t="s">
        <v>120</v>
      </c>
      <c r="D8" s="4" t="s">
        <v>121</v>
      </c>
      <c r="E8" s="4" t="s">
        <v>122</v>
      </c>
      <c r="AM8" s="2" t="s">
        <v>142</v>
      </c>
    </row>
    <row r="9" spans="1:39" x14ac:dyDescent="0.45">
      <c r="A9">
        <v>5</v>
      </c>
      <c r="B9" t="str">
        <f>VLOOKUP(E9,$AK$9:$AL$15,2,FALSE)&amp;"."&amp;VLOOKUP(D9,$AH$9:$AI$24,2,FALSE)</f>
        <v>e 1.5 deg no OS.kAnn</v>
      </c>
      <c r="C9">
        <v>1</v>
      </c>
      <c r="D9" t="str">
        <f>VLOOKUP(AJ9,$AG$9:$AH$22,2,FALSE)</f>
        <v>ts_annual</v>
      </c>
      <c r="E9" s="17" t="s">
        <v>0</v>
      </c>
      <c r="G9" t="s">
        <v>1</v>
      </c>
      <c r="AG9">
        <v>1</v>
      </c>
      <c r="AH9" t="s">
        <v>106</v>
      </c>
      <c r="AI9" t="s">
        <v>139</v>
      </c>
      <c r="AJ9" s="10">
        <v>1</v>
      </c>
      <c r="AK9" t="s">
        <v>0</v>
      </c>
      <c r="AL9" t="s">
        <v>109</v>
      </c>
      <c r="AM9" s="12">
        <v>5</v>
      </c>
    </row>
    <row r="10" spans="1:39" x14ac:dyDescent="0.45">
      <c r="A10">
        <v>5</v>
      </c>
      <c r="B10" t="str">
        <f t="shared" ref="B10:B73" si="0">VLOOKUP(E10,$AK$9:$AL$15,2,FALSE)&amp;"."&amp;VLOOKUP(D10,$AH$9:$AI$24,2,FALSE)</f>
        <v>d 1.5 deg OS.kAnn</v>
      </c>
      <c r="C10">
        <f>C9+1</f>
        <v>2</v>
      </c>
      <c r="D10" t="str">
        <f t="shared" ref="D10:D63" si="1">VLOOKUP(AJ10,$AG$9:$AH$22,2,FALSE)</f>
        <v>ts_annual</v>
      </c>
      <c r="E10" s="17" t="s">
        <v>2</v>
      </c>
      <c r="G10" t="s">
        <v>3</v>
      </c>
      <c r="S10" t="s">
        <v>4</v>
      </c>
      <c r="AG10">
        <v>2</v>
      </c>
      <c r="AH10" t="s">
        <v>131</v>
      </c>
      <c r="AI10" t="s">
        <v>138</v>
      </c>
      <c r="AJ10" s="10">
        <v>1</v>
      </c>
      <c r="AK10" t="s">
        <v>2</v>
      </c>
      <c r="AL10" t="s">
        <v>111</v>
      </c>
      <c r="AM10" s="12">
        <v>4</v>
      </c>
    </row>
    <row r="11" spans="1:39" x14ac:dyDescent="0.45">
      <c r="A11">
        <v>5</v>
      </c>
      <c r="B11" t="str">
        <f t="shared" si="0"/>
        <v>c 2 deg (67%).kAnn</v>
      </c>
      <c r="C11">
        <f t="shared" ref="C11:C74" si="2">C10+1</f>
        <v>3</v>
      </c>
      <c r="D11" t="str">
        <f t="shared" si="1"/>
        <v>ts_annual</v>
      </c>
      <c r="E11" s="17" t="s">
        <v>5</v>
      </c>
      <c r="G11" t="s">
        <v>6</v>
      </c>
      <c r="S11" s="1">
        <v>2022</v>
      </c>
      <c r="AG11">
        <v>3</v>
      </c>
      <c r="AH11" t="s">
        <v>124</v>
      </c>
      <c r="AI11" t="s">
        <v>137</v>
      </c>
      <c r="AJ11" s="10">
        <v>1</v>
      </c>
      <c r="AK11" t="s">
        <v>5</v>
      </c>
      <c r="AL11" t="s">
        <v>113</v>
      </c>
      <c r="AM11" s="12">
        <v>3</v>
      </c>
    </row>
    <row r="12" spans="1:39" ht="14.65" customHeight="1" thickBot="1" x14ac:dyDescent="0.5">
      <c r="A12">
        <v>5</v>
      </c>
      <c r="B12" t="str">
        <f t="shared" si="0"/>
        <v>b 2 deg (50%).kAnn</v>
      </c>
      <c r="C12">
        <f t="shared" si="2"/>
        <v>4</v>
      </c>
      <c r="D12" t="str">
        <f t="shared" si="1"/>
        <v>ts_annual</v>
      </c>
      <c r="E12" s="17" t="s">
        <v>7</v>
      </c>
      <c r="G12" t="s">
        <v>8</v>
      </c>
      <c r="S12" s="3">
        <f>SUMIFS(iea_data!I3:I9999,iea_data!$B$3:$B$9999,Veda!$S$11)+T28-T29</f>
        <v>547.04999999999995</v>
      </c>
      <c r="T12" s="2" t="s">
        <v>57</v>
      </c>
      <c r="AG12">
        <v>4</v>
      </c>
      <c r="AH12" t="s">
        <v>125</v>
      </c>
      <c r="AI12" t="s">
        <v>136</v>
      </c>
      <c r="AJ12" s="10">
        <v>1</v>
      </c>
      <c r="AK12" t="s">
        <v>7</v>
      </c>
      <c r="AL12" t="s">
        <v>115</v>
      </c>
      <c r="AM12" s="12">
        <v>3</v>
      </c>
    </row>
    <row r="13" spans="1:39" ht="14.65" customHeight="1" thickTop="1" x14ac:dyDescent="0.45">
      <c r="A13">
        <v>5</v>
      </c>
      <c r="B13" t="str">
        <f t="shared" si="0"/>
        <v>a 3 deg.kAnn</v>
      </c>
      <c r="C13">
        <f t="shared" si="2"/>
        <v>5</v>
      </c>
      <c r="D13" t="str">
        <f t="shared" si="1"/>
        <v>ts_annual</v>
      </c>
      <c r="E13" s="17" t="s">
        <v>9</v>
      </c>
      <c r="G13" t="s">
        <v>10</v>
      </c>
      <c r="AG13">
        <v>5</v>
      </c>
      <c r="AH13" t="s">
        <v>126</v>
      </c>
      <c r="AI13" t="s">
        <v>135</v>
      </c>
      <c r="AJ13" s="10">
        <v>1</v>
      </c>
      <c r="AK13" t="s">
        <v>9</v>
      </c>
      <c r="AL13" t="s">
        <v>116</v>
      </c>
      <c r="AM13" s="12">
        <v>1.5</v>
      </c>
    </row>
    <row r="14" spans="1:39" x14ac:dyDescent="0.45">
      <c r="A14">
        <v>5</v>
      </c>
      <c r="B14" t="str">
        <f t="shared" si="0"/>
        <v>e 1.5 deg no OS.k12</v>
      </c>
      <c r="C14">
        <f t="shared" si="2"/>
        <v>6</v>
      </c>
      <c r="D14" t="str">
        <f t="shared" si="1"/>
        <v>ts_12t</v>
      </c>
      <c r="E14" t="str">
        <f>E9</f>
        <v>C1</v>
      </c>
      <c r="T14" s="8">
        <f>S12</f>
        <v>547.04999999999995</v>
      </c>
      <c r="U14" s="8">
        <f t="shared" ref="U14:Z14" si="3">$S$12*J15</f>
        <v>574.40250000000003</v>
      </c>
      <c r="V14" s="8">
        <f t="shared" si="3"/>
        <v>640.04849999999988</v>
      </c>
      <c r="W14" s="8">
        <f t="shared" si="3"/>
        <v>722.10599999999999</v>
      </c>
      <c r="X14" s="8">
        <f t="shared" si="3"/>
        <v>820.57499999999993</v>
      </c>
      <c r="Y14" s="8">
        <f t="shared" si="3"/>
        <v>919.04399999999987</v>
      </c>
      <c r="Z14" s="8">
        <f t="shared" si="3"/>
        <v>990.16049999999996</v>
      </c>
      <c r="AG14">
        <v>6</v>
      </c>
      <c r="AH14" t="s">
        <v>127</v>
      </c>
      <c r="AI14" t="s">
        <v>134</v>
      </c>
      <c r="AJ14" s="10">
        <f>AJ9+1</f>
        <v>2</v>
      </c>
    </row>
    <row r="15" spans="1:39" x14ac:dyDescent="0.45">
      <c r="A15">
        <v>5</v>
      </c>
      <c r="B15" t="str">
        <f t="shared" si="0"/>
        <v>d 1.5 deg OS.k12</v>
      </c>
      <c r="C15">
        <f t="shared" si="2"/>
        <v>7</v>
      </c>
      <c r="D15" t="str">
        <f t="shared" si="1"/>
        <v>ts_12t</v>
      </c>
      <c r="E15" t="str">
        <f t="shared" ref="E15:E78" si="4">E10</f>
        <v>C2</v>
      </c>
      <c r="G15" t="s">
        <v>11</v>
      </c>
      <c r="I15" s="11">
        <f>SUMIFS(ar6_r10!$F$2:$F$999,ar6_r10!$A$2:$A$999,Veda!$E$5,ar6_r10!$C$2:$C$999,Veda!I$17,ar6_r10!$M$2:$M$999,Veda!$G15)</f>
        <v>1</v>
      </c>
      <c r="J15" s="11">
        <f>SUMIFS(ar6_r10!$F$2:$F$999,ar6_r10!$A$2:$A$999,Veda!$E$5,ar6_r10!$C$2:$C$999,Veda!J$17,ar6_r10!$M$2:$M$999,Veda!$G15)</f>
        <v>1.05</v>
      </c>
      <c r="K15" s="11">
        <f>SUMIFS(ar6_r10!$F$2:$F$999,ar6_r10!$A$2:$A$999,Veda!$E$5,ar6_r10!$C$2:$C$999,Veda!K$17,ar6_r10!$M$2:$M$999,Veda!$G15)</f>
        <v>1.17</v>
      </c>
      <c r="L15" s="11">
        <f>SUMIFS(ar6_r10!$F$2:$F$999,ar6_r10!$A$2:$A$999,Veda!$E$5,ar6_r10!$C$2:$C$999,Veda!L$17,ar6_r10!$M$2:$M$999,Veda!$G15)</f>
        <v>1.32</v>
      </c>
      <c r="M15" s="11">
        <f>SUMIFS(ar6_r10!$F$2:$F$999,ar6_r10!$A$2:$A$999,Veda!$E$5,ar6_r10!$C$2:$C$999,Veda!M$17,ar6_r10!$M$2:$M$999,Veda!$G15)</f>
        <v>1.5</v>
      </c>
      <c r="N15" s="11">
        <f>SUMIFS(ar6_r10!$F$2:$F$999,ar6_r10!$A$2:$A$999,Veda!$E$5,ar6_r10!$C$2:$C$999,Veda!N$17,ar6_r10!$M$2:$M$999,Veda!$G15)</f>
        <v>1.68</v>
      </c>
      <c r="O15" s="11">
        <f>SUMIFS(ar6_r10!$F$2:$F$999,ar6_r10!$A$2:$A$999,Veda!$E$5,ar6_r10!$C$2:$C$999,Veda!O$17,ar6_r10!$M$2:$M$999,Veda!$G15)</f>
        <v>1.81</v>
      </c>
      <c r="AG15">
        <v>7</v>
      </c>
      <c r="AH15" t="s">
        <v>128</v>
      </c>
      <c r="AI15" t="s">
        <v>140</v>
      </c>
      <c r="AJ15" s="10">
        <f t="shared" ref="AJ15:AJ78" si="5">AJ10+1</f>
        <v>2</v>
      </c>
    </row>
    <row r="16" spans="1:39" ht="17.649999999999999" customHeight="1" thickBot="1" x14ac:dyDescent="0.6">
      <c r="A16">
        <v>5</v>
      </c>
      <c r="B16" t="str">
        <f t="shared" si="0"/>
        <v>c 2 deg (67%).k12</v>
      </c>
      <c r="C16">
        <f t="shared" si="2"/>
        <v>8</v>
      </c>
      <c r="D16" t="str">
        <f t="shared" si="1"/>
        <v>ts_12t</v>
      </c>
      <c r="E16" t="str">
        <f t="shared" si="4"/>
        <v>C3</v>
      </c>
      <c r="S16" s="5" t="s">
        <v>12</v>
      </c>
      <c r="AG16">
        <v>8</v>
      </c>
      <c r="AH16" t="s">
        <v>129</v>
      </c>
      <c r="AI16" t="s">
        <v>133</v>
      </c>
      <c r="AJ16" s="10">
        <f t="shared" si="5"/>
        <v>2</v>
      </c>
    </row>
    <row r="17" spans="1:36" ht="15" customHeight="1" thickTop="1" thickBot="1" x14ac:dyDescent="0.5">
      <c r="A17">
        <v>5</v>
      </c>
      <c r="B17" t="str">
        <f t="shared" si="0"/>
        <v>b 2 deg (50%).k12</v>
      </c>
      <c r="C17">
        <f t="shared" si="2"/>
        <v>9</v>
      </c>
      <c r="D17" t="str">
        <f t="shared" si="1"/>
        <v>ts_12t</v>
      </c>
      <c r="E17" t="str">
        <f t="shared" si="4"/>
        <v>C4</v>
      </c>
      <c r="I17" s="7">
        <v>2020</v>
      </c>
      <c r="J17" s="7">
        <f t="shared" ref="J17:O17" si="6">U17</f>
        <v>2025</v>
      </c>
      <c r="K17" s="7">
        <f t="shared" si="6"/>
        <v>2030</v>
      </c>
      <c r="L17" s="7">
        <f t="shared" si="6"/>
        <v>2035</v>
      </c>
      <c r="M17" s="7">
        <f t="shared" si="6"/>
        <v>2040</v>
      </c>
      <c r="N17" s="7">
        <f t="shared" si="6"/>
        <v>2045</v>
      </c>
      <c r="O17" s="7">
        <f t="shared" si="6"/>
        <v>2050</v>
      </c>
      <c r="S17" s="4" t="s">
        <v>13</v>
      </c>
      <c r="T17" s="4">
        <v>2022</v>
      </c>
      <c r="U17" s="4">
        <v>2025</v>
      </c>
      <c r="V17" s="4">
        <v>2030</v>
      </c>
      <c r="W17" s="4">
        <v>2035</v>
      </c>
      <c r="X17" s="4">
        <v>2040</v>
      </c>
      <c r="Y17" s="4">
        <v>2045</v>
      </c>
      <c r="Z17" s="4">
        <v>2050</v>
      </c>
      <c r="AA17" s="4" t="s">
        <v>14</v>
      </c>
      <c r="AG17">
        <v>9</v>
      </c>
      <c r="AH17" t="s">
        <v>130</v>
      </c>
      <c r="AI17" t="s">
        <v>132</v>
      </c>
      <c r="AJ17" s="10">
        <f t="shared" si="5"/>
        <v>2</v>
      </c>
    </row>
    <row r="18" spans="1:36" x14ac:dyDescent="0.45">
      <c r="A18">
        <v>5</v>
      </c>
      <c r="B18" t="str">
        <f t="shared" si="0"/>
        <v>a 3 deg.k12</v>
      </c>
      <c r="C18">
        <f t="shared" si="2"/>
        <v>10</v>
      </c>
      <c r="D18" t="str">
        <f t="shared" si="1"/>
        <v>ts_12t</v>
      </c>
      <c r="E18" t="str">
        <f t="shared" si="4"/>
        <v>C7</v>
      </c>
      <c r="G18" t="s">
        <v>15</v>
      </c>
      <c r="I18" s="11">
        <f>SUMIFS(ar6_r10!$F$2:$F$999,ar6_r10!$A$2:$A$999,Veda!$E$5,ar6_r10!$C$2:$C$999,Veda!I$17,ar6_r10!$M$2:$M$999,Veda!$G18)</f>
        <v>0</v>
      </c>
      <c r="J18" s="11">
        <f>SUMIFS(ar6_r10!$F$2:$F$999,ar6_r10!$A$2:$A$999,Veda!$E$5,ar6_r10!$C$2:$C$999,Veda!J$17,ar6_r10!$M$2:$M$999,Veda!$G18)</f>
        <v>0</v>
      </c>
      <c r="K18" s="11">
        <f>SUMIFS(ar6_r10!$F$2:$F$999,ar6_r10!$A$2:$A$999,Veda!$E$5,ar6_r10!$C$2:$C$999,Veda!K$17,ar6_r10!$M$2:$M$999,Veda!$G18)</f>
        <v>0.01</v>
      </c>
      <c r="L18" s="11">
        <f>SUMIFS(ar6_r10!$F$2:$F$999,ar6_r10!$A$2:$A$999,Veda!$E$5,ar6_r10!$C$2:$C$999,Veda!L$17,ar6_r10!$M$2:$M$999,Veda!$G18)</f>
        <v>0.01</v>
      </c>
      <c r="M18" s="11">
        <f>SUMIFS(ar6_r10!$F$2:$F$999,ar6_r10!$A$2:$A$999,Veda!$E$5,ar6_r10!$C$2:$C$999,Veda!M$17,ar6_r10!$M$2:$M$999,Veda!$G18)</f>
        <v>0.01</v>
      </c>
      <c r="N18" s="11">
        <f>SUMIFS(ar6_r10!$F$2:$F$999,ar6_r10!$A$2:$A$999,Veda!$E$5,ar6_r10!$C$2:$C$999,Veda!N$17,ar6_r10!$M$2:$M$999,Veda!$G18)</f>
        <v>0.02</v>
      </c>
      <c r="O18" s="11">
        <f>SUMIFS(ar6_r10!$F$2:$F$999,ar6_r10!$A$2:$A$999,Veda!$E$5,ar6_r10!$C$2:$C$999,Veda!O$17,ar6_r10!$M$2:$M$999,Veda!$G18)</f>
        <v>0.03</v>
      </c>
      <c r="S18" s="10" t="s">
        <v>16</v>
      </c>
      <c r="T18" s="6">
        <f t="shared" ref="T18:Z20" si="7">I18*T$14</f>
        <v>0</v>
      </c>
      <c r="U18" s="6">
        <f t="shared" si="7"/>
        <v>0</v>
      </c>
      <c r="V18" s="6">
        <f t="shared" si="7"/>
        <v>6.4004849999999989</v>
      </c>
      <c r="W18" s="6">
        <f t="shared" si="7"/>
        <v>7.2210600000000005</v>
      </c>
      <c r="X18" s="6">
        <f t="shared" si="7"/>
        <v>8.2057500000000001</v>
      </c>
      <c r="Y18" s="6">
        <f t="shared" si="7"/>
        <v>18.380879999999998</v>
      </c>
      <c r="Z18" s="6">
        <f t="shared" si="7"/>
        <v>29.704814999999996</v>
      </c>
      <c r="AA18" t="s">
        <v>17</v>
      </c>
      <c r="AC18" s="2"/>
      <c r="AG18">
        <v>10</v>
      </c>
      <c r="AH18" t="s">
        <v>101</v>
      </c>
      <c r="AI18" t="s">
        <v>108</v>
      </c>
      <c r="AJ18" s="10">
        <f t="shared" si="5"/>
        <v>2</v>
      </c>
    </row>
    <row r="19" spans="1:36" x14ac:dyDescent="0.45">
      <c r="A19">
        <v>5</v>
      </c>
      <c r="B19" t="str">
        <f t="shared" si="0"/>
        <v>e 1.5 deg no OS.j12</v>
      </c>
      <c r="C19">
        <f t="shared" si="2"/>
        <v>11</v>
      </c>
      <c r="D19" t="str">
        <f t="shared" si="1"/>
        <v>ts_012</v>
      </c>
      <c r="E19" t="str">
        <f t="shared" si="4"/>
        <v>C1</v>
      </c>
      <c r="G19" t="s">
        <v>18</v>
      </c>
      <c r="I19" s="11">
        <f>SUMIFS(ar6_r10!$F$2:$F$999,ar6_r10!$A$2:$A$999,Veda!$E$5,ar6_r10!$C$2:$C$999,Veda!I$17,ar6_r10!$M$2:$M$999,Veda!$G19)</f>
        <v>0.36</v>
      </c>
      <c r="J19" s="11">
        <f>SUMIFS(ar6_r10!$F$2:$F$999,ar6_r10!$A$2:$A$999,Veda!$E$5,ar6_r10!$C$2:$C$999,Veda!J$17,ar6_r10!$M$2:$M$999,Veda!$G19)</f>
        <v>0.32</v>
      </c>
      <c r="K19" s="11">
        <f>SUMIFS(ar6_r10!$F$2:$F$999,ar6_r10!$A$2:$A$999,Veda!$E$5,ar6_r10!$C$2:$C$999,Veda!K$17,ar6_r10!$M$2:$M$999,Veda!$G19)</f>
        <v>0.31</v>
      </c>
      <c r="L19" s="11">
        <f>SUMIFS(ar6_r10!$F$2:$F$999,ar6_r10!$A$2:$A$999,Veda!$E$5,ar6_r10!$C$2:$C$999,Veda!L$17,ar6_r10!$M$2:$M$999,Veda!$G19)</f>
        <v>0.28999999999999998</v>
      </c>
      <c r="M19" s="11">
        <f>SUMIFS(ar6_r10!$F$2:$F$999,ar6_r10!$A$2:$A$999,Veda!$E$5,ar6_r10!$C$2:$C$999,Veda!M$17,ar6_r10!$M$2:$M$999,Veda!$G19)</f>
        <v>0.28999999999999998</v>
      </c>
      <c r="N19" s="11">
        <f>SUMIFS(ar6_r10!$F$2:$F$999,ar6_r10!$A$2:$A$999,Veda!$E$5,ar6_r10!$C$2:$C$999,Veda!N$17,ar6_r10!$M$2:$M$999,Veda!$G19)</f>
        <v>0.28999999999999998</v>
      </c>
      <c r="O19" s="11">
        <f>SUMIFS(ar6_r10!$F$2:$F$999,ar6_r10!$A$2:$A$999,Veda!$E$5,ar6_r10!$C$2:$C$999,Veda!O$17,ar6_r10!$M$2:$M$999,Veda!$G19)</f>
        <v>0.3</v>
      </c>
      <c r="S19" s="10" t="s">
        <v>19</v>
      </c>
      <c r="T19" s="6">
        <f t="shared" si="7"/>
        <v>196.93799999999999</v>
      </c>
      <c r="U19" s="6">
        <f t="shared" si="7"/>
        <v>183.80880000000002</v>
      </c>
      <c r="V19" s="6">
        <f t="shared" si="7"/>
        <v>198.41503499999996</v>
      </c>
      <c r="W19" s="6">
        <f t="shared" si="7"/>
        <v>209.41073999999998</v>
      </c>
      <c r="X19" s="6">
        <f t="shared" si="7"/>
        <v>237.96674999999996</v>
      </c>
      <c r="Y19" s="6">
        <f t="shared" si="7"/>
        <v>266.52275999999995</v>
      </c>
      <c r="Z19" s="6">
        <f t="shared" si="7"/>
        <v>297.04814999999996</v>
      </c>
      <c r="AA19" t="s">
        <v>17</v>
      </c>
      <c r="AG19">
        <v>11</v>
      </c>
      <c r="AH19" t="s">
        <v>102</v>
      </c>
      <c r="AI19" t="s">
        <v>110</v>
      </c>
      <c r="AJ19" s="10">
        <f t="shared" si="5"/>
        <v>3</v>
      </c>
    </row>
    <row r="20" spans="1:36" x14ac:dyDescent="0.45">
      <c r="A20">
        <v>5</v>
      </c>
      <c r="B20" t="str">
        <f t="shared" si="0"/>
        <v>d 1.5 deg OS.j12</v>
      </c>
      <c r="C20">
        <f t="shared" si="2"/>
        <v>12</v>
      </c>
      <c r="D20" t="str">
        <f t="shared" si="1"/>
        <v>ts_012</v>
      </c>
      <c r="E20" t="str">
        <f t="shared" si="4"/>
        <v>C2</v>
      </c>
      <c r="G20" t="s">
        <v>21</v>
      </c>
      <c r="I20" s="11">
        <f>SUMIFS(ar6_r10!$F$2:$F$999,ar6_r10!$A$2:$A$999,Veda!$E$5,ar6_r10!$C$2:$C$999,Veda!I$17,ar6_r10!$M$2:$M$999,Veda!$G20)</f>
        <v>0.6</v>
      </c>
      <c r="J20" s="11">
        <f>SUMIFS(ar6_r10!$F$2:$F$999,ar6_r10!$A$2:$A$999,Veda!$E$5,ar6_r10!$C$2:$C$999,Veda!J$17,ar6_r10!$M$2:$M$999,Veda!$G20)</f>
        <v>0.6</v>
      </c>
      <c r="K20" s="11">
        <f>SUMIFS(ar6_r10!$F$2:$F$999,ar6_r10!$A$2:$A$999,Veda!$E$5,ar6_r10!$C$2:$C$999,Veda!K$17,ar6_r10!$M$2:$M$999,Veda!$G20)</f>
        <v>0.6</v>
      </c>
      <c r="L20" s="11">
        <f>SUMIFS(ar6_r10!$F$2:$F$999,ar6_r10!$A$2:$A$999,Veda!$E$5,ar6_r10!$C$2:$C$999,Veda!L$17,ar6_r10!$M$2:$M$999,Veda!$G20)</f>
        <v>0.56999999999999995</v>
      </c>
      <c r="M20" s="11">
        <f>SUMIFS(ar6_r10!$F$2:$F$999,ar6_r10!$A$2:$A$999,Veda!$E$5,ar6_r10!$C$2:$C$999,Veda!M$17,ar6_r10!$M$2:$M$999,Veda!$G20)</f>
        <v>0.54</v>
      </c>
      <c r="N20" s="11">
        <f>SUMIFS(ar6_r10!$F$2:$F$999,ar6_r10!$A$2:$A$999,Veda!$E$5,ar6_r10!$C$2:$C$999,Veda!N$17,ar6_r10!$M$2:$M$999,Veda!$G20)</f>
        <v>0.52</v>
      </c>
      <c r="O20" s="11">
        <f>SUMIFS(ar6_r10!$F$2:$F$999,ar6_r10!$A$2:$A$999,Veda!$E$5,ar6_r10!$C$2:$C$999,Veda!O$17,ar6_r10!$M$2:$M$999,Veda!$G20)</f>
        <v>0.53</v>
      </c>
      <c r="S20" s="10" t="s">
        <v>22</v>
      </c>
      <c r="T20" s="6">
        <f t="shared" si="7"/>
        <v>328.22999999999996</v>
      </c>
      <c r="U20" s="6">
        <f t="shared" si="7"/>
        <v>344.64150000000001</v>
      </c>
      <c r="V20" s="6">
        <f t="shared" si="7"/>
        <v>384.02909999999991</v>
      </c>
      <c r="W20" s="6">
        <f t="shared" si="7"/>
        <v>411.60041999999999</v>
      </c>
      <c r="X20" s="6">
        <f t="shared" si="7"/>
        <v>443.1105</v>
      </c>
      <c r="Y20" s="6">
        <f t="shared" si="7"/>
        <v>477.90287999999993</v>
      </c>
      <c r="Z20" s="6">
        <f t="shared" si="7"/>
        <v>524.78506500000003</v>
      </c>
      <c r="AA20" t="s">
        <v>17</v>
      </c>
      <c r="AG20">
        <v>12</v>
      </c>
      <c r="AH20" t="s">
        <v>105</v>
      </c>
      <c r="AI20" t="s">
        <v>117</v>
      </c>
      <c r="AJ20" s="10">
        <f t="shared" si="5"/>
        <v>3</v>
      </c>
    </row>
    <row r="21" spans="1:36" x14ac:dyDescent="0.45">
      <c r="A21">
        <v>5</v>
      </c>
      <c r="B21" t="str">
        <f t="shared" si="0"/>
        <v>c 2 deg (67%).j12</v>
      </c>
      <c r="C21">
        <f t="shared" si="2"/>
        <v>13</v>
      </c>
      <c r="D21" t="str">
        <f t="shared" si="1"/>
        <v>ts_012</v>
      </c>
      <c r="E21" t="str">
        <f t="shared" si="4"/>
        <v>C3</v>
      </c>
      <c r="G21" t="s">
        <v>23</v>
      </c>
      <c r="I21" s="11">
        <f>SUMIFS(ar6_r10!$F$2:$F$999,ar6_r10!$A$2:$A$999,Veda!$E$5,ar6_r10!$C$2:$C$999,Veda!I$17,ar6_r10!$M$2:$M$999,Veda!$G21)</f>
        <v>0.03</v>
      </c>
      <c r="J21" s="11">
        <f>SUMIFS(ar6_r10!$F$2:$F$999,ar6_r10!$A$2:$A$999,Veda!$E$5,ar6_r10!$C$2:$C$999,Veda!J$17,ar6_r10!$M$2:$M$999,Veda!$G21)</f>
        <v>0.06</v>
      </c>
      <c r="K21" s="11">
        <f>SUMIFS(ar6_r10!$F$2:$F$999,ar6_r10!$A$2:$A$999,Veda!$E$5,ar6_r10!$C$2:$C$999,Veda!K$17,ar6_r10!$M$2:$M$999,Veda!$G21)</f>
        <v>0.08</v>
      </c>
      <c r="L21" s="11">
        <f>SUMIFS(ar6_r10!$F$2:$F$999,ar6_r10!$A$2:$A$999,Veda!$E$5,ar6_r10!$C$2:$C$999,Veda!L$17,ar6_r10!$M$2:$M$999,Veda!$G21)</f>
        <v>0.11</v>
      </c>
      <c r="M21" s="11">
        <f>SUMIFS(ar6_r10!$F$2:$F$999,ar6_r10!$A$2:$A$999,Veda!$E$5,ar6_r10!$C$2:$C$999,Veda!M$17,ar6_r10!$M$2:$M$999,Veda!$G21)</f>
        <v>0.12</v>
      </c>
      <c r="N21" s="11">
        <f>SUMIFS(ar6_r10!$F$2:$F$999,ar6_r10!$A$2:$A$999,Veda!$E$5,ar6_r10!$C$2:$C$999,Veda!N$17,ar6_r10!$M$2:$M$999,Veda!$G21)</f>
        <v>0.18</v>
      </c>
      <c r="O21" s="11">
        <f>SUMIFS(ar6_r10!$F$2:$F$999,ar6_r10!$A$2:$A$999,Veda!$E$5,ar6_r10!$C$2:$C$999,Veda!O$17,ar6_r10!$M$2:$M$999,Veda!$G21)</f>
        <v>0.19</v>
      </c>
      <c r="S21" s="10" t="s">
        <v>24</v>
      </c>
      <c r="T21" s="6">
        <f>I21*T$14</f>
        <v>16.411499999999997</v>
      </c>
      <c r="U21" s="6">
        <f t="shared" ref="U21:Z21" si="8">T21</f>
        <v>16.411499999999997</v>
      </c>
      <c r="V21" s="6">
        <f t="shared" si="8"/>
        <v>16.411499999999997</v>
      </c>
      <c r="W21" s="6">
        <f t="shared" si="8"/>
        <v>16.411499999999997</v>
      </c>
      <c r="X21" s="6">
        <f t="shared" si="8"/>
        <v>16.411499999999997</v>
      </c>
      <c r="Y21" s="6">
        <f t="shared" si="8"/>
        <v>16.411499999999997</v>
      </c>
      <c r="Z21" s="6">
        <f t="shared" si="8"/>
        <v>16.411499999999997</v>
      </c>
      <c r="AA21" t="s">
        <v>17</v>
      </c>
      <c r="AC21" s="2" t="s">
        <v>20</v>
      </c>
      <c r="AG21">
        <v>13</v>
      </c>
      <c r="AH21" t="s">
        <v>103</v>
      </c>
      <c r="AI21" t="s">
        <v>112</v>
      </c>
      <c r="AJ21" s="10">
        <f t="shared" si="5"/>
        <v>3</v>
      </c>
    </row>
    <row r="22" spans="1:36" x14ac:dyDescent="0.45">
      <c r="A22">
        <v>5</v>
      </c>
      <c r="B22" t="str">
        <f t="shared" si="0"/>
        <v>b 2 deg (50%).j12</v>
      </c>
      <c r="C22">
        <f t="shared" si="2"/>
        <v>14</v>
      </c>
      <c r="D22" t="str">
        <f t="shared" si="1"/>
        <v>ts_012</v>
      </c>
      <c r="E22" t="str">
        <f t="shared" si="4"/>
        <v>C4</v>
      </c>
      <c r="S22" s="10" t="s">
        <v>25</v>
      </c>
      <c r="T22" s="6">
        <f t="shared" ref="T22:Z22" si="9">T14-SUM(T19:T21)</f>
        <v>5.4705000000000155</v>
      </c>
      <c r="U22" s="6">
        <f t="shared" si="9"/>
        <v>29.540700000000015</v>
      </c>
      <c r="V22" s="6">
        <f t="shared" si="9"/>
        <v>41.192864999999983</v>
      </c>
      <c r="W22" s="6">
        <f t="shared" si="9"/>
        <v>84.68333999999993</v>
      </c>
      <c r="X22" s="6">
        <f t="shared" si="9"/>
        <v>123.08624999999995</v>
      </c>
      <c r="Y22" s="6">
        <f t="shared" si="9"/>
        <v>158.20685999999989</v>
      </c>
      <c r="Z22" s="6">
        <f t="shared" si="9"/>
        <v>151.91578499999991</v>
      </c>
      <c r="AA22" t="s">
        <v>17</v>
      </c>
      <c r="AG22">
        <v>14</v>
      </c>
      <c r="AH22" t="s">
        <v>104</v>
      </c>
      <c r="AI22" t="s">
        <v>114</v>
      </c>
      <c r="AJ22" s="10">
        <f t="shared" si="5"/>
        <v>3</v>
      </c>
    </row>
    <row r="23" spans="1:36" x14ac:dyDescent="0.45">
      <c r="A23">
        <v>5</v>
      </c>
      <c r="B23" t="str">
        <f t="shared" si="0"/>
        <v>a 3 deg.j12</v>
      </c>
      <c r="C23">
        <f t="shared" si="2"/>
        <v>15</v>
      </c>
      <c r="D23" t="str">
        <f t="shared" si="1"/>
        <v>ts_012</v>
      </c>
      <c r="E23" t="str">
        <f t="shared" si="4"/>
        <v>C7</v>
      </c>
      <c r="S23" t="s">
        <v>26</v>
      </c>
      <c r="AJ23" s="10">
        <f t="shared" si="5"/>
        <v>3</v>
      </c>
    </row>
    <row r="24" spans="1:36" ht="14.65" customHeight="1" x14ac:dyDescent="0.45">
      <c r="A24">
        <v>5</v>
      </c>
      <c r="B24" t="str">
        <f t="shared" si="0"/>
        <v>e 1.5 deg no OS.i24</v>
      </c>
      <c r="C24">
        <f t="shared" si="2"/>
        <v>16</v>
      </c>
      <c r="D24" t="str">
        <f t="shared" si="1"/>
        <v>ts_024</v>
      </c>
      <c r="E24" t="str">
        <f t="shared" si="4"/>
        <v>C1</v>
      </c>
      <c r="G24" s="10" t="s">
        <v>27</v>
      </c>
      <c r="I24" s="8">
        <v>0</v>
      </c>
      <c r="J24" s="8">
        <v>0</v>
      </c>
      <c r="K24" s="8">
        <f>SUMIFS(ar6_r10!$F$2:$F$999,ar6_r10!$A$2:$A$999,Veda!$E$5,ar6_r10!$C$2:$C$999,Veda!K$17,ar6_r10!$M$2:$M$999,Veda!$G24)</f>
        <v>71.48</v>
      </c>
      <c r="L24" s="8">
        <f>SUMIFS(ar6_r10!$F$2:$F$999,ar6_r10!$A$2:$A$999,Veda!$E$5,ar6_r10!$C$2:$C$999,Veda!L$17,ar6_r10!$M$2:$M$999,Veda!$G24)</f>
        <v>104.42</v>
      </c>
      <c r="M24" s="8">
        <f>SUMIFS(ar6_r10!$F$2:$F$999,ar6_r10!$A$2:$A$999,Veda!$E$5,ar6_r10!$C$2:$C$999,Veda!M$17,ar6_r10!$M$2:$M$999,Veda!$G24)</f>
        <v>134.85</v>
      </c>
      <c r="N24" s="8">
        <f>SUMIFS(ar6_r10!$F$2:$F$999,ar6_r10!$A$2:$A$999,Veda!$E$5,ar6_r10!$C$2:$C$999,Veda!N$17,ar6_r10!$M$2:$M$999,Veda!$G24)</f>
        <v>178.1</v>
      </c>
      <c r="O24" s="8">
        <f>SUMIFS(ar6_r10!$F$2:$F$999,ar6_r10!$A$2:$A$999,Veda!$E$5,ar6_r10!$C$2:$C$999,Veda!O$17,ar6_r10!$M$2:$M$999,Veda!$G24)</f>
        <v>209.45</v>
      </c>
      <c r="S24" t="s">
        <v>28</v>
      </c>
      <c r="U24">
        <v>0</v>
      </c>
      <c r="V24" s="11">
        <f>K24/1000</f>
        <v>7.1480000000000002E-2</v>
      </c>
      <c r="W24" s="11">
        <f>L24/1000</f>
        <v>0.10442</v>
      </c>
      <c r="X24" s="11">
        <f>M24/1000</f>
        <v>0.13485</v>
      </c>
      <c r="Y24" s="11">
        <f>N24/1000</f>
        <v>0.17809999999999998</v>
      </c>
      <c r="Z24" s="11">
        <f>O24/1000</f>
        <v>0.20945</v>
      </c>
      <c r="AA24" t="s">
        <v>29</v>
      </c>
      <c r="AJ24" s="10">
        <f t="shared" si="5"/>
        <v>4</v>
      </c>
    </row>
    <row r="25" spans="1:36" ht="14.65" customHeight="1" x14ac:dyDescent="0.45">
      <c r="A25">
        <v>5</v>
      </c>
      <c r="B25" t="str">
        <f t="shared" si="0"/>
        <v>d 1.5 deg OS.i24</v>
      </c>
      <c r="C25">
        <f t="shared" si="2"/>
        <v>17</v>
      </c>
      <c r="D25" t="str">
        <f t="shared" si="1"/>
        <v>ts_024</v>
      </c>
      <c r="E25" t="str">
        <f t="shared" si="4"/>
        <v>C2</v>
      </c>
      <c r="AJ25" s="10">
        <f t="shared" si="5"/>
        <v>4</v>
      </c>
    </row>
    <row r="26" spans="1:36" ht="17.649999999999999" customHeight="1" thickBot="1" x14ac:dyDescent="0.6">
      <c r="A26">
        <v>5</v>
      </c>
      <c r="B26" t="str">
        <f t="shared" si="0"/>
        <v>c 2 deg (67%).i24</v>
      </c>
      <c r="C26">
        <f t="shared" si="2"/>
        <v>18</v>
      </c>
      <c r="D26" t="str">
        <f t="shared" si="1"/>
        <v>ts_024</v>
      </c>
      <c r="E26" t="str">
        <f t="shared" si="4"/>
        <v>C3</v>
      </c>
      <c r="S26" s="5" t="s">
        <v>12</v>
      </c>
      <c r="AJ26" s="10">
        <f t="shared" si="5"/>
        <v>4</v>
      </c>
    </row>
    <row r="27" spans="1:36" ht="15" customHeight="1" thickTop="1" thickBot="1" x14ac:dyDescent="0.5">
      <c r="A27">
        <v>5</v>
      </c>
      <c r="B27" t="str">
        <f t="shared" si="0"/>
        <v>b 2 deg (50%).i24</v>
      </c>
      <c r="C27">
        <f t="shared" si="2"/>
        <v>19</v>
      </c>
      <c r="D27" t="str">
        <f t="shared" si="1"/>
        <v>ts_024</v>
      </c>
      <c r="E27" t="str">
        <f t="shared" si="4"/>
        <v>C4</v>
      </c>
      <c r="S27" s="4" t="s">
        <v>30</v>
      </c>
      <c r="T27" s="4">
        <f t="shared" ref="T27:Z27" si="10">T17</f>
        <v>2022</v>
      </c>
      <c r="U27" s="4">
        <f t="shared" si="10"/>
        <v>2025</v>
      </c>
      <c r="V27" s="4">
        <f t="shared" si="10"/>
        <v>2030</v>
      </c>
      <c r="W27" s="4">
        <f t="shared" si="10"/>
        <v>2035</v>
      </c>
      <c r="X27" s="4">
        <f t="shared" si="10"/>
        <v>2040</v>
      </c>
      <c r="Y27" s="4">
        <f t="shared" si="10"/>
        <v>2045</v>
      </c>
      <c r="Z27" s="4">
        <f t="shared" si="10"/>
        <v>2050</v>
      </c>
      <c r="AA27" s="4" t="s">
        <v>14</v>
      </c>
      <c r="AB27" s="4" t="s">
        <v>31</v>
      </c>
      <c r="AJ27" s="10">
        <f t="shared" si="5"/>
        <v>4</v>
      </c>
    </row>
    <row r="28" spans="1:36" ht="14.65" customHeight="1" thickBot="1" x14ac:dyDescent="0.5">
      <c r="A28">
        <v>5</v>
      </c>
      <c r="B28" t="str">
        <f t="shared" si="0"/>
        <v>a 3 deg.i24</v>
      </c>
      <c r="C28">
        <f t="shared" si="2"/>
        <v>20</v>
      </c>
      <c r="D28" t="str">
        <f t="shared" si="1"/>
        <v>ts_024</v>
      </c>
      <c r="E28" t="str">
        <f t="shared" si="4"/>
        <v>C7</v>
      </c>
      <c r="Q28" s="3">
        <f>SUMIFS(iea_data!G3:G9999,iea_data!$B$3:$B$9999,Veda!$S$11)</f>
        <v>49.33</v>
      </c>
      <c r="S28" t="s">
        <v>32</v>
      </c>
      <c r="T28" s="3">
        <f>Q28</f>
        <v>49.33</v>
      </c>
      <c r="V28" s="6"/>
      <c r="W28" s="6"/>
      <c r="X28" s="6"/>
      <c r="Y28" s="6"/>
      <c r="Z28" s="6"/>
      <c r="AA28" t="s">
        <v>33</v>
      </c>
      <c r="AB28" t="s">
        <v>34</v>
      </c>
      <c r="AJ28" s="10">
        <f t="shared" si="5"/>
        <v>4</v>
      </c>
    </row>
    <row r="29" spans="1:36" ht="15" customHeight="1" thickTop="1" thickBot="1" x14ac:dyDescent="0.5">
      <c r="A29">
        <v>5</v>
      </c>
      <c r="B29" t="str">
        <f t="shared" si="0"/>
        <v>e 1.5 deg no OS.h48</v>
      </c>
      <c r="C29">
        <f t="shared" si="2"/>
        <v>21</v>
      </c>
      <c r="D29" t="str">
        <f t="shared" si="1"/>
        <v>ts_048</v>
      </c>
      <c r="E29" t="str">
        <f t="shared" si="4"/>
        <v>C1</v>
      </c>
      <c r="Q29" s="3">
        <f>SUMIFS(iea_data!H3:H9999,iea_data!$B$3:$B$9999,Veda!$S$11)</f>
        <v>-76.59</v>
      </c>
      <c r="S29" t="s">
        <v>35</v>
      </c>
      <c r="T29" s="3">
        <f>-1*Q29</f>
        <v>76.59</v>
      </c>
      <c r="V29" s="6"/>
      <c r="W29" s="6"/>
      <c r="X29" s="6"/>
      <c r="Y29" s="6"/>
      <c r="Z29" s="6"/>
      <c r="AA29" t="s">
        <v>33</v>
      </c>
      <c r="AB29" t="s">
        <v>34</v>
      </c>
      <c r="AJ29" s="10">
        <f t="shared" si="5"/>
        <v>5</v>
      </c>
    </row>
    <row r="30" spans="1:36" ht="14.65" customHeight="1" thickTop="1" x14ac:dyDescent="0.45">
      <c r="A30">
        <v>5</v>
      </c>
      <c r="B30" t="str">
        <f t="shared" si="0"/>
        <v>d 1.5 deg OS.h48</v>
      </c>
      <c r="C30">
        <f t="shared" si="2"/>
        <v>22</v>
      </c>
      <c r="D30" t="str">
        <f t="shared" si="1"/>
        <v>ts_048</v>
      </c>
      <c r="E30" t="str">
        <f t="shared" si="4"/>
        <v>C2</v>
      </c>
      <c r="AJ30" s="10">
        <f t="shared" si="5"/>
        <v>5</v>
      </c>
    </row>
    <row r="31" spans="1:36" x14ac:dyDescent="0.45">
      <c r="A31">
        <v>5</v>
      </c>
      <c r="B31" t="str">
        <f t="shared" si="0"/>
        <v>c 2 deg (67%).h48</v>
      </c>
      <c r="C31">
        <f t="shared" si="2"/>
        <v>23</v>
      </c>
      <c r="D31" t="str">
        <f t="shared" si="1"/>
        <v>ts_048</v>
      </c>
      <c r="E31" t="str">
        <f t="shared" si="4"/>
        <v>C3</v>
      </c>
      <c r="AJ31" s="10">
        <f t="shared" si="5"/>
        <v>5</v>
      </c>
    </row>
    <row r="32" spans="1:36" x14ac:dyDescent="0.45">
      <c r="A32">
        <v>5</v>
      </c>
      <c r="B32" t="str">
        <f t="shared" si="0"/>
        <v>b 2 deg (50%).h48</v>
      </c>
      <c r="C32">
        <f t="shared" si="2"/>
        <v>24</v>
      </c>
      <c r="D32" t="str">
        <f t="shared" si="1"/>
        <v>ts_048</v>
      </c>
      <c r="E32" t="str">
        <f t="shared" si="4"/>
        <v>C4</v>
      </c>
      <c r="AJ32" s="10">
        <f t="shared" si="5"/>
        <v>5</v>
      </c>
    </row>
    <row r="33" spans="1:36" x14ac:dyDescent="0.45">
      <c r="A33">
        <v>5</v>
      </c>
      <c r="B33" t="str">
        <f t="shared" si="0"/>
        <v>a 3 deg.h48</v>
      </c>
      <c r="C33">
        <f t="shared" si="2"/>
        <v>25</v>
      </c>
      <c r="D33" t="str">
        <f t="shared" si="1"/>
        <v>ts_048</v>
      </c>
      <c r="E33" t="str">
        <f t="shared" si="4"/>
        <v>C7</v>
      </c>
      <c r="AJ33" s="10">
        <f t="shared" si="5"/>
        <v>5</v>
      </c>
    </row>
    <row r="34" spans="1:36" x14ac:dyDescent="0.45">
      <c r="A34">
        <v>5</v>
      </c>
      <c r="B34" t="str">
        <f t="shared" si="0"/>
        <v>e 1.5 deg no OS.g64</v>
      </c>
      <c r="C34">
        <f t="shared" si="2"/>
        <v>26</v>
      </c>
      <c r="D34" t="str">
        <f t="shared" si="1"/>
        <v>ts_064</v>
      </c>
      <c r="E34" t="str">
        <f t="shared" si="4"/>
        <v>C1</v>
      </c>
      <c r="AJ34" s="10">
        <f t="shared" si="5"/>
        <v>6</v>
      </c>
    </row>
    <row r="35" spans="1:36" x14ac:dyDescent="0.45">
      <c r="A35">
        <v>5</v>
      </c>
      <c r="B35" t="str">
        <f t="shared" si="0"/>
        <v>d 1.5 deg OS.g64</v>
      </c>
      <c r="C35">
        <f t="shared" si="2"/>
        <v>27</v>
      </c>
      <c r="D35" t="str">
        <f t="shared" si="1"/>
        <v>ts_064</v>
      </c>
      <c r="E35" t="str">
        <f t="shared" si="4"/>
        <v>C2</v>
      </c>
      <c r="AJ35" s="10">
        <f t="shared" si="5"/>
        <v>6</v>
      </c>
    </row>
    <row r="36" spans="1:36" x14ac:dyDescent="0.45">
      <c r="A36">
        <v>5</v>
      </c>
      <c r="B36" t="str">
        <f t="shared" si="0"/>
        <v>c 2 deg (67%).g64</v>
      </c>
      <c r="C36">
        <f t="shared" si="2"/>
        <v>28</v>
      </c>
      <c r="D36" t="str">
        <f t="shared" si="1"/>
        <v>ts_064</v>
      </c>
      <c r="E36" t="str">
        <f t="shared" si="4"/>
        <v>C3</v>
      </c>
      <c r="G36" s="2" t="s">
        <v>9</v>
      </c>
      <c r="AJ36" s="10">
        <f t="shared" si="5"/>
        <v>6</v>
      </c>
    </row>
    <row r="37" spans="1:36" x14ac:dyDescent="0.45">
      <c r="A37">
        <v>5</v>
      </c>
      <c r="B37" t="str">
        <f t="shared" si="0"/>
        <v>b 2 deg (50%).g64</v>
      </c>
      <c r="C37">
        <f t="shared" si="2"/>
        <v>29</v>
      </c>
      <c r="D37" t="str">
        <f t="shared" si="1"/>
        <v>ts_064</v>
      </c>
      <c r="E37" t="str">
        <f t="shared" si="4"/>
        <v>C4</v>
      </c>
      <c r="G37" t="s">
        <v>74</v>
      </c>
      <c r="I37" s="11">
        <f>SUMIFS(ar6_r10!$F$2:$F$999,ar6_r10!$A$2:$A$999,Veda!$G$36,ar6_r10!$C$2:$C$999,Veda!I$17,ar6_r10!$M$2:$M$999,Veda!$G37)</f>
        <v>1</v>
      </c>
      <c r="J37" s="11">
        <f>SUMIFS(ar6_r10!$F$2:$F$999,ar6_r10!$A$2:$A$999,Veda!$G$36,ar6_r10!$C$2:$C$999,Veda!J$17,ar6_r10!$M$2:$M$999,Veda!$G37)</f>
        <v>1.07</v>
      </c>
      <c r="K37" s="11">
        <f>SUMIFS(ar6_r10!$F$2:$F$999,ar6_r10!$A$2:$A$999,Veda!$G$36,ar6_r10!$C$2:$C$999,Veda!K$17,ar6_r10!$M$2:$M$999,Veda!$G37)</f>
        <v>1.24</v>
      </c>
      <c r="L37" s="11">
        <f>SUMIFS(ar6_r10!$F$2:$F$999,ar6_r10!$A$2:$A$999,Veda!$G$36,ar6_r10!$C$2:$C$999,Veda!L$17,ar6_r10!$M$2:$M$999,Veda!$G37)</f>
        <v>1.1499999999999999</v>
      </c>
      <c r="M37" s="11">
        <f>SUMIFS(ar6_r10!$F$2:$F$999,ar6_r10!$A$2:$A$999,Veda!$G$36,ar6_r10!$C$2:$C$999,Veda!M$17,ar6_r10!$M$2:$M$999,Veda!$G37)</f>
        <v>1.25</v>
      </c>
      <c r="N37" s="11">
        <f>SUMIFS(ar6_r10!$F$2:$F$999,ar6_r10!$A$2:$A$999,Veda!$G$36,ar6_r10!$C$2:$C$999,Veda!N$17,ar6_r10!$M$2:$M$999,Veda!$G37)</f>
        <v>1.17</v>
      </c>
      <c r="O37" s="11">
        <f>SUMIFS(ar6_r10!$F$2:$F$999,ar6_r10!$A$2:$A$999,Veda!$G$36,ar6_r10!$C$2:$C$999,Veda!O$17,ar6_r10!$M$2:$M$999,Veda!$G37)</f>
        <v>1.34</v>
      </c>
      <c r="AJ37" s="10">
        <f t="shared" si="5"/>
        <v>6</v>
      </c>
    </row>
    <row r="38" spans="1:36" x14ac:dyDescent="0.45">
      <c r="A38">
        <v>5</v>
      </c>
      <c r="B38" t="str">
        <f t="shared" si="0"/>
        <v>a 3 deg.g64</v>
      </c>
      <c r="C38">
        <f t="shared" si="2"/>
        <v>30</v>
      </c>
      <c r="D38" t="str">
        <f t="shared" si="1"/>
        <v>ts_064</v>
      </c>
      <c r="E38" t="str">
        <f t="shared" si="4"/>
        <v>C7</v>
      </c>
      <c r="G38" t="s">
        <v>75</v>
      </c>
      <c r="I38" s="11">
        <f>SUMIFS(ar6_r10!$F$2:$F$999,ar6_r10!$A$2:$A$999,Veda!$G$36,ar6_r10!$C$2:$C$999,Veda!I$17,ar6_r10!$M$2:$M$999,Veda!$G38)</f>
        <v>1</v>
      </c>
      <c r="J38" s="11">
        <f>SUMIFS(ar6_r10!$F$2:$F$999,ar6_r10!$A$2:$A$999,Veda!$G$36,ar6_r10!$C$2:$C$999,Veda!J$17,ar6_r10!$M$2:$M$999,Veda!$G38)</f>
        <v>1.02</v>
      </c>
      <c r="K38" s="11">
        <f>SUMIFS(ar6_r10!$F$2:$F$999,ar6_r10!$A$2:$A$999,Veda!$G$36,ar6_r10!$C$2:$C$999,Veda!K$17,ar6_r10!$M$2:$M$999,Veda!$G38)</f>
        <v>1.06</v>
      </c>
      <c r="L38" s="11">
        <f>SUMIFS(ar6_r10!$F$2:$F$999,ar6_r10!$A$2:$A$999,Veda!$G$36,ar6_r10!$C$2:$C$999,Veda!L$17,ar6_r10!$M$2:$M$999,Veda!$G38)</f>
        <v>1.07</v>
      </c>
      <c r="M38" s="11">
        <f>SUMIFS(ar6_r10!$F$2:$F$999,ar6_r10!$A$2:$A$999,Veda!$G$36,ar6_r10!$C$2:$C$999,Veda!M$17,ar6_r10!$M$2:$M$999,Veda!$G38)</f>
        <v>1.08</v>
      </c>
      <c r="N38" s="11">
        <f>SUMIFS(ar6_r10!$F$2:$F$999,ar6_r10!$A$2:$A$999,Veda!$G$36,ar6_r10!$C$2:$C$999,Veda!N$17,ar6_r10!$M$2:$M$999,Veda!$G38)</f>
        <v>1.1000000000000001</v>
      </c>
      <c r="O38" s="11">
        <f>SUMIFS(ar6_r10!$F$2:$F$999,ar6_r10!$A$2:$A$999,Veda!$G$36,ar6_r10!$C$2:$C$999,Veda!O$17,ar6_r10!$M$2:$M$999,Veda!$G38)</f>
        <v>1.1200000000000001</v>
      </c>
      <c r="AJ38" s="10">
        <f t="shared" si="5"/>
        <v>6</v>
      </c>
    </row>
    <row r="39" spans="1:36" x14ac:dyDescent="0.45">
      <c r="A39">
        <v>5</v>
      </c>
      <c r="B39" t="str">
        <f t="shared" si="0"/>
        <v>e 1.5 deg no OS.f96p50</v>
      </c>
      <c r="C39">
        <f t="shared" si="2"/>
        <v>31</v>
      </c>
      <c r="D39" t="str">
        <f t="shared" si="1"/>
        <v>ts_096P50</v>
      </c>
      <c r="E39" t="str">
        <f t="shared" si="4"/>
        <v>C1</v>
      </c>
      <c r="G39" t="s">
        <v>76</v>
      </c>
      <c r="I39" s="11">
        <f>SUMIFS(ar6_r10!$F$2:$F$999,ar6_r10!$A$2:$A$999,Veda!$G$36,ar6_r10!$C$2:$C$999,Veda!I$17,ar6_r10!$M$2:$M$999,Veda!$G39)</f>
        <v>1</v>
      </c>
      <c r="J39" s="11">
        <f>SUMIFS(ar6_r10!$F$2:$F$999,ar6_r10!$A$2:$A$999,Veda!$G$36,ar6_r10!$C$2:$C$999,Veda!J$17,ar6_r10!$M$2:$M$999,Veda!$G39)</f>
        <v>1.01</v>
      </c>
      <c r="K39" s="11">
        <f>SUMIFS(ar6_r10!$F$2:$F$999,ar6_r10!$A$2:$A$999,Veda!$G$36,ar6_r10!$C$2:$C$999,Veda!K$17,ar6_r10!$M$2:$M$999,Veda!$G39)</f>
        <v>1.1100000000000001</v>
      </c>
      <c r="L39" s="11">
        <f>SUMIFS(ar6_r10!$F$2:$F$999,ar6_r10!$A$2:$A$999,Veda!$G$36,ar6_r10!$C$2:$C$999,Veda!L$17,ar6_r10!$M$2:$M$999,Veda!$G39)</f>
        <v>1.01</v>
      </c>
      <c r="M39" s="11">
        <f>SUMIFS(ar6_r10!$F$2:$F$999,ar6_r10!$A$2:$A$999,Veda!$G$36,ar6_r10!$C$2:$C$999,Veda!M$17,ar6_r10!$M$2:$M$999,Veda!$G39)</f>
        <v>1.01</v>
      </c>
      <c r="N39" s="11">
        <f>SUMIFS(ar6_r10!$F$2:$F$999,ar6_r10!$A$2:$A$999,Veda!$G$36,ar6_r10!$C$2:$C$999,Veda!N$17,ar6_r10!$M$2:$M$999,Veda!$G39)</f>
        <v>1.04</v>
      </c>
      <c r="O39" s="11">
        <f>SUMIFS(ar6_r10!$F$2:$F$999,ar6_r10!$A$2:$A$999,Veda!$G$36,ar6_r10!$C$2:$C$999,Veda!O$17,ar6_r10!$M$2:$M$999,Veda!$G39)</f>
        <v>1.1399999999999999</v>
      </c>
      <c r="AJ39" s="10">
        <f t="shared" si="5"/>
        <v>7</v>
      </c>
    </row>
    <row r="40" spans="1:36" x14ac:dyDescent="0.45">
      <c r="A40">
        <v>5</v>
      </c>
      <c r="B40" t="str">
        <f t="shared" si="0"/>
        <v>d 1.5 deg OS.f96p50</v>
      </c>
      <c r="C40">
        <f t="shared" si="2"/>
        <v>32</v>
      </c>
      <c r="D40" t="str">
        <f t="shared" si="1"/>
        <v>ts_096P50</v>
      </c>
      <c r="E40" t="str">
        <f t="shared" si="4"/>
        <v>C2</v>
      </c>
      <c r="G40" t="s">
        <v>77</v>
      </c>
      <c r="I40" s="11">
        <f>SUMIFS(ar6_r10!$F$2:$F$999,ar6_r10!$A$2:$A$999,Veda!$G$36,ar6_r10!$C$2:$C$999,Veda!I$17,ar6_r10!$M$2:$M$999,Veda!$G40)</f>
        <v>1</v>
      </c>
      <c r="J40" s="11">
        <f>SUMIFS(ar6_r10!$F$2:$F$999,ar6_r10!$A$2:$A$999,Veda!$G$36,ar6_r10!$C$2:$C$999,Veda!J$17,ar6_r10!$M$2:$M$999,Veda!$G40)</f>
        <v>0.96</v>
      </c>
      <c r="K40" s="11">
        <f>SUMIFS(ar6_r10!$F$2:$F$999,ar6_r10!$A$2:$A$999,Veda!$G$36,ar6_r10!$C$2:$C$999,Veda!K$17,ar6_r10!$M$2:$M$999,Veda!$G40)</f>
        <v>1.04</v>
      </c>
      <c r="L40" s="11">
        <f>SUMIFS(ar6_r10!$F$2:$F$999,ar6_r10!$A$2:$A$999,Veda!$G$36,ar6_r10!$C$2:$C$999,Veda!L$17,ar6_r10!$M$2:$M$999,Veda!$G40)</f>
        <v>1.04</v>
      </c>
      <c r="M40" s="11">
        <f>SUMIFS(ar6_r10!$F$2:$F$999,ar6_r10!$A$2:$A$999,Veda!$G$36,ar6_r10!$C$2:$C$999,Veda!M$17,ar6_r10!$M$2:$M$999,Veda!$G40)</f>
        <v>0.98</v>
      </c>
      <c r="N40" s="11">
        <f>SUMIFS(ar6_r10!$F$2:$F$999,ar6_r10!$A$2:$A$999,Veda!$G$36,ar6_r10!$C$2:$C$999,Veda!N$17,ar6_r10!$M$2:$M$999,Veda!$G40)</f>
        <v>0.99</v>
      </c>
      <c r="O40" s="11">
        <f>SUMIFS(ar6_r10!$F$2:$F$999,ar6_r10!$A$2:$A$999,Veda!$G$36,ar6_r10!$C$2:$C$999,Veda!O$17,ar6_r10!$M$2:$M$999,Veda!$G40)</f>
        <v>1</v>
      </c>
      <c r="AJ40" s="10">
        <f t="shared" si="5"/>
        <v>7</v>
      </c>
    </row>
    <row r="41" spans="1:36" x14ac:dyDescent="0.45">
      <c r="A41">
        <v>5</v>
      </c>
      <c r="B41" t="str">
        <f t="shared" si="0"/>
        <v>c 2 deg (67%).f96p50</v>
      </c>
      <c r="C41">
        <f t="shared" si="2"/>
        <v>33</v>
      </c>
      <c r="D41" t="str">
        <f t="shared" si="1"/>
        <v>ts_096P50</v>
      </c>
      <c r="E41" t="str">
        <f t="shared" si="4"/>
        <v>C3</v>
      </c>
      <c r="AJ41" s="10">
        <f t="shared" si="5"/>
        <v>7</v>
      </c>
    </row>
    <row r="42" spans="1:36" x14ac:dyDescent="0.45">
      <c r="A42">
        <v>5</v>
      </c>
      <c r="B42" t="str">
        <f t="shared" si="0"/>
        <v>b 2 deg (50%).f96p50</v>
      </c>
      <c r="C42">
        <f t="shared" si="2"/>
        <v>34</v>
      </c>
      <c r="D42" t="str">
        <f t="shared" si="1"/>
        <v>ts_096P50</v>
      </c>
      <c r="E42" t="str">
        <f t="shared" si="4"/>
        <v>C4</v>
      </c>
      <c r="AJ42" s="10">
        <f t="shared" si="5"/>
        <v>7</v>
      </c>
    </row>
    <row r="43" spans="1:36" x14ac:dyDescent="0.45">
      <c r="A43">
        <v>5</v>
      </c>
      <c r="B43" t="str">
        <f t="shared" si="0"/>
        <v>a 3 deg.f96p50</v>
      </c>
      <c r="C43">
        <f t="shared" si="2"/>
        <v>35</v>
      </c>
      <c r="D43" t="str">
        <f t="shared" si="1"/>
        <v>ts_096P50</v>
      </c>
      <c r="E43" t="str">
        <f t="shared" si="4"/>
        <v>C7</v>
      </c>
      <c r="G43" t="s">
        <v>141</v>
      </c>
      <c r="AJ43" s="10">
        <f t="shared" si="5"/>
        <v>7</v>
      </c>
    </row>
    <row r="44" spans="1:36" x14ac:dyDescent="0.45">
      <c r="A44">
        <v>5</v>
      </c>
      <c r="B44" t="str">
        <f t="shared" si="0"/>
        <v>e 1.5 deg no OS.f96p10</v>
      </c>
      <c r="C44">
        <f t="shared" si="2"/>
        <v>36</v>
      </c>
      <c r="D44" t="str">
        <f t="shared" si="1"/>
        <v>ts_096P10</v>
      </c>
      <c r="E44" t="str">
        <f t="shared" si="4"/>
        <v>C1</v>
      </c>
      <c r="G44" t="s">
        <v>13</v>
      </c>
      <c r="H44" t="s">
        <v>107</v>
      </c>
      <c r="I44">
        <v>2022</v>
      </c>
      <c r="J44">
        <f>J17</f>
        <v>2025</v>
      </c>
      <c r="K44">
        <f t="shared" ref="K44:O44" si="11">K17</f>
        <v>2030</v>
      </c>
      <c r="L44">
        <f t="shared" si="11"/>
        <v>2035</v>
      </c>
      <c r="M44">
        <f t="shared" si="11"/>
        <v>2040</v>
      </c>
      <c r="N44">
        <f t="shared" si="11"/>
        <v>2045</v>
      </c>
      <c r="O44">
        <f t="shared" si="11"/>
        <v>2050</v>
      </c>
      <c r="R44" t="s">
        <v>82</v>
      </c>
      <c r="S44" t="s">
        <v>83</v>
      </c>
      <c r="AJ44" s="10">
        <f t="shared" si="5"/>
        <v>8</v>
      </c>
    </row>
    <row r="45" spans="1:36" x14ac:dyDescent="0.45">
      <c r="A45">
        <v>5</v>
      </c>
      <c r="B45" t="str">
        <f t="shared" si="0"/>
        <v>d 1.5 deg OS.f96p10</v>
      </c>
      <c r="C45">
        <f t="shared" si="2"/>
        <v>37</v>
      </c>
      <c r="D45" t="str">
        <f t="shared" si="1"/>
        <v>ts_096P10</v>
      </c>
      <c r="E45" t="str">
        <f t="shared" si="4"/>
        <v>C2</v>
      </c>
      <c r="G45" t="s">
        <v>78</v>
      </c>
      <c r="H45" t="str">
        <f>G45</f>
        <v>Gas</v>
      </c>
      <c r="I45">
        <f t="shared" ref="I45:O48" si="12">AVERAGE($R45:$S45)*I37</f>
        <v>35.1</v>
      </c>
      <c r="J45">
        <f t="shared" si="12"/>
        <v>37.557000000000002</v>
      </c>
      <c r="K45">
        <f t="shared" si="12"/>
        <v>43.524000000000001</v>
      </c>
      <c r="L45">
        <f t="shared" si="12"/>
        <v>40.365000000000002</v>
      </c>
      <c r="M45">
        <f t="shared" si="12"/>
        <v>43.875</v>
      </c>
      <c r="N45">
        <f t="shared" si="12"/>
        <v>41.067</v>
      </c>
      <c r="O45">
        <f t="shared" si="12"/>
        <v>47.034000000000006</v>
      </c>
      <c r="R45">
        <f>HLOOKUP($G45&amp;"_"&amp;R$44,fuel_prices!$B$10:$I$11,2,FALSE)</f>
        <v>29.1</v>
      </c>
      <c r="S45">
        <f>HLOOKUP($G45&amp;"_"&amp;S$44,fuel_prices!$B$10:$I$11,2,FALSE)</f>
        <v>41.1</v>
      </c>
      <c r="AJ45" s="10">
        <f t="shared" si="5"/>
        <v>8</v>
      </c>
    </row>
    <row r="46" spans="1:36" x14ac:dyDescent="0.45">
      <c r="A46">
        <v>5</v>
      </c>
      <c r="B46" t="str">
        <f t="shared" si="0"/>
        <v>c 2 deg (67%).f96p10</v>
      </c>
      <c r="C46">
        <f t="shared" si="2"/>
        <v>38</v>
      </c>
      <c r="D46" t="str">
        <f t="shared" si="1"/>
        <v>ts_096P10</v>
      </c>
      <c r="E46" t="str">
        <f t="shared" si="4"/>
        <v>C3</v>
      </c>
      <c r="G46" t="s">
        <v>79</v>
      </c>
      <c r="H46" t="str">
        <f t="shared" ref="H46:H48" si="13">G46</f>
        <v>Coal</v>
      </c>
      <c r="I46">
        <f t="shared" si="12"/>
        <v>15.2</v>
      </c>
      <c r="J46">
        <f t="shared" si="12"/>
        <v>15.504</v>
      </c>
      <c r="K46">
        <f t="shared" si="12"/>
        <v>16.111999999999998</v>
      </c>
      <c r="L46">
        <f t="shared" si="12"/>
        <v>16.263999999999999</v>
      </c>
      <c r="M46">
        <f t="shared" si="12"/>
        <v>16.416</v>
      </c>
      <c r="N46">
        <f t="shared" si="12"/>
        <v>16.72</v>
      </c>
      <c r="O46">
        <f t="shared" si="12"/>
        <v>17.024000000000001</v>
      </c>
      <c r="R46">
        <f>HLOOKUP($G46&amp;"_"&amp;R$44,fuel_prices!$B$10:$I$11,2,FALSE)</f>
        <v>13.7</v>
      </c>
      <c r="S46">
        <f>HLOOKUP($G46&amp;"_"&amp;S$44,fuel_prices!$B$10:$I$11,2,FALSE)</f>
        <v>16.7</v>
      </c>
      <c r="AJ46" s="10">
        <f t="shared" si="5"/>
        <v>8</v>
      </c>
    </row>
    <row r="47" spans="1:36" x14ac:dyDescent="0.45">
      <c r="A47">
        <v>5</v>
      </c>
      <c r="B47" t="str">
        <f t="shared" si="0"/>
        <v>b 2 deg (50%).f96p10</v>
      </c>
      <c r="C47">
        <f t="shared" si="2"/>
        <v>39</v>
      </c>
      <c r="D47" t="str">
        <f t="shared" si="1"/>
        <v>ts_096P10</v>
      </c>
      <c r="E47" t="str">
        <f t="shared" si="4"/>
        <v>C4</v>
      </c>
      <c r="G47" t="s">
        <v>80</v>
      </c>
      <c r="H47" t="str">
        <f t="shared" si="13"/>
        <v>Oil</v>
      </c>
      <c r="I47">
        <f t="shared" si="12"/>
        <v>53</v>
      </c>
      <c r="J47">
        <f t="shared" si="12"/>
        <v>53.53</v>
      </c>
      <c r="K47">
        <f t="shared" si="12"/>
        <v>58.830000000000005</v>
      </c>
      <c r="L47">
        <f t="shared" si="12"/>
        <v>53.53</v>
      </c>
      <c r="M47">
        <f t="shared" si="12"/>
        <v>53.53</v>
      </c>
      <c r="N47">
        <f t="shared" si="12"/>
        <v>55.120000000000005</v>
      </c>
      <c r="O47">
        <f t="shared" si="12"/>
        <v>60.419999999999995</v>
      </c>
      <c r="R47">
        <f>HLOOKUP($G47&amp;"_"&amp;R$44,fuel_prices!$B$10:$I$11,2,FALSE)</f>
        <v>48</v>
      </c>
      <c r="S47">
        <f>HLOOKUP($G47&amp;"_"&amp;S$44,fuel_prices!$B$10:$I$11,2,FALSE)</f>
        <v>58</v>
      </c>
      <c r="AJ47" s="10">
        <f t="shared" si="5"/>
        <v>8</v>
      </c>
    </row>
    <row r="48" spans="1:36" x14ac:dyDescent="0.45">
      <c r="A48">
        <v>5</v>
      </c>
      <c r="B48" t="str">
        <f t="shared" si="0"/>
        <v>a 3 deg.f96p10</v>
      </c>
      <c r="C48">
        <f t="shared" si="2"/>
        <v>40</v>
      </c>
      <c r="D48" t="str">
        <f t="shared" si="1"/>
        <v>ts_096P10</v>
      </c>
      <c r="E48" t="str">
        <f t="shared" si="4"/>
        <v>C7</v>
      </c>
      <c r="G48" t="s">
        <v>81</v>
      </c>
      <c r="H48" t="str">
        <f t="shared" si="13"/>
        <v>Bioenergy</v>
      </c>
      <c r="I48">
        <f t="shared" si="12"/>
        <v>28</v>
      </c>
      <c r="O48">
        <f>VLOOKUP($E$5,$AK$9:$AM$15,3,FALSE)*I48</f>
        <v>84</v>
      </c>
      <c r="R48">
        <f>HLOOKUP($G48&amp;"_"&amp;R$44,fuel_prices!$B$10:$I$11,2,FALSE)</f>
        <v>24</v>
      </c>
      <c r="S48">
        <f>HLOOKUP($G48&amp;"_"&amp;S$44,fuel_prices!$B$10:$I$11,2,FALSE)</f>
        <v>32</v>
      </c>
      <c r="AJ48" s="10">
        <f t="shared" si="5"/>
        <v>8</v>
      </c>
    </row>
    <row r="49" spans="1:36" x14ac:dyDescent="0.45">
      <c r="A49">
        <v>5</v>
      </c>
      <c r="B49" t="str">
        <f t="shared" si="0"/>
        <v>e 1.5 deg no OS.f96p90</v>
      </c>
      <c r="C49">
        <f t="shared" si="2"/>
        <v>41</v>
      </c>
      <c r="D49" t="str">
        <f t="shared" si="1"/>
        <v>ts_096P90</v>
      </c>
      <c r="E49" t="str">
        <f t="shared" si="4"/>
        <v>C1</v>
      </c>
      <c r="AJ49" s="10">
        <f t="shared" si="5"/>
        <v>9</v>
      </c>
    </row>
    <row r="50" spans="1:36" x14ac:dyDescent="0.45">
      <c r="A50">
        <v>5</v>
      </c>
      <c r="B50" t="str">
        <f t="shared" si="0"/>
        <v>d 1.5 deg OS.f96p90</v>
      </c>
      <c r="C50">
        <f t="shared" si="2"/>
        <v>42</v>
      </c>
      <c r="D50" t="str">
        <f t="shared" si="1"/>
        <v>ts_096P90</v>
      </c>
      <c r="E50" t="str">
        <f t="shared" si="4"/>
        <v>C2</v>
      </c>
      <c r="AJ50" s="10">
        <f t="shared" si="5"/>
        <v>9</v>
      </c>
    </row>
    <row r="51" spans="1:36" x14ac:dyDescent="0.45">
      <c r="A51">
        <v>5</v>
      </c>
      <c r="B51" t="str">
        <f t="shared" si="0"/>
        <v>c 2 deg (67%).f96p90</v>
      </c>
      <c r="C51">
        <f t="shared" si="2"/>
        <v>43</v>
      </c>
      <c r="D51" t="str">
        <f t="shared" si="1"/>
        <v>ts_096P90</v>
      </c>
      <c r="E51" t="str">
        <f t="shared" si="4"/>
        <v>C3</v>
      </c>
      <c r="AJ51" s="10">
        <f t="shared" si="5"/>
        <v>9</v>
      </c>
    </row>
    <row r="52" spans="1:36" x14ac:dyDescent="0.45">
      <c r="A52">
        <v>5</v>
      </c>
      <c r="B52" t="str">
        <f t="shared" si="0"/>
        <v>b 2 deg (50%).f96p90</v>
      </c>
      <c r="C52">
        <f t="shared" si="2"/>
        <v>44</v>
      </c>
      <c r="D52" t="str">
        <f t="shared" si="1"/>
        <v>ts_096P90</v>
      </c>
      <c r="E52" t="str">
        <f t="shared" si="4"/>
        <v>C4</v>
      </c>
      <c r="AJ52" s="10">
        <f t="shared" si="5"/>
        <v>9</v>
      </c>
    </row>
    <row r="53" spans="1:36" x14ac:dyDescent="0.45">
      <c r="A53">
        <v>5</v>
      </c>
      <c r="B53" t="str">
        <f t="shared" si="0"/>
        <v>a 3 deg.f96p90</v>
      </c>
      <c r="C53">
        <f t="shared" si="2"/>
        <v>45</v>
      </c>
      <c r="D53" t="str">
        <f t="shared" si="1"/>
        <v>ts_096P90</v>
      </c>
      <c r="E53" t="str">
        <f t="shared" si="4"/>
        <v>C7</v>
      </c>
      <c r="AJ53" s="10">
        <f t="shared" si="5"/>
        <v>9</v>
      </c>
    </row>
    <row r="54" spans="1:36" x14ac:dyDescent="0.45">
      <c r="A54">
        <v>5</v>
      </c>
      <c r="B54" t="str">
        <f t="shared" si="0"/>
        <v>e 1.5 deg no OS.e3d</v>
      </c>
      <c r="C54">
        <f t="shared" si="2"/>
        <v>46</v>
      </c>
      <c r="D54" t="str">
        <f t="shared" si="1"/>
        <v>s1p1v1_d</v>
      </c>
      <c r="E54" t="str">
        <f t="shared" si="4"/>
        <v>C1</v>
      </c>
      <c r="AJ54" s="10">
        <f t="shared" si="5"/>
        <v>10</v>
      </c>
    </row>
    <row r="55" spans="1:36" x14ac:dyDescent="0.45">
      <c r="A55">
        <v>5</v>
      </c>
      <c r="B55" t="str">
        <f t="shared" si="0"/>
        <v>d 1.5 deg OS.e3d</v>
      </c>
      <c r="C55">
        <f t="shared" si="2"/>
        <v>47</v>
      </c>
      <c r="D55" t="str">
        <f t="shared" si="1"/>
        <v>s1p1v1_d</v>
      </c>
      <c r="E55" t="str">
        <f t="shared" si="4"/>
        <v>C2</v>
      </c>
      <c r="AJ55" s="10">
        <f t="shared" si="5"/>
        <v>10</v>
      </c>
    </row>
    <row r="56" spans="1:36" x14ac:dyDescent="0.45">
      <c r="A56">
        <v>5</v>
      </c>
      <c r="B56" t="str">
        <f t="shared" si="0"/>
        <v>c 2 deg (67%).e3d</v>
      </c>
      <c r="C56">
        <f t="shared" si="2"/>
        <v>48</v>
      </c>
      <c r="D56" t="str">
        <f t="shared" si="1"/>
        <v>s1p1v1_d</v>
      </c>
      <c r="E56" t="str">
        <f t="shared" si="4"/>
        <v>C3</v>
      </c>
      <c r="AJ56" s="10">
        <f t="shared" si="5"/>
        <v>10</v>
      </c>
    </row>
    <row r="57" spans="1:36" x14ac:dyDescent="0.45">
      <c r="A57">
        <v>5</v>
      </c>
      <c r="B57" t="str">
        <f t="shared" si="0"/>
        <v>b 2 deg (50%).e3d</v>
      </c>
      <c r="C57">
        <f t="shared" si="2"/>
        <v>49</v>
      </c>
      <c r="D57" t="str">
        <f t="shared" si="1"/>
        <v>s1p1v1_d</v>
      </c>
      <c r="E57" t="str">
        <f t="shared" si="4"/>
        <v>C4</v>
      </c>
      <c r="AJ57" s="10">
        <f t="shared" si="5"/>
        <v>10</v>
      </c>
    </row>
    <row r="58" spans="1:36" x14ac:dyDescent="0.45">
      <c r="A58">
        <v>5</v>
      </c>
      <c r="B58" t="str">
        <f t="shared" si="0"/>
        <v>a 3 deg.e3d</v>
      </c>
      <c r="C58">
        <f t="shared" si="2"/>
        <v>50</v>
      </c>
      <c r="D58" t="str">
        <f t="shared" si="1"/>
        <v>s1p1v1_d</v>
      </c>
      <c r="E58" t="str">
        <f t="shared" si="4"/>
        <v>C7</v>
      </c>
      <c r="AJ58" s="10">
        <f t="shared" si="5"/>
        <v>10</v>
      </c>
    </row>
    <row r="59" spans="1:36" x14ac:dyDescent="0.45">
      <c r="A59">
        <v>5</v>
      </c>
      <c r="B59" t="str">
        <f t="shared" si="0"/>
        <v>e 1.5 deg no OS.d9d</v>
      </c>
      <c r="C59">
        <f t="shared" si="2"/>
        <v>51</v>
      </c>
      <c r="D59" t="str">
        <f t="shared" si="1"/>
        <v>s3p3v3_d</v>
      </c>
      <c r="E59" t="str">
        <f t="shared" si="4"/>
        <v>C1</v>
      </c>
      <c r="AJ59" s="10">
        <f t="shared" si="5"/>
        <v>11</v>
      </c>
    </row>
    <row r="60" spans="1:36" x14ac:dyDescent="0.45">
      <c r="A60">
        <v>5</v>
      </c>
      <c r="B60" t="str">
        <f t="shared" si="0"/>
        <v>d 1.5 deg OS.d9d</v>
      </c>
      <c r="C60">
        <f t="shared" si="2"/>
        <v>52</v>
      </c>
      <c r="D60" t="str">
        <f t="shared" si="1"/>
        <v>s3p3v3_d</v>
      </c>
      <c r="E60" t="str">
        <f t="shared" si="4"/>
        <v>C2</v>
      </c>
      <c r="AJ60" s="10">
        <f t="shared" si="5"/>
        <v>11</v>
      </c>
    </row>
    <row r="61" spans="1:36" x14ac:dyDescent="0.45">
      <c r="A61">
        <v>5</v>
      </c>
      <c r="B61" t="str">
        <f t="shared" si="0"/>
        <v>c 2 deg (67%).d9d</v>
      </c>
      <c r="C61">
        <f t="shared" si="2"/>
        <v>53</v>
      </c>
      <c r="D61" t="str">
        <f t="shared" si="1"/>
        <v>s3p3v3_d</v>
      </c>
      <c r="E61" t="str">
        <f t="shared" si="4"/>
        <v>C3</v>
      </c>
      <c r="AJ61" s="10">
        <f t="shared" si="5"/>
        <v>11</v>
      </c>
    </row>
    <row r="62" spans="1:36" x14ac:dyDescent="0.45">
      <c r="A62">
        <v>5</v>
      </c>
      <c r="B62" t="str">
        <f t="shared" si="0"/>
        <v>b 2 deg (50%).d9d</v>
      </c>
      <c r="C62">
        <f t="shared" si="2"/>
        <v>54</v>
      </c>
      <c r="D62" t="str">
        <f t="shared" si="1"/>
        <v>s3p3v3_d</v>
      </c>
      <c r="E62" t="str">
        <f t="shared" si="4"/>
        <v>C4</v>
      </c>
      <c r="AJ62" s="10">
        <f t="shared" si="5"/>
        <v>11</v>
      </c>
    </row>
    <row r="63" spans="1:36" x14ac:dyDescent="0.45">
      <c r="A63">
        <v>5</v>
      </c>
      <c r="B63" t="str">
        <f t="shared" si="0"/>
        <v>a 3 deg.d9d</v>
      </c>
      <c r="C63">
        <f t="shared" si="2"/>
        <v>55</v>
      </c>
      <c r="D63" t="str">
        <f t="shared" si="1"/>
        <v>s3p3v3_d</v>
      </c>
      <c r="E63" t="str">
        <f t="shared" si="4"/>
        <v>C7</v>
      </c>
      <c r="AJ63" s="10">
        <f t="shared" si="5"/>
        <v>11</v>
      </c>
    </row>
    <row r="64" spans="1:36" x14ac:dyDescent="0.45">
      <c r="A64">
        <v>5</v>
      </c>
      <c r="B64" t="str">
        <f t="shared" si="0"/>
        <v>e 1.5 deg no OS.c15d</v>
      </c>
      <c r="C64">
        <f t="shared" si="2"/>
        <v>56</v>
      </c>
      <c r="D64" t="str">
        <f t="shared" ref="D64:D78" si="14">VLOOKUP(AJ64,$AG$9:$AH$22,2,FALSE)</f>
        <v>s5p5v5_d</v>
      </c>
      <c r="E64" t="str">
        <f t="shared" si="4"/>
        <v>C1</v>
      </c>
      <c r="AJ64" s="10">
        <f t="shared" si="5"/>
        <v>12</v>
      </c>
    </row>
    <row r="65" spans="1:36" x14ac:dyDescent="0.45">
      <c r="A65">
        <v>5</v>
      </c>
      <c r="B65" t="str">
        <f t="shared" si="0"/>
        <v>d 1.5 deg OS.c15d</v>
      </c>
      <c r="C65">
        <f t="shared" si="2"/>
        <v>57</v>
      </c>
      <c r="D65" t="str">
        <f t="shared" si="14"/>
        <v>s5p5v5_d</v>
      </c>
      <c r="E65" t="str">
        <f t="shared" si="4"/>
        <v>C2</v>
      </c>
      <c r="AJ65" s="10">
        <f t="shared" si="5"/>
        <v>12</v>
      </c>
    </row>
    <row r="66" spans="1:36" x14ac:dyDescent="0.45">
      <c r="A66">
        <v>5</v>
      </c>
      <c r="B66" t="str">
        <f t="shared" si="0"/>
        <v>c 2 deg (67%).c15d</v>
      </c>
      <c r="C66">
        <f t="shared" si="2"/>
        <v>58</v>
      </c>
      <c r="D66" t="str">
        <f t="shared" si="14"/>
        <v>s5p5v5_d</v>
      </c>
      <c r="E66" t="str">
        <f t="shared" si="4"/>
        <v>C3</v>
      </c>
      <c r="AJ66" s="10">
        <f t="shared" si="5"/>
        <v>12</v>
      </c>
    </row>
    <row r="67" spans="1:36" x14ac:dyDescent="0.45">
      <c r="A67">
        <v>5</v>
      </c>
      <c r="B67" t="str">
        <f t="shared" si="0"/>
        <v>b 2 deg (50%).c15d</v>
      </c>
      <c r="C67">
        <f t="shared" si="2"/>
        <v>59</v>
      </c>
      <c r="D67" t="str">
        <f t="shared" si="14"/>
        <v>s5p5v5_d</v>
      </c>
      <c r="E67" t="str">
        <f t="shared" si="4"/>
        <v>C4</v>
      </c>
      <c r="AJ67" s="10">
        <f t="shared" si="5"/>
        <v>12</v>
      </c>
    </row>
    <row r="68" spans="1:36" x14ac:dyDescent="0.45">
      <c r="A68">
        <v>5</v>
      </c>
      <c r="B68" t="str">
        <f t="shared" si="0"/>
        <v>a 3 deg.c15d</v>
      </c>
      <c r="C68">
        <f t="shared" si="2"/>
        <v>60</v>
      </c>
      <c r="D68" t="str">
        <f t="shared" si="14"/>
        <v>s5p5v5_d</v>
      </c>
      <c r="E68" t="str">
        <f t="shared" si="4"/>
        <v>C7</v>
      </c>
      <c r="AJ68" s="10">
        <f t="shared" si="5"/>
        <v>12</v>
      </c>
    </row>
    <row r="69" spans="1:36" x14ac:dyDescent="0.45">
      <c r="A69">
        <v>5</v>
      </c>
      <c r="B69" t="str">
        <f t="shared" si="0"/>
        <v>e 1.5 deg no OS.b2w</v>
      </c>
      <c r="C69">
        <f t="shared" si="2"/>
        <v>61</v>
      </c>
      <c r="D69" t="str">
        <f t="shared" si="14"/>
        <v>s2_w</v>
      </c>
      <c r="E69" t="str">
        <f t="shared" si="4"/>
        <v>C1</v>
      </c>
      <c r="AJ69" s="10">
        <f t="shared" si="5"/>
        <v>13</v>
      </c>
    </row>
    <row r="70" spans="1:36" x14ac:dyDescent="0.45">
      <c r="A70">
        <v>5</v>
      </c>
      <c r="B70" t="str">
        <f t="shared" si="0"/>
        <v>d 1.5 deg OS.b2w</v>
      </c>
      <c r="C70">
        <f t="shared" si="2"/>
        <v>62</v>
      </c>
      <c r="D70" t="str">
        <f t="shared" si="14"/>
        <v>s2_w</v>
      </c>
      <c r="E70" t="str">
        <f t="shared" si="4"/>
        <v>C2</v>
      </c>
      <c r="AJ70" s="10">
        <f t="shared" si="5"/>
        <v>13</v>
      </c>
    </row>
    <row r="71" spans="1:36" x14ac:dyDescent="0.45">
      <c r="A71">
        <v>5</v>
      </c>
      <c r="B71" t="str">
        <f t="shared" si="0"/>
        <v>c 2 deg (67%).b2w</v>
      </c>
      <c r="C71">
        <f t="shared" si="2"/>
        <v>63</v>
      </c>
      <c r="D71" t="str">
        <f t="shared" si="14"/>
        <v>s2_w</v>
      </c>
      <c r="E71" t="str">
        <f t="shared" si="4"/>
        <v>C3</v>
      </c>
      <c r="AJ71" s="10">
        <f t="shared" si="5"/>
        <v>13</v>
      </c>
    </row>
    <row r="72" spans="1:36" x14ac:dyDescent="0.45">
      <c r="A72">
        <v>5</v>
      </c>
      <c r="B72" t="str">
        <f t="shared" si="0"/>
        <v>b 2 deg (50%).b2w</v>
      </c>
      <c r="C72">
        <f t="shared" si="2"/>
        <v>64</v>
      </c>
      <c r="D72" t="str">
        <f t="shared" si="14"/>
        <v>s2_w</v>
      </c>
      <c r="E72" t="str">
        <f t="shared" si="4"/>
        <v>C4</v>
      </c>
      <c r="AJ72" s="10">
        <f t="shared" si="5"/>
        <v>13</v>
      </c>
    </row>
    <row r="73" spans="1:36" x14ac:dyDescent="0.45">
      <c r="A73">
        <v>5</v>
      </c>
      <c r="B73" t="str">
        <f t="shared" si="0"/>
        <v>a 3 deg.b2w</v>
      </c>
      <c r="C73">
        <f t="shared" si="2"/>
        <v>65</v>
      </c>
      <c r="D73" t="str">
        <f t="shared" si="14"/>
        <v>s2_w</v>
      </c>
      <c r="E73" t="str">
        <f t="shared" si="4"/>
        <v>C7</v>
      </c>
      <c r="AJ73" s="10">
        <f t="shared" si="5"/>
        <v>13</v>
      </c>
    </row>
    <row r="74" spans="1:36" x14ac:dyDescent="0.45">
      <c r="A74">
        <v>5</v>
      </c>
      <c r="B74" t="str">
        <f t="shared" ref="B74:B78" si="15">VLOOKUP(E74,$AK$9:$AL$15,2,FALSE)&amp;"."&amp;VLOOKUP(D74,$AH$9:$AI$24,2,FALSE)</f>
        <v>e 1.5 deg no OS.a2w2d</v>
      </c>
      <c r="C74">
        <f t="shared" si="2"/>
        <v>66</v>
      </c>
      <c r="D74" t="str">
        <f t="shared" si="14"/>
        <v>s2_w_p2_d</v>
      </c>
      <c r="E74" t="str">
        <f t="shared" si="4"/>
        <v>C1</v>
      </c>
      <c r="AJ74" s="10">
        <f t="shared" si="5"/>
        <v>14</v>
      </c>
    </row>
    <row r="75" spans="1:36" x14ac:dyDescent="0.45">
      <c r="A75">
        <v>5</v>
      </c>
      <c r="B75" t="str">
        <f t="shared" si="15"/>
        <v>d 1.5 deg OS.a2w2d</v>
      </c>
      <c r="C75">
        <f t="shared" ref="C75:C78" si="16">C74+1</f>
        <v>67</v>
      </c>
      <c r="D75" t="str">
        <f t="shared" si="14"/>
        <v>s2_w_p2_d</v>
      </c>
      <c r="E75" t="str">
        <f t="shared" si="4"/>
        <v>C2</v>
      </c>
      <c r="AJ75" s="10">
        <f t="shared" si="5"/>
        <v>14</v>
      </c>
    </row>
    <row r="76" spans="1:36" x14ac:dyDescent="0.45">
      <c r="A76">
        <v>5</v>
      </c>
      <c r="B76" t="str">
        <f t="shared" si="15"/>
        <v>c 2 deg (67%).a2w2d</v>
      </c>
      <c r="C76">
        <f t="shared" si="16"/>
        <v>68</v>
      </c>
      <c r="D76" t="str">
        <f t="shared" si="14"/>
        <v>s2_w_p2_d</v>
      </c>
      <c r="E76" t="str">
        <f t="shared" si="4"/>
        <v>C3</v>
      </c>
      <c r="AJ76" s="10">
        <f t="shared" si="5"/>
        <v>14</v>
      </c>
    </row>
    <row r="77" spans="1:36" x14ac:dyDescent="0.45">
      <c r="A77">
        <v>5</v>
      </c>
      <c r="B77" t="str">
        <f t="shared" si="15"/>
        <v>b 2 deg (50%).a2w2d</v>
      </c>
      <c r="C77">
        <f t="shared" si="16"/>
        <v>69</v>
      </c>
      <c r="D77" t="str">
        <f t="shared" si="14"/>
        <v>s2_w_p2_d</v>
      </c>
      <c r="E77" t="str">
        <f t="shared" si="4"/>
        <v>C4</v>
      </c>
      <c r="AJ77" s="10">
        <f t="shared" si="5"/>
        <v>14</v>
      </c>
    </row>
    <row r="78" spans="1:36" x14ac:dyDescent="0.45">
      <c r="A78">
        <v>5</v>
      </c>
      <c r="B78" t="str">
        <f t="shared" si="15"/>
        <v>a 3 deg.a2w2d</v>
      </c>
      <c r="C78">
        <f t="shared" si="16"/>
        <v>70</v>
      </c>
      <c r="D78" t="str">
        <f t="shared" si="14"/>
        <v>s2_w_p2_d</v>
      </c>
      <c r="E78" t="str">
        <f t="shared" si="4"/>
        <v>C7</v>
      </c>
      <c r="AJ78" s="10">
        <f t="shared" si="5"/>
        <v>14</v>
      </c>
    </row>
    <row r="82" spans="1:6" x14ac:dyDescent="0.45">
      <c r="A82" t="s">
        <v>147</v>
      </c>
    </row>
    <row r="83" spans="1:6" x14ac:dyDescent="0.45">
      <c r="A83" t="s">
        <v>30</v>
      </c>
      <c r="B83" t="s">
        <v>31</v>
      </c>
      <c r="C83">
        <v>2024</v>
      </c>
      <c r="D83">
        <v>2030</v>
      </c>
      <c r="E83">
        <v>2040</v>
      </c>
      <c r="F83" t="s">
        <v>14</v>
      </c>
    </row>
    <row r="84" spans="1:6" x14ac:dyDescent="0.45">
      <c r="A84" t="s">
        <v>35</v>
      </c>
      <c r="B84" t="s">
        <v>148</v>
      </c>
      <c r="C84">
        <v>15.265000000000001</v>
      </c>
      <c r="D84">
        <v>26.114999999999998</v>
      </c>
      <c r="E84">
        <v>28.215</v>
      </c>
      <c r="F84" t="s">
        <v>149</v>
      </c>
    </row>
    <row r="85" spans="1:6" x14ac:dyDescent="0.45">
      <c r="A85" t="s">
        <v>32</v>
      </c>
      <c r="B85" t="s">
        <v>148</v>
      </c>
      <c r="C85">
        <v>12.7</v>
      </c>
      <c r="D85">
        <v>15.3</v>
      </c>
      <c r="E85">
        <v>15.6</v>
      </c>
      <c r="F85" t="s">
        <v>149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1"/>
  <sheetViews>
    <sheetView workbookViewId="0">
      <selection sqref="A1:H1"/>
    </sheetView>
  </sheetViews>
  <sheetFormatPr defaultRowHeight="14.25" x14ac:dyDescent="0.45"/>
  <cols>
    <col min="1" max="7" width="10.59765625" customWidth="1"/>
    <col min="8" max="8" width="13.3984375" bestFit="1" customWidth="1"/>
    <col min="9" max="9" width="14.06640625" bestFit="1" customWidth="1"/>
    <col min="10" max="10" width="26.3984375" bestFit="1" customWidth="1"/>
  </cols>
  <sheetData>
    <row r="1" spans="1:10" ht="22.05" customHeight="1" x14ac:dyDescent="0.45"/>
    <row r="9" spans="1:10" x14ac:dyDescent="0.45">
      <c r="A9" t="s">
        <v>60</v>
      </c>
    </row>
    <row r="10" spans="1:10" x14ac:dyDescent="0.45">
      <c r="A10" t="s">
        <v>36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t="s">
        <v>66</v>
      </c>
      <c r="H10" t="s">
        <v>67</v>
      </c>
      <c r="I10" t="s">
        <v>68</v>
      </c>
      <c r="J10" t="s">
        <v>69</v>
      </c>
    </row>
    <row r="11" spans="1:10" x14ac:dyDescent="0.45">
      <c r="A11" t="s">
        <v>143</v>
      </c>
      <c r="B11">
        <v>29.1</v>
      </c>
      <c r="C11">
        <v>41.1</v>
      </c>
      <c r="D11">
        <v>13.7</v>
      </c>
      <c r="E11">
        <v>16.7</v>
      </c>
      <c r="F11">
        <v>48</v>
      </c>
      <c r="G11">
        <v>58</v>
      </c>
      <c r="H11">
        <v>24</v>
      </c>
      <c r="I11">
        <v>32</v>
      </c>
      <c r="J11" t="s">
        <v>145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"/>
  <sheetViews>
    <sheetView workbookViewId="0">
      <selection sqref="A1:H1"/>
    </sheetView>
  </sheetViews>
  <sheetFormatPr defaultRowHeight="14.25" x14ac:dyDescent="0.45"/>
  <cols>
    <col min="1" max="2" width="10.59765625" customWidth="1"/>
    <col min="3" max="3" width="11.796875" bestFit="1" customWidth="1"/>
    <col min="4" max="4" width="16.9296875" bestFit="1" customWidth="1"/>
    <col min="5" max="5" width="21" bestFit="1" customWidth="1"/>
    <col min="6" max="6" width="17.6640625" bestFit="1" customWidth="1"/>
    <col min="7" max="7" width="11.46484375" bestFit="1" customWidth="1"/>
    <col min="8" max="8" width="11.265625" bestFit="1" customWidth="1"/>
    <col min="9" max="9" width="19.265625" bestFit="1" customWidth="1"/>
  </cols>
  <sheetData>
    <row r="1" spans="1:9" ht="22.05" customHeight="1" x14ac:dyDescent="0.45"/>
    <row r="9" spans="1:9" x14ac:dyDescent="0.45">
      <c r="A9" t="s">
        <v>58</v>
      </c>
    </row>
    <row r="10" spans="1:9" x14ac:dyDescent="0.45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</row>
    <row r="11" spans="1:9" x14ac:dyDescent="0.45">
      <c r="A11" t="s">
        <v>143</v>
      </c>
      <c r="B11">
        <v>2000</v>
      </c>
      <c r="C11">
        <v>296.72000000000003</v>
      </c>
      <c r="D11">
        <v>255.95</v>
      </c>
      <c r="E11">
        <v>15.91</v>
      </c>
      <c r="F11">
        <v>0</v>
      </c>
      <c r="G11">
        <v>45.13</v>
      </c>
      <c r="H11">
        <v>-42.08</v>
      </c>
      <c r="I11">
        <v>572.30999999999995</v>
      </c>
    </row>
    <row r="12" spans="1:9" x14ac:dyDescent="0.45">
      <c r="A12" t="s">
        <v>143</v>
      </c>
      <c r="B12">
        <v>2001</v>
      </c>
      <c r="C12">
        <v>302.91000000000003</v>
      </c>
      <c r="D12">
        <v>259.64</v>
      </c>
      <c r="E12">
        <v>16.399999999999999</v>
      </c>
      <c r="F12">
        <v>0</v>
      </c>
      <c r="G12">
        <v>45.78</v>
      </c>
      <c r="H12">
        <v>-42.12</v>
      </c>
      <c r="I12">
        <v>581.89</v>
      </c>
    </row>
    <row r="13" spans="1:9" x14ac:dyDescent="0.45">
      <c r="A13" t="s">
        <v>143</v>
      </c>
      <c r="B13">
        <v>2002</v>
      </c>
      <c r="C13">
        <v>297.20999999999998</v>
      </c>
      <c r="D13">
        <v>271.74</v>
      </c>
      <c r="E13">
        <v>16.190000000000001</v>
      </c>
      <c r="F13">
        <v>0</v>
      </c>
      <c r="G13">
        <v>48.37</v>
      </c>
      <c r="H13">
        <v>-38.369999999999997</v>
      </c>
      <c r="I13">
        <v>581.95000000000005</v>
      </c>
    </row>
    <row r="14" spans="1:9" x14ac:dyDescent="0.45">
      <c r="A14" t="s">
        <v>143</v>
      </c>
      <c r="B14">
        <v>2003</v>
      </c>
      <c r="C14">
        <v>299.02999999999997</v>
      </c>
      <c r="D14">
        <v>281.33</v>
      </c>
      <c r="E14">
        <v>13.04</v>
      </c>
      <c r="F14">
        <v>0.02</v>
      </c>
      <c r="G14">
        <v>49.11</v>
      </c>
      <c r="H14">
        <v>-52.38</v>
      </c>
      <c r="I14">
        <v>604.67999999999995</v>
      </c>
    </row>
    <row r="15" spans="1:9" x14ac:dyDescent="0.45">
      <c r="A15" t="s">
        <v>143</v>
      </c>
      <c r="B15">
        <v>2004</v>
      </c>
      <c r="C15">
        <v>306.79000000000002</v>
      </c>
      <c r="D15">
        <v>281.62</v>
      </c>
      <c r="E15">
        <v>12.88</v>
      </c>
      <c r="F15">
        <v>0.02</v>
      </c>
      <c r="G15">
        <v>48.19</v>
      </c>
      <c r="H15">
        <v>-50.81</v>
      </c>
      <c r="I15">
        <v>612.36</v>
      </c>
    </row>
    <row r="16" spans="1:9" x14ac:dyDescent="0.45">
      <c r="A16" t="s">
        <v>143</v>
      </c>
      <c r="B16">
        <v>2005</v>
      </c>
      <c r="C16">
        <v>312.43</v>
      </c>
      <c r="D16">
        <v>278.70999999999998</v>
      </c>
      <c r="E16">
        <v>13.12</v>
      </c>
      <c r="F16">
        <v>0.02</v>
      </c>
      <c r="G16">
        <v>56.86</v>
      </c>
      <c r="H16">
        <v>-61.43</v>
      </c>
      <c r="I16">
        <v>616.34</v>
      </c>
    </row>
    <row r="17" spans="1:9" x14ac:dyDescent="0.45">
      <c r="A17" t="s">
        <v>143</v>
      </c>
      <c r="B17">
        <v>2006</v>
      </c>
      <c r="C17">
        <v>312.93</v>
      </c>
      <c r="D17">
        <v>283.64999999999998</v>
      </c>
      <c r="E17">
        <v>12.67</v>
      </c>
      <c r="F17">
        <v>0.02</v>
      </c>
      <c r="G17">
        <v>48.46</v>
      </c>
      <c r="H17">
        <v>-65.44</v>
      </c>
      <c r="I17">
        <v>633.35</v>
      </c>
    </row>
    <row r="18" spans="1:9" x14ac:dyDescent="0.45">
      <c r="A18" t="s">
        <v>143</v>
      </c>
      <c r="B18">
        <v>2007</v>
      </c>
      <c r="C18">
        <v>320.33</v>
      </c>
      <c r="D18">
        <v>277.98</v>
      </c>
      <c r="E18">
        <v>12.22</v>
      </c>
      <c r="F18">
        <v>0.02</v>
      </c>
      <c r="G18">
        <v>45.95</v>
      </c>
      <c r="H18">
        <v>-62.51</v>
      </c>
      <c r="I18">
        <v>634.44000000000005</v>
      </c>
    </row>
    <row r="19" spans="1:9" x14ac:dyDescent="0.45">
      <c r="A19" t="s">
        <v>143</v>
      </c>
      <c r="B19">
        <v>2008</v>
      </c>
      <c r="C19">
        <v>315.16000000000003</v>
      </c>
      <c r="D19">
        <v>281.69</v>
      </c>
      <c r="E19">
        <v>11.09</v>
      </c>
      <c r="F19">
        <v>0.02</v>
      </c>
      <c r="G19">
        <v>41.67</v>
      </c>
      <c r="H19">
        <v>-61.77</v>
      </c>
      <c r="I19">
        <v>635.20000000000005</v>
      </c>
    </row>
    <row r="20" spans="1:9" x14ac:dyDescent="0.45">
      <c r="A20" t="s">
        <v>143</v>
      </c>
      <c r="B20">
        <v>2009</v>
      </c>
      <c r="C20">
        <v>276.39</v>
      </c>
      <c r="D20">
        <v>283.85000000000002</v>
      </c>
      <c r="E20">
        <v>11.58</v>
      </c>
      <c r="F20">
        <v>0.02</v>
      </c>
      <c r="G20">
        <v>41.86</v>
      </c>
      <c r="H20">
        <v>-54.13</v>
      </c>
      <c r="I20">
        <v>590.82000000000005</v>
      </c>
    </row>
    <row r="21" spans="1:9" x14ac:dyDescent="0.45">
      <c r="A21" t="s">
        <v>143</v>
      </c>
      <c r="B21">
        <v>2010</v>
      </c>
      <c r="C21">
        <v>301.16000000000003</v>
      </c>
      <c r="D21">
        <v>291.42</v>
      </c>
      <c r="E21">
        <v>12.06</v>
      </c>
      <c r="F21">
        <v>0.02</v>
      </c>
      <c r="G21">
        <v>42.96</v>
      </c>
      <c r="H21">
        <v>-57.92</v>
      </c>
      <c r="I21">
        <v>626.72</v>
      </c>
    </row>
    <row r="22" spans="1:9" x14ac:dyDescent="0.45">
      <c r="A22" t="s">
        <v>143</v>
      </c>
      <c r="B22">
        <v>2011</v>
      </c>
      <c r="C22">
        <v>306.11</v>
      </c>
      <c r="D22">
        <v>278.54000000000002</v>
      </c>
      <c r="E22">
        <v>12.08</v>
      </c>
      <c r="F22">
        <v>0.02</v>
      </c>
      <c r="G22">
        <v>51</v>
      </c>
      <c r="H22">
        <v>-54.77</v>
      </c>
      <c r="I22">
        <v>607.28</v>
      </c>
    </row>
    <row r="23" spans="1:9" x14ac:dyDescent="0.45">
      <c r="A23" t="s">
        <v>143</v>
      </c>
      <c r="B23">
        <v>2012</v>
      </c>
      <c r="C23">
        <v>300.92</v>
      </c>
      <c r="D23">
        <v>281.91000000000003</v>
      </c>
      <c r="E23">
        <v>12</v>
      </c>
      <c r="F23">
        <v>0.03</v>
      </c>
      <c r="G23">
        <v>46.27</v>
      </c>
      <c r="H23">
        <v>-66.81</v>
      </c>
      <c r="I23">
        <v>622.22</v>
      </c>
    </row>
    <row r="24" spans="1:9" x14ac:dyDescent="0.45">
      <c r="A24" t="s">
        <v>143</v>
      </c>
      <c r="B24">
        <v>2013</v>
      </c>
      <c r="C24">
        <v>299.36</v>
      </c>
      <c r="D24">
        <v>282.54000000000002</v>
      </c>
      <c r="E24">
        <v>11.89</v>
      </c>
      <c r="F24">
        <v>0.04</v>
      </c>
      <c r="G24">
        <v>39.22</v>
      </c>
      <c r="H24">
        <v>-71.42</v>
      </c>
      <c r="I24">
        <v>632.91999999999996</v>
      </c>
    </row>
    <row r="25" spans="1:9" x14ac:dyDescent="0.45">
      <c r="A25" t="s">
        <v>143</v>
      </c>
      <c r="B25">
        <v>2014</v>
      </c>
      <c r="C25">
        <v>302.14</v>
      </c>
      <c r="D25">
        <v>267.37</v>
      </c>
      <c r="E25">
        <v>11.47</v>
      </c>
      <c r="F25">
        <v>0.05</v>
      </c>
      <c r="G25">
        <v>40.44</v>
      </c>
      <c r="H25">
        <v>-74.319999999999993</v>
      </c>
      <c r="I25">
        <v>621.95000000000005</v>
      </c>
    </row>
    <row r="26" spans="1:9" x14ac:dyDescent="0.45">
      <c r="A26" t="s">
        <v>143</v>
      </c>
      <c r="B26">
        <v>2015</v>
      </c>
      <c r="C26">
        <v>300.43</v>
      </c>
      <c r="D26">
        <v>274.98</v>
      </c>
      <c r="E26">
        <v>11.07</v>
      </c>
      <c r="F26">
        <v>0.08</v>
      </c>
      <c r="G26">
        <v>37.01</v>
      </c>
      <c r="H26">
        <v>-85.29</v>
      </c>
      <c r="I26">
        <v>642.39</v>
      </c>
    </row>
    <row r="27" spans="1:9" x14ac:dyDescent="0.45">
      <c r="A27" t="s">
        <v>143</v>
      </c>
      <c r="B27">
        <v>2016</v>
      </c>
      <c r="C27">
        <v>300.37</v>
      </c>
      <c r="D27">
        <v>275.24</v>
      </c>
      <c r="E27">
        <v>11.63</v>
      </c>
      <c r="F27">
        <v>0.11</v>
      </c>
      <c r="G27">
        <v>28.34</v>
      </c>
      <c r="H27">
        <v>-78.86</v>
      </c>
      <c r="I27">
        <v>644.86</v>
      </c>
    </row>
    <row r="28" spans="1:9" x14ac:dyDescent="0.45">
      <c r="A28" t="s">
        <v>143</v>
      </c>
      <c r="B28">
        <v>2017</v>
      </c>
      <c r="C28">
        <v>301.43</v>
      </c>
      <c r="D28">
        <v>274.77</v>
      </c>
      <c r="E28">
        <v>11.8</v>
      </c>
      <c r="F28">
        <v>0.16</v>
      </c>
      <c r="G28">
        <v>27.84</v>
      </c>
      <c r="H28">
        <v>-80.3</v>
      </c>
      <c r="I28">
        <v>647.72</v>
      </c>
    </row>
    <row r="29" spans="1:9" x14ac:dyDescent="0.45">
      <c r="A29" t="s">
        <v>143</v>
      </c>
      <c r="B29">
        <v>2018</v>
      </c>
      <c r="C29">
        <v>299.7</v>
      </c>
      <c r="D29">
        <v>266.49</v>
      </c>
      <c r="E29">
        <v>11.86</v>
      </c>
      <c r="F29">
        <v>0.23</v>
      </c>
      <c r="G29">
        <v>31.73</v>
      </c>
      <c r="H29">
        <v>-80.459999999999994</v>
      </c>
      <c r="I29">
        <v>634.29999999999995</v>
      </c>
    </row>
    <row r="30" spans="1:9" x14ac:dyDescent="0.45">
      <c r="A30" t="s">
        <v>143</v>
      </c>
      <c r="B30">
        <v>2019</v>
      </c>
      <c r="C30">
        <v>288.64999999999998</v>
      </c>
      <c r="D30">
        <v>261.57</v>
      </c>
      <c r="E30">
        <v>11.27</v>
      </c>
      <c r="F30">
        <v>0.34</v>
      </c>
      <c r="G30">
        <v>40.130000000000003</v>
      </c>
      <c r="H30">
        <v>-72.790000000000006</v>
      </c>
      <c r="I30">
        <v>600.98</v>
      </c>
    </row>
    <row r="31" spans="1:9" x14ac:dyDescent="0.45">
      <c r="A31" t="s">
        <v>143</v>
      </c>
      <c r="B31">
        <v>2020</v>
      </c>
      <c r="C31">
        <v>273.14999999999998</v>
      </c>
      <c r="D31">
        <v>259.02</v>
      </c>
      <c r="E31">
        <v>10.87</v>
      </c>
      <c r="F31">
        <v>0.66</v>
      </c>
      <c r="G31">
        <v>47.85</v>
      </c>
      <c r="H31">
        <v>-66.88</v>
      </c>
      <c r="I31">
        <v>568.91</v>
      </c>
    </row>
    <row r="32" spans="1:9" x14ac:dyDescent="0.45">
      <c r="A32" t="s">
        <v>143</v>
      </c>
      <c r="B32">
        <v>2021</v>
      </c>
      <c r="C32">
        <v>282</v>
      </c>
      <c r="D32">
        <v>269.08999999999997</v>
      </c>
      <c r="E32">
        <v>10.69</v>
      </c>
      <c r="F32">
        <v>0.55000000000000004</v>
      </c>
      <c r="G32">
        <v>51.73</v>
      </c>
      <c r="H32">
        <v>-70.31</v>
      </c>
      <c r="I32">
        <v>587.48</v>
      </c>
    </row>
    <row r="33" spans="1:9" x14ac:dyDescent="0.45">
      <c r="A33" t="s">
        <v>143</v>
      </c>
      <c r="B33">
        <v>2022</v>
      </c>
      <c r="C33">
        <v>269.70999999999998</v>
      </c>
      <c r="D33">
        <v>256.95999999999998</v>
      </c>
      <c r="E33">
        <v>10.69</v>
      </c>
      <c r="F33">
        <v>2.4500000000000002</v>
      </c>
      <c r="G33">
        <v>49.33</v>
      </c>
      <c r="H33">
        <v>-76.59</v>
      </c>
      <c r="I33">
        <v>574.30999999999995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60"/>
  <sheetViews>
    <sheetView workbookViewId="0">
      <selection sqref="A1:K1"/>
    </sheetView>
  </sheetViews>
  <sheetFormatPr defaultRowHeight="14.25" x14ac:dyDescent="0.45"/>
  <cols>
    <col min="1" max="1" width="10.59765625" customWidth="1"/>
    <col min="2" max="2" width="11.06640625" bestFit="1" customWidth="1"/>
    <col min="3" max="11" width="10.59765625" customWidth="1"/>
    <col min="12" max="13" width="30.59765625" customWidth="1"/>
    <col min="14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3" ht="22.05" customHeight="1" x14ac:dyDescent="0.45"/>
    <row r="9" spans="1:13" x14ac:dyDescent="0.45">
      <c r="A9" t="s">
        <v>59</v>
      </c>
    </row>
    <row r="10" spans="1:13" x14ac:dyDescent="0.45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55</v>
      </c>
      <c r="L10" t="s">
        <v>56</v>
      </c>
      <c r="M10" t="s">
        <v>14</v>
      </c>
    </row>
    <row r="11" spans="1:13" x14ac:dyDescent="0.45">
      <c r="A11" t="s">
        <v>0</v>
      </c>
      <c r="B11" t="s">
        <v>144</v>
      </c>
      <c r="C11">
        <v>2020</v>
      </c>
      <c r="D11">
        <v>60</v>
      </c>
      <c r="E11">
        <v>8.68</v>
      </c>
      <c r="F11">
        <v>6.87</v>
      </c>
      <c r="G11">
        <v>10.43</v>
      </c>
      <c r="H11">
        <v>0</v>
      </c>
      <c r="I11">
        <v>55.17</v>
      </c>
      <c r="J11">
        <v>0</v>
      </c>
      <c r="K11">
        <v>13.64</v>
      </c>
      <c r="L11" t="s">
        <v>1</v>
      </c>
      <c r="M11" t="s">
        <v>27</v>
      </c>
    </row>
    <row r="12" spans="1:13" x14ac:dyDescent="0.45">
      <c r="A12" t="s">
        <v>0</v>
      </c>
      <c r="B12" t="s">
        <v>144</v>
      </c>
      <c r="C12">
        <v>2025</v>
      </c>
      <c r="D12">
        <v>60</v>
      </c>
      <c r="E12">
        <v>190.52</v>
      </c>
      <c r="F12">
        <v>181.51</v>
      </c>
      <c r="G12">
        <v>136.22999999999999</v>
      </c>
      <c r="H12">
        <v>1.81</v>
      </c>
      <c r="I12">
        <v>626.48</v>
      </c>
      <c r="J12">
        <v>115.48</v>
      </c>
      <c r="K12">
        <v>238.58</v>
      </c>
      <c r="L12" t="s">
        <v>1</v>
      </c>
      <c r="M12" t="s">
        <v>27</v>
      </c>
    </row>
    <row r="13" spans="1:13" x14ac:dyDescent="0.45">
      <c r="A13" t="s">
        <v>0</v>
      </c>
      <c r="B13" t="s">
        <v>144</v>
      </c>
      <c r="C13">
        <v>2030</v>
      </c>
      <c r="D13">
        <v>60</v>
      </c>
      <c r="E13">
        <v>268.18</v>
      </c>
      <c r="F13">
        <v>241.69</v>
      </c>
      <c r="G13">
        <v>134.29</v>
      </c>
      <c r="H13">
        <v>1.27</v>
      </c>
      <c r="I13">
        <v>673.46</v>
      </c>
      <c r="J13">
        <v>182.47</v>
      </c>
      <c r="K13">
        <v>329.7</v>
      </c>
      <c r="L13" t="s">
        <v>1</v>
      </c>
      <c r="M13" t="s">
        <v>27</v>
      </c>
    </row>
    <row r="14" spans="1:13" x14ac:dyDescent="0.45">
      <c r="A14" t="s">
        <v>0</v>
      </c>
      <c r="B14" t="s">
        <v>144</v>
      </c>
      <c r="C14">
        <v>2035</v>
      </c>
      <c r="D14">
        <v>60</v>
      </c>
      <c r="E14">
        <v>363.27</v>
      </c>
      <c r="F14">
        <v>339.03</v>
      </c>
      <c r="G14">
        <v>173.79</v>
      </c>
      <c r="H14">
        <v>14.37</v>
      </c>
      <c r="I14">
        <v>859.53</v>
      </c>
      <c r="J14">
        <v>227.05</v>
      </c>
      <c r="K14">
        <v>483.38</v>
      </c>
      <c r="L14" t="s">
        <v>1</v>
      </c>
      <c r="M14" t="s">
        <v>27</v>
      </c>
    </row>
    <row r="15" spans="1:13" x14ac:dyDescent="0.45">
      <c r="A15" t="s">
        <v>0</v>
      </c>
      <c r="B15" t="s">
        <v>144</v>
      </c>
      <c r="C15">
        <v>2040</v>
      </c>
      <c r="D15">
        <v>60</v>
      </c>
      <c r="E15">
        <v>471.65</v>
      </c>
      <c r="F15">
        <v>410.28</v>
      </c>
      <c r="G15">
        <v>224.31</v>
      </c>
      <c r="H15">
        <v>162.1</v>
      </c>
      <c r="I15">
        <v>1097.01</v>
      </c>
      <c r="J15">
        <v>298.63</v>
      </c>
      <c r="K15">
        <v>622.14</v>
      </c>
      <c r="L15" t="s">
        <v>1</v>
      </c>
      <c r="M15" t="s">
        <v>27</v>
      </c>
    </row>
    <row r="16" spans="1:13" x14ac:dyDescent="0.45">
      <c r="A16" t="s">
        <v>0</v>
      </c>
      <c r="B16" t="s">
        <v>144</v>
      </c>
      <c r="C16">
        <v>2045</v>
      </c>
      <c r="D16">
        <v>60</v>
      </c>
      <c r="E16">
        <v>565.69000000000005</v>
      </c>
      <c r="F16">
        <v>494.2</v>
      </c>
      <c r="G16">
        <v>256.14999999999998</v>
      </c>
      <c r="H16">
        <v>193.42</v>
      </c>
      <c r="I16">
        <v>1269.8800000000001</v>
      </c>
      <c r="J16">
        <v>352.78</v>
      </c>
      <c r="K16">
        <v>748.01</v>
      </c>
      <c r="L16" t="s">
        <v>1</v>
      </c>
      <c r="M16" t="s">
        <v>27</v>
      </c>
    </row>
    <row r="17" spans="1:13" x14ac:dyDescent="0.45">
      <c r="A17" t="s">
        <v>0</v>
      </c>
      <c r="B17" t="s">
        <v>144</v>
      </c>
      <c r="C17">
        <v>2050</v>
      </c>
      <c r="D17">
        <v>60</v>
      </c>
      <c r="E17">
        <v>647.44000000000005</v>
      </c>
      <c r="F17">
        <v>635.42999999999995</v>
      </c>
      <c r="G17">
        <v>273.56</v>
      </c>
      <c r="H17">
        <v>209.76</v>
      </c>
      <c r="I17">
        <v>1170.26</v>
      </c>
      <c r="J17">
        <v>409.79</v>
      </c>
      <c r="K17">
        <v>887.68</v>
      </c>
      <c r="L17" t="s">
        <v>1</v>
      </c>
      <c r="M17" t="s">
        <v>27</v>
      </c>
    </row>
    <row r="18" spans="1:13" x14ac:dyDescent="0.45">
      <c r="A18" t="s">
        <v>2</v>
      </c>
      <c r="B18" t="s">
        <v>144</v>
      </c>
      <c r="C18">
        <v>2020</v>
      </c>
      <c r="D18">
        <v>86</v>
      </c>
      <c r="E18">
        <v>6.44</v>
      </c>
      <c r="F18">
        <v>0</v>
      </c>
      <c r="G18">
        <v>8.34</v>
      </c>
      <c r="H18">
        <v>0</v>
      </c>
      <c r="I18">
        <v>24.5</v>
      </c>
      <c r="J18">
        <v>0</v>
      </c>
      <c r="K18">
        <v>12.68</v>
      </c>
      <c r="L18" t="s">
        <v>3</v>
      </c>
      <c r="M18" t="s">
        <v>27</v>
      </c>
    </row>
    <row r="19" spans="1:13" x14ac:dyDescent="0.45">
      <c r="A19" t="s">
        <v>2</v>
      </c>
      <c r="B19" t="s">
        <v>144</v>
      </c>
      <c r="C19">
        <v>2025</v>
      </c>
      <c r="D19">
        <v>75</v>
      </c>
      <c r="E19">
        <v>63.21</v>
      </c>
      <c r="F19">
        <v>44.89</v>
      </c>
      <c r="G19">
        <v>56.62</v>
      </c>
      <c r="H19">
        <v>3.21</v>
      </c>
      <c r="I19">
        <v>273</v>
      </c>
      <c r="J19">
        <v>27.09</v>
      </c>
      <c r="K19">
        <v>77.31</v>
      </c>
      <c r="L19" t="s">
        <v>3</v>
      </c>
      <c r="M19" t="s">
        <v>27</v>
      </c>
    </row>
    <row r="20" spans="1:13" x14ac:dyDescent="0.45">
      <c r="A20" t="s">
        <v>2</v>
      </c>
      <c r="B20" t="s">
        <v>144</v>
      </c>
      <c r="C20">
        <v>2030</v>
      </c>
      <c r="D20">
        <v>86</v>
      </c>
      <c r="E20">
        <v>85.48</v>
      </c>
      <c r="F20">
        <v>63.36</v>
      </c>
      <c r="G20">
        <v>73.459999999999994</v>
      </c>
      <c r="H20">
        <v>0</v>
      </c>
      <c r="I20">
        <v>409.5</v>
      </c>
      <c r="J20">
        <v>50</v>
      </c>
      <c r="K20">
        <v>111.1</v>
      </c>
      <c r="L20" t="s">
        <v>3</v>
      </c>
      <c r="M20" t="s">
        <v>27</v>
      </c>
    </row>
    <row r="21" spans="1:13" x14ac:dyDescent="0.45">
      <c r="A21" t="s">
        <v>2</v>
      </c>
      <c r="B21" t="s">
        <v>144</v>
      </c>
      <c r="C21">
        <v>2035</v>
      </c>
      <c r="D21">
        <v>75</v>
      </c>
      <c r="E21">
        <v>208.71</v>
      </c>
      <c r="F21">
        <v>154.82</v>
      </c>
      <c r="G21">
        <v>291.77999999999997</v>
      </c>
      <c r="H21">
        <v>60.83</v>
      </c>
      <c r="I21">
        <v>2037.12</v>
      </c>
      <c r="J21">
        <v>93.79</v>
      </c>
      <c r="K21">
        <v>206.26</v>
      </c>
      <c r="L21" t="s">
        <v>3</v>
      </c>
      <c r="M21" t="s">
        <v>27</v>
      </c>
    </row>
    <row r="22" spans="1:13" x14ac:dyDescent="0.45">
      <c r="A22" t="s">
        <v>2</v>
      </c>
      <c r="B22" t="s">
        <v>144</v>
      </c>
      <c r="C22">
        <v>2040</v>
      </c>
      <c r="D22">
        <v>86</v>
      </c>
      <c r="E22">
        <v>253.33</v>
      </c>
      <c r="F22">
        <v>172.09</v>
      </c>
      <c r="G22">
        <v>359.35</v>
      </c>
      <c r="H22">
        <v>0</v>
      </c>
      <c r="I22">
        <v>2600</v>
      </c>
      <c r="J22">
        <v>119.07</v>
      </c>
      <c r="K22">
        <v>259.39999999999998</v>
      </c>
      <c r="L22" t="s">
        <v>3</v>
      </c>
      <c r="M22" t="s">
        <v>27</v>
      </c>
    </row>
    <row r="23" spans="1:13" x14ac:dyDescent="0.45">
      <c r="A23" t="s">
        <v>2</v>
      </c>
      <c r="B23" t="s">
        <v>144</v>
      </c>
      <c r="C23">
        <v>2045</v>
      </c>
      <c r="D23">
        <v>75</v>
      </c>
      <c r="E23">
        <v>299.39999999999998</v>
      </c>
      <c r="F23">
        <v>253.87</v>
      </c>
      <c r="G23">
        <v>189.93</v>
      </c>
      <c r="H23">
        <v>103.36</v>
      </c>
      <c r="I23">
        <v>1213.1199999999999</v>
      </c>
      <c r="J23">
        <v>169.48</v>
      </c>
      <c r="K23">
        <v>352.5</v>
      </c>
      <c r="L23" t="s">
        <v>3</v>
      </c>
      <c r="M23" t="s">
        <v>27</v>
      </c>
    </row>
    <row r="24" spans="1:13" x14ac:dyDescent="0.45">
      <c r="A24" t="s">
        <v>2</v>
      </c>
      <c r="B24" t="s">
        <v>144</v>
      </c>
      <c r="C24">
        <v>2050</v>
      </c>
      <c r="D24">
        <v>86</v>
      </c>
      <c r="E24">
        <v>309.14999999999998</v>
      </c>
      <c r="F24">
        <v>285.02999999999997</v>
      </c>
      <c r="G24">
        <v>169.93</v>
      </c>
      <c r="H24">
        <v>0</v>
      </c>
      <c r="I24">
        <v>729.74</v>
      </c>
      <c r="J24">
        <v>195.5</v>
      </c>
      <c r="K24">
        <v>417.87</v>
      </c>
      <c r="L24" t="s">
        <v>3</v>
      </c>
      <c r="M24" t="s">
        <v>27</v>
      </c>
    </row>
    <row r="25" spans="1:13" x14ac:dyDescent="0.45">
      <c r="A25" t="s">
        <v>5</v>
      </c>
      <c r="B25" t="s">
        <v>144</v>
      </c>
      <c r="C25">
        <v>2020</v>
      </c>
      <c r="D25">
        <v>190</v>
      </c>
      <c r="E25">
        <v>9.32</v>
      </c>
      <c r="F25">
        <v>7.71</v>
      </c>
      <c r="G25">
        <v>13.68</v>
      </c>
      <c r="H25">
        <v>0</v>
      </c>
      <c r="I25">
        <v>128.75</v>
      </c>
      <c r="J25">
        <v>0</v>
      </c>
      <c r="K25">
        <v>14.86</v>
      </c>
      <c r="L25" t="s">
        <v>6</v>
      </c>
      <c r="M25" t="s">
        <v>27</v>
      </c>
    </row>
    <row r="26" spans="1:13" x14ac:dyDescent="0.45">
      <c r="A26" t="s">
        <v>5</v>
      </c>
      <c r="B26" t="s">
        <v>144</v>
      </c>
      <c r="C26">
        <v>2025</v>
      </c>
      <c r="D26">
        <v>167</v>
      </c>
      <c r="E26">
        <v>60.83</v>
      </c>
      <c r="F26">
        <v>42.81</v>
      </c>
      <c r="G26">
        <v>55.06</v>
      </c>
      <c r="H26">
        <v>0.05</v>
      </c>
      <c r="I26">
        <v>273</v>
      </c>
      <c r="J26">
        <v>23.68</v>
      </c>
      <c r="K26">
        <v>76.23</v>
      </c>
      <c r="L26" t="s">
        <v>6</v>
      </c>
      <c r="M26" t="s">
        <v>27</v>
      </c>
    </row>
    <row r="27" spans="1:13" x14ac:dyDescent="0.45">
      <c r="A27" t="s">
        <v>5</v>
      </c>
      <c r="B27" t="s">
        <v>144</v>
      </c>
      <c r="C27">
        <v>2030</v>
      </c>
      <c r="D27">
        <v>190</v>
      </c>
      <c r="E27">
        <v>90.32</v>
      </c>
      <c r="F27">
        <v>71.48</v>
      </c>
      <c r="G27">
        <v>69.180000000000007</v>
      </c>
      <c r="H27">
        <v>2.4900000000000002</v>
      </c>
      <c r="I27">
        <v>409.5</v>
      </c>
      <c r="J27">
        <v>50.2</v>
      </c>
      <c r="K27">
        <v>110.96</v>
      </c>
      <c r="L27" t="s">
        <v>6</v>
      </c>
      <c r="M27" t="s">
        <v>27</v>
      </c>
    </row>
    <row r="28" spans="1:13" x14ac:dyDescent="0.45">
      <c r="A28" t="s">
        <v>5</v>
      </c>
      <c r="B28" t="s">
        <v>144</v>
      </c>
      <c r="C28">
        <v>2035</v>
      </c>
      <c r="D28">
        <v>167</v>
      </c>
      <c r="E28">
        <v>130.19999999999999</v>
      </c>
      <c r="F28">
        <v>104.42</v>
      </c>
      <c r="G28">
        <v>98.85</v>
      </c>
      <c r="H28">
        <v>16.87</v>
      </c>
      <c r="I28">
        <v>960.63</v>
      </c>
      <c r="J28">
        <v>72.599999999999994</v>
      </c>
      <c r="K28">
        <v>168.65</v>
      </c>
      <c r="L28" t="s">
        <v>6</v>
      </c>
      <c r="M28" t="s">
        <v>27</v>
      </c>
    </row>
    <row r="29" spans="1:13" x14ac:dyDescent="0.45">
      <c r="A29" t="s">
        <v>5</v>
      </c>
      <c r="B29" t="s">
        <v>144</v>
      </c>
      <c r="C29">
        <v>2040</v>
      </c>
      <c r="D29">
        <v>190</v>
      </c>
      <c r="E29">
        <v>167.07</v>
      </c>
      <c r="F29">
        <v>134.85</v>
      </c>
      <c r="G29">
        <v>118.94</v>
      </c>
      <c r="H29">
        <v>46.91</v>
      </c>
      <c r="I29">
        <v>1226.04</v>
      </c>
      <c r="J29">
        <v>98.66</v>
      </c>
      <c r="K29">
        <v>213.93</v>
      </c>
      <c r="L29" t="s">
        <v>6</v>
      </c>
      <c r="M29" t="s">
        <v>27</v>
      </c>
    </row>
    <row r="30" spans="1:13" x14ac:dyDescent="0.45">
      <c r="A30" t="s">
        <v>5</v>
      </c>
      <c r="B30" t="s">
        <v>144</v>
      </c>
      <c r="C30">
        <v>2045</v>
      </c>
      <c r="D30">
        <v>167</v>
      </c>
      <c r="E30">
        <v>208.52</v>
      </c>
      <c r="F30">
        <v>178.1</v>
      </c>
      <c r="G30">
        <v>150.1</v>
      </c>
      <c r="H30">
        <v>46.46</v>
      </c>
      <c r="I30">
        <v>1564.8</v>
      </c>
      <c r="J30">
        <v>120.71</v>
      </c>
      <c r="K30">
        <v>263.56</v>
      </c>
      <c r="L30" t="s">
        <v>6</v>
      </c>
      <c r="M30" t="s">
        <v>27</v>
      </c>
    </row>
    <row r="31" spans="1:13" x14ac:dyDescent="0.45">
      <c r="A31" t="s">
        <v>5</v>
      </c>
      <c r="B31" t="s">
        <v>144</v>
      </c>
      <c r="C31">
        <v>2050</v>
      </c>
      <c r="D31">
        <v>190</v>
      </c>
      <c r="E31">
        <v>240.94</v>
      </c>
      <c r="F31">
        <v>209.45</v>
      </c>
      <c r="G31">
        <v>124.18</v>
      </c>
      <c r="H31">
        <v>50.14</v>
      </c>
      <c r="I31">
        <v>712.07</v>
      </c>
      <c r="J31">
        <v>147.69999999999999</v>
      </c>
      <c r="K31">
        <v>301.86</v>
      </c>
      <c r="L31" t="s">
        <v>6</v>
      </c>
      <c r="M31" t="s">
        <v>27</v>
      </c>
    </row>
    <row r="32" spans="1:13" x14ac:dyDescent="0.45">
      <c r="A32" t="s">
        <v>7</v>
      </c>
      <c r="B32" t="s">
        <v>144</v>
      </c>
      <c r="C32">
        <v>2020</v>
      </c>
      <c r="D32">
        <v>74</v>
      </c>
      <c r="E32">
        <v>4.3499999999999996</v>
      </c>
      <c r="F32">
        <v>0</v>
      </c>
      <c r="G32">
        <v>7.73</v>
      </c>
      <c r="H32">
        <v>0</v>
      </c>
      <c r="I32">
        <v>24.38</v>
      </c>
      <c r="J32">
        <v>0</v>
      </c>
      <c r="K32">
        <v>7.17</v>
      </c>
      <c r="L32" t="s">
        <v>8</v>
      </c>
      <c r="M32" t="s">
        <v>27</v>
      </c>
    </row>
    <row r="33" spans="1:13" x14ac:dyDescent="0.45">
      <c r="A33" t="s">
        <v>7</v>
      </c>
      <c r="B33" t="s">
        <v>144</v>
      </c>
      <c r="C33">
        <v>2025</v>
      </c>
      <c r="D33">
        <v>68</v>
      </c>
      <c r="E33">
        <v>25.04</v>
      </c>
      <c r="F33">
        <v>22.1</v>
      </c>
      <c r="G33">
        <v>12.97</v>
      </c>
      <c r="H33">
        <v>0</v>
      </c>
      <c r="I33">
        <v>57.11</v>
      </c>
      <c r="J33">
        <v>16.3</v>
      </c>
      <c r="K33">
        <v>31.32</v>
      </c>
      <c r="L33" t="s">
        <v>8</v>
      </c>
      <c r="M33" t="s">
        <v>27</v>
      </c>
    </row>
    <row r="34" spans="1:13" x14ac:dyDescent="0.45">
      <c r="A34" t="s">
        <v>7</v>
      </c>
      <c r="B34" t="s">
        <v>144</v>
      </c>
      <c r="C34">
        <v>2030</v>
      </c>
      <c r="D34">
        <v>74</v>
      </c>
      <c r="E34">
        <v>54.37</v>
      </c>
      <c r="F34">
        <v>43.88</v>
      </c>
      <c r="G34">
        <v>32.69</v>
      </c>
      <c r="H34">
        <v>0</v>
      </c>
      <c r="I34">
        <v>123.26</v>
      </c>
      <c r="J34">
        <v>28.1</v>
      </c>
      <c r="K34">
        <v>76.42</v>
      </c>
      <c r="L34" t="s">
        <v>8</v>
      </c>
      <c r="M34" t="s">
        <v>27</v>
      </c>
    </row>
    <row r="35" spans="1:13" x14ac:dyDescent="0.45">
      <c r="A35" t="s">
        <v>7</v>
      </c>
      <c r="B35" t="s">
        <v>144</v>
      </c>
      <c r="C35">
        <v>2035</v>
      </c>
      <c r="D35">
        <v>68</v>
      </c>
      <c r="E35">
        <v>61.46</v>
      </c>
      <c r="F35">
        <v>52.06</v>
      </c>
      <c r="G35">
        <v>29.59</v>
      </c>
      <c r="H35">
        <v>22.96</v>
      </c>
      <c r="I35">
        <v>148.63999999999999</v>
      </c>
      <c r="J35">
        <v>41.63</v>
      </c>
      <c r="K35">
        <v>77.38</v>
      </c>
      <c r="L35" t="s">
        <v>8</v>
      </c>
      <c r="M35" t="s">
        <v>27</v>
      </c>
    </row>
    <row r="36" spans="1:13" x14ac:dyDescent="0.45">
      <c r="A36" t="s">
        <v>7</v>
      </c>
      <c r="B36" t="s">
        <v>144</v>
      </c>
      <c r="C36">
        <v>2040</v>
      </c>
      <c r="D36">
        <v>74</v>
      </c>
      <c r="E36">
        <v>86.34</v>
      </c>
      <c r="F36">
        <v>75.8</v>
      </c>
      <c r="G36">
        <v>43.25</v>
      </c>
      <c r="H36">
        <v>31.83</v>
      </c>
      <c r="I36">
        <v>281.89</v>
      </c>
      <c r="J36">
        <v>57.1</v>
      </c>
      <c r="K36">
        <v>108.06</v>
      </c>
      <c r="L36" t="s">
        <v>8</v>
      </c>
      <c r="M36" t="s">
        <v>27</v>
      </c>
    </row>
    <row r="37" spans="1:13" x14ac:dyDescent="0.45">
      <c r="A37" t="s">
        <v>7</v>
      </c>
      <c r="B37" t="s">
        <v>144</v>
      </c>
      <c r="C37">
        <v>2045</v>
      </c>
      <c r="D37">
        <v>68</v>
      </c>
      <c r="E37">
        <v>112.08</v>
      </c>
      <c r="F37">
        <v>94.76</v>
      </c>
      <c r="G37">
        <v>56.79</v>
      </c>
      <c r="H37">
        <v>42.44</v>
      </c>
      <c r="I37">
        <v>319.42</v>
      </c>
      <c r="J37">
        <v>72.430000000000007</v>
      </c>
      <c r="K37">
        <v>145.68</v>
      </c>
      <c r="L37" t="s">
        <v>8</v>
      </c>
      <c r="M37" t="s">
        <v>27</v>
      </c>
    </row>
    <row r="38" spans="1:13" x14ac:dyDescent="0.45">
      <c r="A38" t="s">
        <v>7</v>
      </c>
      <c r="B38" t="s">
        <v>144</v>
      </c>
      <c r="C38">
        <v>2050</v>
      </c>
      <c r="D38">
        <v>74</v>
      </c>
      <c r="E38">
        <v>132.24</v>
      </c>
      <c r="F38">
        <v>112.38</v>
      </c>
      <c r="G38">
        <v>60.01</v>
      </c>
      <c r="H38">
        <v>54.16</v>
      </c>
      <c r="I38">
        <v>331.7</v>
      </c>
      <c r="J38">
        <v>92.46</v>
      </c>
      <c r="K38">
        <v>161.43</v>
      </c>
      <c r="L38" t="s">
        <v>8</v>
      </c>
      <c r="M38" t="s">
        <v>27</v>
      </c>
    </row>
    <row r="39" spans="1:13" x14ac:dyDescent="0.45">
      <c r="A39" t="s">
        <v>9</v>
      </c>
      <c r="B39" t="s">
        <v>144</v>
      </c>
      <c r="C39">
        <v>2020</v>
      </c>
      <c r="D39">
        <v>55</v>
      </c>
      <c r="E39">
        <v>4.55</v>
      </c>
      <c r="F39">
        <v>0</v>
      </c>
      <c r="G39">
        <v>7.89</v>
      </c>
      <c r="H39">
        <v>0</v>
      </c>
      <c r="I39">
        <v>30.44</v>
      </c>
      <c r="J39">
        <v>0</v>
      </c>
      <c r="K39">
        <v>8.51</v>
      </c>
      <c r="L39" t="s">
        <v>10</v>
      </c>
      <c r="M39" t="s">
        <v>27</v>
      </c>
    </row>
    <row r="40" spans="1:13" x14ac:dyDescent="0.45">
      <c r="A40" t="s">
        <v>9</v>
      </c>
      <c r="B40" t="s">
        <v>144</v>
      </c>
      <c r="C40">
        <v>2025</v>
      </c>
      <c r="D40">
        <v>50</v>
      </c>
      <c r="E40">
        <v>5.0199999999999996</v>
      </c>
      <c r="F40">
        <v>0</v>
      </c>
      <c r="G40">
        <v>7.98</v>
      </c>
      <c r="H40">
        <v>0</v>
      </c>
      <c r="I40">
        <v>28.37</v>
      </c>
      <c r="J40">
        <v>0</v>
      </c>
      <c r="K40">
        <v>9.64</v>
      </c>
      <c r="L40" t="s">
        <v>10</v>
      </c>
      <c r="M40" t="s">
        <v>27</v>
      </c>
    </row>
    <row r="41" spans="1:13" x14ac:dyDescent="0.45">
      <c r="A41" t="s">
        <v>9</v>
      </c>
      <c r="B41" t="s">
        <v>144</v>
      </c>
      <c r="C41">
        <v>2030</v>
      </c>
      <c r="D41">
        <v>55</v>
      </c>
      <c r="E41">
        <v>8.19</v>
      </c>
      <c r="F41">
        <v>0</v>
      </c>
      <c r="G41">
        <v>16.579999999999998</v>
      </c>
      <c r="H41">
        <v>0</v>
      </c>
      <c r="I41">
        <v>84.88</v>
      </c>
      <c r="J41">
        <v>0</v>
      </c>
      <c r="K41">
        <v>10.58</v>
      </c>
      <c r="L41" t="s">
        <v>10</v>
      </c>
      <c r="M41" t="s">
        <v>27</v>
      </c>
    </row>
    <row r="42" spans="1:13" x14ac:dyDescent="0.45">
      <c r="A42" t="s">
        <v>9</v>
      </c>
      <c r="B42" t="s">
        <v>144</v>
      </c>
      <c r="C42">
        <v>2035</v>
      </c>
      <c r="D42">
        <v>50</v>
      </c>
      <c r="E42">
        <v>4.74</v>
      </c>
      <c r="F42">
        <v>0</v>
      </c>
      <c r="G42">
        <v>7.39</v>
      </c>
      <c r="H42">
        <v>0</v>
      </c>
      <c r="I42">
        <v>25.15</v>
      </c>
      <c r="J42">
        <v>0</v>
      </c>
      <c r="K42">
        <v>9.1</v>
      </c>
      <c r="L42" t="s">
        <v>10</v>
      </c>
      <c r="M42" t="s">
        <v>27</v>
      </c>
    </row>
    <row r="43" spans="1:13" x14ac:dyDescent="0.45">
      <c r="A43" t="s">
        <v>9</v>
      </c>
      <c r="B43" t="s">
        <v>144</v>
      </c>
      <c r="C43">
        <v>2040</v>
      </c>
      <c r="D43">
        <v>55</v>
      </c>
      <c r="E43">
        <v>4.25</v>
      </c>
      <c r="F43">
        <v>0</v>
      </c>
      <c r="G43">
        <v>6.92</v>
      </c>
      <c r="H43">
        <v>0</v>
      </c>
      <c r="I43">
        <v>23.62</v>
      </c>
      <c r="J43">
        <v>0</v>
      </c>
      <c r="K43">
        <v>8.6199999999999992</v>
      </c>
      <c r="L43" t="s">
        <v>10</v>
      </c>
      <c r="M43" t="s">
        <v>27</v>
      </c>
    </row>
    <row r="44" spans="1:13" x14ac:dyDescent="0.45">
      <c r="A44" t="s">
        <v>9</v>
      </c>
      <c r="B44" t="s">
        <v>144</v>
      </c>
      <c r="C44">
        <v>2045</v>
      </c>
      <c r="D44">
        <v>50</v>
      </c>
      <c r="E44">
        <v>4.62</v>
      </c>
      <c r="F44">
        <v>0</v>
      </c>
      <c r="G44">
        <v>6.86</v>
      </c>
      <c r="H44">
        <v>0</v>
      </c>
      <c r="I44">
        <v>22.16</v>
      </c>
      <c r="J44">
        <v>0</v>
      </c>
      <c r="K44">
        <v>8.7799999999999994</v>
      </c>
      <c r="L44" t="s">
        <v>10</v>
      </c>
      <c r="M44" t="s">
        <v>27</v>
      </c>
    </row>
    <row r="45" spans="1:13" x14ac:dyDescent="0.45">
      <c r="A45" t="s">
        <v>9</v>
      </c>
      <c r="B45" t="s">
        <v>144</v>
      </c>
      <c r="C45">
        <v>2050</v>
      </c>
      <c r="D45">
        <v>55</v>
      </c>
      <c r="E45">
        <v>4.18</v>
      </c>
      <c r="F45">
        <v>0</v>
      </c>
      <c r="G45">
        <v>6.55</v>
      </c>
      <c r="H45">
        <v>0</v>
      </c>
      <c r="I45">
        <v>23.71</v>
      </c>
      <c r="J45">
        <v>0</v>
      </c>
      <c r="K45">
        <v>8.48</v>
      </c>
      <c r="L45" t="s">
        <v>10</v>
      </c>
      <c r="M45" t="s">
        <v>27</v>
      </c>
    </row>
    <row r="46" spans="1:13" x14ac:dyDescent="0.45">
      <c r="A46" t="s">
        <v>0</v>
      </c>
      <c r="B46" t="s">
        <v>144</v>
      </c>
      <c r="C46">
        <v>2020</v>
      </c>
      <c r="D46">
        <v>63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45">
      <c r="A47" t="s">
        <v>0</v>
      </c>
      <c r="B47" t="s">
        <v>144</v>
      </c>
      <c r="C47">
        <v>2025</v>
      </c>
      <c r="D47">
        <v>63</v>
      </c>
      <c r="E47">
        <v>1.04</v>
      </c>
      <c r="F47">
        <v>1.03</v>
      </c>
      <c r="G47">
        <v>0.06</v>
      </c>
      <c r="H47">
        <v>0.94</v>
      </c>
      <c r="I47">
        <v>1.28</v>
      </c>
      <c r="J47">
        <v>1.02</v>
      </c>
      <c r="K47">
        <v>1.07</v>
      </c>
      <c r="L47" t="s">
        <v>1</v>
      </c>
      <c r="M47" t="s">
        <v>11</v>
      </c>
    </row>
    <row r="48" spans="1:13" x14ac:dyDescent="0.45">
      <c r="A48" t="s">
        <v>0</v>
      </c>
      <c r="B48" t="s">
        <v>144</v>
      </c>
      <c r="C48">
        <v>2030</v>
      </c>
      <c r="D48">
        <v>63</v>
      </c>
      <c r="E48">
        <v>1.19</v>
      </c>
      <c r="F48">
        <v>1.19</v>
      </c>
      <c r="G48">
        <v>0.12</v>
      </c>
      <c r="H48">
        <v>1</v>
      </c>
      <c r="I48">
        <v>1.72</v>
      </c>
      <c r="J48">
        <v>1.1499999999999999</v>
      </c>
      <c r="K48">
        <v>1.21</v>
      </c>
      <c r="L48" t="s">
        <v>1</v>
      </c>
      <c r="M48" t="s">
        <v>11</v>
      </c>
    </row>
    <row r="49" spans="1:13" x14ac:dyDescent="0.45">
      <c r="A49" t="s">
        <v>0</v>
      </c>
      <c r="B49" t="s">
        <v>144</v>
      </c>
      <c r="C49">
        <v>2035</v>
      </c>
      <c r="D49">
        <v>63</v>
      </c>
      <c r="E49">
        <v>1.41</v>
      </c>
      <c r="F49">
        <v>1.43</v>
      </c>
      <c r="G49">
        <v>0.17</v>
      </c>
      <c r="H49">
        <v>1.0900000000000001</v>
      </c>
      <c r="I49">
        <v>1.97</v>
      </c>
      <c r="J49">
        <v>1.33</v>
      </c>
      <c r="K49">
        <v>1.5</v>
      </c>
      <c r="L49" t="s">
        <v>1</v>
      </c>
      <c r="M49" t="s">
        <v>11</v>
      </c>
    </row>
    <row r="50" spans="1:13" x14ac:dyDescent="0.45">
      <c r="A50" t="s">
        <v>0</v>
      </c>
      <c r="B50" t="s">
        <v>144</v>
      </c>
      <c r="C50">
        <v>2040</v>
      </c>
      <c r="D50">
        <v>63</v>
      </c>
      <c r="E50">
        <v>1.62</v>
      </c>
      <c r="F50">
        <v>1.65</v>
      </c>
      <c r="G50">
        <v>0.22</v>
      </c>
      <c r="H50">
        <v>1.02</v>
      </c>
      <c r="I50">
        <v>2.09</v>
      </c>
      <c r="J50">
        <v>1.53</v>
      </c>
      <c r="K50">
        <v>1.75</v>
      </c>
      <c r="L50" t="s">
        <v>1</v>
      </c>
      <c r="M50" t="s">
        <v>11</v>
      </c>
    </row>
    <row r="51" spans="1:13" x14ac:dyDescent="0.45">
      <c r="A51" t="s">
        <v>0</v>
      </c>
      <c r="B51" t="s">
        <v>144</v>
      </c>
      <c r="C51">
        <v>2045</v>
      </c>
      <c r="D51">
        <v>63</v>
      </c>
      <c r="E51">
        <v>1.79</v>
      </c>
      <c r="F51">
        <v>1.81</v>
      </c>
      <c r="G51">
        <v>0.28000000000000003</v>
      </c>
      <c r="H51">
        <v>1.1200000000000001</v>
      </c>
      <c r="I51">
        <v>2.31</v>
      </c>
      <c r="J51">
        <v>1.63</v>
      </c>
      <c r="K51">
        <v>1.99</v>
      </c>
      <c r="L51" t="s">
        <v>1</v>
      </c>
      <c r="M51" t="s">
        <v>11</v>
      </c>
    </row>
    <row r="52" spans="1:13" x14ac:dyDescent="0.45">
      <c r="A52" t="s">
        <v>0</v>
      </c>
      <c r="B52" t="s">
        <v>144</v>
      </c>
      <c r="C52">
        <v>2050</v>
      </c>
      <c r="D52">
        <v>63</v>
      </c>
      <c r="E52">
        <v>1.92</v>
      </c>
      <c r="F52">
        <v>1.93</v>
      </c>
      <c r="G52">
        <v>0.31</v>
      </c>
      <c r="H52">
        <v>1.24</v>
      </c>
      <c r="I52">
        <v>2.54</v>
      </c>
      <c r="J52">
        <v>1.7</v>
      </c>
      <c r="K52">
        <v>2.14</v>
      </c>
      <c r="L52" t="s">
        <v>1</v>
      </c>
      <c r="M52" t="s">
        <v>11</v>
      </c>
    </row>
    <row r="53" spans="1:13" x14ac:dyDescent="0.45">
      <c r="A53" t="s">
        <v>2</v>
      </c>
      <c r="B53" t="s">
        <v>144</v>
      </c>
      <c r="C53">
        <v>2020</v>
      </c>
      <c r="D53">
        <v>100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45">
      <c r="A54" t="s">
        <v>2</v>
      </c>
      <c r="B54" t="s">
        <v>144</v>
      </c>
      <c r="C54">
        <v>2025</v>
      </c>
      <c r="D54">
        <v>89</v>
      </c>
      <c r="E54">
        <v>1.06</v>
      </c>
      <c r="F54">
        <v>1.05</v>
      </c>
      <c r="G54">
        <v>0.05</v>
      </c>
      <c r="H54">
        <v>0.99</v>
      </c>
      <c r="I54">
        <v>1.41</v>
      </c>
      <c r="J54">
        <v>1.03</v>
      </c>
      <c r="K54">
        <v>1.08</v>
      </c>
      <c r="L54" t="s">
        <v>3</v>
      </c>
      <c r="M54" t="s">
        <v>11</v>
      </c>
    </row>
    <row r="55" spans="1:13" x14ac:dyDescent="0.45">
      <c r="A55" t="s">
        <v>2</v>
      </c>
      <c r="B55" t="s">
        <v>144</v>
      </c>
      <c r="C55">
        <v>2030</v>
      </c>
      <c r="D55">
        <v>100</v>
      </c>
      <c r="E55">
        <v>1.2</v>
      </c>
      <c r="F55">
        <v>1.18</v>
      </c>
      <c r="G55">
        <v>0.12</v>
      </c>
      <c r="H55">
        <v>1.03</v>
      </c>
      <c r="I55">
        <v>1.61</v>
      </c>
      <c r="J55">
        <v>1.1399999999999999</v>
      </c>
      <c r="K55">
        <v>1.24</v>
      </c>
      <c r="L55" t="s">
        <v>3</v>
      </c>
      <c r="M55" t="s">
        <v>11</v>
      </c>
    </row>
    <row r="56" spans="1:13" x14ac:dyDescent="0.45">
      <c r="A56" t="s">
        <v>2</v>
      </c>
      <c r="B56" t="s">
        <v>144</v>
      </c>
      <c r="C56">
        <v>2035</v>
      </c>
      <c r="D56">
        <v>89</v>
      </c>
      <c r="E56">
        <v>1.32</v>
      </c>
      <c r="F56">
        <v>1.32</v>
      </c>
      <c r="G56">
        <v>0.13</v>
      </c>
      <c r="H56">
        <v>1.03</v>
      </c>
      <c r="I56">
        <v>1.87</v>
      </c>
      <c r="J56">
        <v>1.26</v>
      </c>
      <c r="K56">
        <v>1.37</v>
      </c>
      <c r="L56" t="s">
        <v>3</v>
      </c>
      <c r="M56" t="s">
        <v>11</v>
      </c>
    </row>
    <row r="57" spans="1:13" x14ac:dyDescent="0.45">
      <c r="A57" t="s">
        <v>2</v>
      </c>
      <c r="B57" t="s">
        <v>144</v>
      </c>
      <c r="C57">
        <v>2040</v>
      </c>
      <c r="D57">
        <v>100</v>
      </c>
      <c r="E57">
        <v>1.56</v>
      </c>
      <c r="F57">
        <v>1.54</v>
      </c>
      <c r="G57">
        <v>0.22</v>
      </c>
      <c r="H57">
        <v>1.07</v>
      </c>
      <c r="I57">
        <v>2.1800000000000002</v>
      </c>
      <c r="J57">
        <v>1.42</v>
      </c>
      <c r="K57">
        <v>1.65</v>
      </c>
      <c r="L57" t="s">
        <v>3</v>
      </c>
      <c r="M57" t="s">
        <v>11</v>
      </c>
    </row>
    <row r="58" spans="1:13" x14ac:dyDescent="0.45">
      <c r="A58" t="s">
        <v>2</v>
      </c>
      <c r="B58" t="s">
        <v>144</v>
      </c>
      <c r="C58">
        <v>2045</v>
      </c>
      <c r="D58">
        <v>89</v>
      </c>
      <c r="E58">
        <v>1.68</v>
      </c>
      <c r="F58">
        <v>1.64</v>
      </c>
      <c r="G58">
        <v>0.24</v>
      </c>
      <c r="H58">
        <v>1.1000000000000001</v>
      </c>
      <c r="I58">
        <v>2.4500000000000002</v>
      </c>
      <c r="J58">
        <v>1.52</v>
      </c>
      <c r="K58">
        <v>1.88</v>
      </c>
      <c r="L58" t="s">
        <v>3</v>
      </c>
      <c r="M58" t="s">
        <v>11</v>
      </c>
    </row>
    <row r="59" spans="1:13" x14ac:dyDescent="0.45">
      <c r="A59" t="s">
        <v>2</v>
      </c>
      <c r="B59" t="s">
        <v>144</v>
      </c>
      <c r="C59">
        <v>2050</v>
      </c>
      <c r="D59">
        <v>100</v>
      </c>
      <c r="E59">
        <v>1.9</v>
      </c>
      <c r="F59">
        <v>1.92</v>
      </c>
      <c r="G59">
        <v>0.35</v>
      </c>
      <c r="H59">
        <v>1.1299999999999999</v>
      </c>
      <c r="I59">
        <v>2.66</v>
      </c>
      <c r="J59">
        <v>1.66</v>
      </c>
      <c r="K59">
        <v>2.11</v>
      </c>
      <c r="L59" t="s">
        <v>3</v>
      </c>
      <c r="M59" t="s">
        <v>11</v>
      </c>
    </row>
    <row r="60" spans="1:13" x14ac:dyDescent="0.45">
      <c r="A60" t="s">
        <v>5</v>
      </c>
      <c r="B60" t="s">
        <v>144</v>
      </c>
      <c r="C60">
        <v>2020</v>
      </c>
      <c r="D60">
        <v>219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45">
      <c r="A61" t="s">
        <v>5</v>
      </c>
      <c r="B61" t="s">
        <v>144</v>
      </c>
      <c r="C61">
        <v>2025</v>
      </c>
      <c r="D61">
        <v>196</v>
      </c>
      <c r="E61">
        <v>1.05</v>
      </c>
      <c r="F61">
        <v>1.05</v>
      </c>
      <c r="G61">
        <v>0.04</v>
      </c>
      <c r="H61">
        <v>0.95</v>
      </c>
      <c r="I61">
        <v>1.19</v>
      </c>
      <c r="J61">
        <v>1.03</v>
      </c>
      <c r="K61">
        <v>1.07</v>
      </c>
      <c r="L61" t="s">
        <v>6</v>
      </c>
      <c r="M61" t="s">
        <v>11</v>
      </c>
    </row>
    <row r="62" spans="1:13" x14ac:dyDescent="0.45">
      <c r="A62" t="s">
        <v>5</v>
      </c>
      <c r="B62" t="s">
        <v>144</v>
      </c>
      <c r="C62">
        <v>2030</v>
      </c>
      <c r="D62">
        <v>219</v>
      </c>
      <c r="E62">
        <v>1.1499999999999999</v>
      </c>
      <c r="F62">
        <v>1.17</v>
      </c>
      <c r="G62">
        <v>7.0000000000000007E-2</v>
      </c>
      <c r="H62">
        <v>0.95</v>
      </c>
      <c r="I62">
        <v>1.44</v>
      </c>
      <c r="J62">
        <v>1.1100000000000001</v>
      </c>
      <c r="K62">
        <v>1.19</v>
      </c>
      <c r="L62" t="s">
        <v>6</v>
      </c>
      <c r="M62" t="s">
        <v>11</v>
      </c>
    </row>
    <row r="63" spans="1:13" x14ac:dyDescent="0.45">
      <c r="A63" t="s">
        <v>5</v>
      </c>
      <c r="B63" t="s">
        <v>144</v>
      </c>
      <c r="C63">
        <v>2035</v>
      </c>
      <c r="D63">
        <v>196</v>
      </c>
      <c r="E63">
        <v>1.32</v>
      </c>
      <c r="F63">
        <v>1.32</v>
      </c>
      <c r="G63">
        <v>0.14000000000000001</v>
      </c>
      <c r="H63">
        <v>0.93</v>
      </c>
      <c r="I63">
        <v>1.8</v>
      </c>
      <c r="J63">
        <v>1.23</v>
      </c>
      <c r="K63">
        <v>1.4</v>
      </c>
      <c r="L63" t="s">
        <v>6</v>
      </c>
      <c r="M63" t="s">
        <v>11</v>
      </c>
    </row>
    <row r="64" spans="1:13" x14ac:dyDescent="0.45">
      <c r="A64" t="s">
        <v>5</v>
      </c>
      <c r="B64" t="s">
        <v>144</v>
      </c>
      <c r="C64">
        <v>2040</v>
      </c>
      <c r="D64">
        <v>219</v>
      </c>
      <c r="E64">
        <v>1.47</v>
      </c>
      <c r="F64">
        <v>1.5</v>
      </c>
      <c r="G64">
        <v>0.2</v>
      </c>
      <c r="H64">
        <v>0.97</v>
      </c>
      <c r="I64">
        <v>1.9</v>
      </c>
      <c r="J64">
        <v>1.36</v>
      </c>
      <c r="K64">
        <v>1.61</v>
      </c>
      <c r="L64" t="s">
        <v>6</v>
      </c>
      <c r="M64" t="s">
        <v>11</v>
      </c>
    </row>
    <row r="65" spans="1:13" x14ac:dyDescent="0.45">
      <c r="A65" t="s">
        <v>5</v>
      </c>
      <c r="B65" t="s">
        <v>144</v>
      </c>
      <c r="C65">
        <v>2045</v>
      </c>
      <c r="D65">
        <v>196</v>
      </c>
      <c r="E65">
        <v>1.69</v>
      </c>
      <c r="F65">
        <v>1.68</v>
      </c>
      <c r="G65">
        <v>0.25</v>
      </c>
      <c r="H65">
        <v>1.04</v>
      </c>
      <c r="I65">
        <v>2.17</v>
      </c>
      <c r="J65">
        <v>1.51</v>
      </c>
      <c r="K65">
        <v>1.84</v>
      </c>
      <c r="L65" t="s">
        <v>6</v>
      </c>
      <c r="M65" t="s">
        <v>11</v>
      </c>
    </row>
    <row r="66" spans="1:13" x14ac:dyDescent="0.45">
      <c r="A66" t="s">
        <v>5</v>
      </c>
      <c r="B66" t="s">
        <v>144</v>
      </c>
      <c r="C66">
        <v>2050</v>
      </c>
      <c r="D66">
        <v>219</v>
      </c>
      <c r="E66">
        <v>1.82</v>
      </c>
      <c r="F66">
        <v>1.81</v>
      </c>
      <c r="G66">
        <v>0.3</v>
      </c>
      <c r="H66">
        <v>1.1399999999999999</v>
      </c>
      <c r="I66">
        <v>2.73</v>
      </c>
      <c r="J66">
        <v>1.6</v>
      </c>
      <c r="K66">
        <v>2.0099999999999998</v>
      </c>
      <c r="L66" t="s">
        <v>6</v>
      </c>
      <c r="M66" t="s">
        <v>11</v>
      </c>
    </row>
    <row r="67" spans="1:13" x14ac:dyDescent="0.45">
      <c r="A67" t="s">
        <v>7</v>
      </c>
      <c r="B67" t="s">
        <v>144</v>
      </c>
      <c r="C67">
        <v>2020</v>
      </c>
      <c r="D67">
        <v>102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45">
      <c r="A68" t="s">
        <v>7</v>
      </c>
      <c r="B68" t="s">
        <v>144</v>
      </c>
      <c r="C68">
        <v>2025</v>
      </c>
      <c r="D68">
        <v>96</v>
      </c>
      <c r="E68">
        <v>1.06</v>
      </c>
      <c r="F68">
        <v>1.05</v>
      </c>
      <c r="G68">
        <v>0.05</v>
      </c>
      <c r="H68">
        <v>0.99</v>
      </c>
      <c r="I68">
        <v>1.24</v>
      </c>
      <c r="J68">
        <v>1.02</v>
      </c>
      <c r="K68">
        <v>1.08</v>
      </c>
      <c r="L68" t="s">
        <v>8</v>
      </c>
      <c r="M68" t="s">
        <v>11</v>
      </c>
    </row>
    <row r="69" spans="1:13" x14ac:dyDescent="0.45">
      <c r="A69" t="s">
        <v>7</v>
      </c>
      <c r="B69" t="s">
        <v>144</v>
      </c>
      <c r="C69">
        <v>2030</v>
      </c>
      <c r="D69">
        <v>102</v>
      </c>
      <c r="E69">
        <v>1.1399999999999999</v>
      </c>
      <c r="F69">
        <v>1.17</v>
      </c>
      <c r="G69">
        <v>0.08</v>
      </c>
      <c r="H69">
        <v>1.02</v>
      </c>
      <c r="I69">
        <v>1.37</v>
      </c>
      <c r="J69">
        <v>1.05</v>
      </c>
      <c r="K69">
        <v>1.19</v>
      </c>
      <c r="L69" t="s">
        <v>8</v>
      </c>
      <c r="M69" t="s">
        <v>11</v>
      </c>
    </row>
    <row r="70" spans="1:13" x14ac:dyDescent="0.45">
      <c r="A70" t="s">
        <v>7</v>
      </c>
      <c r="B70" t="s">
        <v>144</v>
      </c>
      <c r="C70">
        <v>2035</v>
      </c>
      <c r="D70">
        <v>96</v>
      </c>
      <c r="E70">
        <v>1.26</v>
      </c>
      <c r="F70">
        <v>1.29</v>
      </c>
      <c r="G70">
        <v>0.14000000000000001</v>
      </c>
      <c r="H70">
        <v>0.96</v>
      </c>
      <c r="I70">
        <v>1.54</v>
      </c>
      <c r="J70">
        <v>1.1399999999999999</v>
      </c>
      <c r="K70">
        <v>1.35</v>
      </c>
      <c r="L70" t="s">
        <v>8</v>
      </c>
      <c r="M70" t="s">
        <v>11</v>
      </c>
    </row>
    <row r="71" spans="1:13" x14ac:dyDescent="0.45">
      <c r="A71" t="s">
        <v>7</v>
      </c>
      <c r="B71" t="s">
        <v>144</v>
      </c>
      <c r="C71">
        <v>2040</v>
      </c>
      <c r="D71">
        <v>102</v>
      </c>
      <c r="E71">
        <v>1.39</v>
      </c>
      <c r="F71">
        <v>1.42</v>
      </c>
      <c r="G71">
        <v>0.2</v>
      </c>
      <c r="H71">
        <v>0.97</v>
      </c>
      <c r="I71">
        <v>1.75</v>
      </c>
      <c r="J71">
        <v>1.24</v>
      </c>
      <c r="K71">
        <v>1.51</v>
      </c>
      <c r="L71" t="s">
        <v>8</v>
      </c>
      <c r="M71" t="s">
        <v>11</v>
      </c>
    </row>
    <row r="72" spans="1:13" x14ac:dyDescent="0.45">
      <c r="A72" t="s">
        <v>7</v>
      </c>
      <c r="B72" t="s">
        <v>144</v>
      </c>
      <c r="C72">
        <v>2045</v>
      </c>
      <c r="D72">
        <v>96</v>
      </c>
      <c r="E72">
        <v>1.57</v>
      </c>
      <c r="F72">
        <v>1.59</v>
      </c>
      <c r="G72">
        <v>0.27</v>
      </c>
      <c r="H72">
        <v>1.01</v>
      </c>
      <c r="I72">
        <v>2.0699999999999998</v>
      </c>
      <c r="J72">
        <v>1.43</v>
      </c>
      <c r="K72">
        <v>1.68</v>
      </c>
      <c r="L72" t="s">
        <v>8</v>
      </c>
      <c r="M72" t="s">
        <v>11</v>
      </c>
    </row>
    <row r="73" spans="1:13" x14ac:dyDescent="0.45">
      <c r="A73" t="s">
        <v>7</v>
      </c>
      <c r="B73" t="s">
        <v>144</v>
      </c>
      <c r="C73">
        <v>2050</v>
      </c>
      <c r="D73">
        <v>102</v>
      </c>
      <c r="E73">
        <v>1.72</v>
      </c>
      <c r="F73">
        <v>1.73</v>
      </c>
      <c r="G73">
        <v>0.33</v>
      </c>
      <c r="H73">
        <v>1.07</v>
      </c>
      <c r="I73">
        <v>2.6</v>
      </c>
      <c r="J73">
        <v>1.54</v>
      </c>
      <c r="K73">
        <v>1.95</v>
      </c>
      <c r="L73" t="s">
        <v>8</v>
      </c>
      <c r="M73" t="s">
        <v>11</v>
      </c>
    </row>
    <row r="74" spans="1:13" x14ac:dyDescent="0.45">
      <c r="A74" t="s">
        <v>9</v>
      </c>
      <c r="B74" t="s">
        <v>144</v>
      </c>
      <c r="C74">
        <v>2020</v>
      </c>
      <c r="D74">
        <v>61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45">
      <c r="A75" t="s">
        <v>9</v>
      </c>
      <c r="B75" t="s">
        <v>144</v>
      </c>
      <c r="C75">
        <v>2025</v>
      </c>
      <c r="D75">
        <v>56</v>
      </c>
      <c r="E75">
        <v>1.08</v>
      </c>
      <c r="F75">
        <v>1.07</v>
      </c>
      <c r="G75">
        <v>0.08</v>
      </c>
      <c r="H75">
        <v>0.99</v>
      </c>
      <c r="I75">
        <v>1.6</v>
      </c>
      <c r="J75">
        <v>1.06</v>
      </c>
      <c r="K75">
        <v>1.1000000000000001</v>
      </c>
      <c r="L75" t="s">
        <v>10</v>
      </c>
      <c r="M75" t="s">
        <v>11</v>
      </c>
    </row>
    <row r="76" spans="1:13" x14ac:dyDescent="0.45">
      <c r="A76" t="s">
        <v>9</v>
      </c>
      <c r="B76" t="s">
        <v>144</v>
      </c>
      <c r="C76">
        <v>2030</v>
      </c>
      <c r="D76">
        <v>61</v>
      </c>
      <c r="E76">
        <v>1.1599999999999999</v>
      </c>
      <c r="F76">
        <v>1.1599999999999999</v>
      </c>
      <c r="G76">
        <v>0.09</v>
      </c>
      <c r="H76">
        <v>1.02</v>
      </c>
      <c r="I76">
        <v>1.58</v>
      </c>
      <c r="J76">
        <v>1.0900000000000001</v>
      </c>
      <c r="K76">
        <v>1.2</v>
      </c>
      <c r="L76" t="s">
        <v>10</v>
      </c>
      <c r="M76" t="s">
        <v>11</v>
      </c>
    </row>
    <row r="77" spans="1:13" x14ac:dyDescent="0.45">
      <c r="A77" t="s">
        <v>9</v>
      </c>
      <c r="B77" t="s">
        <v>144</v>
      </c>
      <c r="C77">
        <v>2035</v>
      </c>
      <c r="D77">
        <v>56</v>
      </c>
      <c r="E77">
        <v>1.25</v>
      </c>
      <c r="F77">
        <v>1.25</v>
      </c>
      <c r="G77">
        <v>0.11</v>
      </c>
      <c r="H77">
        <v>1.02</v>
      </c>
      <c r="I77">
        <v>1.5</v>
      </c>
      <c r="J77">
        <v>1.17</v>
      </c>
      <c r="K77">
        <v>1.33</v>
      </c>
      <c r="L77" t="s">
        <v>10</v>
      </c>
      <c r="M77" t="s">
        <v>11</v>
      </c>
    </row>
    <row r="78" spans="1:13" x14ac:dyDescent="0.45">
      <c r="A78" t="s">
        <v>9</v>
      </c>
      <c r="B78" t="s">
        <v>144</v>
      </c>
      <c r="C78">
        <v>2040</v>
      </c>
      <c r="D78">
        <v>61</v>
      </c>
      <c r="E78">
        <v>1.33</v>
      </c>
      <c r="F78">
        <v>1.3</v>
      </c>
      <c r="G78">
        <v>0.14000000000000001</v>
      </c>
      <c r="H78">
        <v>1.02</v>
      </c>
      <c r="I78">
        <v>1.72</v>
      </c>
      <c r="J78">
        <v>1.22</v>
      </c>
      <c r="K78">
        <v>1.44</v>
      </c>
      <c r="L78" t="s">
        <v>10</v>
      </c>
      <c r="M78" t="s">
        <v>11</v>
      </c>
    </row>
    <row r="79" spans="1:13" x14ac:dyDescent="0.45">
      <c r="A79" t="s">
        <v>9</v>
      </c>
      <c r="B79" t="s">
        <v>144</v>
      </c>
      <c r="C79">
        <v>2045</v>
      </c>
      <c r="D79">
        <v>56</v>
      </c>
      <c r="E79">
        <v>1.44</v>
      </c>
      <c r="F79">
        <v>1.41</v>
      </c>
      <c r="G79">
        <v>0.19</v>
      </c>
      <c r="H79">
        <v>1.03</v>
      </c>
      <c r="I79">
        <v>2.0299999999999998</v>
      </c>
      <c r="J79">
        <v>1.32</v>
      </c>
      <c r="K79">
        <v>1.56</v>
      </c>
      <c r="L79" t="s">
        <v>10</v>
      </c>
      <c r="M79" t="s">
        <v>11</v>
      </c>
    </row>
    <row r="80" spans="1:13" x14ac:dyDescent="0.45">
      <c r="A80" t="s">
        <v>9</v>
      </c>
      <c r="B80" t="s">
        <v>144</v>
      </c>
      <c r="C80">
        <v>2050</v>
      </c>
      <c r="D80">
        <v>61</v>
      </c>
      <c r="E80">
        <v>1.51</v>
      </c>
      <c r="F80">
        <v>1.48</v>
      </c>
      <c r="G80">
        <v>0.24</v>
      </c>
      <c r="H80">
        <v>1.04</v>
      </c>
      <c r="I80">
        <v>2.54</v>
      </c>
      <c r="J80">
        <v>1.36</v>
      </c>
      <c r="K80">
        <v>1.63</v>
      </c>
      <c r="L80" t="s">
        <v>10</v>
      </c>
      <c r="M80" t="s">
        <v>11</v>
      </c>
    </row>
    <row r="81" spans="1:13" x14ac:dyDescent="0.45">
      <c r="A81" t="s">
        <v>0</v>
      </c>
      <c r="B81" t="s">
        <v>144</v>
      </c>
      <c r="C81">
        <v>2020</v>
      </c>
      <c r="D81">
        <v>60</v>
      </c>
      <c r="E81">
        <v>0</v>
      </c>
      <c r="F81">
        <v>0.01</v>
      </c>
      <c r="G81">
        <v>0</v>
      </c>
      <c r="H81">
        <v>0</v>
      </c>
      <c r="I81">
        <v>0.01</v>
      </c>
      <c r="J81">
        <v>0</v>
      </c>
      <c r="K81">
        <v>0.01</v>
      </c>
      <c r="L81" t="s">
        <v>1</v>
      </c>
      <c r="M81" t="s">
        <v>15</v>
      </c>
    </row>
    <row r="82" spans="1:13" x14ac:dyDescent="0.45">
      <c r="A82" t="s">
        <v>0</v>
      </c>
      <c r="B82" t="s">
        <v>144</v>
      </c>
      <c r="C82">
        <v>2025</v>
      </c>
      <c r="D82">
        <v>60</v>
      </c>
      <c r="E82">
        <v>0.01</v>
      </c>
      <c r="F82">
        <v>0.01</v>
      </c>
      <c r="G82">
        <v>0.01</v>
      </c>
      <c r="H82">
        <v>0</v>
      </c>
      <c r="I82">
        <v>0.04</v>
      </c>
      <c r="J82">
        <v>0</v>
      </c>
      <c r="K82">
        <v>0.01</v>
      </c>
      <c r="L82" t="s">
        <v>1</v>
      </c>
      <c r="M82" t="s">
        <v>15</v>
      </c>
    </row>
    <row r="83" spans="1:13" x14ac:dyDescent="0.45">
      <c r="A83" t="s">
        <v>0</v>
      </c>
      <c r="B83" t="s">
        <v>144</v>
      </c>
      <c r="C83">
        <v>2030</v>
      </c>
      <c r="D83">
        <v>60</v>
      </c>
      <c r="E83">
        <v>0.02</v>
      </c>
      <c r="F83">
        <v>0.01</v>
      </c>
      <c r="G83">
        <v>0.03</v>
      </c>
      <c r="H83">
        <v>0</v>
      </c>
      <c r="I83">
        <v>0.16</v>
      </c>
      <c r="J83">
        <v>0</v>
      </c>
      <c r="K83">
        <v>0.02</v>
      </c>
      <c r="L83" t="s">
        <v>1</v>
      </c>
      <c r="M83" t="s">
        <v>15</v>
      </c>
    </row>
    <row r="84" spans="1:13" x14ac:dyDescent="0.45">
      <c r="A84" t="s">
        <v>0</v>
      </c>
      <c r="B84" t="s">
        <v>144</v>
      </c>
      <c r="C84">
        <v>2035</v>
      </c>
      <c r="D84">
        <v>60</v>
      </c>
      <c r="E84">
        <v>0.03</v>
      </c>
      <c r="F84">
        <v>0.03</v>
      </c>
      <c r="G84">
        <v>0.03</v>
      </c>
      <c r="H84">
        <v>0</v>
      </c>
      <c r="I84">
        <v>0.16</v>
      </c>
      <c r="J84">
        <v>0.01</v>
      </c>
      <c r="K84">
        <v>0.04</v>
      </c>
      <c r="L84" t="s">
        <v>1</v>
      </c>
      <c r="M84" t="s">
        <v>15</v>
      </c>
    </row>
    <row r="85" spans="1:13" x14ac:dyDescent="0.45">
      <c r="A85" t="s">
        <v>0</v>
      </c>
      <c r="B85" t="s">
        <v>144</v>
      </c>
      <c r="C85">
        <v>2040</v>
      </c>
      <c r="D85">
        <v>60</v>
      </c>
      <c r="E85">
        <v>0.04</v>
      </c>
      <c r="F85">
        <v>0.03</v>
      </c>
      <c r="G85">
        <v>0.04</v>
      </c>
      <c r="H85">
        <v>0</v>
      </c>
      <c r="I85">
        <v>0.15</v>
      </c>
      <c r="J85">
        <v>0.01</v>
      </c>
      <c r="K85">
        <v>0.06</v>
      </c>
      <c r="L85" t="s">
        <v>1</v>
      </c>
      <c r="M85" t="s">
        <v>15</v>
      </c>
    </row>
    <row r="86" spans="1:13" x14ac:dyDescent="0.45">
      <c r="A86" t="s">
        <v>0</v>
      </c>
      <c r="B86" t="s">
        <v>144</v>
      </c>
      <c r="C86">
        <v>2045</v>
      </c>
      <c r="D86">
        <v>60</v>
      </c>
      <c r="E86">
        <v>0.05</v>
      </c>
      <c r="F86">
        <v>0.04</v>
      </c>
      <c r="G86">
        <v>0.04</v>
      </c>
      <c r="H86">
        <v>0</v>
      </c>
      <c r="I86">
        <v>0.15</v>
      </c>
      <c r="J86">
        <v>0.02</v>
      </c>
      <c r="K86">
        <v>7.0000000000000007E-2</v>
      </c>
      <c r="L86" t="s">
        <v>1</v>
      </c>
      <c r="M86" t="s">
        <v>15</v>
      </c>
    </row>
    <row r="87" spans="1:13" x14ac:dyDescent="0.45">
      <c r="A87" t="s">
        <v>0</v>
      </c>
      <c r="B87" t="s">
        <v>144</v>
      </c>
      <c r="C87">
        <v>2050</v>
      </c>
      <c r="D87">
        <v>60</v>
      </c>
      <c r="E87">
        <v>0.06</v>
      </c>
      <c r="F87">
        <v>0.05</v>
      </c>
      <c r="G87">
        <v>0.04</v>
      </c>
      <c r="H87">
        <v>0</v>
      </c>
      <c r="I87">
        <v>0.13</v>
      </c>
      <c r="J87">
        <v>0.03</v>
      </c>
      <c r="K87">
        <v>7.0000000000000007E-2</v>
      </c>
      <c r="L87" t="s">
        <v>1</v>
      </c>
      <c r="M87" t="s">
        <v>15</v>
      </c>
    </row>
    <row r="88" spans="1:13" x14ac:dyDescent="0.45">
      <c r="A88" t="s">
        <v>2</v>
      </c>
      <c r="B88" t="s">
        <v>144</v>
      </c>
      <c r="C88">
        <v>2020</v>
      </c>
      <c r="D88">
        <v>93</v>
      </c>
      <c r="E88">
        <v>0</v>
      </c>
      <c r="F88">
        <v>0</v>
      </c>
      <c r="G88">
        <v>0</v>
      </c>
      <c r="H88">
        <v>0</v>
      </c>
      <c r="I88">
        <v>0.01</v>
      </c>
      <c r="J88">
        <v>0</v>
      </c>
      <c r="K88">
        <v>0</v>
      </c>
      <c r="L88" t="s">
        <v>3</v>
      </c>
      <c r="M88" t="s">
        <v>15</v>
      </c>
    </row>
    <row r="89" spans="1:13" x14ac:dyDescent="0.45">
      <c r="A89" t="s">
        <v>2</v>
      </c>
      <c r="B89" t="s">
        <v>144</v>
      </c>
      <c r="C89">
        <v>2025</v>
      </c>
      <c r="D89">
        <v>82</v>
      </c>
      <c r="E89">
        <v>0</v>
      </c>
      <c r="F89">
        <v>0</v>
      </c>
      <c r="G89">
        <v>0.01</v>
      </c>
      <c r="H89">
        <v>0</v>
      </c>
      <c r="I89">
        <v>0.03</v>
      </c>
      <c r="J89">
        <v>0</v>
      </c>
      <c r="K89">
        <v>0.01</v>
      </c>
      <c r="L89" t="s">
        <v>3</v>
      </c>
      <c r="M89" t="s">
        <v>15</v>
      </c>
    </row>
    <row r="90" spans="1:13" x14ac:dyDescent="0.45">
      <c r="A90" t="s">
        <v>2</v>
      </c>
      <c r="B90" t="s">
        <v>144</v>
      </c>
      <c r="C90">
        <v>2030</v>
      </c>
      <c r="D90">
        <v>93</v>
      </c>
      <c r="E90">
        <v>0.01</v>
      </c>
      <c r="F90">
        <v>0</v>
      </c>
      <c r="G90">
        <v>0.01</v>
      </c>
      <c r="H90">
        <v>0</v>
      </c>
      <c r="I90">
        <v>0.05</v>
      </c>
      <c r="J90">
        <v>0</v>
      </c>
      <c r="K90">
        <v>0.02</v>
      </c>
      <c r="L90" t="s">
        <v>3</v>
      </c>
      <c r="M90" t="s">
        <v>15</v>
      </c>
    </row>
    <row r="91" spans="1:13" x14ac:dyDescent="0.45">
      <c r="A91" t="s">
        <v>2</v>
      </c>
      <c r="B91" t="s">
        <v>144</v>
      </c>
      <c r="C91">
        <v>2035</v>
      </c>
      <c r="D91">
        <v>82</v>
      </c>
      <c r="E91">
        <v>0.01</v>
      </c>
      <c r="F91">
        <v>0.01</v>
      </c>
      <c r="G91">
        <v>0.02</v>
      </c>
      <c r="H91">
        <v>0</v>
      </c>
      <c r="I91">
        <v>7.0000000000000007E-2</v>
      </c>
      <c r="J91">
        <v>0</v>
      </c>
      <c r="K91">
        <v>0.03</v>
      </c>
      <c r="L91" t="s">
        <v>3</v>
      </c>
      <c r="M91" t="s">
        <v>15</v>
      </c>
    </row>
    <row r="92" spans="1:13" x14ac:dyDescent="0.45">
      <c r="A92" t="s">
        <v>2</v>
      </c>
      <c r="B92" t="s">
        <v>144</v>
      </c>
      <c r="C92">
        <v>2040</v>
      </c>
      <c r="D92">
        <v>93</v>
      </c>
      <c r="E92">
        <v>0.02</v>
      </c>
      <c r="F92">
        <v>0.02</v>
      </c>
      <c r="G92">
        <v>0.03</v>
      </c>
      <c r="H92">
        <v>0</v>
      </c>
      <c r="I92">
        <v>0.11</v>
      </c>
      <c r="J92">
        <v>0</v>
      </c>
      <c r="K92">
        <v>0.04</v>
      </c>
      <c r="L92" t="s">
        <v>3</v>
      </c>
      <c r="M92" t="s">
        <v>15</v>
      </c>
    </row>
    <row r="93" spans="1:13" x14ac:dyDescent="0.45">
      <c r="A93" t="s">
        <v>2</v>
      </c>
      <c r="B93" t="s">
        <v>144</v>
      </c>
      <c r="C93">
        <v>2045</v>
      </c>
      <c r="D93">
        <v>82</v>
      </c>
      <c r="E93">
        <v>0.03</v>
      </c>
      <c r="F93">
        <v>0.02</v>
      </c>
      <c r="G93">
        <v>0.03</v>
      </c>
      <c r="H93">
        <v>0</v>
      </c>
      <c r="I93">
        <v>0.12</v>
      </c>
      <c r="J93">
        <v>0</v>
      </c>
      <c r="K93">
        <v>0.05</v>
      </c>
      <c r="L93" t="s">
        <v>3</v>
      </c>
      <c r="M93" t="s">
        <v>15</v>
      </c>
    </row>
    <row r="94" spans="1:13" x14ac:dyDescent="0.45">
      <c r="A94" t="s">
        <v>2</v>
      </c>
      <c r="B94" t="s">
        <v>144</v>
      </c>
      <c r="C94">
        <v>2050</v>
      </c>
      <c r="D94">
        <v>93</v>
      </c>
      <c r="E94">
        <v>0.04</v>
      </c>
      <c r="F94">
        <v>0.04</v>
      </c>
      <c r="G94">
        <v>0.04</v>
      </c>
      <c r="H94">
        <v>0</v>
      </c>
      <c r="I94">
        <v>0.21</v>
      </c>
      <c r="J94">
        <v>0.01</v>
      </c>
      <c r="K94">
        <v>0.06</v>
      </c>
      <c r="L94" t="s">
        <v>3</v>
      </c>
      <c r="M94" t="s">
        <v>15</v>
      </c>
    </row>
    <row r="95" spans="1:13" x14ac:dyDescent="0.45">
      <c r="A95" t="s">
        <v>5</v>
      </c>
      <c r="B95" t="s">
        <v>144</v>
      </c>
      <c r="C95">
        <v>2020</v>
      </c>
      <c r="D95">
        <v>214</v>
      </c>
      <c r="E95">
        <v>0</v>
      </c>
      <c r="F95">
        <v>0</v>
      </c>
      <c r="G95">
        <v>0</v>
      </c>
      <c r="H95">
        <v>0</v>
      </c>
      <c r="I95">
        <v>0.01</v>
      </c>
      <c r="J95">
        <v>0</v>
      </c>
      <c r="K95">
        <v>0.01</v>
      </c>
      <c r="L95" t="s">
        <v>6</v>
      </c>
      <c r="M95" t="s">
        <v>15</v>
      </c>
    </row>
    <row r="96" spans="1:13" x14ac:dyDescent="0.45">
      <c r="A96" t="s">
        <v>5</v>
      </c>
      <c r="B96" t="s">
        <v>144</v>
      </c>
      <c r="C96">
        <v>2025</v>
      </c>
      <c r="D96">
        <v>192</v>
      </c>
      <c r="E96">
        <v>0.01</v>
      </c>
      <c r="F96">
        <v>0</v>
      </c>
      <c r="G96">
        <v>0.01</v>
      </c>
      <c r="H96">
        <v>0</v>
      </c>
      <c r="I96">
        <v>0.03</v>
      </c>
      <c r="J96">
        <v>0</v>
      </c>
      <c r="K96">
        <v>0.01</v>
      </c>
      <c r="L96" t="s">
        <v>6</v>
      </c>
      <c r="M96" t="s">
        <v>15</v>
      </c>
    </row>
    <row r="97" spans="1:13" x14ac:dyDescent="0.45">
      <c r="A97" t="s">
        <v>5</v>
      </c>
      <c r="B97" t="s">
        <v>144</v>
      </c>
      <c r="C97">
        <v>2030</v>
      </c>
      <c r="D97">
        <v>214</v>
      </c>
      <c r="E97">
        <v>0.01</v>
      </c>
      <c r="F97">
        <v>0.01</v>
      </c>
      <c r="G97">
        <v>0.01</v>
      </c>
      <c r="H97">
        <v>0</v>
      </c>
      <c r="I97">
        <v>0.08</v>
      </c>
      <c r="J97">
        <v>0</v>
      </c>
      <c r="K97">
        <v>0.02</v>
      </c>
      <c r="L97" t="s">
        <v>6</v>
      </c>
      <c r="M97" t="s">
        <v>15</v>
      </c>
    </row>
    <row r="98" spans="1:13" x14ac:dyDescent="0.45">
      <c r="A98" t="s">
        <v>5</v>
      </c>
      <c r="B98" t="s">
        <v>144</v>
      </c>
      <c r="C98">
        <v>2035</v>
      </c>
      <c r="D98">
        <v>192</v>
      </c>
      <c r="E98">
        <v>0.02</v>
      </c>
      <c r="F98">
        <v>0.01</v>
      </c>
      <c r="G98">
        <v>0.02</v>
      </c>
      <c r="H98">
        <v>0</v>
      </c>
      <c r="I98">
        <v>0.15</v>
      </c>
      <c r="J98">
        <v>0</v>
      </c>
      <c r="K98">
        <v>0.03</v>
      </c>
      <c r="L98" t="s">
        <v>6</v>
      </c>
      <c r="M98" t="s">
        <v>15</v>
      </c>
    </row>
    <row r="99" spans="1:13" x14ac:dyDescent="0.45">
      <c r="A99" t="s">
        <v>5</v>
      </c>
      <c r="B99" t="s">
        <v>144</v>
      </c>
      <c r="C99">
        <v>2040</v>
      </c>
      <c r="D99">
        <v>214</v>
      </c>
      <c r="E99">
        <v>0.03</v>
      </c>
      <c r="F99">
        <v>0.01</v>
      </c>
      <c r="G99">
        <v>0.03</v>
      </c>
      <c r="H99">
        <v>0</v>
      </c>
      <c r="I99">
        <v>0.13</v>
      </c>
      <c r="J99">
        <v>0</v>
      </c>
      <c r="K99">
        <v>0.04</v>
      </c>
      <c r="L99" t="s">
        <v>6</v>
      </c>
      <c r="M99" t="s">
        <v>15</v>
      </c>
    </row>
    <row r="100" spans="1:13" x14ac:dyDescent="0.45">
      <c r="A100" t="s">
        <v>5</v>
      </c>
      <c r="B100" t="s">
        <v>144</v>
      </c>
      <c r="C100">
        <v>2045</v>
      </c>
      <c r="D100">
        <v>192</v>
      </c>
      <c r="E100">
        <v>0.03</v>
      </c>
      <c r="F100">
        <v>0.02</v>
      </c>
      <c r="G100">
        <v>0.03</v>
      </c>
      <c r="H100">
        <v>0</v>
      </c>
      <c r="I100">
        <v>0.13</v>
      </c>
      <c r="J100">
        <v>0</v>
      </c>
      <c r="K100">
        <v>0.05</v>
      </c>
      <c r="L100" t="s">
        <v>6</v>
      </c>
      <c r="M100" t="s">
        <v>15</v>
      </c>
    </row>
    <row r="101" spans="1:13" x14ac:dyDescent="0.45">
      <c r="A101" t="s">
        <v>5</v>
      </c>
      <c r="B101" t="s">
        <v>144</v>
      </c>
      <c r="C101">
        <v>2050</v>
      </c>
      <c r="D101">
        <v>214</v>
      </c>
      <c r="E101">
        <v>0.05</v>
      </c>
      <c r="F101">
        <v>0.03</v>
      </c>
      <c r="G101">
        <v>0.06</v>
      </c>
      <c r="H101">
        <v>0</v>
      </c>
      <c r="I101">
        <v>0.23</v>
      </c>
      <c r="J101">
        <v>0</v>
      </c>
      <c r="K101">
        <v>0.06</v>
      </c>
      <c r="L101" t="s">
        <v>6</v>
      </c>
      <c r="M101" t="s">
        <v>15</v>
      </c>
    </row>
    <row r="102" spans="1:13" x14ac:dyDescent="0.45">
      <c r="A102" t="s">
        <v>7</v>
      </c>
      <c r="B102" t="s">
        <v>144</v>
      </c>
      <c r="C102">
        <v>2020</v>
      </c>
      <c r="D102">
        <v>102</v>
      </c>
      <c r="E102">
        <v>0</v>
      </c>
      <c r="F102">
        <v>0</v>
      </c>
      <c r="G102">
        <v>0</v>
      </c>
      <c r="H102">
        <v>0</v>
      </c>
      <c r="I102">
        <v>0.01</v>
      </c>
      <c r="J102">
        <v>0</v>
      </c>
      <c r="K102">
        <v>0</v>
      </c>
      <c r="L102" t="s">
        <v>8</v>
      </c>
      <c r="M102" t="s">
        <v>15</v>
      </c>
    </row>
    <row r="103" spans="1:13" x14ac:dyDescent="0.45">
      <c r="A103" t="s">
        <v>7</v>
      </c>
      <c r="B103" t="s">
        <v>144</v>
      </c>
      <c r="C103">
        <v>2025</v>
      </c>
      <c r="D103">
        <v>96</v>
      </c>
      <c r="E103">
        <v>0</v>
      </c>
      <c r="F103">
        <v>0</v>
      </c>
      <c r="G103">
        <v>0.01</v>
      </c>
      <c r="H103">
        <v>0</v>
      </c>
      <c r="I103">
        <v>0.02</v>
      </c>
      <c r="J103">
        <v>0</v>
      </c>
      <c r="K103">
        <v>0</v>
      </c>
      <c r="L103" t="s">
        <v>8</v>
      </c>
      <c r="M103" t="s">
        <v>15</v>
      </c>
    </row>
    <row r="104" spans="1:13" x14ac:dyDescent="0.45">
      <c r="A104" t="s">
        <v>7</v>
      </c>
      <c r="B104" t="s">
        <v>144</v>
      </c>
      <c r="C104">
        <v>2030</v>
      </c>
      <c r="D104">
        <v>102</v>
      </c>
      <c r="E104">
        <v>0.01</v>
      </c>
      <c r="F104">
        <v>0</v>
      </c>
      <c r="G104">
        <v>0.01</v>
      </c>
      <c r="H104">
        <v>0</v>
      </c>
      <c r="I104">
        <v>0.04</v>
      </c>
      <c r="J104">
        <v>0</v>
      </c>
      <c r="K104">
        <v>0.01</v>
      </c>
      <c r="L104" t="s">
        <v>8</v>
      </c>
      <c r="M104" t="s">
        <v>15</v>
      </c>
    </row>
    <row r="105" spans="1:13" x14ac:dyDescent="0.45">
      <c r="A105" t="s">
        <v>7</v>
      </c>
      <c r="B105" t="s">
        <v>144</v>
      </c>
      <c r="C105">
        <v>2035</v>
      </c>
      <c r="D105">
        <v>96</v>
      </c>
      <c r="E105">
        <v>0.01</v>
      </c>
      <c r="F105">
        <v>0</v>
      </c>
      <c r="G105">
        <v>0.02</v>
      </c>
      <c r="H105">
        <v>0</v>
      </c>
      <c r="I105">
        <v>7.0000000000000007E-2</v>
      </c>
      <c r="J105">
        <v>0</v>
      </c>
      <c r="K105">
        <v>0.01</v>
      </c>
      <c r="L105" t="s">
        <v>8</v>
      </c>
      <c r="M105" t="s">
        <v>15</v>
      </c>
    </row>
    <row r="106" spans="1:13" x14ac:dyDescent="0.45">
      <c r="A106" t="s">
        <v>7</v>
      </c>
      <c r="B106" t="s">
        <v>144</v>
      </c>
      <c r="C106">
        <v>2040</v>
      </c>
      <c r="D106">
        <v>102</v>
      </c>
      <c r="E106">
        <v>0.02</v>
      </c>
      <c r="F106">
        <v>0</v>
      </c>
      <c r="G106">
        <v>0.02</v>
      </c>
      <c r="H106">
        <v>0</v>
      </c>
      <c r="I106">
        <v>0.09</v>
      </c>
      <c r="J106">
        <v>0</v>
      </c>
      <c r="K106">
        <v>0.04</v>
      </c>
      <c r="L106" t="s">
        <v>8</v>
      </c>
      <c r="M106" t="s">
        <v>15</v>
      </c>
    </row>
    <row r="107" spans="1:13" x14ac:dyDescent="0.45">
      <c r="A107" t="s">
        <v>7</v>
      </c>
      <c r="B107" t="s">
        <v>144</v>
      </c>
      <c r="C107">
        <v>2045</v>
      </c>
      <c r="D107">
        <v>96</v>
      </c>
      <c r="E107">
        <v>0.02</v>
      </c>
      <c r="F107">
        <v>0</v>
      </c>
      <c r="G107">
        <v>0.03</v>
      </c>
      <c r="H107">
        <v>0</v>
      </c>
      <c r="I107">
        <v>0.09</v>
      </c>
      <c r="J107">
        <v>0</v>
      </c>
      <c r="K107">
        <v>0.03</v>
      </c>
      <c r="L107" t="s">
        <v>8</v>
      </c>
      <c r="M107" t="s">
        <v>15</v>
      </c>
    </row>
    <row r="108" spans="1:13" x14ac:dyDescent="0.45">
      <c r="A108" t="s">
        <v>7</v>
      </c>
      <c r="B108" t="s">
        <v>144</v>
      </c>
      <c r="C108">
        <v>2050</v>
      </c>
      <c r="D108">
        <v>102</v>
      </c>
      <c r="E108">
        <v>0.02</v>
      </c>
      <c r="F108">
        <v>0</v>
      </c>
      <c r="G108">
        <v>0.03</v>
      </c>
      <c r="H108">
        <v>0</v>
      </c>
      <c r="I108">
        <v>0.11</v>
      </c>
      <c r="J108">
        <v>0</v>
      </c>
      <c r="K108">
        <v>0.04</v>
      </c>
      <c r="L108" t="s">
        <v>8</v>
      </c>
      <c r="M108" t="s">
        <v>15</v>
      </c>
    </row>
    <row r="109" spans="1:13" x14ac:dyDescent="0.45">
      <c r="A109" t="s">
        <v>9</v>
      </c>
      <c r="B109" t="s">
        <v>144</v>
      </c>
      <c r="C109">
        <v>2020</v>
      </c>
      <c r="D109">
        <v>58</v>
      </c>
      <c r="E109">
        <v>0</v>
      </c>
      <c r="F109">
        <v>0</v>
      </c>
      <c r="G109">
        <v>0</v>
      </c>
      <c r="H109">
        <v>0</v>
      </c>
      <c r="I109">
        <v>0.01</v>
      </c>
      <c r="J109">
        <v>0</v>
      </c>
      <c r="K109">
        <v>0.01</v>
      </c>
      <c r="L109" t="s">
        <v>10</v>
      </c>
      <c r="M109" t="s">
        <v>15</v>
      </c>
    </row>
    <row r="110" spans="1:13" x14ac:dyDescent="0.45">
      <c r="A110" t="s">
        <v>9</v>
      </c>
      <c r="B110" t="s">
        <v>144</v>
      </c>
      <c r="C110">
        <v>2025</v>
      </c>
      <c r="D110">
        <v>53</v>
      </c>
      <c r="E110">
        <v>0.01</v>
      </c>
      <c r="F110">
        <v>0</v>
      </c>
      <c r="G110">
        <v>0.01</v>
      </c>
      <c r="H110">
        <v>0</v>
      </c>
      <c r="I110">
        <v>0.03</v>
      </c>
      <c r="J110">
        <v>0</v>
      </c>
      <c r="K110">
        <v>0.01</v>
      </c>
      <c r="L110" t="s">
        <v>10</v>
      </c>
      <c r="M110" t="s">
        <v>15</v>
      </c>
    </row>
    <row r="111" spans="1:13" x14ac:dyDescent="0.45">
      <c r="A111" t="s">
        <v>9</v>
      </c>
      <c r="B111" t="s">
        <v>144</v>
      </c>
      <c r="C111">
        <v>2030</v>
      </c>
      <c r="D111">
        <v>58</v>
      </c>
      <c r="E111">
        <v>0.01</v>
      </c>
      <c r="F111">
        <v>0.01</v>
      </c>
      <c r="G111">
        <v>0.01</v>
      </c>
      <c r="H111">
        <v>0</v>
      </c>
      <c r="I111">
        <v>0.05</v>
      </c>
      <c r="J111">
        <v>0</v>
      </c>
      <c r="K111">
        <v>0.02</v>
      </c>
      <c r="L111" t="s">
        <v>10</v>
      </c>
      <c r="M111" t="s">
        <v>15</v>
      </c>
    </row>
    <row r="112" spans="1:13" x14ac:dyDescent="0.45">
      <c r="A112" t="s">
        <v>9</v>
      </c>
      <c r="B112" t="s">
        <v>144</v>
      </c>
      <c r="C112">
        <v>2035</v>
      </c>
      <c r="D112">
        <v>53</v>
      </c>
      <c r="E112">
        <v>0.02</v>
      </c>
      <c r="F112">
        <v>0.01</v>
      </c>
      <c r="G112">
        <v>0.02</v>
      </c>
      <c r="H112">
        <v>0</v>
      </c>
      <c r="I112">
        <v>0.06</v>
      </c>
      <c r="J112">
        <v>0</v>
      </c>
      <c r="K112">
        <v>0.03</v>
      </c>
      <c r="L112" t="s">
        <v>10</v>
      </c>
      <c r="M112" t="s">
        <v>15</v>
      </c>
    </row>
    <row r="113" spans="1:13" x14ac:dyDescent="0.45">
      <c r="A113" t="s">
        <v>9</v>
      </c>
      <c r="B113" t="s">
        <v>144</v>
      </c>
      <c r="C113">
        <v>2040</v>
      </c>
      <c r="D113">
        <v>58</v>
      </c>
      <c r="E113">
        <v>0.02</v>
      </c>
      <c r="F113">
        <v>0.02</v>
      </c>
      <c r="G113">
        <v>0.02</v>
      </c>
      <c r="H113">
        <v>0</v>
      </c>
      <c r="I113">
        <v>0.08</v>
      </c>
      <c r="J113">
        <v>0.01</v>
      </c>
      <c r="K113">
        <v>0.04</v>
      </c>
      <c r="L113" t="s">
        <v>10</v>
      </c>
      <c r="M113" t="s">
        <v>15</v>
      </c>
    </row>
    <row r="114" spans="1:13" x14ac:dyDescent="0.45">
      <c r="A114" t="s">
        <v>9</v>
      </c>
      <c r="B114" t="s">
        <v>144</v>
      </c>
      <c r="C114">
        <v>2045</v>
      </c>
      <c r="D114">
        <v>53</v>
      </c>
      <c r="E114">
        <v>0.03</v>
      </c>
      <c r="F114">
        <v>0.02</v>
      </c>
      <c r="G114">
        <v>0.03</v>
      </c>
      <c r="H114">
        <v>0</v>
      </c>
      <c r="I114">
        <v>0.1</v>
      </c>
      <c r="J114">
        <v>0.01</v>
      </c>
      <c r="K114">
        <v>0.05</v>
      </c>
      <c r="L114" t="s">
        <v>10</v>
      </c>
      <c r="M114" t="s">
        <v>15</v>
      </c>
    </row>
    <row r="115" spans="1:13" x14ac:dyDescent="0.45">
      <c r="A115" t="s">
        <v>9</v>
      </c>
      <c r="B115" t="s">
        <v>144</v>
      </c>
      <c r="C115">
        <v>2050</v>
      </c>
      <c r="D115">
        <v>58</v>
      </c>
      <c r="E115">
        <v>0.03</v>
      </c>
      <c r="F115">
        <v>0.03</v>
      </c>
      <c r="G115">
        <v>0.03</v>
      </c>
      <c r="H115">
        <v>0</v>
      </c>
      <c r="I115">
        <v>0.12</v>
      </c>
      <c r="J115">
        <v>0.01</v>
      </c>
      <c r="K115">
        <v>0.05</v>
      </c>
      <c r="L115" t="s">
        <v>10</v>
      </c>
      <c r="M115" t="s">
        <v>15</v>
      </c>
    </row>
    <row r="116" spans="1:13" x14ac:dyDescent="0.45">
      <c r="A116" t="s">
        <v>0</v>
      </c>
      <c r="B116" t="s">
        <v>144</v>
      </c>
      <c r="C116">
        <v>2020</v>
      </c>
      <c r="D116">
        <v>61</v>
      </c>
      <c r="E116">
        <v>0.36</v>
      </c>
      <c r="F116">
        <v>0.35</v>
      </c>
      <c r="G116">
        <v>0.02</v>
      </c>
      <c r="H116">
        <v>0.33</v>
      </c>
      <c r="I116">
        <v>0.41</v>
      </c>
      <c r="J116">
        <v>0.35</v>
      </c>
      <c r="K116">
        <v>0.37</v>
      </c>
      <c r="L116" t="s">
        <v>1</v>
      </c>
      <c r="M116" t="s">
        <v>18</v>
      </c>
    </row>
    <row r="117" spans="1:13" x14ac:dyDescent="0.45">
      <c r="A117" t="s">
        <v>0</v>
      </c>
      <c r="B117" t="s">
        <v>144</v>
      </c>
      <c r="C117">
        <v>2025</v>
      </c>
      <c r="D117">
        <v>61</v>
      </c>
      <c r="E117">
        <v>0.33</v>
      </c>
      <c r="F117">
        <v>0.32</v>
      </c>
      <c r="G117">
        <v>0.05</v>
      </c>
      <c r="H117">
        <v>0.25</v>
      </c>
      <c r="I117">
        <v>0.45</v>
      </c>
      <c r="J117">
        <v>0.31</v>
      </c>
      <c r="K117">
        <v>0.36</v>
      </c>
      <c r="L117" t="s">
        <v>1</v>
      </c>
      <c r="M117" t="s">
        <v>18</v>
      </c>
    </row>
    <row r="118" spans="1:13" x14ac:dyDescent="0.45">
      <c r="A118" t="s">
        <v>0</v>
      </c>
      <c r="B118" t="s">
        <v>144</v>
      </c>
      <c r="C118">
        <v>2030</v>
      </c>
      <c r="D118">
        <v>61</v>
      </c>
      <c r="E118">
        <v>0.32</v>
      </c>
      <c r="F118">
        <v>0.3</v>
      </c>
      <c r="G118">
        <v>0.06</v>
      </c>
      <c r="H118">
        <v>0.25</v>
      </c>
      <c r="I118">
        <v>0.48</v>
      </c>
      <c r="J118">
        <v>0.28999999999999998</v>
      </c>
      <c r="K118">
        <v>0.34</v>
      </c>
      <c r="L118" t="s">
        <v>1</v>
      </c>
      <c r="M118" t="s">
        <v>18</v>
      </c>
    </row>
    <row r="119" spans="1:13" x14ac:dyDescent="0.45">
      <c r="A119" t="s">
        <v>0</v>
      </c>
      <c r="B119" t="s">
        <v>144</v>
      </c>
      <c r="C119">
        <v>2035</v>
      </c>
      <c r="D119">
        <v>61</v>
      </c>
      <c r="E119">
        <v>0.32</v>
      </c>
      <c r="F119">
        <v>0.28999999999999998</v>
      </c>
      <c r="G119">
        <v>7.0000000000000007E-2</v>
      </c>
      <c r="H119">
        <v>0.25</v>
      </c>
      <c r="I119">
        <v>0.5</v>
      </c>
      <c r="J119">
        <v>0.28000000000000003</v>
      </c>
      <c r="K119">
        <v>0.32</v>
      </c>
      <c r="L119" t="s">
        <v>1</v>
      </c>
      <c r="M119" t="s">
        <v>18</v>
      </c>
    </row>
    <row r="120" spans="1:13" x14ac:dyDescent="0.45">
      <c r="A120" t="s">
        <v>0</v>
      </c>
      <c r="B120" t="s">
        <v>144</v>
      </c>
      <c r="C120">
        <v>2040</v>
      </c>
      <c r="D120">
        <v>61</v>
      </c>
      <c r="E120">
        <v>0.31</v>
      </c>
      <c r="F120">
        <v>0.28999999999999998</v>
      </c>
      <c r="G120">
        <v>7.0000000000000007E-2</v>
      </c>
      <c r="H120">
        <v>0.22</v>
      </c>
      <c r="I120">
        <v>0.49</v>
      </c>
      <c r="J120">
        <v>0.27</v>
      </c>
      <c r="K120">
        <v>0.33</v>
      </c>
      <c r="L120" t="s">
        <v>1</v>
      </c>
      <c r="M120" t="s">
        <v>18</v>
      </c>
    </row>
    <row r="121" spans="1:13" x14ac:dyDescent="0.45">
      <c r="A121" t="s">
        <v>0</v>
      </c>
      <c r="B121" t="s">
        <v>144</v>
      </c>
      <c r="C121">
        <v>2045</v>
      </c>
      <c r="D121">
        <v>61</v>
      </c>
      <c r="E121">
        <v>0.31</v>
      </c>
      <c r="F121">
        <v>0.3</v>
      </c>
      <c r="G121">
        <v>7.0000000000000007E-2</v>
      </c>
      <c r="H121">
        <v>0.22</v>
      </c>
      <c r="I121">
        <v>0.49</v>
      </c>
      <c r="J121">
        <v>0.26</v>
      </c>
      <c r="K121">
        <v>0.34</v>
      </c>
      <c r="L121" t="s">
        <v>1</v>
      </c>
      <c r="M121" t="s">
        <v>18</v>
      </c>
    </row>
    <row r="122" spans="1:13" x14ac:dyDescent="0.45">
      <c r="A122" t="s">
        <v>0</v>
      </c>
      <c r="B122" t="s">
        <v>144</v>
      </c>
      <c r="C122">
        <v>2050</v>
      </c>
      <c r="D122">
        <v>61</v>
      </c>
      <c r="E122">
        <v>0.32</v>
      </c>
      <c r="F122">
        <v>0.31</v>
      </c>
      <c r="G122">
        <v>7.0000000000000007E-2</v>
      </c>
      <c r="H122">
        <v>0.21</v>
      </c>
      <c r="I122">
        <v>0.48</v>
      </c>
      <c r="J122">
        <v>0.26</v>
      </c>
      <c r="K122">
        <v>0.35</v>
      </c>
      <c r="L122" t="s">
        <v>1</v>
      </c>
      <c r="M122" t="s">
        <v>18</v>
      </c>
    </row>
    <row r="123" spans="1:13" x14ac:dyDescent="0.45">
      <c r="A123" t="s">
        <v>2</v>
      </c>
      <c r="B123" t="s">
        <v>144</v>
      </c>
      <c r="C123">
        <v>2020</v>
      </c>
      <c r="D123">
        <v>100</v>
      </c>
      <c r="E123">
        <v>0.36</v>
      </c>
      <c r="F123">
        <v>0.36</v>
      </c>
      <c r="G123">
        <v>0.03</v>
      </c>
      <c r="H123">
        <v>0.32</v>
      </c>
      <c r="I123">
        <v>0.41</v>
      </c>
      <c r="J123">
        <v>0.33</v>
      </c>
      <c r="K123">
        <v>0.39</v>
      </c>
      <c r="L123" t="s">
        <v>3</v>
      </c>
      <c r="M123" t="s">
        <v>18</v>
      </c>
    </row>
    <row r="124" spans="1:13" x14ac:dyDescent="0.45">
      <c r="A124" t="s">
        <v>2</v>
      </c>
      <c r="B124" t="s">
        <v>144</v>
      </c>
      <c r="C124">
        <v>2025</v>
      </c>
      <c r="D124">
        <v>89</v>
      </c>
      <c r="E124">
        <v>0.34</v>
      </c>
      <c r="F124">
        <v>0.34</v>
      </c>
      <c r="G124">
        <v>0.05</v>
      </c>
      <c r="H124">
        <v>0</v>
      </c>
      <c r="I124">
        <v>0.44</v>
      </c>
      <c r="J124">
        <v>0.32</v>
      </c>
      <c r="K124">
        <v>0.38</v>
      </c>
      <c r="L124" t="s">
        <v>3</v>
      </c>
      <c r="M124" t="s">
        <v>18</v>
      </c>
    </row>
    <row r="125" spans="1:13" x14ac:dyDescent="0.45">
      <c r="A125" t="s">
        <v>2</v>
      </c>
      <c r="B125" t="s">
        <v>144</v>
      </c>
      <c r="C125">
        <v>2030</v>
      </c>
      <c r="D125">
        <v>100</v>
      </c>
      <c r="E125">
        <v>0.32</v>
      </c>
      <c r="F125">
        <v>0.31</v>
      </c>
      <c r="G125">
        <v>0.06</v>
      </c>
      <c r="H125">
        <v>0</v>
      </c>
      <c r="I125">
        <v>0.48</v>
      </c>
      <c r="J125">
        <v>0.28999999999999998</v>
      </c>
      <c r="K125">
        <v>0.35</v>
      </c>
      <c r="L125" t="s">
        <v>3</v>
      </c>
      <c r="M125" t="s">
        <v>18</v>
      </c>
    </row>
    <row r="126" spans="1:13" x14ac:dyDescent="0.45">
      <c r="A126" t="s">
        <v>2</v>
      </c>
      <c r="B126" t="s">
        <v>144</v>
      </c>
      <c r="C126">
        <v>2035</v>
      </c>
      <c r="D126">
        <v>89</v>
      </c>
      <c r="E126">
        <v>0.32</v>
      </c>
      <c r="F126">
        <v>0.3</v>
      </c>
      <c r="G126">
        <v>0.06</v>
      </c>
      <c r="H126">
        <v>0.25</v>
      </c>
      <c r="I126">
        <v>0.49</v>
      </c>
      <c r="J126">
        <v>0.28000000000000003</v>
      </c>
      <c r="K126">
        <v>0.36</v>
      </c>
      <c r="L126" t="s">
        <v>3</v>
      </c>
      <c r="M126" t="s">
        <v>18</v>
      </c>
    </row>
    <row r="127" spans="1:13" x14ac:dyDescent="0.45">
      <c r="A127" t="s">
        <v>2</v>
      </c>
      <c r="B127" t="s">
        <v>144</v>
      </c>
      <c r="C127">
        <v>2040</v>
      </c>
      <c r="D127">
        <v>100</v>
      </c>
      <c r="E127">
        <v>0.3</v>
      </c>
      <c r="F127">
        <v>0.28999999999999998</v>
      </c>
      <c r="G127">
        <v>7.0000000000000007E-2</v>
      </c>
      <c r="H127">
        <v>0.19</v>
      </c>
      <c r="I127">
        <v>0.48</v>
      </c>
      <c r="J127">
        <v>0.25</v>
      </c>
      <c r="K127">
        <v>0.36</v>
      </c>
      <c r="L127" t="s">
        <v>3</v>
      </c>
      <c r="M127" t="s">
        <v>18</v>
      </c>
    </row>
    <row r="128" spans="1:13" x14ac:dyDescent="0.45">
      <c r="A128" t="s">
        <v>2</v>
      </c>
      <c r="B128" t="s">
        <v>144</v>
      </c>
      <c r="C128">
        <v>2045</v>
      </c>
      <c r="D128">
        <v>89</v>
      </c>
      <c r="E128">
        <v>0.32</v>
      </c>
      <c r="F128">
        <v>0.31</v>
      </c>
      <c r="G128">
        <v>7.0000000000000007E-2</v>
      </c>
      <c r="H128">
        <v>0.21</v>
      </c>
      <c r="I128">
        <v>0.47</v>
      </c>
      <c r="J128">
        <v>0.26</v>
      </c>
      <c r="K128">
        <v>0.35</v>
      </c>
      <c r="L128" t="s">
        <v>3</v>
      </c>
      <c r="M128" t="s">
        <v>18</v>
      </c>
    </row>
    <row r="129" spans="1:13" x14ac:dyDescent="0.45">
      <c r="A129" t="s">
        <v>2</v>
      </c>
      <c r="B129" t="s">
        <v>144</v>
      </c>
      <c r="C129">
        <v>2050</v>
      </c>
      <c r="D129">
        <v>100</v>
      </c>
      <c r="E129">
        <v>0.31</v>
      </c>
      <c r="F129">
        <v>0.31</v>
      </c>
      <c r="G129">
        <v>7.0000000000000007E-2</v>
      </c>
      <c r="H129">
        <v>0.18</v>
      </c>
      <c r="I129">
        <v>0.48</v>
      </c>
      <c r="J129">
        <v>0.24</v>
      </c>
      <c r="K129">
        <v>0.35</v>
      </c>
      <c r="L129" t="s">
        <v>3</v>
      </c>
      <c r="M129" t="s">
        <v>18</v>
      </c>
    </row>
    <row r="130" spans="1:13" x14ac:dyDescent="0.45">
      <c r="A130" t="s">
        <v>5</v>
      </c>
      <c r="B130" t="s">
        <v>144</v>
      </c>
      <c r="C130">
        <v>2020</v>
      </c>
      <c r="D130">
        <v>219</v>
      </c>
      <c r="E130">
        <v>0.37</v>
      </c>
      <c r="F130">
        <v>0.36</v>
      </c>
      <c r="G130">
        <v>0.02</v>
      </c>
      <c r="H130">
        <v>0.32</v>
      </c>
      <c r="I130">
        <v>0.41</v>
      </c>
      <c r="J130">
        <v>0.35</v>
      </c>
      <c r="K130">
        <v>0.37</v>
      </c>
      <c r="L130" t="s">
        <v>6</v>
      </c>
      <c r="M130" t="s">
        <v>18</v>
      </c>
    </row>
    <row r="131" spans="1:13" x14ac:dyDescent="0.45">
      <c r="A131" t="s">
        <v>5</v>
      </c>
      <c r="B131" t="s">
        <v>144</v>
      </c>
      <c r="C131">
        <v>2025</v>
      </c>
      <c r="D131">
        <v>196</v>
      </c>
      <c r="E131">
        <v>0.31</v>
      </c>
      <c r="F131">
        <v>0.32</v>
      </c>
      <c r="G131">
        <v>0.1</v>
      </c>
      <c r="H131">
        <v>0</v>
      </c>
      <c r="I131">
        <v>0.44</v>
      </c>
      <c r="J131">
        <v>0.32</v>
      </c>
      <c r="K131">
        <v>0.36</v>
      </c>
      <c r="L131" t="s">
        <v>6</v>
      </c>
      <c r="M131" t="s">
        <v>18</v>
      </c>
    </row>
    <row r="132" spans="1:13" x14ac:dyDescent="0.45">
      <c r="A132" t="s">
        <v>5</v>
      </c>
      <c r="B132" t="s">
        <v>144</v>
      </c>
      <c r="C132">
        <v>2030</v>
      </c>
      <c r="D132">
        <v>219</v>
      </c>
      <c r="E132">
        <v>0.31</v>
      </c>
      <c r="F132">
        <v>0.31</v>
      </c>
      <c r="G132">
        <v>0.1</v>
      </c>
      <c r="H132">
        <v>0</v>
      </c>
      <c r="I132">
        <v>0.48</v>
      </c>
      <c r="J132">
        <v>0.3</v>
      </c>
      <c r="K132">
        <v>0.34</v>
      </c>
      <c r="L132" t="s">
        <v>6</v>
      </c>
      <c r="M132" t="s">
        <v>18</v>
      </c>
    </row>
    <row r="133" spans="1:13" x14ac:dyDescent="0.45">
      <c r="A133" t="s">
        <v>5</v>
      </c>
      <c r="B133" t="s">
        <v>144</v>
      </c>
      <c r="C133">
        <v>2035</v>
      </c>
      <c r="D133">
        <v>196</v>
      </c>
      <c r="E133">
        <v>0.32</v>
      </c>
      <c r="F133">
        <v>0.28999999999999998</v>
      </c>
      <c r="G133">
        <v>0.06</v>
      </c>
      <c r="H133">
        <v>0.25</v>
      </c>
      <c r="I133">
        <v>0.49</v>
      </c>
      <c r="J133">
        <v>0.28000000000000003</v>
      </c>
      <c r="K133">
        <v>0.36</v>
      </c>
      <c r="L133" t="s">
        <v>6</v>
      </c>
      <c r="M133" t="s">
        <v>18</v>
      </c>
    </row>
    <row r="134" spans="1:13" x14ac:dyDescent="0.45">
      <c r="A134" t="s">
        <v>5</v>
      </c>
      <c r="B134" t="s">
        <v>144</v>
      </c>
      <c r="C134">
        <v>2040</v>
      </c>
      <c r="D134">
        <v>219</v>
      </c>
      <c r="E134">
        <v>0.31</v>
      </c>
      <c r="F134">
        <v>0.28999999999999998</v>
      </c>
      <c r="G134">
        <v>0.06</v>
      </c>
      <c r="H134">
        <v>0.2</v>
      </c>
      <c r="I134">
        <v>0.49</v>
      </c>
      <c r="J134">
        <v>0.27</v>
      </c>
      <c r="K134">
        <v>0.35</v>
      </c>
      <c r="L134" t="s">
        <v>6</v>
      </c>
      <c r="M134" t="s">
        <v>18</v>
      </c>
    </row>
    <row r="135" spans="1:13" x14ac:dyDescent="0.45">
      <c r="A135" t="s">
        <v>5</v>
      </c>
      <c r="B135" t="s">
        <v>144</v>
      </c>
      <c r="C135">
        <v>2045</v>
      </c>
      <c r="D135">
        <v>196</v>
      </c>
      <c r="E135">
        <v>0.31</v>
      </c>
      <c r="F135">
        <v>0.28999999999999998</v>
      </c>
      <c r="G135">
        <v>7.0000000000000007E-2</v>
      </c>
      <c r="H135">
        <v>0.22</v>
      </c>
      <c r="I135">
        <v>0.49</v>
      </c>
      <c r="J135">
        <v>0.26</v>
      </c>
      <c r="K135">
        <v>0.35</v>
      </c>
      <c r="L135" t="s">
        <v>6</v>
      </c>
      <c r="M135" t="s">
        <v>18</v>
      </c>
    </row>
    <row r="136" spans="1:13" x14ac:dyDescent="0.45">
      <c r="A136" t="s">
        <v>5</v>
      </c>
      <c r="B136" t="s">
        <v>144</v>
      </c>
      <c r="C136">
        <v>2050</v>
      </c>
      <c r="D136">
        <v>219</v>
      </c>
      <c r="E136">
        <v>0.31</v>
      </c>
      <c r="F136">
        <v>0.3</v>
      </c>
      <c r="G136">
        <v>7.0000000000000007E-2</v>
      </c>
      <c r="H136">
        <v>0.18</v>
      </c>
      <c r="I136">
        <v>0.49</v>
      </c>
      <c r="J136">
        <v>0.26</v>
      </c>
      <c r="K136">
        <v>0.36</v>
      </c>
      <c r="L136" t="s">
        <v>6</v>
      </c>
      <c r="M136" t="s">
        <v>18</v>
      </c>
    </row>
    <row r="137" spans="1:13" x14ac:dyDescent="0.45">
      <c r="A137" t="s">
        <v>7</v>
      </c>
      <c r="B137" t="s">
        <v>144</v>
      </c>
      <c r="C137">
        <v>2020</v>
      </c>
      <c r="D137">
        <v>101</v>
      </c>
      <c r="E137">
        <v>0.37</v>
      </c>
      <c r="F137">
        <v>0.37</v>
      </c>
      <c r="G137">
        <v>0.02</v>
      </c>
      <c r="H137">
        <v>0.33</v>
      </c>
      <c r="I137">
        <v>0.4</v>
      </c>
      <c r="J137">
        <v>0.36</v>
      </c>
      <c r="K137">
        <v>0.4</v>
      </c>
      <c r="L137" t="s">
        <v>8</v>
      </c>
      <c r="M137" t="s">
        <v>18</v>
      </c>
    </row>
    <row r="138" spans="1:13" x14ac:dyDescent="0.45">
      <c r="A138" t="s">
        <v>7</v>
      </c>
      <c r="B138" t="s">
        <v>144</v>
      </c>
      <c r="C138">
        <v>2025</v>
      </c>
      <c r="D138">
        <v>95</v>
      </c>
      <c r="E138">
        <v>0.33</v>
      </c>
      <c r="F138">
        <v>0.35</v>
      </c>
      <c r="G138">
        <v>0.11</v>
      </c>
      <c r="H138">
        <v>0</v>
      </c>
      <c r="I138">
        <v>0.43</v>
      </c>
      <c r="J138">
        <v>0.32</v>
      </c>
      <c r="K138">
        <v>0.38</v>
      </c>
      <c r="L138" t="s">
        <v>8</v>
      </c>
      <c r="M138" t="s">
        <v>18</v>
      </c>
    </row>
    <row r="139" spans="1:13" x14ac:dyDescent="0.45">
      <c r="A139" t="s">
        <v>7</v>
      </c>
      <c r="B139" t="s">
        <v>144</v>
      </c>
      <c r="C139">
        <v>2030</v>
      </c>
      <c r="D139">
        <v>101</v>
      </c>
      <c r="E139">
        <v>0.32</v>
      </c>
      <c r="F139">
        <v>0.34</v>
      </c>
      <c r="G139">
        <v>0.1</v>
      </c>
      <c r="H139">
        <v>0</v>
      </c>
      <c r="I139">
        <v>0.45</v>
      </c>
      <c r="J139">
        <v>0.3</v>
      </c>
      <c r="K139">
        <v>0.38</v>
      </c>
      <c r="L139" t="s">
        <v>8</v>
      </c>
      <c r="M139" t="s">
        <v>18</v>
      </c>
    </row>
    <row r="140" spans="1:13" x14ac:dyDescent="0.45">
      <c r="A140" t="s">
        <v>7</v>
      </c>
      <c r="B140" t="s">
        <v>144</v>
      </c>
      <c r="C140">
        <v>2035</v>
      </c>
      <c r="D140">
        <v>95</v>
      </c>
      <c r="E140">
        <v>0.33</v>
      </c>
      <c r="F140">
        <v>0.33</v>
      </c>
      <c r="G140">
        <v>0.05</v>
      </c>
      <c r="H140">
        <v>0.25</v>
      </c>
      <c r="I140">
        <v>0.45</v>
      </c>
      <c r="J140">
        <v>0.28000000000000003</v>
      </c>
      <c r="K140">
        <v>0.37</v>
      </c>
      <c r="L140" t="s">
        <v>8</v>
      </c>
      <c r="M140" t="s">
        <v>18</v>
      </c>
    </row>
    <row r="141" spans="1:13" x14ac:dyDescent="0.45">
      <c r="A141" t="s">
        <v>7</v>
      </c>
      <c r="B141" t="s">
        <v>144</v>
      </c>
      <c r="C141">
        <v>2040</v>
      </c>
      <c r="D141">
        <v>101</v>
      </c>
      <c r="E141">
        <v>0.32</v>
      </c>
      <c r="F141">
        <v>0.3</v>
      </c>
      <c r="G141">
        <v>0.06</v>
      </c>
      <c r="H141">
        <v>0.23</v>
      </c>
      <c r="I141">
        <v>0.48</v>
      </c>
      <c r="J141">
        <v>0.27</v>
      </c>
      <c r="K141">
        <v>0.36</v>
      </c>
      <c r="L141" t="s">
        <v>8</v>
      </c>
      <c r="M141" t="s">
        <v>18</v>
      </c>
    </row>
    <row r="142" spans="1:13" x14ac:dyDescent="0.45">
      <c r="A142" t="s">
        <v>7</v>
      </c>
      <c r="B142" t="s">
        <v>144</v>
      </c>
      <c r="C142">
        <v>2045</v>
      </c>
      <c r="D142">
        <v>95</v>
      </c>
      <c r="E142">
        <v>0.31</v>
      </c>
      <c r="F142">
        <v>0.28999999999999998</v>
      </c>
      <c r="G142">
        <v>7.0000000000000007E-2</v>
      </c>
      <c r="H142">
        <v>0.21</v>
      </c>
      <c r="I142">
        <v>0.48</v>
      </c>
      <c r="J142">
        <v>0.27</v>
      </c>
      <c r="K142">
        <v>0.35</v>
      </c>
      <c r="L142" t="s">
        <v>8</v>
      </c>
      <c r="M142" t="s">
        <v>18</v>
      </c>
    </row>
    <row r="143" spans="1:13" x14ac:dyDescent="0.45">
      <c r="A143" t="s">
        <v>7</v>
      </c>
      <c r="B143" t="s">
        <v>144</v>
      </c>
      <c r="C143">
        <v>2050</v>
      </c>
      <c r="D143">
        <v>101</v>
      </c>
      <c r="E143">
        <v>0.3</v>
      </c>
      <c r="F143">
        <v>0.3</v>
      </c>
      <c r="G143">
        <v>7.0000000000000007E-2</v>
      </c>
      <c r="H143">
        <v>0.21</v>
      </c>
      <c r="I143">
        <v>0.47</v>
      </c>
      <c r="J143">
        <v>0.25</v>
      </c>
      <c r="K143">
        <v>0.34</v>
      </c>
      <c r="L143" t="s">
        <v>8</v>
      </c>
      <c r="M143" t="s">
        <v>18</v>
      </c>
    </row>
    <row r="144" spans="1:13" x14ac:dyDescent="0.45">
      <c r="A144" t="s">
        <v>9</v>
      </c>
      <c r="B144" t="s">
        <v>144</v>
      </c>
      <c r="C144">
        <v>2020</v>
      </c>
      <c r="D144">
        <v>60</v>
      </c>
      <c r="E144">
        <v>0.36</v>
      </c>
      <c r="F144">
        <v>0.35</v>
      </c>
      <c r="G144">
        <v>0.02</v>
      </c>
      <c r="H144">
        <v>0.33</v>
      </c>
      <c r="I144">
        <v>0.41</v>
      </c>
      <c r="J144">
        <v>0.35</v>
      </c>
      <c r="K144">
        <v>0.37</v>
      </c>
      <c r="L144" t="s">
        <v>10</v>
      </c>
      <c r="M144" t="s">
        <v>18</v>
      </c>
    </row>
    <row r="145" spans="1:13" x14ac:dyDescent="0.45">
      <c r="A145" t="s">
        <v>9</v>
      </c>
      <c r="B145" t="s">
        <v>144</v>
      </c>
      <c r="C145">
        <v>2025</v>
      </c>
      <c r="D145">
        <v>55</v>
      </c>
      <c r="E145">
        <v>0.35</v>
      </c>
      <c r="F145">
        <v>0.33</v>
      </c>
      <c r="G145">
        <v>0.03</v>
      </c>
      <c r="H145">
        <v>0.3</v>
      </c>
      <c r="I145">
        <v>0.41</v>
      </c>
      <c r="J145">
        <v>0.32</v>
      </c>
      <c r="K145">
        <v>0.37</v>
      </c>
      <c r="L145" t="s">
        <v>10</v>
      </c>
      <c r="M145" t="s">
        <v>18</v>
      </c>
    </row>
    <row r="146" spans="1:13" x14ac:dyDescent="0.45">
      <c r="A146" t="s">
        <v>9</v>
      </c>
      <c r="B146" t="s">
        <v>144</v>
      </c>
      <c r="C146">
        <v>2030</v>
      </c>
      <c r="D146">
        <v>60</v>
      </c>
      <c r="E146">
        <v>0.34</v>
      </c>
      <c r="F146">
        <v>0.34</v>
      </c>
      <c r="G146">
        <v>0.03</v>
      </c>
      <c r="H146">
        <v>0.28999999999999998</v>
      </c>
      <c r="I146">
        <v>0.41</v>
      </c>
      <c r="J146">
        <v>0.31</v>
      </c>
      <c r="K146">
        <v>0.36</v>
      </c>
      <c r="L146" t="s">
        <v>10</v>
      </c>
      <c r="M146" t="s">
        <v>18</v>
      </c>
    </row>
    <row r="147" spans="1:13" x14ac:dyDescent="0.45">
      <c r="A147" t="s">
        <v>9</v>
      </c>
      <c r="B147" t="s">
        <v>144</v>
      </c>
      <c r="C147">
        <v>2035</v>
      </c>
      <c r="D147">
        <v>55</v>
      </c>
      <c r="E147">
        <v>0.33</v>
      </c>
      <c r="F147">
        <v>0.32</v>
      </c>
      <c r="G147">
        <v>0.04</v>
      </c>
      <c r="H147">
        <v>0.28000000000000003</v>
      </c>
      <c r="I147">
        <v>0.44</v>
      </c>
      <c r="J147">
        <v>0.3</v>
      </c>
      <c r="K147">
        <v>0.36</v>
      </c>
      <c r="L147" t="s">
        <v>10</v>
      </c>
      <c r="M147" t="s">
        <v>18</v>
      </c>
    </row>
    <row r="148" spans="1:13" x14ac:dyDescent="0.45">
      <c r="A148" t="s">
        <v>9</v>
      </c>
      <c r="B148" t="s">
        <v>144</v>
      </c>
      <c r="C148">
        <v>2040</v>
      </c>
      <c r="D148">
        <v>60</v>
      </c>
      <c r="E148">
        <v>0.32</v>
      </c>
      <c r="F148">
        <v>0.3</v>
      </c>
      <c r="G148">
        <v>0.04</v>
      </c>
      <c r="H148">
        <v>0.25</v>
      </c>
      <c r="I148">
        <v>0.46</v>
      </c>
      <c r="J148">
        <v>0.28999999999999998</v>
      </c>
      <c r="K148">
        <v>0.35</v>
      </c>
      <c r="L148" t="s">
        <v>10</v>
      </c>
      <c r="M148" t="s">
        <v>18</v>
      </c>
    </row>
    <row r="149" spans="1:13" x14ac:dyDescent="0.45">
      <c r="A149" t="s">
        <v>9</v>
      </c>
      <c r="B149" t="s">
        <v>144</v>
      </c>
      <c r="C149">
        <v>2045</v>
      </c>
      <c r="D149">
        <v>55</v>
      </c>
      <c r="E149">
        <v>0.32</v>
      </c>
      <c r="F149">
        <v>0.3</v>
      </c>
      <c r="G149">
        <v>0.05</v>
      </c>
      <c r="H149">
        <v>0.25</v>
      </c>
      <c r="I149">
        <v>0.48</v>
      </c>
      <c r="J149">
        <v>0.28000000000000003</v>
      </c>
      <c r="K149">
        <v>0.35</v>
      </c>
      <c r="L149" t="s">
        <v>10</v>
      </c>
      <c r="M149" t="s">
        <v>18</v>
      </c>
    </row>
    <row r="150" spans="1:13" x14ac:dyDescent="0.45">
      <c r="A150" t="s">
        <v>9</v>
      </c>
      <c r="B150" t="s">
        <v>144</v>
      </c>
      <c r="C150">
        <v>2050</v>
      </c>
      <c r="D150">
        <v>60</v>
      </c>
      <c r="E150">
        <v>0.31</v>
      </c>
      <c r="F150">
        <v>0.28999999999999998</v>
      </c>
      <c r="G150">
        <v>0.05</v>
      </c>
      <c r="H150">
        <v>0.26</v>
      </c>
      <c r="I150">
        <v>0.49</v>
      </c>
      <c r="J150">
        <v>0.28000000000000003</v>
      </c>
      <c r="K150">
        <v>0.34</v>
      </c>
      <c r="L150" t="s">
        <v>10</v>
      </c>
      <c r="M150" t="s">
        <v>18</v>
      </c>
    </row>
    <row r="151" spans="1:13" x14ac:dyDescent="0.45">
      <c r="A151" t="s">
        <v>0</v>
      </c>
      <c r="B151" t="s">
        <v>144</v>
      </c>
      <c r="C151">
        <v>2020</v>
      </c>
      <c r="D151">
        <v>63</v>
      </c>
      <c r="E151">
        <v>0.6</v>
      </c>
      <c r="F151">
        <v>0.61</v>
      </c>
      <c r="G151">
        <v>0.03</v>
      </c>
      <c r="H151">
        <v>0.54</v>
      </c>
      <c r="I151">
        <v>0.64</v>
      </c>
      <c r="J151">
        <v>0.57999999999999996</v>
      </c>
      <c r="K151">
        <v>0.62</v>
      </c>
      <c r="L151" t="s">
        <v>1</v>
      </c>
      <c r="M151" t="s">
        <v>21</v>
      </c>
    </row>
    <row r="152" spans="1:13" x14ac:dyDescent="0.45">
      <c r="A152" t="s">
        <v>0</v>
      </c>
      <c r="B152" t="s">
        <v>144</v>
      </c>
      <c r="C152">
        <v>2025</v>
      </c>
      <c r="D152">
        <v>63</v>
      </c>
      <c r="E152">
        <v>0.6</v>
      </c>
      <c r="F152">
        <v>0.62</v>
      </c>
      <c r="G152">
        <v>0.04</v>
      </c>
      <c r="H152">
        <v>0.52</v>
      </c>
      <c r="I152">
        <v>0.69</v>
      </c>
      <c r="J152">
        <v>0.56000000000000005</v>
      </c>
      <c r="K152">
        <v>0.63</v>
      </c>
      <c r="L152" t="s">
        <v>1</v>
      </c>
      <c r="M152" t="s">
        <v>21</v>
      </c>
    </row>
    <row r="153" spans="1:13" x14ac:dyDescent="0.45">
      <c r="A153" t="s">
        <v>0</v>
      </c>
      <c r="B153" t="s">
        <v>144</v>
      </c>
      <c r="C153">
        <v>2030</v>
      </c>
      <c r="D153">
        <v>63</v>
      </c>
      <c r="E153">
        <v>0.57999999999999996</v>
      </c>
      <c r="F153">
        <v>0.59</v>
      </c>
      <c r="G153">
        <v>0.05</v>
      </c>
      <c r="H153">
        <v>0.46</v>
      </c>
      <c r="I153">
        <v>0.66</v>
      </c>
      <c r="J153">
        <v>0.55000000000000004</v>
      </c>
      <c r="K153">
        <v>0.61</v>
      </c>
      <c r="L153" t="s">
        <v>1</v>
      </c>
      <c r="M153" t="s">
        <v>21</v>
      </c>
    </row>
    <row r="154" spans="1:13" x14ac:dyDescent="0.45">
      <c r="A154" t="s">
        <v>0</v>
      </c>
      <c r="B154" t="s">
        <v>144</v>
      </c>
      <c r="C154">
        <v>2035</v>
      </c>
      <c r="D154">
        <v>63</v>
      </c>
      <c r="E154">
        <v>0.55000000000000004</v>
      </c>
      <c r="F154">
        <v>0.56000000000000005</v>
      </c>
      <c r="G154">
        <v>0.06</v>
      </c>
      <c r="H154">
        <v>0.4</v>
      </c>
      <c r="I154">
        <v>0.65</v>
      </c>
      <c r="J154">
        <v>0.53</v>
      </c>
      <c r="K154">
        <v>0.59</v>
      </c>
      <c r="L154" t="s">
        <v>1</v>
      </c>
      <c r="M154" t="s">
        <v>21</v>
      </c>
    </row>
    <row r="155" spans="1:13" x14ac:dyDescent="0.45">
      <c r="A155" t="s">
        <v>0</v>
      </c>
      <c r="B155" t="s">
        <v>144</v>
      </c>
      <c r="C155">
        <v>2040</v>
      </c>
      <c r="D155">
        <v>63</v>
      </c>
      <c r="E155">
        <v>0.53</v>
      </c>
      <c r="F155">
        <v>0.54</v>
      </c>
      <c r="G155">
        <v>0.06</v>
      </c>
      <c r="H155">
        <v>0.36</v>
      </c>
      <c r="I155">
        <v>0.64</v>
      </c>
      <c r="J155">
        <v>0.52</v>
      </c>
      <c r="K155">
        <v>0.56000000000000005</v>
      </c>
      <c r="L155" t="s">
        <v>1</v>
      </c>
      <c r="M155" t="s">
        <v>21</v>
      </c>
    </row>
    <row r="156" spans="1:13" x14ac:dyDescent="0.45">
      <c r="A156" t="s">
        <v>0</v>
      </c>
      <c r="B156" t="s">
        <v>144</v>
      </c>
      <c r="C156">
        <v>2045</v>
      </c>
      <c r="D156">
        <v>63</v>
      </c>
      <c r="E156">
        <v>0.52</v>
      </c>
      <c r="F156">
        <v>0.53</v>
      </c>
      <c r="G156">
        <v>7.0000000000000007E-2</v>
      </c>
      <c r="H156">
        <v>0.34</v>
      </c>
      <c r="I156">
        <v>0.64</v>
      </c>
      <c r="J156">
        <v>0.51</v>
      </c>
      <c r="K156">
        <v>0.56000000000000005</v>
      </c>
      <c r="L156" t="s">
        <v>1</v>
      </c>
      <c r="M156" t="s">
        <v>21</v>
      </c>
    </row>
    <row r="157" spans="1:13" x14ac:dyDescent="0.45">
      <c r="A157" t="s">
        <v>0</v>
      </c>
      <c r="B157" t="s">
        <v>144</v>
      </c>
      <c r="C157">
        <v>2050</v>
      </c>
      <c r="D157">
        <v>63</v>
      </c>
      <c r="E157">
        <v>0.51</v>
      </c>
      <c r="F157">
        <v>0.53</v>
      </c>
      <c r="G157">
        <v>7.0000000000000007E-2</v>
      </c>
      <c r="H157">
        <v>0.33</v>
      </c>
      <c r="I157">
        <v>0.64</v>
      </c>
      <c r="J157">
        <v>0.48</v>
      </c>
      <c r="K157">
        <v>0.56000000000000005</v>
      </c>
      <c r="L157" t="s">
        <v>1</v>
      </c>
      <c r="M157" t="s">
        <v>21</v>
      </c>
    </row>
    <row r="158" spans="1:13" x14ac:dyDescent="0.45">
      <c r="A158" t="s">
        <v>2</v>
      </c>
      <c r="B158" t="s">
        <v>144</v>
      </c>
      <c r="C158">
        <v>2020</v>
      </c>
      <c r="D158">
        <v>97</v>
      </c>
      <c r="E158">
        <v>0.6</v>
      </c>
      <c r="F158">
        <v>0.6</v>
      </c>
      <c r="G158">
        <v>0.03</v>
      </c>
      <c r="H158">
        <v>0.54</v>
      </c>
      <c r="I158">
        <v>0.65</v>
      </c>
      <c r="J158">
        <v>0.56999999999999995</v>
      </c>
      <c r="K158">
        <v>0.63</v>
      </c>
      <c r="L158" t="s">
        <v>3</v>
      </c>
      <c r="M158" t="s">
        <v>21</v>
      </c>
    </row>
    <row r="159" spans="1:13" x14ac:dyDescent="0.45">
      <c r="A159" t="s">
        <v>2</v>
      </c>
      <c r="B159" t="s">
        <v>144</v>
      </c>
      <c r="C159">
        <v>2025</v>
      </c>
      <c r="D159">
        <v>86</v>
      </c>
      <c r="E159">
        <v>0.59</v>
      </c>
      <c r="F159">
        <v>0.59</v>
      </c>
      <c r="G159">
        <v>0.05</v>
      </c>
      <c r="H159">
        <v>0.26</v>
      </c>
      <c r="I159">
        <v>0.69</v>
      </c>
      <c r="J159">
        <v>0.56000000000000005</v>
      </c>
      <c r="K159">
        <v>0.63</v>
      </c>
      <c r="L159" t="s">
        <v>3</v>
      </c>
      <c r="M159" t="s">
        <v>21</v>
      </c>
    </row>
    <row r="160" spans="1:13" x14ac:dyDescent="0.45">
      <c r="A160" t="s">
        <v>2</v>
      </c>
      <c r="B160" t="s">
        <v>144</v>
      </c>
      <c r="C160">
        <v>2030</v>
      </c>
      <c r="D160">
        <v>97</v>
      </c>
      <c r="E160">
        <v>0.57999999999999996</v>
      </c>
      <c r="F160">
        <v>0.59</v>
      </c>
      <c r="G160">
        <v>0.06</v>
      </c>
      <c r="H160">
        <v>0.23</v>
      </c>
      <c r="I160">
        <v>0.67</v>
      </c>
      <c r="J160">
        <v>0.56000000000000005</v>
      </c>
      <c r="K160">
        <v>0.62</v>
      </c>
      <c r="L160" t="s">
        <v>3</v>
      </c>
      <c r="M160" t="s">
        <v>21</v>
      </c>
    </row>
    <row r="161" spans="1:13" x14ac:dyDescent="0.45">
      <c r="A161" t="s">
        <v>2</v>
      </c>
      <c r="B161" t="s">
        <v>144</v>
      </c>
      <c r="C161">
        <v>2035</v>
      </c>
      <c r="D161">
        <v>86</v>
      </c>
      <c r="E161">
        <v>0.55000000000000004</v>
      </c>
      <c r="F161">
        <v>0.56000000000000005</v>
      </c>
      <c r="G161">
        <v>0.05</v>
      </c>
      <c r="H161">
        <v>0.4</v>
      </c>
      <c r="I161">
        <v>0.66</v>
      </c>
      <c r="J161">
        <v>0.53</v>
      </c>
      <c r="K161">
        <v>0.6</v>
      </c>
      <c r="L161" t="s">
        <v>3</v>
      </c>
      <c r="M161" t="s">
        <v>21</v>
      </c>
    </row>
    <row r="162" spans="1:13" x14ac:dyDescent="0.45">
      <c r="A162" t="s">
        <v>2</v>
      </c>
      <c r="B162" t="s">
        <v>144</v>
      </c>
      <c r="C162">
        <v>2040</v>
      </c>
      <c r="D162">
        <v>97</v>
      </c>
      <c r="E162">
        <v>0.54</v>
      </c>
      <c r="F162">
        <v>0.54</v>
      </c>
      <c r="G162">
        <v>0.06</v>
      </c>
      <c r="H162">
        <v>0.36</v>
      </c>
      <c r="I162">
        <v>0.65</v>
      </c>
      <c r="J162">
        <v>0.52</v>
      </c>
      <c r="K162">
        <v>0.57999999999999996</v>
      </c>
      <c r="L162" t="s">
        <v>3</v>
      </c>
      <c r="M162" t="s">
        <v>21</v>
      </c>
    </row>
    <row r="163" spans="1:13" x14ac:dyDescent="0.45">
      <c r="A163" t="s">
        <v>2</v>
      </c>
      <c r="B163" t="s">
        <v>144</v>
      </c>
      <c r="C163">
        <v>2045</v>
      </c>
      <c r="D163">
        <v>86</v>
      </c>
      <c r="E163">
        <v>0.53</v>
      </c>
      <c r="F163">
        <v>0.53</v>
      </c>
      <c r="G163">
        <v>0.06</v>
      </c>
      <c r="H163">
        <v>0.33</v>
      </c>
      <c r="I163">
        <v>0.65</v>
      </c>
      <c r="J163">
        <v>0.5</v>
      </c>
      <c r="K163">
        <v>0.56000000000000005</v>
      </c>
      <c r="L163" t="s">
        <v>3</v>
      </c>
      <c r="M163" t="s">
        <v>21</v>
      </c>
    </row>
    <row r="164" spans="1:13" x14ac:dyDescent="0.45">
      <c r="A164" t="s">
        <v>2</v>
      </c>
      <c r="B164" t="s">
        <v>144</v>
      </c>
      <c r="C164">
        <v>2050</v>
      </c>
      <c r="D164">
        <v>97</v>
      </c>
      <c r="E164">
        <v>0.52</v>
      </c>
      <c r="F164">
        <v>0.54</v>
      </c>
      <c r="G164">
        <v>0.06</v>
      </c>
      <c r="H164">
        <v>0.32</v>
      </c>
      <c r="I164">
        <v>0.64</v>
      </c>
      <c r="J164">
        <v>0.49</v>
      </c>
      <c r="K164">
        <v>0.56000000000000005</v>
      </c>
      <c r="L164" t="s">
        <v>3</v>
      </c>
      <c r="M164" t="s">
        <v>21</v>
      </c>
    </row>
    <row r="165" spans="1:13" x14ac:dyDescent="0.45">
      <c r="A165" t="s">
        <v>5</v>
      </c>
      <c r="B165" t="s">
        <v>144</v>
      </c>
      <c r="C165">
        <v>2020</v>
      </c>
      <c r="D165">
        <v>218</v>
      </c>
      <c r="E165">
        <v>0.6</v>
      </c>
      <c r="F165">
        <v>0.6</v>
      </c>
      <c r="G165">
        <v>0.02</v>
      </c>
      <c r="H165">
        <v>0.54</v>
      </c>
      <c r="I165">
        <v>0.65</v>
      </c>
      <c r="J165">
        <v>0.57999999999999996</v>
      </c>
      <c r="K165">
        <v>0.62</v>
      </c>
      <c r="L165" t="s">
        <v>6</v>
      </c>
      <c r="M165" t="s">
        <v>21</v>
      </c>
    </row>
    <row r="166" spans="1:13" x14ac:dyDescent="0.45">
      <c r="A166" t="s">
        <v>5</v>
      </c>
      <c r="B166" t="s">
        <v>144</v>
      </c>
      <c r="C166">
        <v>2025</v>
      </c>
      <c r="D166">
        <v>195</v>
      </c>
      <c r="E166">
        <v>0.59</v>
      </c>
      <c r="F166">
        <v>0.6</v>
      </c>
      <c r="G166">
        <v>0.11</v>
      </c>
      <c r="H166">
        <v>0</v>
      </c>
      <c r="I166">
        <v>0.76</v>
      </c>
      <c r="J166">
        <v>0.56999999999999995</v>
      </c>
      <c r="K166">
        <v>0.63</v>
      </c>
      <c r="L166" t="s">
        <v>6</v>
      </c>
      <c r="M166" t="s">
        <v>21</v>
      </c>
    </row>
    <row r="167" spans="1:13" x14ac:dyDescent="0.45">
      <c r="A167" t="s">
        <v>5</v>
      </c>
      <c r="B167" t="s">
        <v>144</v>
      </c>
      <c r="C167">
        <v>2030</v>
      </c>
      <c r="D167">
        <v>218</v>
      </c>
      <c r="E167">
        <v>0.57999999999999996</v>
      </c>
      <c r="F167">
        <v>0.6</v>
      </c>
      <c r="G167">
        <v>0.11</v>
      </c>
      <c r="H167">
        <v>0</v>
      </c>
      <c r="I167">
        <v>0.76</v>
      </c>
      <c r="J167">
        <v>0.56000000000000005</v>
      </c>
      <c r="K167">
        <v>0.63</v>
      </c>
      <c r="L167" t="s">
        <v>6</v>
      </c>
      <c r="M167" t="s">
        <v>21</v>
      </c>
    </row>
    <row r="168" spans="1:13" x14ac:dyDescent="0.45">
      <c r="A168" t="s">
        <v>5</v>
      </c>
      <c r="B168" t="s">
        <v>144</v>
      </c>
      <c r="C168">
        <v>2035</v>
      </c>
      <c r="D168">
        <v>195</v>
      </c>
      <c r="E168">
        <v>0.56999999999999995</v>
      </c>
      <c r="F168">
        <v>0.56999999999999995</v>
      </c>
      <c r="G168">
        <v>0.06</v>
      </c>
      <c r="H168">
        <v>0.41</v>
      </c>
      <c r="I168">
        <v>0.66</v>
      </c>
      <c r="J168">
        <v>0.53</v>
      </c>
      <c r="K168">
        <v>0.6</v>
      </c>
      <c r="L168" t="s">
        <v>6</v>
      </c>
      <c r="M168" t="s">
        <v>21</v>
      </c>
    </row>
    <row r="169" spans="1:13" x14ac:dyDescent="0.45">
      <c r="A169" t="s">
        <v>5</v>
      </c>
      <c r="B169" t="s">
        <v>144</v>
      </c>
      <c r="C169">
        <v>2040</v>
      </c>
      <c r="D169">
        <v>218</v>
      </c>
      <c r="E169">
        <v>0.56000000000000005</v>
      </c>
      <c r="F169">
        <v>0.54</v>
      </c>
      <c r="G169">
        <v>7.0000000000000007E-2</v>
      </c>
      <c r="H169">
        <v>0.35</v>
      </c>
      <c r="I169">
        <v>0.68</v>
      </c>
      <c r="J169">
        <v>0.52</v>
      </c>
      <c r="K169">
        <v>0.6</v>
      </c>
      <c r="L169" t="s">
        <v>6</v>
      </c>
      <c r="M169" t="s">
        <v>21</v>
      </c>
    </row>
    <row r="170" spans="1:13" x14ac:dyDescent="0.45">
      <c r="A170" t="s">
        <v>5</v>
      </c>
      <c r="B170" t="s">
        <v>144</v>
      </c>
      <c r="C170">
        <v>2045</v>
      </c>
      <c r="D170">
        <v>195</v>
      </c>
      <c r="E170">
        <v>0.53</v>
      </c>
      <c r="F170">
        <v>0.52</v>
      </c>
      <c r="G170">
        <v>0.06</v>
      </c>
      <c r="H170">
        <v>0.32</v>
      </c>
      <c r="I170">
        <v>0.65</v>
      </c>
      <c r="J170">
        <v>0.5</v>
      </c>
      <c r="K170">
        <v>0.56000000000000005</v>
      </c>
      <c r="L170" t="s">
        <v>6</v>
      </c>
      <c r="M170" t="s">
        <v>21</v>
      </c>
    </row>
    <row r="171" spans="1:13" x14ac:dyDescent="0.45">
      <c r="A171" t="s">
        <v>5</v>
      </c>
      <c r="B171" t="s">
        <v>144</v>
      </c>
      <c r="C171">
        <v>2050</v>
      </c>
      <c r="D171">
        <v>218</v>
      </c>
      <c r="E171">
        <v>0.53</v>
      </c>
      <c r="F171">
        <v>0.53</v>
      </c>
      <c r="G171">
        <v>7.0000000000000007E-2</v>
      </c>
      <c r="H171">
        <v>0.3</v>
      </c>
      <c r="I171">
        <v>0.71</v>
      </c>
      <c r="J171">
        <v>0.49</v>
      </c>
      <c r="K171">
        <v>0.56999999999999995</v>
      </c>
      <c r="L171" t="s">
        <v>6</v>
      </c>
      <c r="M171" t="s">
        <v>21</v>
      </c>
    </row>
    <row r="172" spans="1:13" x14ac:dyDescent="0.45">
      <c r="A172" t="s">
        <v>7</v>
      </c>
      <c r="B172" t="s">
        <v>144</v>
      </c>
      <c r="C172">
        <v>2020</v>
      </c>
      <c r="D172">
        <v>102</v>
      </c>
      <c r="E172">
        <v>0.59</v>
      </c>
      <c r="F172">
        <v>0.59</v>
      </c>
      <c r="G172">
        <v>0.02</v>
      </c>
      <c r="H172">
        <v>0.54</v>
      </c>
      <c r="I172">
        <v>0.64</v>
      </c>
      <c r="J172">
        <v>0.56999999999999995</v>
      </c>
      <c r="K172">
        <v>0.6</v>
      </c>
      <c r="L172" t="s">
        <v>8</v>
      </c>
      <c r="M172" t="s">
        <v>21</v>
      </c>
    </row>
    <row r="173" spans="1:13" x14ac:dyDescent="0.45">
      <c r="A173" t="s">
        <v>7</v>
      </c>
      <c r="B173" t="s">
        <v>144</v>
      </c>
      <c r="C173">
        <v>2025</v>
      </c>
      <c r="D173">
        <v>96</v>
      </c>
      <c r="E173">
        <v>0.57999999999999996</v>
      </c>
      <c r="F173">
        <v>0.59</v>
      </c>
      <c r="G173">
        <v>0.12</v>
      </c>
      <c r="H173">
        <v>0</v>
      </c>
      <c r="I173">
        <v>0.78</v>
      </c>
      <c r="J173">
        <v>0.57999999999999996</v>
      </c>
      <c r="K173">
        <v>0.61</v>
      </c>
      <c r="L173" t="s">
        <v>8</v>
      </c>
      <c r="M173" t="s">
        <v>21</v>
      </c>
    </row>
    <row r="174" spans="1:13" x14ac:dyDescent="0.45">
      <c r="A174" t="s">
        <v>7</v>
      </c>
      <c r="B174" t="s">
        <v>144</v>
      </c>
      <c r="C174">
        <v>2030</v>
      </c>
      <c r="D174">
        <v>102</v>
      </c>
      <c r="E174">
        <v>0.57999999999999996</v>
      </c>
      <c r="F174">
        <v>0.59</v>
      </c>
      <c r="G174">
        <v>0.12</v>
      </c>
      <c r="H174">
        <v>0</v>
      </c>
      <c r="I174">
        <v>0.77</v>
      </c>
      <c r="J174">
        <v>0.56999999999999995</v>
      </c>
      <c r="K174">
        <v>0.62</v>
      </c>
      <c r="L174" t="s">
        <v>8</v>
      </c>
      <c r="M174" t="s">
        <v>21</v>
      </c>
    </row>
    <row r="175" spans="1:13" x14ac:dyDescent="0.45">
      <c r="A175" t="s">
        <v>7</v>
      </c>
      <c r="B175" t="s">
        <v>144</v>
      </c>
      <c r="C175">
        <v>2035</v>
      </c>
      <c r="D175">
        <v>96</v>
      </c>
      <c r="E175">
        <v>0.59</v>
      </c>
      <c r="F175">
        <v>0.57999999999999996</v>
      </c>
      <c r="G175">
        <v>0.04</v>
      </c>
      <c r="H175">
        <v>0.51</v>
      </c>
      <c r="I175">
        <v>0.67</v>
      </c>
      <c r="J175">
        <v>0.56999999999999995</v>
      </c>
      <c r="K175">
        <v>0.61</v>
      </c>
      <c r="L175" t="s">
        <v>8</v>
      </c>
      <c r="M175" t="s">
        <v>21</v>
      </c>
    </row>
    <row r="176" spans="1:13" x14ac:dyDescent="0.45">
      <c r="A176" t="s">
        <v>7</v>
      </c>
      <c r="B176" t="s">
        <v>144</v>
      </c>
      <c r="C176">
        <v>2040</v>
      </c>
      <c r="D176">
        <v>102</v>
      </c>
      <c r="E176">
        <v>0.57999999999999996</v>
      </c>
      <c r="F176">
        <v>0.57999999999999996</v>
      </c>
      <c r="G176">
        <v>0.05</v>
      </c>
      <c r="H176">
        <v>0.46</v>
      </c>
      <c r="I176">
        <v>0.68</v>
      </c>
      <c r="J176">
        <v>0.54</v>
      </c>
      <c r="K176">
        <v>0.62</v>
      </c>
      <c r="L176" t="s">
        <v>8</v>
      </c>
      <c r="M176" t="s">
        <v>21</v>
      </c>
    </row>
    <row r="177" spans="1:13" x14ac:dyDescent="0.45">
      <c r="A177" t="s">
        <v>7</v>
      </c>
      <c r="B177" t="s">
        <v>144</v>
      </c>
      <c r="C177">
        <v>2045</v>
      </c>
      <c r="D177">
        <v>96</v>
      </c>
      <c r="E177">
        <v>0.56000000000000005</v>
      </c>
      <c r="F177">
        <v>0.56000000000000005</v>
      </c>
      <c r="G177">
        <v>0.06</v>
      </c>
      <c r="H177">
        <v>0.46</v>
      </c>
      <c r="I177">
        <v>0.65</v>
      </c>
      <c r="J177">
        <v>0.52</v>
      </c>
      <c r="K177">
        <v>0.62</v>
      </c>
      <c r="L177" t="s">
        <v>8</v>
      </c>
      <c r="M177" t="s">
        <v>21</v>
      </c>
    </row>
    <row r="178" spans="1:13" x14ac:dyDescent="0.45">
      <c r="A178" t="s">
        <v>7</v>
      </c>
      <c r="B178" t="s">
        <v>144</v>
      </c>
      <c r="C178">
        <v>2050</v>
      </c>
      <c r="D178">
        <v>102</v>
      </c>
      <c r="E178">
        <v>0.56999999999999995</v>
      </c>
      <c r="F178">
        <v>0.54</v>
      </c>
      <c r="G178">
        <v>7.0000000000000007E-2</v>
      </c>
      <c r="H178">
        <v>0.46</v>
      </c>
      <c r="I178">
        <v>0.71</v>
      </c>
      <c r="J178">
        <v>0.52</v>
      </c>
      <c r="K178">
        <v>0.64</v>
      </c>
      <c r="L178" t="s">
        <v>8</v>
      </c>
      <c r="M178" t="s">
        <v>21</v>
      </c>
    </row>
    <row r="179" spans="1:13" x14ac:dyDescent="0.45">
      <c r="A179" t="s">
        <v>9</v>
      </c>
      <c r="B179" t="s">
        <v>144</v>
      </c>
      <c r="C179">
        <v>2020</v>
      </c>
      <c r="D179">
        <v>58</v>
      </c>
      <c r="E179">
        <v>0.6</v>
      </c>
      <c r="F179">
        <v>0.61</v>
      </c>
      <c r="G179">
        <v>0.03</v>
      </c>
      <c r="H179">
        <v>0.54</v>
      </c>
      <c r="I179">
        <v>0.64</v>
      </c>
      <c r="J179">
        <v>0.57999999999999996</v>
      </c>
      <c r="K179">
        <v>0.62</v>
      </c>
      <c r="L179" t="s">
        <v>10</v>
      </c>
      <c r="M179" t="s">
        <v>21</v>
      </c>
    </row>
    <row r="180" spans="1:13" x14ac:dyDescent="0.45">
      <c r="A180" t="s">
        <v>9</v>
      </c>
      <c r="B180" t="s">
        <v>144</v>
      </c>
      <c r="C180">
        <v>2025</v>
      </c>
      <c r="D180">
        <v>53</v>
      </c>
      <c r="E180">
        <v>0.6</v>
      </c>
      <c r="F180">
        <v>0.61</v>
      </c>
      <c r="G180">
        <v>0.04</v>
      </c>
      <c r="H180">
        <v>0.42</v>
      </c>
      <c r="I180">
        <v>0.65</v>
      </c>
      <c r="J180">
        <v>0.59</v>
      </c>
      <c r="K180">
        <v>0.63</v>
      </c>
      <c r="L180" t="s">
        <v>10</v>
      </c>
      <c r="M180" t="s">
        <v>21</v>
      </c>
    </row>
    <row r="181" spans="1:13" x14ac:dyDescent="0.45">
      <c r="A181" t="s">
        <v>9</v>
      </c>
      <c r="B181" t="s">
        <v>144</v>
      </c>
      <c r="C181">
        <v>2030</v>
      </c>
      <c r="D181">
        <v>58</v>
      </c>
      <c r="E181">
        <v>0.6</v>
      </c>
      <c r="F181">
        <v>0.61</v>
      </c>
      <c r="G181">
        <v>0.04</v>
      </c>
      <c r="H181">
        <v>0.48</v>
      </c>
      <c r="I181">
        <v>0.65</v>
      </c>
      <c r="J181">
        <v>0.59</v>
      </c>
      <c r="K181">
        <v>0.63</v>
      </c>
      <c r="L181" t="s">
        <v>10</v>
      </c>
      <c r="M181" t="s">
        <v>21</v>
      </c>
    </row>
    <row r="182" spans="1:13" x14ac:dyDescent="0.45">
      <c r="A182" t="s">
        <v>9</v>
      </c>
      <c r="B182" t="s">
        <v>144</v>
      </c>
      <c r="C182">
        <v>2035</v>
      </c>
      <c r="D182">
        <v>53</v>
      </c>
      <c r="E182">
        <v>0.57999999999999996</v>
      </c>
      <c r="F182">
        <v>0.59</v>
      </c>
      <c r="G182">
        <v>0.04</v>
      </c>
      <c r="H182">
        <v>0.46</v>
      </c>
      <c r="I182">
        <v>0.65</v>
      </c>
      <c r="J182">
        <v>0.56999999999999995</v>
      </c>
      <c r="K182">
        <v>0.61</v>
      </c>
      <c r="L182" t="s">
        <v>10</v>
      </c>
      <c r="M182" t="s">
        <v>21</v>
      </c>
    </row>
    <row r="183" spans="1:13" x14ac:dyDescent="0.45">
      <c r="A183" t="s">
        <v>9</v>
      </c>
      <c r="B183" t="s">
        <v>144</v>
      </c>
      <c r="C183">
        <v>2040</v>
      </c>
      <c r="D183">
        <v>58</v>
      </c>
      <c r="E183">
        <v>0.57999999999999996</v>
      </c>
      <c r="F183">
        <v>0.57999999999999996</v>
      </c>
      <c r="G183">
        <v>0.05</v>
      </c>
      <c r="H183">
        <v>0.42</v>
      </c>
      <c r="I183">
        <v>0.68</v>
      </c>
      <c r="J183">
        <v>0.55000000000000004</v>
      </c>
      <c r="K183">
        <v>0.61</v>
      </c>
      <c r="L183" t="s">
        <v>10</v>
      </c>
      <c r="M183" t="s">
        <v>21</v>
      </c>
    </row>
    <row r="184" spans="1:13" x14ac:dyDescent="0.45">
      <c r="A184" t="s">
        <v>9</v>
      </c>
      <c r="B184" t="s">
        <v>144</v>
      </c>
      <c r="C184">
        <v>2045</v>
      </c>
      <c r="D184">
        <v>53</v>
      </c>
      <c r="E184">
        <v>0.55000000000000004</v>
      </c>
      <c r="F184">
        <v>0.54</v>
      </c>
      <c r="G184">
        <v>0.06</v>
      </c>
      <c r="H184">
        <v>0.4</v>
      </c>
      <c r="I184">
        <v>0.68</v>
      </c>
      <c r="J184">
        <v>0.53</v>
      </c>
      <c r="K184">
        <v>0.59</v>
      </c>
      <c r="L184" t="s">
        <v>10</v>
      </c>
      <c r="M184" t="s">
        <v>21</v>
      </c>
    </row>
    <row r="185" spans="1:13" x14ac:dyDescent="0.45">
      <c r="A185" t="s">
        <v>9</v>
      </c>
      <c r="B185" t="s">
        <v>144</v>
      </c>
      <c r="C185">
        <v>2050</v>
      </c>
      <c r="D185">
        <v>58</v>
      </c>
      <c r="E185">
        <v>0.55000000000000004</v>
      </c>
      <c r="F185">
        <v>0.54</v>
      </c>
      <c r="G185">
        <v>7.0000000000000007E-2</v>
      </c>
      <c r="H185">
        <v>0.39</v>
      </c>
      <c r="I185">
        <v>0.69</v>
      </c>
      <c r="J185">
        <v>0.51</v>
      </c>
      <c r="K185">
        <v>0.59</v>
      </c>
      <c r="L185" t="s">
        <v>10</v>
      </c>
      <c r="M185" t="s">
        <v>21</v>
      </c>
    </row>
    <row r="186" spans="1:13" x14ac:dyDescent="0.45">
      <c r="A186" t="s">
        <v>0</v>
      </c>
      <c r="B186" t="s">
        <v>144</v>
      </c>
      <c r="C186">
        <v>2020</v>
      </c>
      <c r="D186">
        <v>63</v>
      </c>
      <c r="E186">
        <v>0.03</v>
      </c>
      <c r="F186">
        <v>0.03</v>
      </c>
      <c r="G186">
        <v>0.01</v>
      </c>
      <c r="H186">
        <v>0.02</v>
      </c>
      <c r="I186">
        <v>0.06</v>
      </c>
      <c r="J186">
        <v>0.03</v>
      </c>
      <c r="K186">
        <v>0.04</v>
      </c>
      <c r="L186" t="s">
        <v>1</v>
      </c>
      <c r="M186" t="s">
        <v>23</v>
      </c>
    </row>
    <row r="187" spans="1:13" x14ac:dyDescent="0.45">
      <c r="A187" t="s">
        <v>0</v>
      </c>
      <c r="B187" t="s">
        <v>144</v>
      </c>
      <c r="C187">
        <v>2025</v>
      </c>
      <c r="D187">
        <v>63</v>
      </c>
      <c r="E187">
        <v>0.06</v>
      </c>
      <c r="F187">
        <v>0.06</v>
      </c>
      <c r="G187">
        <v>0.02</v>
      </c>
      <c r="H187">
        <v>0.02</v>
      </c>
      <c r="I187">
        <v>0.1</v>
      </c>
      <c r="J187">
        <v>0.05</v>
      </c>
      <c r="K187">
        <v>7.0000000000000007E-2</v>
      </c>
      <c r="L187" t="s">
        <v>1</v>
      </c>
      <c r="M187" t="s">
        <v>23</v>
      </c>
    </row>
    <row r="188" spans="1:13" x14ac:dyDescent="0.45">
      <c r="A188" t="s">
        <v>0</v>
      </c>
      <c r="B188" t="s">
        <v>144</v>
      </c>
      <c r="C188">
        <v>2030</v>
      </c>
      <c r="D188">
        <v>63</v>
      </c>
      <c r="E188">
        <v>0.09</v>
      </c>
      <c r="F188">
        <v>0.1</v>
      </c>
      <c r="G188">
        <v>0.03</v>
      </c>
      <c r="H188">
        <v>0.02</v>
      </c>
      <c r="I188">
        <v>0.16</v>
      </c>
      <c r="J188">
        <v>7.0000000000000007E-2</v>
      </c>
      <c r="K188">
        <v>0.11</v>
      </c>
      <c r="L188" t="s">
        <v>1</v>
      </c>
      <c r="M188" t="s">
        <v>23</v>
      </c>
    </row>
    <row r="189" spans="1:13" x14ac:dyDescent="0.45">
      <c r="A189" t="s">
        <v>0</v>
      </c>
      <c r="B189" t="s">
        <v>144</v>
      </c>
      <c r="C189">
        <v>2035</v>
      </c>
      <c r="D189">
        <v>63</v>
      </c>
      <c r="E189">
        <v>0.13</v>
      </c>
      <c r="F189">
        <v>0.14000000000000001</v>
      </c>
      <c r="G189">
        <v>0.05</v>
      </c>
      <c r="H189">
        <v>0.02</v>
      </c>
      <c r="I189">
        <v>0.22</v>
      </c>
      <c r="J189">
        <v>0.1</v>
      </c>
      <c r="K189">
        <v>0.16</v>
      </c>
      <c r="L189" t="s">
        <v>1</v>
      </c>
      <c r="M189" t="s">
        <v>23</v>
      </c>
    </row>
    <row r="190" spans="1:13" x14ac:dyDescent="0.45">
      <c r="A190" t="s">
        <v>0</v>
      </c>
      <c r="B190" t="s">
        <v>144</v>
      </c>
      <c r="C190">
        <v>2040</v>
      </c>
      <c r="D190">
        <v>63</v>
      </c>
      <c r="E190">
        <v>0.15</v>
      </c>
      <c r="F190">
        <v>0.17</v>
      </c>
      <c r="G190">
        <v>0.06</v>
      </c>
      <c r="H190">
        <v>0.03</v>
      </c>
      <c r="I190">
        <v>0.23</v>
      </c>
      <c r="J190">
        <v>0.12</v>
      </c>
      <c r="K190">
        <v>0.19</v>
      </c>
      <c r="L190" t="s">
        <v>1</v>
      </c>
      <c r="M190" t="s">
        <v>23</v>
      </c>
    </row>
    <row r="191" spans="1:13" x14ac:dyDescent="0.45">
      <c r="A191" t="s">
        <v>0</v>
      </c>
      <c r="B191" t="s">
        <v>144</v>
      </c>
      <c r="C191">
        <v>2045</v>
      </c>
      <c r="D191">
        <v>63</v>
      </c>
      <c r="E191">
        <v>0.16</v>
      </c>
      <c r="F191">
        <v>0.19</v>
      </c>
      <c r="G191">
        <v>0.06</v>
      </c>
      <c r="H191">
        <v>0.03</v>
      </c>
      <c r="I191">
        <v>0.25</v>
      </c>
      <c r="J191">
        <v>0.11</v>
      </c>
      <c r="K191">
        <v>0.2</v>
      </c>
      <c r="L191" t="s">
        <v>1</v>
      </c>
      <c r="M191" t="s">
        <v>23</v>
      </c>
    </row>
    <row r="192" spans="1:13" x14ac:dyDescent="0.45">
      <c r="A192" t="s">
        <v>0</v>
      </c>
      <c r="B192" t="s">
        <v>144</v>
      </c>
      <c r="C192">
        <v>2050</v>
      </c>
      <c r="D192">
        <v>63</v>
      </c>
      <c r="E192">
        <v>0.17</v>
      </c>
      <c r="F192">
        <v>0.2</v>
      </c>
      <c r="G192">
        <v>0.06</v>
      </c>
      <c r="H192">
        <v>0.03</v>
      </c>
      <c r="I192">
        <v>0.26</v>
      </c>
      <c r="J192">
        <v>0.11</v>
      </c>
      <c r="K192">
        <v>0.2</v>
      </c>
      <c r="L192" t="s">
        <v>1</v>
      </c>
      <c r="M192" t="s">
        <v>23</v>
      </c>
    </row>
    <row r="193" spans="1:13" x14ac:dyDescent="0.45">
      <c r="A193" t="s">
        <v>2</v>
      </c>
      <c r="B193" t="s">
        <v>144</v>
      </c>
      <c r="C193">
        <v>2020</v>
      </c>
      <c r="D193">
        <v>100</v>
      </c>
      <c r="E193">
        <v>0.03</v>
      </c>
      <c r="F193">
        <v>0.03</v>
      </c>
      <c r="G193">
        <v>0.01</v>
      </c>
      <c r="H193">
        <v>0.01</v>
      </c>
      <c r="I193">
        <v>0.06</v>
      </c>
      <c r="J193">
        <v>0.03</v>
      </c>
      <c r="K193">
        <v>0.04</v>
      </c>
      <c r="L193" t="s">
        <v>3</v>
      </c>
      <c r="M193" t="s">
        <v>23</v>
      </c>
    </row>
    <row r="194" spans="1:13" x14ac:dyDescent="0.45">
      <c r="A194" t="s">
        <v>2</v>
      </c>
      <c r="B194" t="s">
        <v>144</v>
      </c>
      <c r="C194">
        <v>2025</v>
      </c>
      <c r="D194">
        <v>89</v>
      </c>
      <c r="E194">
        <v>0.06</v>
      </c>
      <c r="F194">
        <v>0.06</v>
      </c>
      <c r="G194">
        <v>0.06</v>
      </c>
      <c r="H194">
        <v>0.01</v>
      </c>
      <c r="I194">
        <v>0.59</v>
      </c>
      <c r="J194">
        <v>0.05</v>
      </c>
      <c r="K194">
        <v>7.0000000000000007E-2</v>
      </c>
      <c r="L194" t="s">
        <v>3</v>
      </c>
      <c r="M194" t="s">
        <v>23</v>
      </c>
    </row>
    <row r="195" spans="1:13" x14ac:dyDescent="0.45">
      <c r="A195" t="s">
        <v>2</v>
      </c>
      <c r="B195" t="s">
        <v>144</v>
      </c>
      <c r="C195">
        <v>2030</v>
      </c>
      <c r="D195">
        <v>100</v>
      </c>
      <c r="E195">
        <v>0.1</v>
      </c>
      <c r="F195">
        <v>0.09</v>
      </c>
      <c r="G195">
        <v>7.0000000000000007E-2</v>
      </c>
      <c r="H195">
        <v>0.01</v>
      </c>
      <c r="I195">
        <v>0.7</v>
      </c>
      <c r="J195">
        <v>0.06</v>
      </c>
      <c r="K195">
        <v>0.12</v>
      </c>
      <c r="L195" t="s">
        <v>3</v>
      </c>
      <c r="M195" t="s">
        <v>23</v>
      </c>
    </row>
    <row r="196" spans="1:13" x14ac:dyDescent="0.45">
      <c r="A196" t="s">
        <v>2</v>
      </c>
      <c r="B196" t="s">
        <v>144</v>
      </c>
      <c r="C196">
        <v>2035</v>
      </c>
      <c r="D196">
        <v>89</v>
      </c>
      <c r="E196">
        <v>0.12</v>
      </c>
      <c r="F196">
        <v>0.12</v>
      </c>
      <c r="G196">
        <v>0.06</v>
      </c>
      <c r="H196">
        <v>0.01</v>
      </c>
      <c r="I196">
        <v>0.24</v>
      </c>
      <c r="J196">
        <v>7.0000000000000007E-2</v>
      </c>
      <c r="K196">
        <v>0.16</v>
      </c>
      <c r="L196" t="s">
        <v>3</v>
      </c>
      <c r="M196" t="s">
        <v>23</v>
      </c>
    </row>
    <row r="197" spans="1:13" x14ac:dyDescent="0.45">
      <c r="A197" t="s">
        <v>2</v>
      </c>
      <c r="B197" t="s">
        <v>144</v>
      </c>
      <c r="C197">
        <v>2040</v>
      </c>
      <c r="D197">
        <v>100</v>
      </c>
      <c r="E197">
        <v>0.15</v>
      </c>
      <c r="F197">
        <v>0.17</v>
      </c>
      <c r="G197">
        <v>7.0000000000000007E-2</v>
      </c>
      <c r="H197">
        <v>0.01</v>
      </c>
      <c r="I197">
        <v>0.27</v>
      </c>
      <c r="J197">
        <v>0.1</v>
      </c>
      <c r="K197">
        <v>0.22</v>
      </c>
      <c r="L197" t="s">
        <v>3</v>
      </c>
      <c r="M197" t="s">
        <v>23</v>
      </c>
    </row>
    <row r="198" spans="1:13" x14ac:dyDescent="0.45">
      <c r="A198" t="s">
        <v>2</v>
      </c>
      <c r="B198" t="s">
        <v>144</v>
      </c>
      <c r="C198">
        <v>2045</v>
      </c>
      <c r="D198">
        <v>89</v>
      </c>
      <c r="E198">
        <v>0.15</v>
      </c>
      <c r="F198">
        <v>0.17</v>
      </c>
      <c r="G198">
        <v>7.0000000000000007E-2</v>
      </c>
      <c r="H198">
        <v>0.01</v>
      </c>
      <c r="I198">
        <v>0.26</v>
      </c>
      <c r="J198">
        <v>0.08</v>
      </c>
      <c r="K198">
        <v>0.21</v>
      </c>
      <c r="L198" t="s">
        <v>3</v>
      </c>
      <c r="M198" t="s">
        <v>23</v>
      </c>
    </row>
    <row r="199" spans="1:13" x14ac:dyDescent="0.45">
      <c r="A199" t="s">
        <v>2</v>
      </c>
      <c r="B199" t="s">
        <v>144</v>
      </c>
      <c r="C199">
        <v>2050</v>
      </c>
      <c r="D199">
        <v>100</v>
      </c>
      <c r="E199">
        <v>0.16</v>
      </c>
      <c r="F199">
        <v>0.2</v>
      </c>
      <c r="G199">
        <v>7.0000000000000007E-2</v>
      </c>
      <c r="H199">
        <v>0</v>
      </c>
      <c r="I199">
        <v>0.28000000000000003</v>
      </c>
      <c r="J199">
        <v>0.11</v>
      </c>
      <c r="K199">
        <v>0.22</v>
      </c>
      <c r="L199" t="s">
        <v>3</v>
      </c>
      <c r="M199" t="s">
        <v>23</v>
      </c>
    </row>
    <row r="200" spans="1:13" x14ac:dyDescent="0.45">
      <c r="A200" t="s">
        <v>5</v>
      </c>
      <c r="B200" t="s">
        <v>144</v>
      </c>
      <c r="C200">
        <v>2020</v>
      </c>
      <c r="D200">
        <v>219</v>
      </c>
      <c r="E200">
        <v>0.03</v>
      </c>
      <c r="F200">
        <v>0.03</v>
      </c>
      <c r="G200">
        <v>0.01</v>
      </c>
      <c r="H200">
        <v>0.01</v>
      </c>
      <c r="I200">
        <v>0.06</v>
      </c>
      <c r="J200">
        <v>0.02</v>
      </c>
      <c r="K200">
        <v>0.04</v>
      </c>
      <c r="L200" t="s">
        <v>6</v>
      </c>
      <c r="M200" t="s">
        <v>23</v>
      </c>
    </row>
    <row r="201" spans="1:13" x14ac:dyDescent="0.45">
      <c r="A201" t="s">
        <v>5</v>
      </c>
      <c r="B201" t="s">
        <v>144</v>
      </c>
      <c r="C201">
        <v>2025</v>
      </c>
      <c r="D201">
        <v>196</v>
      </c>
      <c r="E201">
        <v>0.09</v>
      </c>
      <c r="F201">
        <v>0.06</v>
      </c>
      <c r="G201">
        <v>0.16</v>
      </c>
      <c r="H201">
        <v>0.01</v>
      </c>
      <c r="I201">
        <v>1</v>
      </c>
      <c r="J201">
        <v>0.05</v>
      </c>
      <c r="K201">
        <v>7.0000000000000007E-2</v>
      </c>
      <c r="L201" t="s">
        <v>6</v>
      </c>
      <c r="M201" t="s">
        <v>23</v>
      </c>
    </row>
    <row r="202" spans="1:13" x14ac:dyDescent="0.45">
      <c r="A202" t="s">
        <v>5</v>
      </c>
      <c r="B202" t="s">
        <v>144</v>
      </c>
      <c r="C202">
        <v>2030</v>
      </c>
      <c r="D202">
        <v>219</v>
      </c>
      <c r="E202">
        <v>0.11</v>
      </c>
      <c r="F202">
        <v>0.08</v>
      </c>
      <c r="G202">
        <v>0.16</v>
      </c>
      <c r="H202">
        <v>0.01</v>
      </c>
      <c r="I202">
        <v>1</v>
      </c>
      <c r="J202">
        <v>0.04</v>
      </c>
      <c r="K202">
        <v>0.11</v>
      </c>
      <c r="L202" t="s">
        <v>6</v>
      </c>
      <c r="M202" t="s">
        <v>23</v>
      </c>
    </row>
    <row r="203" spans="1:13" x14ac:dyDescent="0.45">
      <c r="A203" t="s">
        <v>5</v>
      </c>
      <c r="B203" t="s">
        <v>144</v>
      </c>
      <c r="C203">
        <v>2035</v>
      </c>
      <c r="D203">
        <v>196</v>
      </c>
      <c r="E203">
        <v>0.11</v>
      </c>
      <c r="F203">
        <v>0.11</v>
      </c>
      <c r="G203">
        <v>0.06</v>
      </c>
      <c r="H203">
        <v>0.01</v>
      </c>
      <c r="I203">
        <v>0.24</v>
      </c>
      <c r="J203">
        <v>0.06</v>
      </c>
      <c r="K203">
        <v>0.15</v>
      </c>
      <c r="L203" t="s">
        <v>6</v>
      </c>
      <c r="M203" t="s">
        <v>23</v>
      </c>
    </row>
    <row r="204" spans="1:13" x14ac:dyDescent="0.45">
      <c r="A204" t="s">
        <v>5</v>
      </c>
      <c r="B204" t="s">
        <v>144</v>
      </c>
      <c r="C204">
        <v>2040</v>
      </c>
      <c r="D204">
        <v>219</v>
      </c>
      <c r="E204">
        <v>0.13</v>
      </c>
      <c r="F204">
        <v>0.12</v>
      </c>
      <c r="G204">
        <v>0.08</v>
      </c>
      <c r="H204">
        <v>0.01</v>
      </c>
      <c r="I204">
        <v>0.27</v>
      </c>
      <c r="J204">
        <v>0.06</v>
      </c>
      <c r="K204">
        <v>0.18</v>
      </c>
      <c r="L204" t="s">
        <v>6</v>
      </c>
      <c r="M204" t="s">
        <v>23</v>
      </c>
    </row>
    <row r="205" spans="1:13" x14ac:dyDescent="0.45">
      <c r="A205" t="s">
        <v>5</v>
      </c>
      <c r="B205" t="s">
        <v>144</v>
      </c>
      <c r="C205">
        <v>2045</v>
      </c>
      <c r="D205">
        <v>196</v>
      </c>
      <c r="E205">
        <v>0.15</v>
      </c>
      <c r="F205">
        <v>0.18</v>
      </c>
      <c r="G205">
        <v>0.08</v>
      </c>
      <c r="H205">
        <v>0.01</v>
      </c>
      <c r="I205">
        <v>0.27</v>
      </c>
      <c r="J205">
        <v>7.0000000000000007E-2</v>
      </c>
      <c r="K205">
        <v>0.2</v>
      </c>
      <c r="L205" t="s">
        <v>6</v>
      </c>
      <c r="M205" t="s">
        <v>23</v>
      </c>
    </row>
    <row r="206" spans="1:13" x14ac:dyDescent="0.45">
      <c r="A206" t="s">
        <v>5</v>
      </c>
      <c r="B206" t="s">
        <v>144</v>
      </c>
      <c r="C206">
        <v>2050</v>
      </c>
      <c r="D206">
        <v>219</v>
      </c>
      <c r="E206">
        <v>0.15</v>
      </c>
      <c r="F206">
        <v>0.19</v>
      </c>
      <c r="G206">
        <v>0.08</v>
      </c>
      <c r="H206">
        <v>0</v>
      </c>
      <c r="I206">
        <v>0.28999999999999998</v>
      </c>
      <c r="J206">
        <v>7.0000000000000007E-2</v>
      </c>
      <c r="K206">
        <v>0.21</v>
      </c>
      <c r="L206" t="s">
        <v>6</v>
      </c>
      <c r="M206" t="s">
        <v>23</v>
      </c>
    </row>
    <row r="207" spans="1:13" x14ac:dyDescent="0.45">
      <c r="A207" t="s">
        <v>7</v>
      </c>
      <c r="B207" t="s">
        <v>144</v>
      </c>
      <c r="C207">
        <v>2020</v>
      </c>
      <c r="D207">
        <v>102</v>
      </c>
      <c r="E207">
        <v>0.03</v>
      </c>
      <c r="F207">
        <v>0.03</v>
      </c>
      <c r="G207">
        <v>0.01</v>
      </c>
      <c r="H207">
        <v>0.01</v>
      </c>
      <c r="I207">
        <v>0.06</v>
      </c>
      <c r="J207">
        <v>0.02</v>
      </c>
      <c r="K207">
        <v>0.04</v>
      </c>
      <c r="L207" t="s">
        <v>8</v>
      </c>
      <c r="M207" t="s">
        <v>23</v>
      </c>
    </row>
    <row r="208" spans="1:13" x14ac:dyDescent="0.45">
      <c r="A208" t="s">
        <v>7</v>
      </c>
      <c r="B208" t="s">
        <v>144</v>
      </c>
      <c r="C208">
        <v>2025</v>
      </c>
      <c r="D208">
        <v>96</v>
      </c>
      <c r="E208">
        <v>0.08</v>
      </c>
      <c r="F208">
        <v>0.05</v>
      </c>
      <c r="G208">
        <v>0.18</v>
      </c>
      <c r="H208">
        <v>0.01</v>
      </c>
      <c r="I208">
        <v>1</v>
      </c>
      <c r="J208">
        <v>0.02</v>
      </c>
      <c r="K208">
        <v>7.0000000000000007E-2</v>
      </c>
      <c r="L208" t="s">
        <v>8</v>
      </c>
      <c r="M208" t="s">
        <v>23</v>
      </c>
    </row>
    <row r="209" spans="1:13" x14ac:dyDescent="0.45">
      <c r="A209" t="s">
        <v>7</v>
      </c>
      <c r="B209" t="s">
        <v>144</v>
      </c>
      <c r="C209">
        <v>2030</v>
      </c>
      <c r="D209">
        <v>102</v>
      </c>
      <c r="E209">
        <v>0.09</v>
      </c>
      <c r="F209">
        <v>0.04</v>
      </c>
      <c r="G209">
        <v>0.18</v>
      </c>
      <c r="H209">
        <v>0.01</v>
      </c>
      <c r="I209">
        <v>1</v>
      </c>
      <c r="J209">
        <v>0.03</v>
      </c>
      <c r="K209">
        <v>0.08</v>
      </c>
      <c r="L209" t="s">
        <v>8</v>
      </c>
      <c r="M209" t="s">
        <v>23</v>
      </c>
    </row>
    <row r="210" spans="1:13" x14ac:dyDescent="0.45">
      <c r="A210" t="s">
        <v>7</v>
      </c>
      <c r="B210" t="s">
        <v>144</v>
      </c>
      <c r="C210">
        <v>2035</v>
      </c>
      <c r="D210">
        <v>96</v>
      </c>
      <c r="E210">
        <v>7.0000000000000007E-2</v>
      </c>
      <c r="F210">
        <v>0.06</v>
      </c>
      <c r="G210">
        <v>0.05</v>
      </c>
      <c r="H210">
        <v>0.01</v>
      </c>
      <c r="I210">
        <v>0.24</v>
      </c>
      <c r="J210">
        <v>0.03</v>
      </c>
      <c r="K210">
        <v>0.09</v>
      </c>
      <c r="L210" t="s">
        <v>8</v>
      </c>
      <c r="M210" t="s">
        <v>23</v>
      </c>
    </row>
    <row r="211" spans="1:13" x14ac:dyDescent="0.45">
      <c r="A211" t="s">
        <v>7</v>
      </c>
      <c r="B211" t="s">
        <v>144</v>
      </c>
      <c r="C211">
        <v>2040</v>
      </c>
      <c r="D211">
        <v>102</v>
      </c>
      <c r="E211">
        <v>0.09</v>
      </c>
      <c r="F211">
        <v>7.0000000000000007E-2</v>
      </c>
      <c r="G211">
        <v>7.0000000000000007E-2</v>
      </c>
      <c r="H211">
        <v>0.01</v>
      </c>
      <c r="I211">
        <v>0.27</v>
      </c>
      <c r="J211">
        <v>0.03</v>
      </c>
      <c r="K211">
        <v>0.12</v>
      </c>
      <c r="L211" t="s">
        <v>8</v>
      </c>
      <c r="M211" t="s">
        <v>23</v>
      </c>
    </row>
    <row r="212" spans="1:13" x14ac:dyDescent="0.45">
      <c r="A212" t="s">
        <v>7</v>
      </c>
      <c r="B212" t="s">
        <v>144</v>
      </c>
      <c r="C212">
        <v>2045</v>
      </c>
      <c r="D212">
        <v>96</v>
      </c>
      <c r="E212">
        <v>0.11</v>
      </c>
      <c r="F212">
        <v>0.08</v>
      </c>
      <c r="G212">
        <v>0.09</v>
      </c>
      <c r="H212">
        <v>0.01</v>
      </c>
      <c r="I212">
        <v>0.27</v>
      </c>
      <c r="J212">
        <v>0.04</v>
      </c>
      <c r="K212">
        <v>0.19</v>
      </c>
      <c r="L212" t="s">
        <v>8</v>
      </c>
      <c r="M212" t="s">
        <v>23</v>
      </c>
    </row>
    <row r="213" spans="1:13" x14ac:dyDescent="0.45">
      <c r="A213" t="s">
        <v>7</v>
      </c>
      <c r="B213" t="s">
        <v>144</v>
      </c>
      <c r="C213">
        <v>2050</v>
      </c>
      <c r="D213">
        <v>102</v>
      </c>
      <c r="E213">
        <v>0.12</v>
      </c>
      <c r="F213">
        <v>0.08</v>
      </c>
      <c r="G213">
        <v>0.1</v>
      </c>
      <c r="H213">
        <v>0</v>
      </c>
      <c r="I213">
        <v>0.27</v>
      </c>
      <c r="J213">
        <v>0.03</v>
      </c>
      <c r="K213">
        <v>0.22</v>
      </c>
      <c r="L213" t="s">
        <v>8</v>
      </c>
      <c r="M213" t="s">
        <v>23</v>
      </c>
    </row>
    <row r="214" spans="1:13" x14ac:dyDescent="0.45">
      <c r="A214" t="s">
        <v>9</v>
      </c>
      <c r="B214" t="s">
        <v>144</v>
      </c>
      <c r="C214">
        <v>2020</v>
      </c>
      <c r="D214">
        <v>61</v>
      </c>
      <c r="E214">
        <v>0.03</v>
      </c>
      <c r="F214">
        <v>0.03</v>
      </c>
      <c r="G214">
        <v>0.01</v>
      </c>
      <c r="H214">
        <v>0.01</v>
      </c>
      <c r="I214">
        <v>0.06</v>
      </c>
      <c r="J214">
        <v>0.03</v>
      </c>
      <c r="K214">
        <v>0.03</v>
      </c>
      <c r="L214" t="s">
        <v>10</v>
      </c>
      <c r="M214" t="s">
        <v>23</v>
      </c>
    </row>
    <row r="215" spans="1:13" x14ac:dyDescent="0.45">
      <c r="A215" t="s">
        <v>9</v>
      </c>
      <c r="B215" t="s">
        <v>144</v>
      </c>
      <c r="C215">
        <v>2025</v>
      </c>
      <c r="D215">
        <v>56</v>
      </c>
      <c r="E215">
        <v>0.04</v>
      </c>
      <c r="F215">
        <v>0.05</v>
      </c>
      <c r="G215">
        <v>0.01</v>
      </c>
      <c r="H215">
        <v>0.01</v>
      </c>
      <c r="I215">
        <v>7.0000000000000007E-2</v>
      </c>
      <c r="J215">
        <v>0.04</v>
      </c>
      <c r="K215">
        <v>0.05</v>
      </c>
      <c r="L215" t="s">
        <v>10</v>
      </c>
      <c r="M215" t="s">
        <v>23</v>
      </c>
    </row>
    <row r="216" spans="1:13" x14ac:dyDescent="0.45">
      <c r="A216" t="s">
        <v>9</v>
      </c>
      <c r="B216" t="s">
        <v>144</v>
      </c>
      <c r="C216">
        <v>2030</v>
      </c>
      <c r="D216">
        <v>61</v>
      </c>
      <c r="E216">
        <v>0.06</v>
      </c>
      <c r="F216">
        <v>0.06</v>
      </c>
      <c r="G216">
        <v>0.02</v>
      </c>
      <c r="H216">
        <v>0.01</v>
      </c>
      <c r="I216">
        <v>0.11</v>
      </c>
      <c r="J216">
        <v>0.03</v>
      </c>
      <c r="K216">
        <v>0.08</v>
      </c>
      <c r="L216" t="s">
        <v>10</v>
      </c>
      <c r="M216" t="s">
        <v>23</v>
      </c>
    </row>
    <row r="217" spans="1:13" x14ac:dyDescent="0.45">
      <c r="A217" t="s">
        <v>9</v>
      </c>
      <c r="B217" t="s">
        <v>144</v>
      </c>
      <c r="C217">
        <v>2035</v>
      </c>
      <c r="D217">
        <v>56</v>
      </c>
      <c r="E217">
        <v>0.08</v>
      </c>
      <c r="F217">
        <v>0.08</v>
      </c>
      <c r="G217">
        <v>0.04</v>
      </c>
      <c r="H217">
        <v>0.01</v>
      </c>
      <c r="I217">
        <v>0.17</v>
      </c>
      <c r="J217">
        <v>0.06</v>
      </c>
      <c r="K217">
        <v>0.1</v>
      </c>
      <c r="L217" t="s">
        <v>10</v>
      </c>
      <c r="M217" t="s">
        <v>23</v>
      </c>
    </row>
    <row r="218" spans="1:13" x14ac:dyDescent="0.45">
      <c r="A218" t="s">
        <v>9</v>
      </c>
      <c r="B218" t="s">
        <v>144</v>
      </c>
      <c r="C218">
        <v>2040</v>
      </c>
      <c r="D218">
        <v>61</v>
      </c>
      <c r="E218">
        <v>0.09</v>
      </c>
      <c r="F218">
        <v>0.09</v>
      </c>
      <c r="G218">
        <v>0.05</v>
      </c>
      <c r="H218">
        <v>0.01</v>
      </c>
      <c r="I218">
        <v>0.22</v>
      </c>
      <c r="J218">
        <v>0.03</v>
      </c>
      <c r="K218">
        <v>0.14000000000000001</v>
      </c>
      <c r="L218" t="s">
        <v>10</v>
      </c>
      <c r="M218" t="s">
        <v>23</v>
      </c>
    </row>
    <row r="219" spans="1:13" x14ac:dyDescent="0.45">
      <c r="A219" t="s">
        <v>9</v>
      </c>
      <c r="B219" t="s">
        <v>144</v>
      </c>
      <c r="C219">
        <v>2045</v>
      </c>
      <c r="D219">
        <v>56</v>
      </c>
      <c r="E219">
        <v>0.12</v>
      </c>
      <c r="F219">
        <v>0.11</v>
      </c>
      <c r="G219">
        <v>7.0000000000000007E-2</v>
      </c>
      <c r="H219">
        <v>0.01</v>
      </c>
      <c r="I219">
        <v>0.25</v>
      </c>
      <c r="J219">
        <v>0.08</v>
      </c>
      <c r="K219">
        <v>0.19</v>
      </c>
      <c r="L219" t="s">
        <v>10</v>
      </c>
      <c r="M219" t="s">
        <v>23</v>
      </c>
    </row>
    <row r="220" spans="1:13" x14ac:dyDescent="0.45">
      <c r="A220" t="s">
        <v>9</v>
      </c>
      <c r="B220" t="s">
        <v>144</v>
      </c>
      <c r="C220">
        <v>2050</v>
      </c>
      <c r="D220">
        <v>61</v>
      </c>
      <c r="E220">
        <v>0.13</v>
      </c>
      <c r="F220">
        <v>0.12</v>
      </c>
      <c r="G220">
        <v>0.08</v>
      </c>
      <c r="H220">
        <v>0.01</v>
      </c>
      <c r="I220">
        <v>0.27</v>
      </c>
      <c r="J220">
        <v>0.05</v>
      </c>
      <c r="K220">
        <v>0.22</v>
      </c>
      <c r="L220" t="s">
        <v>10</v>
      </c>
      <c r="M220" t="s">
        <v>23</v>
      </c>
    </row>
    <row r="221" spans="1:13" x14ac:dyDescent="0.45">
      <c r="A221" t="s">
        <v>0</v>
      </c>
      <c r="B221" t="s">
        <v>144</v>
      </c>
      <c r="C221">
        <v>2020</v>
      </c>
      <c r="D221">
        <v>33</v>
      </c>
      <c r="E221">
        <v>1</v>
      </c>
      <c r="F221">
        <v>1</v>
      </c>
      <c r="G221">
        <v>0</v>
      </c>
      <c r="H221">
        <v>1</v>
      </c>
      <c r="I221">
        <v>1</v>
      </c>
      <c r="J221">
        <v>1</v>
      </c>
      <c r="K221">
        <v>1</v>
      </c>
      <c r="L221" t="s">
        <v>1</v>
      </c>
      <c r="M221" t="s">
        <v>70</v>
      </c>
    </row>
    <row r="222" spans="1:13" x14ac:dyDescent="0.45">
      <c r="A222" t="s">
        <v>0</v>
      </c>
      <c r="B222" t="s">
        <v>144</v>
      </c>
      <c r="C222">
        <v>2025</v>
      </c>
      <c r="D222">
        <v>34</v>
      </c>
      <c r="E222">
        <v>65535</v>
      </c>
      <c r="F222">
        <v>2.42</v>
      </c>
      <c r="H222">
        <v>1.18</v>
      </c>
      <c r="I222">
        <v>65535</v>
      </c>
      <c r="J222">
        <v>2.0099999999999998</v>
      </c>
      <c r="K222">
        <v>2.75</v>
      </c>
      <c r="L222" t="s">
        <v>1</v>
      </c>
      <c r="M222" t="s">
        <v>70</v>
      </c>
    </row>
    <row r="223" spans="1:13" x14ac:dyDescent="0.45">
      <c r="A223" t="s">
        <v>0</v>
      </c>
      <c r="B223" t="s">
        <v>144</v>
      </c>
      <c r="C223">
        <v>2030</v>
      </c>
      <c r="D223">
        <v>34</v>
      </c>
      <c r="E223">
        <v>65535</v>
      </c>
      <c r="F223">
        <v>3.1</v>
      </c>
      <c r="H223">
        <v>1.71</v>
      </c>
      <c r="I223">
        <v>65535</v>
      </c>
      <c r="J223">
        <v>2.38</v>
      </c>
      <c r="K223">
        <v>3.46</v>
      </c>
      <c r="L223" t="s">
        <v>1</v>
      </c>
      <c r="M223" t="s">
        <v>70</v>
      </c>
    </row>
    <row r="224" spans="1:13" x14ac:dyDescent="0.45">
      <c r="A224" t="s">
        <v>0</v>
      </c>
      <c r="B224" t="s">
        <v>144</v>
      </c>
      <c r="C224">
        <v>2035</v>
      </c>
      <c r="D224">
        <v>34</v>
      </c>
      <c r="E224">
        <v>65535</v>
      </c>
      <c r="F224">
        <v>3.54</v>
      </c>
      <c r="H224">
        <v>1.91</v>
      </c>
      <c r="I224">
        <v>65535</v>
      </c>
      <c r="J224">
        <v>2.66</v>
      </c>
      <c r="K224">
        <v>4.16</v>
      </c>
      <c r="L224" t="s">
        <v>1</v>
      </c>
      <c r="M224" t="s">
        <v>70</v>
      </c>
    </row>
    <row r="225" spans="1:13" x14ac:dyDescent="0.45">
      <c r="A225" t="s">
        <v>0</v>
      </c>
      <c r="B225" t="s">
        <v>144</v>
      </c>
      <c r="C225">
        <v>2040</v>
      </c>
      <c r="D225">
        <v>34</v>
      </c>
      <c r="E225">
        <v>65535</v>
      </c>
      <c r="F225">
        <v>4.0999999999999996</v>
      </c>
      <c r="H225">
        <v>2.27</v>
      </c>
      <c r="I225">
        <v>65535</v>
      </c>
      <c r="J225">
        <v>2.96</v>
      </c>
      <c r="K225">
        <v>4.5199999999999996</v>
      </c>
      <c r="L225" t="s">
        <v>1</v>
      </c>
      <c r="M225" t="s">
        <v>70</v>
      </c>
    </row>
    <row r="226" spans="1:13" x14ac:dyDescent="0.45">
      <c r="A226" t="s">
        <v>0</v>
      </c>
      <c r="B226" t="s">
        <v>144</v>
      </c>
      <c r="C226">
        <v>2045</v>
      </c>
      <c r="D226">
        <v>34</v>
      </c>
      <c r="E226">
        <v>65535</v>
      </c>
      <c r="F226">
        <v>3.86</v>
      </c>
      <c r="H226">
        <v>2.54</v>
      </c>
      <c r="I226">
        <v>65535</v>
      </c>
      <c r="J226">
        <v>3.3</v>
      </c>
      <c r="K226">
        <v>4.8899999999999997</v>
      </c>
      <c r="L226" t="s">
        <v>1</v>
      </c>
      <c r="M226" t="s">
        <v>70</v>
      </c>
    </row>
    <row r="227" spans="1:13" x14ac:dyDescent="0.45">
      <c r="A227" t="s">
        <v>0</v>
      </c>
      <c r="B227" t="s">
        <v>144</v>
      </c>
      <c r="C227">
        <v>2050</v>
      </c>
      <c r="D227">
        <v>34</v>
      </c>
      <c r="E227">
        <v>65535</v>
      </c>
      <c r="F227">
        <v>3.59</v>
      </c>
      <c r="H227">
        <v>2.73</v>
      </c>
      <c r="I227">
        <v>65535</v>
      </c>
      <c r="J227">
        <v>3.07</v>
      </c>
      <c r="K227">
        <v>4.0599999999999996</v>
      </c>
      <c r="L227" t="s">
        <v>1</v>
      </c>
      <c r="M227" t="s">
        <v>70</v>
      </c>
    </row>
    <row r="228" spans="1:13" x14ac:dyDescent="0.45">
      <c r="A228" t="s">
        <v>2</v>
      </c>
      <c r="B228" t="s">
        <v>144</v>
      </c>
      <c r="C228">
        <v>2020</v>
      </c>
      <c r="D228">
        <v>43</v>
      </c>
      <c r="E228">
        <v>1</v>
      </c>
      <c r="F228">
        <v>1</v>
      </c>
      <c r="G228">
        <v>0</v>
      </c>
      <c r="H228">
        <v>1</v>
      </c>
      <c r="I228">
        <v>1</v>
      </c>
      <c r="J228">
        <v>1</v>
      </c>
      <c r="K228">
        <v>1</v>
      </c>
      <c r="L228" t="s">
        <v>3</v>
      </c>
      <c r="M228" t="s">
        <v>70</v>
      </c>
    </row>
    <row r="229" spans="1:13" x14ac:dyDescent="0.45">
      <c r="A229" t="s">
        <v>2</v>
      </c>
      <c r="B229" t="s">
        <v>144</v>
      </c>
      <c r="C229">
        <v>2025</v>
      </c>
      <c r="D229">
        <v>44</v>
      </c>
      <c r="E229">
        <v>65535</v>
      </c>
      <c r="F229">
        <v>1.22</v>
      </c>
      <c r="H229">
        <v>0</v>
      </c>
      <c r="I229">
        <v>65535</v>
      </c>
      <c r="J229">
        <v>1.1299999999999999</v>
      </c>
      <c r="K229">
        <v>1.35</v>
      </c>
      <c r="L229" t="s">
        <v>3</v>
      </c>
      <c r="M229" t="s">
        <v>70</v>
      </c>
    </row>
    <row r="230" spans="1:13" x14ac:dyDescent="0.45">
      <c r="A230" t="s">
        <v>2</v>
      </c>
      <c r="B230" t="s">
        <v>144</v>
      </c>
      <c r="C230">
        <v>2030</v>
      </c>
      <c r="D230">
        <v>44</v>
      </c>
      <c r="E230">
        <v>65535</v>
      </c>
      <c r="F230">
        <v>1.5</v>
      </c>
      <c r="H230">
        <v>0</v>
      </c>
      <c r="I230">
        <v>65535</v>
      </c>
      <c r="J230">
        <v>1.31</v>
      </c>
      <c r="K230">
        <v>1.83</v>
      </c>
      <c r="L230" t="s">
        <v>3</v>
      </c>
      <c r="M230" t="s">
        <v>70</v>
      </c>
    </row>
    <row r="231" spans="1:13" x14ac:dyDescent="0.45">
      <c r="A231" t="s">
        <v>2</v>
      </c>
      <c r="B231" t="s">
        <v>144</v>
      </c>
      <c r="C231">
        <v>2035</v>
      </c>
      <c r="D231">
        <v>44</v>
      </c>
      <c r="E231">
        <v>65535</v>
      </c>
      <c r="F231">
        <v>2.12</v>
      </c>
      <c r="H231">
        <v>0</v>
      </c>
      <c r="I231">
        <v>65535</v>
      </c>
      <c r="J231">
        <v>1.68</v>
      </c>
      <c r="K231">
        <v>2.46</v>
      </c>
      <c r="L231" t="s">
        <v>3</v>
      </c>
      <c r="M231" t="s">
        <v>70</v>
      </c>
    </row>
    <row r="232" spans="1:13" x14ac:dyDescent="0.45">
      <c r="A232" t="s">
        <v>2</v>
      </c>
      <c r="B232" t="s">
        <v>144</v>
      </c>
      <c r="C232">
        <v>2040</v>
      </c>
      <c r="D232">
        <v>44</v>
      </c>
      <c r="E232">
        <v>65535</v>
      </c>
      <c r="F232">
        <v>2.5</v>
      </c>
      <c r="H232">
        <v>0</v>
      </c>
      <c r="I232">
        <v>65535</v>
      </c>
      <c r="J232">
        <v>2</v>
      </c>
      <c r="K232">
        <v>2.94</v>
      </c>
      <c r="L232" t="s">
        <v>3</v>
      </c>
      <c r="M232" t="s">
        <v>70</v>
      </c>
    </row>
    <row r="233" spans="1:13" x14ac:dyDescent="0.45">
      <c r="A233" t="s">
        <v>2</v>
      </c>
      <c r="B233" t="s">
        <v>144</v>
      </c>
      <c r="C233">
        <v>2045</v>
      </c>
      <c r="D233">
        <v>44</v>
      </c>
      <c r="E233">
        <v>65535</v>
      </c>
      <c r="F233">
        <v>2.79</v>
      </c>
      <c r="H233">
        <v>0</v>
      </c>
      <c r="I233">
        <v>65535</v>
      </c>
      <c r="J233">
        <v>2.08</v>
      </c>
      <c r="K233">
        <v>3.44</v>
      </c>
      <c r="L233" t="s">
        <v>3</v>
      </c>
      <c r="M233" t="s">
        <v>70</v>
      </c>
    </row>
    <row r="234" spans="1:13" x14ac:dyDescent="0.45">
      <c r="A234" t="s">
        <v>2</v>
      </c>
      <c r="B234" t="s">
        <v>144</v>
      </c>
      <c r="C234">
        <v>2050</v>
      </c>
      <c r="D234">
        <v>44</v>
      </c>
      <c r="E234">
        <v>65535</v>
      </c>
      <c r="F234">
        <v>2.95</v>
      </c>
      <c r="H234">
        <v>0</v>
      </c>
      <c r="I234">
        <v>65535</v>
      </c>
      <c r="J234">
        <v>2.4900000000000002</v>
      </c>
      <c r="K234">
        <v>3.78</v>
      </c>
      <c r="L234" t="s">
        <v>3</v>
      </c>
      <c r="M234" t="s">
        <v>70</v>
      </c>
    </row>
    <row r="235" spans="1:13" x14ac:dyDescent="0.45">
      <c r="A235" t="s">
        <v>5</v>
      </c>
      <c r="B235" t="s">
        <v>144</v>
      </c>
      <c r="C235">
        <v>2020</v>
      </c>
      <c r="D235">
        <v>103</v>
      </c>
      <c r="E235">
        <v>1</v>
      </c>
      <c r="F235">
        <v>1</v>
      </c>
      <c r="G235">
        <v>0</v>
      </c>
      <c r="H235">
        <v>1</v>
      </c>
      <c r="I235">
        <v>1</v>
      </c>
      <c r="J235">
        <v>1</v>
      </c>
      <c r="K235">
        <v>1</v>
      </c>
      <c r="L235" t="s">
        <v>6</v>
      </c>
      <c r="M235" t="s">
        <v>70</v>
      </c>
    </row>
    <row r="236" spans="1:13" x14ac:dyDescent="0.45">
      <c r="A236" t="s">
        <v>5</v>
      </c>
      <c r="B236" t="s">
        <v>144</v>
      </c>
      <c r="C236">
        <v>2025</v>
      </c>
      <c r="D236">
        <v>112</v>
      </c>
      <c r="E236">
        <v>65535</v>
      </c>
      <c r="F236">
        <v>1.41</v>
      </c>
      <c r="H236">
        <v>0.98</v>
      </c>
      <c r="I236">
        <v>65535</v>
      </c>
      <c r="J236">
        <v>1.23</v>
      </c>
      <c r="K236">
        <v>1.96</v>
      </c>
      <c r="L236" t="s">
        <v>6</v>
      </c>
      <c r="M236" t="s">
        <v>70</v>
      </c>
    </row>
    <row r="237" spans="1:13" x14ac:dyDescent="0.45">
      <c r="A237" t="s">
        <v>5</v>
      </c>
      <c r="B237" t="s">
        <v>144</v>
      </c>
      <c r="C237">
        <v>2030</v>
      </c>
      <c r="D237">
        <v>112</v>
      </c>
      <c r="E237">
        <v>65535</v>
      </c>
      <c r="F237">
        <v>2.04</v>
      </c>
      <c r="H237">
        <v>1.05</v>
      </c>
      <c r="I237">
        <v>65535</v>
      </c>
      <c r="J237">
        <v>1.52</v>
      </c>
      <c r="K237">
        <v>2.5499999999999998</v>
      </c>
      <c r="L237" t="s">
        <v>6</v>
      </c>
      <c r="M237" t="s">
        <v>70</v>
      </c>
    </row>
    <row r="238" spans="1:13" x14ac:dyDescent="0.45">
      <c r="A238" t="s">
        <v>5</v>
      </c>
      <c r="B238" t="s">
        <v>144</v>
      </c>
      <c r="C238">
        <v>2035</v>
      </c>
      <c r="D238">
        <v>112</v>
      </c>
      <c r="E238">
        <v>65535</v>
      </c>
      <c r="F238">
        <v>2.4</v>
      </c>
      <c r="H238">
        <v>1.05</v>
      </c>
      <c r="I238">
        <v>65535</v>
      </c>
      <c r="J238">
        <v>1.71</v>
      </c>
      <c r="K238">
        <v>3.14</v>
      </c>
      <c r="L238" t="s">
        <v>6</v>
      </c>
      <c r="M238" t="s">
        <v>70</v>
      </c>
    </row>
    <row r="239" spans="1:13" x14ac:dyDescent="0.45">
      <c r="A239" t="s">
        <v>5</v>
      </c>
      <c r="B239" t="s">
        <v>144</v>
      </c>
      <c r="C239">
        <v>2040</v>
      </c>
      <c r="D239">
        <v>112</v>
      </c>
      <c r="E239">
        <v>65535</v>
      </c>
      <c r="F239">
        <v>2.6</v>
      </c>
      <c r="H239">
        <v>1.06</v>
      </c>
      <c r="I239">
        <v>65535</v>
      </c>
      <c r="J239">
        <v>1.85</v>
      </c>
      <c r="K239">
        <v>3.74</v>
      </c>
      <c r="L239" t="s">
        <v>6</v>
      </c>
      <c r="M239" t="s">
        <v>70</v>
      </c>
    </row>
    <row r="240" spans="1:13" x14ac:dyDescent="0.45">
      <c r="A240" t="s">
        <v>5</v>
      </c>
      <c r="B240" t="s">
        <v>144</v>
      </c>
      <c r="C240">
        <v>2045</v>
      </c>
      <c r="D240">
        <v>112</v>
      </c>
      <c r="E240">
        <v>65535</v>
      </c>
      <c r="F240">
        <v>2.85</v>
      </c>
      <c r="H240">
        <v>1.08</v>
      </c>
      <c r="I240">
        <v>65535</v>
      </c>
      <c r="J240">
        <v>2</v>
      </c>
      <c r="K240">
        <v>4.28</v>
      </c>
      <c r="L240" t="s">
        <v>6</v>
      </c>
      <c r="M240" t="s">
        <v>70</v>
      </c>
    </row>
    <row r="241" spans="1:13" x14ac:dyDescent="0.45">
      <c r="A241" t="s">
        <v>5</v>
      </c>
      <c r="B241" t="s">
        <v>144</v>
      </c>
      <c r="C241">
        <v>2050</v>
      </c>
      <c r="D241">
        <v>112</v>
      </c>
      <c r="E241">
        <v>65535</v>
      </c>
      <c r="F241">
        <v>2.97</v>
      </c>
      <c r="H241">
        <v>0</v>
      </c>
      <c r="I241">
        <v>65535</v>
      </c>
      <c r="J241">
        <v>2.15</v>
      </c>
      <c r="K241">
        <v>4.51</v>
      </c>
      <c r="L241" t="s">
        <v>6</v>
      </c>
      <c r="M241" t="s">
        <v>70</v>
      </c>
    </row>
    <row r="242" spans="1:13" x14ac:dyDescent="0.45">
      <c r="A242" t="s">
        <v>7</v>
      </c>
      <c r="B242" t="s">
        <v>144</v>
      </c>
      <c r="C242">
        <v>2020</v>
      </c>
      <c r="D242">
        <v>27</v>
      </c>
      <c r="E242">
        <v>1</v>
      </c>
      <c r="F242">
        <v>1</v>
      </c>
      <c r="G242">
        <v>0</v>
      </c>
      <c r="H242">
        <v>1</v>
      </c>
      <c r="I242">
        <v>1</v>
      </c>
      <c r="J242">
        <v>1</v>
      </c>
      <c r="K242">
        <v>1</v>
      </c>
      <c r="L242" t="s">
        <v>8</v>
      </c>
      <c r="M242" t="s">
        <v>70</v>
      </c>
    </row>
    <row r="243" spans="1:13" x14ac:dyDescent="0.45">
      <c r="A243" t="s">
        <v>7</v>
      </c>
      <c r="B243" t="s">
        <v>144</v>
      </c>
      <c r="C243">
        <v>2025</v>
      </c>
      <c r="D243">
        <v>27</v>
      </c>
      <c r="E243">
        <v>1.33</v>
      </c>
      <c r="F243">
        <v>1.31</v>
      </c>
      <c r="G243">
        <v>0.18</v>
      </c>
      <c r="H243">
        <v>1.06</v>
      </c>
      <c r="I243">
        <v>1.66</v>
      </c>
      <c r="J243">
        <v>1.22</v>
      </c>
      <c r="K243">
        <v>1.45</v>
      </c>
      <c r="L243" t="s">
        <v>8</v>
      </c>
      <c r="M243" t="s">
        <v>70</v>
      </c>
    </row>
    <row r="244" spans="1:13" x14ac:dyDescent="0.45">
      <c r="A244" t="s">
        <v>7</v>
      </c>
      <c r="B244" t="s">
        <v>144</v>
      </c>
      <c r="C244">
        <v>2030</v>
      </c>
      <c r="D244">
        <v>27</v>
      </c>
      <c r="E244">
        <v>1.84</v>
      </c>
      <c r="F244">
        <v>2.02</v>
      </c>
      <c r="G244">
        <v>0.28000000000000003</v>
      </c>
      <c r="H244">
        <v>1.24</v>
      </c>
      <c r="I244">
        <v>2.17</v>
      </c>
      <c r="J244">
        <v>1.52</v>
      </c>
      <c r="K244">
        <v>2.0699999999999998</v>
      </c>
      <c r="L244" t="s">
        <v>8</v>
      </c>
      <c r="M244" t="s">
        <v>70</v>
      </c>
    </row>
    <row r="245" spans="1:13" x14ac:dyDescent="0.45">
      <c r="A245" t="s">
        <v>7</v>
      </c>
      <c r="B245" t="s">
        <v>144</v>
      </c>
      <c r="C245">
        <v>2035</v>
      </c>
      <c r="D245">
        <v>27</v>
      </c>
      <c r="E245">
        <v>1.84</v>
      </c>
      <c r="F245">
        <v>1.96</v>
      </c>
      <c r="G245">
        <v>0.41</v>
      </c>
      <c r="H245">
        <v>1.19</v>
      </c>
      <c r="I245">
        <v>2.46</v>
      </c>
      <c r="J245">
        <v>1.42</v>
      </c>
      <c r="K245">
        <v>2.11</v>
      </c>
      <c r="L245" t="s">
        <v>8</v>
      </c>
      <c r="M245" t="s">
        <v>70</v>
      </c>
    </row>
    <row r="246" spans="1:13" x14ac:dyDescent="0.45">
      <c r="A246" t="s">
        <v>7</v>
      </c>
      <c r="B246" t="s">
        <v>144</v>
      </c>
      <c r="C246">
        <v>2040</v>
      </c>
      <c r="D246">
        <v>27</v>
      </c>
      <c r="E246">
        <v>2.12</v>
      </c>
      <c r="F246">
        <v>2.2200000000000002</v>
      </c>
      <c r="G246">
        <v>0.47</v>
      </c>
      <c r="H246">
        <v>1.41</v>
      </c>
      <c r="I246">
        <v>2.78</v>
      </c>
      <c r="J246">
        <v>1.54</v>
      </c>
      <c r="K246">
        <v>2.4300000000000002</v>
      </c>
      <c r="L246" t="s">
        <v>8</v>
      </c>
      <c r="M246" t="s">
        <v>70</v>
      </c>
    </row>
    <row r="247" spans="1:13" x14ac:dyDescent="0.45">
      <c r="A247" t="s">
        <v>7</v>
      </c>
      <c r="B247" t="s">
        <v>144</v>
      </c>
      <c r="C247">
        <v>2045</v>
      </c>
      <c r="D247">
        <v>27</v>
      </c>
      <c r="E247">
        <v>2.31</v>
      </c>
      <c r="F247">
        <v>2.39</v>
      </c>
      <c r="G247">
        <v>0.62</v>
      </c>
      <c r="H247">
        <v>1.34</v>
      </c>
      <c r="I247">
        <v>3.22</v>
      </c>
      <c r="J247">
        <v>1.67</v>
      </c>
      <c r="K247">
        <v>2.74</v>
      </c>
      <c r="L247" t="s">
        <v>8</v>
      </c>
      <c r="M247" t="s">
        <v>70</v>
      </c>
    </row>
    <row r="248" spans="1:13" x14ac:dyDescent="0.45">
      <c r="A248" t="s">
        <v>7</v>
      </c>
      <c r="B248" t="s">
        <v>144</v>
      </c>
      <c r="C248">
        <v>2050</v>
      </c>
      <c r="D248">
        <v>27</v>
      </c>
      <c r="E248">
        <v>2.48</v>
      </c>
      <c r="F248">
        <v>2.52</v>
      </c>
      <c r="G248">
        <v>0.71</v>
      </c>
      <c r="H248">
        <v>1.52</v>
      </c>
      <c r="I248">
        <v>3.64</v>
      </c>
      <c r="J248">
        <v>1.84</v>
      </c>
      <c r="K248">
        <v>3.04</v>
      </c>
      <c r="L248" t="s">
        <v>8</v>
      </c>
      <c r="M248" t="s">
        <v>70</v>
      </c>
    </row>
    <row r="249" spans="1:13" x14ac:dyDescent="0.45">
      <c r="A249" t="s">
        <v>9</v>
      </c>
      <c r="B249" t="s">
        <v>144</v>
      </c>
      <c r="C249">
        <v>2020</v>
      </c>
      <c r="D249">
        <v>42</v>
      </c>
      <c r="E249">
        <v>1</v>
      </c>
      <c r="F249">
        <v>1</v>
      </c>
      <c r="G249">
        <v>0</v>
      </c>
      <c r="H249">
        <v>1</v>
      </c>
      <c r="I249">
        <v>1</v>
      </c>
      <c r="J249">
        <v>1</v>
      </c>
      <c r="K249">
        <v>1</v>
      </c>
      <c r="L249" t="s">
        <v>10</v>
      </c>
      <c r="M249" t="s">
        <v>70</v>
      </c>
    </row>
    <row r="250" spans="1:13" x14ac:dyDescent="0.45">
      <c r="A250" t="s">
        <v>9</v>
      </c>
      <c r="B250" t="s">
        <v>144</v>
      </c>
      <c r="C250">
        <v>2025</v>
      </c>
      <c r="D250">
        <v>42</v>
      </c>
      <c r="E250">
        <v>1.0900000000000001</v>
      </c>
      <c r="F250">
        <v>1.07</v>
      </c>
      <c r="G250">
        <v>0.13</v>
      </c>
      <c r="H250">
        <v>0.91</v>
      </c>
      <c r="I250">
        <v>1.5</v>
      </c>
      <c r="J250">
        <v>1.02</v>
      </c>
      <c r="K250">
        <v>1.1499999999999999</v>
      </c>
      <c r="L250" t="s">
        <v>10</v>
      </c>
      <c r="M250" t="s">
        <v>70</v>
      </c>
    </row>
    <row r="251" spans="1:13" x14ac:dyDescent="0.45">
      <c r="A251" t="s">
        <v>9</v>
      </c>
      <c r="B251" t="s">
        <v>144</v>
      </c>
      <c r="C251">
        <v>2030</v>
      </c>
      <c r="D251">
        <v>42</v>
      </c>
      <c r="E251">
        <v>1.37</v>
      </c>
      <c r="F251">
        <v>1.24</v>
      </c>
      <c r="G251">
        <v>0.32</v>
      </c>
      <c r="H251">
        <v>1.01</v>
      </c>
      <c r="I251">
        <v>2.14</v>
      </c>
      <c r="J251">
        <v>1.1499999999999999</v>
      </c>
      <c r="K251">
        <v>1.53</v>
      </c>
      <c r="L251" t="s">
        <v>10</v>
      </c>
      <c r="M251" t="s">
        <v>70</v>
      </c>
    </row>
    <row r="252" spans="1:13" x14ac:dyDescent="0.45">
      <c r="A252" t="s">
        <v>9</v>
      </c>
      <c r="B252" t="s">
        <v>144</v>
      </c>
      <c r="C252">
        <v>2035</v>
      </c>
      <c r="D252">
        <v>42</v>
      </c>
      <c r="E252">
        <v>1.19</v>
      </c>
      <c r="F252">
        <v>1.1499999999999999</v>
      </c>
      <c r="G252">
        <v>0.17</v>
      </c>
      <c r="H252">
        <v>1.01</v>
      </c>
      <c r="I252">
        <v>1.69</v>
      </c>
      <c r="J252">
        <v>1.07</v>
      </c>
      <c r="K252">
        <v>1.22</v>
      </c>
      <c r="L252" t="s">
        <v>10</v>
      </c>
      <c r="M252" t="s">
        <v>70</v>
      </c>
    </row>
    <row r="253" spans="1:13" x14ac:dyDescent="0.45">
      <c r="A253" t="s">
        <v>9</v>
      </c>
      <c r="B253" t="s">
        <v>144</v>
      </c>
      <c r="C253">
        <v>2040</v>
      </c>
      <c r="D253">
        <v>42</v>
      </c>
      <c r="E253">
        <v>1.27</v>
      </c>
      <c r="F253">
        <v>1.25</v>
      </c>
      <c r="G253">
        <v>0.16</v>
      </c>
      <c r="H253">
        <v>1.04</v>
      </c>
      <c r="I253">
        <v>1.78</v>
      </c>
      <c r="J253">
        <v>1.1599999999999999</v>
      </c>
      <c r="K253">
        <v>1.31</v>
      </c>
      <c r="L253" t="s">
        <v>10</v>
      </c>
      <c r="M253" t="s">
        <v>70</v>
      </c>
    </row>
    <row r="254" spans="1:13" x14ac:dyDescent="0.45">
      <c r="A254" t="s">
        <v>9</v>
      </c>
      <c r="B254" t="s">
        <v>144</v>
      </c>
      <c r="C254">
        <v>2045</v>
      </c>
      <c r="D254">
        <v>42</v>
      </c>
      <c r="E254">
        <v>1.26</v>
      </c>
      <c r="F254">
        <v>1.17</v>
      </c>
      <c r="G254">
        <v>0.27</v>
      </c>
      <c r="H254">
        <v>1</v>
      </c>
      <c r="I254">
        <v>2.2000000000000002</v>
      </c>
      <c r="J254">
        <v>1.1100000000000001</v>
      </c>
      <c r="K254">
        <v>1.28</v>
      </c>
      <c r="L254" t="s">
        <v>10</v>
      </c>
      <c r="M254" t="s">
        <v>70</v>
      </c>
    </row>
    <row r="255" spans="1:13" x14ac:dyDescent="0.45">
      <c r="A255" t="s">
        <v>9</v>
      </c>
      <c r="B255" t="s">
        <v>144</v>
      </c>
      <c r="C255">
        <v>2050</v>
      </c>
      <c r="D255">
        <v>42</v>
      </c>
      <c r="E255">
        <v>1.39</v>
      </c>
      <c r="F255">
        <v>1.34</v>
      </c>
      <c r="G255">
        <v>0.23</v>
      </c>
      <c r="H255">
        <v>1.08</v>
      </c>
      <c r="I255">
        <v>2.1800000000000002</v>
      </c>
      <c r="J255">
        <v>1.29</v>
      </c>
      <c r="K255">
        <v>1.39</v>
      </c>
      <c r="L255" t="s">
        <v>10</v>
      </c>
      <c r="M255" t="s">
        <v>70</v>
      </c>
    </row>
    <row r="256" spans="1:13" x14ac:dyDescent="0.45">
      <c r="A256" t="s">
        <v>0</v>
      </c>
      <c r="B256" t="s">
        <v>144</v>
      </c>
      <c r="C256">
        <v>2020</v>
      </c>
      <c r="D256">
        <v>49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71</v>
      </c>
    </row>
    <row r="257" spans="1:13" x14ac:dyDescent="0.45">
      <c r="A257" t="s">
        <v>0</v>
      </c>
      <c r="B257" t="s">
        <v>144</v>
      </c>
      <c r="C257">
        <v>2025</v>
      </c>
      <c r="D257">
        <v>50</v>
      </c>
      <c r="E257">
        <v>65535</v>
      </c>
      <c r="F257">
        <v>1.1000000000000001</v>
      </c>
      <c r="H257">
        <v>-4.33</v>
      </c>
      <c r="I257">
        <v>65535</v>
      </c>
      <c r="J257">
        <v>0.81</v>
      </c>
      <c r="K257">
        <v>1.5</v>
      </c>
      <c r="L257" t="s">
        <v>1</v>
      </c>
      <c r="M257" t="s">
        <v>71</v>
      </c>
    </row>
    <row r="258" spans="1:13" x14ac:dyDescent="0.45">
      <c r="A258" t="s">
        <v>0</v>
      </c>
      <c r="B258" t="s">
        <v>144</v>
      </c>
      <c r="C258">
        <v>2030</v>
      </c>
      <c r="D258">
        <v>50</v>
      </c>
      <c r="E258">
        <v>65535</v>
      </c>
      <c r="F258">
        <v>1.77</v>
      </c>
      <c r="H258">
        <v>-6.1</v>
      </c>
      <c r="I258">
        <v>65535</v>
      </c>
      <c r="J258">
        <v>1.27</v>
      </c>
      <c r="K258">
        <v>2.54</v>
      </c>
      <c r="L258" t="s">
        <v>1</v>
      </c>
      <c r="M258" t="s">
        <v>71</v>
      </c>
    </row>
    <row r="259" spans="1:13" x14ac:dyDescent="0.45">
      <c r="A259" t="s">
        <v>0</v>
      </c>
      <c r="B259" t="s">
        <v>144</v>
      </c>
      <c r="C259">
        <v>2035</v>
      </c>
      <c r="D259">
        <v>50</v>
      </c>
      <c r="E259">
        <v>65535</v>
      </c>
      <c r="F259">
        <v>1.87</v>
      </c>
      <c r="H259">
        <v>-6.86</v>
      </c>
      <c r="I259">
        <v>65535</v>
      </c>
      <c r="J259">
        <v>1.1499999999999999</v>
      </c>
      <c r="K259">
        <v>2.77</v>
      </c>
      <c r="L259" t="s">
        <v>1</v>
      </c>
      <c r="M259" t="s">
        <v>71</v>
      </c>
    </row>
    <row r="260" spans="1:13" x14ac:dyDescent="0.45">
      <c r="A260" t="s">
        <v>0</v>
      </c>
      <c r="B260" t="s">
        <v>144</v>
      </c>
      <c r="C260">
        <v>2040</v>
      </c>
      <c r="D260">
        <v>50</v>
      </c>
      <c r="E260">
        <v>65535</v>
      </c>
      <c r="F260">
        <v>1.96</v>
      </c>
      <c r="H260">
        <v>-9.2100000000000009</v>
      </c>
      <c r="I260">
        <v>65535</v>
      </c>
      <c r="J260">
        <v>1.31</v>
      </c>
      <c r="K260">
        <v>3.39</v>
      </c>
      <c r="L260" t="s">
        <v>1</v>
      </c>
      <c r="M260" t="s">
        <v>71</v>
      </c>
    </row>
    <row r="261" spans="1:13" x14ac:dyDescent="0.45">
      <c r="A261" t="s">
        <v>0</v>
      </c>
      <c r="B261" t="s">
        <v>144</v>
      </c>
      <c r="C261">
        <v>2045</v>
      </c>
      <c r="D261">
        <v>50</v>
      </c>
      <c r="E261">
        <v>65535</v>
      </c>
      <c r="F261">
        <v>2.13</v>
      </c>
      <c r="H261">
        <v>-6.95</v>
      </c>
      <c r="I261">
        <v>65535</v>
      </c>
      <c r="J261">
        <v>1.6</v>
      </c>
      <c r="K261">
        <v>3.41</v>
      </c>
      <c r="L261" t="s">
        <v>1</v>
      </c>
      <c r="M261" t="s">
        <v>71</v>
      </c>
    </row>
    <row r="262" spans="1:13" x14ac:dyDescent="0.45">
      <c r="A262" t="s">
        <v>0</v>
      </c>
      <c r="B262" t="s">
        <v>144</v>
      </c>
      <c r="C262">
        <v>2050</v>
      </c>
      <c r="D262">
        <v>50</v>
      </c>
      <c r="E262">
        <v>65535</v>
      </c>
      <c r="F262">
        <v>2</v>
      </c>
      <c r="H262">
        <v>-10.07</v>
      </c>
      <c r="I262">
        <v>65535</v>
      </c>
      <c r="J262">
        <v>1.55</v>
      </c>
      <c r="K262">
        <v>4.63</v>
      </c>
      <c r="L262" t="s">
        <v>1</v>
      </c>
      <c r="M262" t="s">
        <v>71</v>
      </c>
    </row>
    <row r="263" spans="1:13" x14ac:dyDescent="0.45">
      <c r="A263" t="s">
        <v>2</v>
      </c>
      <c r="B263" t="s">
        <v>144</v>
      </c>
      <c r="C263">
        <v>2020</v>
      </c>
      <c r="D263">
        <v>62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71</v>
      </c>
    </row>
    <row r="264" spans="1:13" x14ac:dyDescent="0.45">
      <c r="A264" t="s">
        <v>2</v>
      </c>
      <c r="B264" t="s">
        <v>144</v>
      </c>
      <c r="C264">
        <v>2025</v>
      </c>
      <c r="D264">
        <v>52</v>
      </c>
      <c r="E264">
        <v>65535</v>
      </c>
      <c r="F264">
        <v>0.61</v>
      </c>
      <c r="H264">
        <v>0</v>
      </c>
      <c r="I264">
        <v>65535</v>
      </c>
      <c r="J264">
        <v>0.53</v>
      </c>
      <c r="K264">
        <v>0.89</v>
      </c>
      <c r="L264" t="s">
        <v>3</v>
      </c>
      <c r="M264" t="s">
        <v>71</v>
      </c>
    </row>
    <row r="265" spans="1:13" x14ac:dyDescent="0.45">
      <c r="A265" t="s">
        <v>2</v>
      </c>
      <c r="B265" t="s">
        <v>144</v>
      </c>
      <c r="C265">
        <v>2030</v>
      </c>
      <c r="D265">
        <v>63</v>
      </c>
      <c r="E265">
        <v>65535</v>
      </c>
      <c r="F265">
        <v>1.07</v>
      </c>
      <c r="H265">
        <v>0</v>
      </c>
      <c r="I265">
        <v>65535</v>
      </c>
      <c r="J265">
        <v>0.6</v>
      </c>
      <c r="K265">
        <v>1.55</v>
      </c>
      <c r="L265" t="s">
        <v>3</v>
      </c>
      <c r="M265" t="s">
        <v>71</v>
      </c>
    </row>
    <row r="266" spans="1:13" x14ac:dyDescent="0.45">
      <c r="A266" t="s">
        <v>2</v>
      </c>
      <c r="B266" t="s">
        <v>144</v>
      </c>
      <c r="C266">
        <v>2035</v>
      </c>
      <c r="D266">
        <v>52</v>
      </c>
      <c r="E266">
        <v>65535</v>
      </c>
      <c r="F266">
        <v>1.0900000000000001</v>
      </c>
      <c r="H266">
        <v>0</v>
      </c>
      <c r="I266">
        <v>65535</v>
      </c>
      <c r="J266">
        <v>0.6</v>
      </c>
      <c r="K266">
        <v>1.76</v>
      </c>
      <c r="L266" t="s">
        <v>3</v>
      </c>
      <c r="M266" t="s">
        <v>71</v>
      </c>
    </row>
    <row r="267" spans="1:13" x14ac:dyDescent="0.45">
      <c r="A267" t="s">
        <v>2</v>
      </c>
      <c r="B267" t="s">
        <v>144</v>
      </c>
      <c r="C267">
        <v>2040</v>
      </c>
      <c r="D267">
        <v>63</v>
      </c>
      <c r="E267">
        <v>65535</v>
      </c>
      <c r="F267">
        <v>1.25</v>
      </c>
      <c r="H267">
        <v>0</v>
      </c>
      <c r="I267">
        <v>65535</v>
      </c>
      <c r="J267">
        <v>0.87</v>
      </c>
      <c r="K267">
        <v>1.91</v>
      </c>
      <c r="L267" t="s">
        <v>3</v>
      </c>
      <c r="M267" t="s">
        <v>71</v>
      </c>
    </row>
    <row r="268" spans="1:13" x14ac:dyDescent="0.45">
      <c r="A268" t="s">
        <v>2</v>
      </c>
      <c r="B268" t="s">
        <v>144</v>
      </c>
      <c r="C268">
        <v>2045</v>
      </c>
      <c r="D268">
        <v>52</v>
      </c>
      <c r="E268">
        <v>65535</v>
      </c>
      <c r="F268">
        <v>1.35</v>
      </c>
      <c r="H268">
        <v>0</v>
      </c>
      <c r="I268">
        <v>65535</v>
      </c>
      <c r="J268">
        <v>0.78</v>
      </c>
      <c r="K268">
        <v>1.89</v>
      </c>
      <c r="L268" t="s">
        <v>3</v>
      </c>
      <c r="M268" t="s">
        <v>71</v>
      </c>
    </row>
    <row r="269" spans="1:13" x14ac:dyDescent="0.45">
      <c r="A269" t="s">
        <v>2</v>
      </c>
      <c r="B269" t="s">
        <v>144</v>
      </c>
      <c r="C269">
        <v>2050</v>
      </c>
      <c r="D269">
        <v>63</v>
      </c>
      <c r="E269">
        <v>65535</v>
      </c>
      <c r="F269">
        <v>1.62</v>
      </c>
      <c r="H269">
        <v>-2.31</v>
      </c>
      <c r="I269">
        <v>65535</v>
      </c>
      <c r="J269">
        <v>0.61</v>
      </c>
      <c r="K269">
        <v>2.16</v>
      </c>
      <c r="L269" t="s">
        <v>3</v>
      </c>
      <c r="M269" t="s">
        <v>71</v>
      </c>
    </row>
    <row r="270" spans="1:13" x14ac:dyDescent="0.45">
      <c r="A270" t="s">
        <v>5</v>
      </c>
      <c r="B270" t="s">
        <v>144</v>
      </c>
      <c r="C270">
        <v>2020</v>
      </c>
      <c r="D270">
        <v>157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71</v>
      </c>
    </row>
    <row r="271" spans="1:13" x14ac:dyDescent="0.45">
      <c r="A271" t="s">
        <v>5</v>
      </c>
      <c r="B271" t="s">
        <v>144</v>
      </c>
      <c r="C271">
        <v>2025</v>
      </c>
      <c r="D271">
        <v>163</v>
      </c>
      <c r="E271">
        <v>65535</v>
      </c>
      <c r="F271">
        <v>0.75</v>
      </c>
      <c r="H271">
        <v>0.46</v>
      </c>
      <c r="I271">
        <v>65535</v>
      </c>
      <c r="J271">
        <v>0.54</v>
      </c>
      <c r="K271">
        <v>1.24</v>
      </c>
      <c r="L271" t="s">
        <v>6</v>
      </c>
      <c r="M271" t="s">
        <v>71</v>
      </c>
    </row>
    <row r="272" spans="1:13" x14ac:dyDescent="0.45">
      <c r="A272" t="s">
        <v>5</v>
      </c>
      <c r="B272" t="s">
        <v>144</v>
      </c>
      <c r="C272">
        <v>2030</v>
      </c>
      <c r="D272">
        <v>166</v>
      </c>
      <c r="E272">
        <v>65535</v>
      </c>
      <c r="F272">
        <v>1.1499999999999999</v>
      </c>
      <c r="H272">
        <v>0.51</v>
      </c>
      <c r="I272">
        <v>65535</v>
      </c>
      <c r="J272">
        <v>0.74</v>
      </c>
      <c r="K272">
        <v>1.65</v>
      </c>
      <c r="L272" t="s">
        <v>6</v>
      </c>
      <c r="M272" t="s">
        <v>71</v>
      </c>
    </row>
    <row r="273" spans="1:13" x14ac:dyDescent="0.45">
      <c r="A273" t="s">
        <v>5</v>
      </c>
      <c r="B273" t="s">
        <v>144</v>
      </c>
      <c r="C273">
        <v>2035</v>
      </c>
      <c r="D273">
        <v>163</v>
      </c>
      <c r="E273">
        <v>65535</v>
      </c>
      <c r="F273">
        <v>1.21</v>
      </c>
      <c r="H273">
        <v>-0.95</v>
      </c>
      <c r="I273">
        <v>65535</v>
      </c>
      <c r="J273">
        <v>0.88</v>
      </c>
      <c r="K273">
        <v>2.11</v>
      </c>
      <c r="L273" t="s">
        <v>6</v>
      </c>
      <c r="M273" t="s">
        <v>71</v>
      </c>
    </row>
    <row r="274" spans="1:13" x14ac:dyDescent="0.45">
      <c r="A274" t="s">
        <v>5</v>
      </c>
      <c r="B274" t="s">
        <v>144</v>
      </c>
      <c r="C274">
        <v>2040</v>
      </c>
      <c r="D274">
        <v>166</v>
      </c>
      <c r="E274">
        <v>65535</v>
      </c>
      <c r="F274">
        <v>1.28</v>
      </c>
      <c r="H274">
        <v>-1.8</v>
      </c>
      <c r="I274">
        <v>65535</v>
      </c>
      <c r="J274">
        <v>0.89</v>
      </c>
      <c r="K274">
        <v>2.4300000000000002</v>
      </c>
      <c r="L274" t="s">
        <v>6</v>
      </c>
      <c r="M274" t="s">
        <v>71</v>
      </c>
    </row>
    <row r="275" spans="1:13" x14ac:dyDescent="0.45">
      <c r="A275" t="s">
        <v>5</v>
      </c>
      <c r="B275" t="s">
        <v>144</v>
      </c>
      <c r="C275">
        <v>2045</v>
      </c>
      <c r="D275">
        <v>163</v>
      </c>
      <c r="E275">
        <v>65535</v>
      </c>
      <c r="F275">
        <v>1.48</v>
      </c>
      <c r="H275">
        <v>-5.93</v>
      </c>
      <c r="I275">
        <v>65535</v>
      </c>
      <c r="J275">
        <v>1.08</v>
      </c>
      <c r="K275">
        <v>2.75</v>
      </c>
      <c r="L275" t="s">
        <v>6</v>
      </c>
      <c r="M275" t="s">
        <v>71</v>
      </c>
    </row>
    <row r="276" spans="1:13" x14ac:dyDescent="0.45">
      <c r="A276" t="s">
        <v>5</v>
      </c>
      <c r="B276" t="s">
        <v>144</v>
      </c>
      <c r="C276">
        <v>2050</v>
      </c>
      <c r="D276">
        <v>166</v>
      </c>
      <c r="E276">
        <v>65535</v>
      </c>
      <c r="F276">
        <v>1.59</v>
      </c>
      <c r="H276">
        <v>-5.35</v>
      </c>
      <c r="I276">
        <v>65535</v>
      </c>
      <c r="J276">
        <v>0.97</v>
      </c>
      <c r="K276">
        <v>2.91</v>
      </c>
      <c r="L276" t="s">
        <v>6</v>
      </c>
      <c r="M276" t="s">
        <v>71</v>
      </c>
    </row>
    <row r="277" spans="1:13" x14ac:dyDescent="0.45">
      <c r="A277" t="s">
        <v>7</v>
      </c>
      <c r="B277" t="s">
        <v>144</v>
      </c>
      <c r="C277">
        <v>2020</v>
      </c>
      <c r="D277">
        <v>52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71</v>
      </c>
    </row>
    <row r="278" spans="1:13" x14ac:dyDescent="0.45">
      <c r="A278" t="s">
        <v>7</v>
      </c>
      <c r="B278" t="s">
        <v>144</v>
      </c>
      <c r="C278">
        <v>2025</v>
      </c>
      <c r="D278">
        <v>52</v>
      </c>
      <c r="E278">
        <v>0.89</v>
      </c>
      <c r="F278">
        <v>0.6</v>
      </c>
      <c r="G278">
        <v>0.38</v>
      </c>
      <c r="H278">
        <v>0.45</v>
      </c>
      <c r="I278">
        <v>1.39</v>
      </c>
      <c r="J278">
        <v>0.53</v>
      </c>
      <c r="K278">
        <v>1.25</v>
      </c>
      <c r="L278" t="s">
        <v>8</v>
      </c>
      <c r="M278" t="s">
        <v>71</v>
      </c>
    </row>
    <row r="279" spans="1:13" x14ac:dyDescent="0.45">
      <c r="A279" t="s">
        <v>7</v>
      </c>
      <c r="B279" t="s">
        <v>144</v>
      </c>
      <c r="C279">
        <v>2030</v>
      </c>
      <c r="D279">
        <v>52</v>
      </c>
      <c r="E279">
        <v>1.06</v>
      </c>
      <c r="F279">
        <v>0.63</v>
      </c>
      <c r="G279">
        <v>0.52</v>
      </c>
      <c r="H279">
        <v>0.5</v>
      </c>
      <c r="I279">
        <v>1.81</v>
      </c>
      <c r="J279">
        <v>0.59</v>
      </c>
      <c r="K279">
        <v>1.65</v>
      </c>
      <c r="L279" t="s">
        <v>8</v>
      </c>
      <c r="M279" t="s">
        <v>71</v>
      </c>
    </row>
    <row r="280" spans="1:13" x14ac:dyDescent="0.45">
      <c r="A280" t="s">
        <v>7</v>
      </c>
      <c r="B280" t="s">
        <v>144</v>
      </c>
      <c r="C280">
        <v>2035</v>
      </c>
      <c r="D280">
        <v>52</v>
      </c>
      <c r="E280">
        <v>1.0900000000000001</v>
      </c>
      <c r="F280">
        <v>0.69</v>
      </c>
      <c r="G280">
        <v>0.56000000000000005</v>
      </c>
      <c r="H280">
        <v>0.53</v>
      </c>
      <c r="I280">
        <v>2.74</v>
      </c>
      <c r="J280">
        <v>0.62</v>
      </c>
      <c r="K280">
        <v>1.55</v>
      </c>
      <c r="L280" t="s">
        <v>8</v>
      </c>
      <c r="M280" t="s">
        <v>71</v>
      </c>
    </row>
    <row r="281" spans="1:13" x14ac:dyDescent="0.45">
      <c r="A281" t="s">
        <v>7</v>
      </c>
      <c r="B281" t="s">
        <v>144</v>
      </c>
      <c r="C281">
        <v>2040</v>
      </c>
      <c r="D281">
        <v>52</v>
      </c>
      <c r="E281">
        <v>1.2</v>
      </c>
      <c r="F281">
        <v>0.79</v>
      </c>
      <c r="G281">
        <v>0.67</v>
      </c>
      <c r="H281">
        <v>0.59</v>
      </c>
      <c r="I281">
        <v>3.56</v>
      </c>
      <c r="J281">
        <v>0.63</v>
      </c>
      <c r="K281">
        <v>1.75</v>
      </c>
      <c r="L281" t="s">
        <v>8</v>
      </c>
      <c r="M281" t="s">
        <v>71</v>
      </c>
    </row>
    <row r="282" spans="1:13" x14ac:dyDescent="0.45">
      <c r="A282" t="s">
        <v>7</v>
      </c>
      <c r="B282" t="s">
        <v>144</v>
      </c>
      <c r="C282">
        <v>2045</v>
      </c>
      <c r="D282">
        <v>52</v>
      </c>
      <c r="E282">
        <v>1.32</v>
      </c>
      <c r="F282">
        <v>0.84</v>
      </c>
      <c r="G282">
        <v>0.77</v>
      </c>
      <c r="H282">
        <v>0.6</v>
      </c>
      <c r="I282">
        <v>4.16</v>
      </c>
      <c r="J282">
        <v>0.7</v>
      </c>
      <c r="K282">
        <v>1.9</v>
      </c>
      <c r="L282" t="s">
        <v>8</v>
      </c>
      <c r="M282" t="s">
        <v>71</v>
      </c>
    </row>
    <row r="283" spans="1:13" x14ac:dyDescent="0.45">
      <c r="A283" t="s">
        <v>7</v>
      </c>
      <c r="B283" t="s">
        <v>144</v>
      </c>
      <c r="C283">
        <v>2050</v>
      </c>
      <c r="D283">
        <v>52</v>
      </c>
      <c r="E283">
        <v>1.4</v>
      </c>
      <c r="F283">
        <v>0.94</v>
      </c>
      <c r="G283">
        <v>0.85</v>
      </c>
      <c r="H283">
        <v>0.61</v>
      </c>
      <c r="I283">
        <v>4.67</v>
      </c>
      <c r="J283">
        <v>0.71</v>
      </c>
      <c r="K283">
        <v>2.06</v>
      </c>
      <c r="L283" t="s">
        <v>8</v>
      </c>
      <c r="M283" t="s">
        <v>71</v>
      </c>
    </row>
    <row r="284" spans="1:13" x14ac:dyDescent="0.45">
      <c r="A284" t="s">
        <v>9</v>
      </c>
      <c r="B284" t="s">
        <v>144</v>
      </c>
      <c r="C284">
        <v>2020</v>
      </c>
      <c r="D284">
        <v>43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71</v>
      </c>
    </row>
    <row r="285" spans="1:13" x14ac:dyDescent="0.45">
      <c r="A285" t="s">
        <v>9</v>
      </c>
      <c r="B285" t="s">
        <v>144</v>
      </c>
      <c r="C285">
        <v>2025</v>
      </c>
      <c r="D285">
        <v>43</v>
      </c>
      <c r="E285">
        <v>0.93</v>
      </c>
      <c r="F285">
        <v>1.01</v>
      </c>
      <c r="G285">
        <v>0.45</v>
      </c>
      <c r="H285">
        <v>0.38</v>
      </c>
      <c r="I285">
        <v>2.73</v>
      </c>
      <c r="J285">
        <v>0.62</v>
      </c>
      <c r="K285">
        <v>1.0900000000000001</v>
      </c>
      <c r="L285" t="s">
        <v>10</v>
      </c>
      <c r="M285" t="s">
        <v>71</v>
      </c>
    </row>
    <row r="286" spans="1:13" x14ac:dyDescent="0.45">
      <c r="A286" t="s">
        <v>9</v>
      </c>
      <c r="B286" t="s">
        <v>144</v>
      </c>
      <c r="C286">
        <v>2030</v>
      </c>
      <c r="D286">
        <v>43</v>
      </c>
      <c r="E286">
        <v>1.1499999999999999</v>
      </c>
      <c r="F286">
        <v>1.1100000000000001</v>
      </c>
      <c r="G286">
        <v>0.46</v>
      </c>
      <c r="H286">
        <v>0.57999999999999996</v>
      </c>
      <c r="I286">
        <v>3.14</v>
      </c>
      <c r="J286">
        <v>0.99</v>
      </c>
      <c r="K286">
        <v>1.17</v>
      </c>
      <c r="L286" t="s">
        <v>10</v>
      </c>
      <c r="M286" t="s">
        <v>71</v>
      </c>
    </row>
    <row r="287" spans="1:13" x14ac:dyDescent="0.45">
      <c r="A287" t="s">
        <v>9</v>
      </c>
      <c r="B287" t="s">
        <v>144</v>
      </c>
      <c r="C287">
        <v>2035</v>
      </c>
      <c r="D287">
        <v>43</v>
      </c>
      <c r="E287">
        <v>1.07</v>
      </c>
      <c r="F287">
        <v>1.01</v>
      </c>
      <c r="G287">
        <v>0.42</v>
      </c>
      <c r="H287">
        <v>0.63</v>
      </c>
      <c r="I287">
        <v>2.83</v>
      </c>
      <c r="J287">
        <v>0.78</v>
      </c>
      <c r="K287">
        <v>1.2</v>
      </c>
      <c r="L287" t="s">
        <v>10</v>
      </c>
      <c r="M287" t="s">
        <v>71</v>
      </c>
    </row>
    <row r="288" spans="1:13" x14ac:dyDescent="0.45">
      <c r="A288" t="s">
        <v>9</v>
      </c>
      <c r="B288" t="s">
        <v>144</v>
      </c>
      <c r="C288">
        <v>2040</v>
      </c>
      <c r="D288">
        <v>43</v>
      </c>
      <c r="E288">
        <v>1.0900000000000001</v>
      </c>
      <c r="F288">
        <v>1.01</v>
      </c>
      <c r="G288">
        <v>0.46</v>
      </c>
      <c r="H288">
        <v>0.67</v>
      </c>
      <c r="I288">
        <v>3.23</v>
      </c>
      <c r="J288">
        <v>0.82</v>
      </c>
      <c r="K288">
        <v>1.23</v>
      </c>
      <c r="L288" t="s">
        <v>10</v>
      </c>
      <c r="M288" t="s">
        <v>71</v>
      </c>
    </row>
    <row r="289" spans="1:13" x14ac:dyDescent="0.45">
      <c r="A289" t="s">
        <v>9</v>
      </c>
      <c r="B289" t="s">
        <v>144</v>
      </c>
      <c r="C289">
        <v>2045</v>
      </c>
      <c r="D289">
        <v>43</v>
      </c>
      <c r="E289">
        <v>1.1599999999999999</v>
      </c>
      <c r="F289">
        <v>1.04</v>
      </c>
      <c r="G289">
        <v>0.44</v>
      </c>
      <c r="H289">
        <v>0.7</v>
      </c>
      <c r="I289">
        <v>3.16</v>
      </c>
      <c r="J289">
        <v>0.95</v>
      </c>
      <c r="K289">
        <v>1.26</v>
      </c>
      <c r="L289" t="s">
        <v>10</v>
      </c>
      <c r="M289" t="s">
        <v>71</v>
      </c>
    </row>
    <row r="290" spans="1:13" x14ac:dyDescent="0.45">
      <c r="A290" t="s">
        <v>9</v>
      </c>
      <c r="B290" t="s">
        <v>144</v>
      </c>
      <c r="C290">
        <v>2050</v>
      </c>
      <c r="D290">
        <v>43</v>
      </c>
      <c r="E290">
        <v>1.26</v>
      </c>
      <c r="F290">
        <v>1.1399999999999999</v>
      </c>
      <c r="G290">
        <v>0.59</v>
      </c>
      <c r="H290">
        <v>0.79</v>
      </c>
      <c r="I290">
        <v>4.05</v>
      </c>
      <c r="J290">
        <v>0.99</v>
      </c>
      <c r="K290">
        <v>1.31</v>
      </c>
      <c r="L290" t="s">
        <v>10</v>
      </c>
      <c r="M290" t="s">
        <v>71</v>
      </c>
    </row>
    <row r="291" spans="1:13" x14ac:dyDescent="0.45">
      <c r="A291" t="s">
        <v>0</v>
      </c>
      <c r="B291" t="s">
        <v>144</v>
      </c>
      <c r="C291">
        <v>2020</v>
      </c>
      <c r="D291">
        <v>20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72</v>
      </c>
    </row>
    <row r="292" spans="1:13" x14ac:dyDescent="0.45">
      <c r="A292" t="s">
        <v>0</v>
      </c>
      <c r="B292" t="s">
        <v>144</v>
      </c>
      <c r="C292">
        <v>2025</v>
      </c>
      <c r="D292">
        <v>20</v>
      </c>
      <c r="E292">
        <v>3.7</v>
      </c>
      <c r="F292">
        <v>3.91</v>
      </c>
      <c r="G292">
        <v>2.78</v>
      </c>
      <c r="H292">
        <v>0</v>
      </c>
      <c r="I292">
        <v>9.42</v>
      </c>
      <c r="J292">
        <v>1.08</v>
      </c>
      <c r="K292">
        <v>4.53</v>
      </c>
      <c r="L292" t="s">
        <v>1</v>
      </c>
      <c r="M292" t="s">
        <v>72</v>
      </c>
    </row>
    <row r="293" spans="1:13" x14ac:dyDescent="0.45">
      <c r="A293" t="s">
        <v>0</v>
      </c>
      <c r="B293" t="s">
        <v>144</v>
      </c>
      <c r="C293">
        <v>2030</v>
      </c>
      <c r="D293">
        <v>20</v>
      </c>
      <c r="E293">
        <v>5.81</v>
      </c>
      <c r="F293">
        <v>6.49</v>
      </c>
      <c r="G293">
        <v>3.1</v>
      </c>
      <c r="H293">
        <v>0</v>
      </c>
      <c r="I293">
        <v>14.03</v>
      </c>
      <c r="J293">
        <v>3.75</v>
      </c>
      <c r="K293">
        <v>7.02</v>
      </c>
      <c r="L293" t="s">
        <v>1</v>
      </c>
      <c r="M293" t="s">
        <v>72</v>
      </c>
    </row>
    <row r="294" spans="1:13" x14ac:dyDescent="0.45">
      <c r="A294" t="s">
        <v>0</v>
      </c>
      <c r="B294" t="s">
        <v>144</v>
      </c>
      <c r="C294">
        <v>2035</v>
      </c>
      <c r="D294">
        <v>20</v>
      </c>
      <c r="E294">
        <v>8.36</v>
      </c>
      <c r="F294">
        <v>8.1300000000000008</v>
      </c>
      <c r="G294">
        <v>4.8899999999999997</v>
      </c>
      <c r="H294">
        <v>0</v>
      </c>
      <c r="I294">
        <v>17.010000000000002</v>
      </c>
      <c r="J294">
        <v>4.04</v>
      </c>
      <c r="K294">
        <v>12.98</v>
      </c>
      <c r="L294" t="s">
        <v>1</v>
      </c>
      <c r="M294" t="s">
        <v>72</v>
      </c>
    </row>
    <row r="295" spans="1:13" x14ac:dyDescent="0.45">
      <c r="A295" t="s">
        <v>0</v>
      </c>
      <c r="B295" t="s">
        <v>144</v>
      </c>
      <c r="C295">
        <v>2040</v>
      </c>
      <c r="D295">
        <v>20</v>
      </c>
      <c r="E295">
        <v>10.89</v>
      </c>
      <c r="F295">
        <v>9.48</v>
      </c>
      <c r="G295">
        <v>6.99</v>
      </c>
      <c r="H295">
        <v>0</v>
      </c>
      <c r="I295">
        <v>20.12</v>
      </c>
      <c r="J295">
        <v>3.74</v>
      </c>
      <c r="K295">
        <v>18.11</v>
      </c>
      <c r="L295" t="s">
        <v>1</v>
      </c>
      <c r="M295" t="s">
        <v>72</v>
      </c>
    </row>
    <row r="296" spans="1:13" x14ac:dyDescent="0.45">
      <c r="A296" t="s">
        <v>0</v>
      </c>
      <c r="B296" t="s">
        <v>144</v>
      </c>
      <c r="C296">
        <v>2045</v>
      </c>
      <c r="D296">
        <v>20</v>
      </c>
      <c r="E296">
        <v>13.48</v>
      </c>
      <c r="F296">
        <v>11.01</v>
      </c>
      <c r="G296">
        <v>8.77</v>
      </c>
      <c r="H296">
        <v>0</v>
      </c>
      <c r="I296">
        <v>24.43</v>
      </c>
      <c r="J296">
        <v>4.7300000000000004</v>
      </c>
      <c r="K296">
        <v>22.58</v>
      </c>
      <c r="L296" t="s">
        <v>1</v>
      </c>
      <c r="M296" t="s">
        <v>72</v>
      </c>
    </row>
    <row r="297" spans="1:13" x14ac:dyDescent="0.45">
      <c r="A297" t="s">
        <v>0</v>
      </c>
      <c r="B297" t="s">
        <v>144</v>
      </c>
      <c r="C297">
        <v>2050</v>
      </c>
      <c r="D297">
        <v>20</v>
      </c>
      <c r="E297">
        <v>15.11</v>
      </c>
      <c r="F297">
        <v>12.07</v>
      </c>
      <c r="G297">
        <v>10.14</v>
      </c>
      <c r="H297">
        <v>0</v>
      </c>
      <c r="I297">
        <v>26.3</v>
      </c>
      <c r="J297">
        <v>5.37</v>
      </c>
      <c r="K297">
        <v>26.18</v>
      </c>
      <c r="L297" t="s">
        <v>1</v>
      </c>
      <c r="M297" t="s">
        <v>72</v>
      </c>
    </row>
    <row r="298" spans="1:13" x14ac:dyDescent="0.45">
      <c r="A298" t="s">
        <v>2</v>
      </c>
      <c r="B298" t="s">
        <v>144</v>
      </c>
      <c r="C298">
        <v>2020</v>
      </c>
      <c r="D298">
        <v>16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72</v>
      </c>
    </row>
    <row r="299" spans="1:13" x14ac:dyDescent="0.45">
      <c r="A299" t="s">
        <v>2</v>
      </c>
      <c r="B299" t="s">
        <v>144</v>
      </c>
      <c r="C299">
        <v>2025</v>
      </c>
      <c r="D299">
        <v>16</v>
      </c>
      <c r="E299">
        <v>2.46</v>
      </c>
      <c r="F299">
        <v>2.35</v>
      </c>
      <c r="G299">
        <v>1.51</v>
      </c>
      <c r="H299">
        <v>1.06</v>
      </c>
      <c r="I299">
        <v>5.16</v>
      </c>
      <c r="J299">
        <v>1.1599999999999999</v>
      </c>
      <c r="K299">
        <v>3.27</v>
      </c>
      <c r="L299" t="s">
        <v>3</v>
      </c>
      <c r="M299" t="s">
        <v>72</v>
      </c>
    </row>
    <row r="300" spans="1:13" x14ac:dyDescent="0.45">
      <c r="A300" t="s">
        <v>2</v>
      </c>
      <c r="B300" t="s">
        <v>144</v>
      </c>
      <c r="C300">
        <v>2030</v>
      </c>
      <c r="D300">
        <v>16</v>
      </c>
      <c r="E300">
        <v>2.5499999999999998</v>
      </c>
      <c r="F300">
        <v>2.5499999999999998</v>
      </c>
      <c r="G300">
        <v>0.8</v>
      </c>
      <c r="H300">
        <v>1.0900000000000001</v>
      </c>
      <c r="I300">
        <v>3.71</v>
      </c>
      <c r="J300">
        <v>2.2799999999999998</v>
      </c>
      <c r="K300">
        <v>3.04</v>
      </c>
      <c r="L300" t="s">
        <v>3</v>
      </c>
      <c r="M300" t="s">
        <v>72</v>
      </c>
    </row>
    <row r="301" spans="1:13" x14ac:dyDescent="0.45">
      <c r="A301" t="s">
        <v>2</v>
      </c>
      <c r="B301" t="s">
        <v>144</v>
      </c>
      <c r="C301">
        <v>2035</v>
      </c>
      <c r="D301">
        <v>16</v>
      </c>
      <c r="E301">
        <v>6.3</v>
      </c>
      <c r="F301">
        <v>3.61</v>
      </c>
      <c r="G301">
        <v>5.01</v>
      </c>
      <c r="H301">
        <v>3.14</v>
      </c>
      <c r="I301">
        <v>19.96</v>
      </c>
      <c r="J301">
        <v>3.44</v>
      </c>
      <c r="K301">
        <v>7.68</v>
      </c>
      <c r="L301" t="s">
        <v>3</v>
      </c>
      <c r="M301" t="s">
        <v>72</v>
      </c>
    </row>
    <row r="302" spans="1:13" x14ac:dyDescent="0.45">
      <c r="A302" t="s">
        <v>2</v>
      </c>
      <c r="B302" t="s">
        <v>144</v>
      </c>
      <c r="C302">
        <v>2040</v>
      </c>
      <c r="D302">
        <v>16</v>
      </c>
      <c r="E302">
        <v>6.95</v>
      </c>
      <c r="F302">
        <v>3.8</v>
      </c>
      <c r="G302">
        <v>6.29</v>
      </c>
      <c r="H302">
        <v>2.7</v>
      </c>
      <c r="I302">
        <v>25.59</v>
      </c>
      <c r="J302">
        <v>3.52</v>
      </c>
      <c r="K302">
        <v>9.2100000000000009</v>
      </c>
      <c r="L302" t="s">
        <v>3</v>
      </c>
      <c r="M302" t="s">
        <v>72</v>
      </c>
    </row>
    <row r="303" spans="1:13" x14ac:dyDescent="0.45">
      <c r="A303" t="s">
        <v>2</v>
      </c>
      <c r="B303" t="s">
        <v>144</v>
      </c>
      <c r="C303">
        <v>2045</v>
      </c>
      <c r="D303">
        <v>16</v>
      </c>
      <c r="E303">
        <v>6.37</v>
      </c>
      <c r="F303">
        <v>4.22</v>
      </c>
      <c r="G303">
        <v>5.01</v>
      </c>
      <c r="H303">
        <v>3.47</v>
      </c>
      <c r="I303">
        <v>22.39</v>
      </c>
      <c r="J303">
        <v>3.85</v>
      </c>
      <c r="K303">
        <v>6.02</v>
      </c>
      <c r="L303" t="s">
        <v>3</v>
      </c>
      <c r="M303" t="s">
        <v>72</v>
      </c>
    </row>
    <row r="304" spans="1:13" x14ac:dyDescent="0.45">
      <c r="A304" t="s">
        <v>2</v>
      </c>
      <c r="B304" t="s">
        <v>144</v>
      </c>
      <c r="C304">
        <v>2050</v>
      </c>
      <c r="D304">
        <v>16</v>
      </c>
      <c r="E304">
        <v>5.48</v>
      </c>
      <c r="F304">
        <v>4.91</v>
      </c>
      <c r="G304">
        <v>1.37</v>
      </c>
      <c r="H304">
        <v>4.32</v>
      </c>
      <c r="I304">
        <v>9.4600000000000009</v>
      </c>
      <c r="J304">
        <v>4.6500000000000004</v>
      </c>
      <c r="K304">
        <v>5.8</v>
      </c>
      <c r="L304" t="s">
        <v>3</v>
      </c>
      <c r="M304" t="s">
        <v>72</v>
      </c>
    </row>
    <row r="305" spans="1:13" x14ac:dyDescent="0.45">
      <c r="A305" t="s">
        <v>5</v>
      </c>
      <c r="B305" t="s">
        <v>144</v>
      </c>
      <c r="C305">
        <v>2020</v>
      </c>
      <c r="D305">
        <v>70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72</v>
      </c>
    </row>
    <row r="306" spans="1:13" x14ac:dyDescent="0.45">
      <c r="A306" t="s">
        <v>5</v>
      </c>
      <c r="B306" t="s">
        <v>144</v>
      </c>
      <c r="C306">
        <v>2025</v>
      </c>
      <c r="D306">
        <v>70</v>
      </c>
      <c r="E306">
        <v>2.37</v>
      </c>
      <c r="F306">
        <v>2.35</v>
      </c>
      <c r="G306">
        <v>0.99</v>
      </c>
      <c r="H306">
        <v>1.02</v>
      </c>
      <c r="I306">
        <v>5.16</v>
      </c>
      <c r="J306">
        <v>1.64</v>
      </c>
      <c r="K306">
        <v>2.76</v>
      </c>
      <c r="L306" t="s">
        <v>6</v>
      </c>
      <c r="M306" t="s">
        <v>72</v>
      </c>
    </row>
    <row r="307" spans="1:13" x14ac:dyDescent="0.45">
      <c r="A307" t="s">
        <v>5</v>
      </c>
      <c r="B307" t="s">
        <v>144</v>
      </c>
      <c r="C307">
        <v>2030</v>
      </c>
      <c r="D307">
        <v>70</v>
      </c>
      <c r="E307">
        <v>3.02</v>
      </c>
      <c r="F307">
        <v>3.15</v>
      </c>
      <c r="G307">
        <v>1.1299999999999999</v>
      </c>
      <c r="H307">
        <v>1.1100000000000001</v>
      </c>
      <c r="I307">
        <v>7.09</v>
      </c>
      <c r="J307">
        <v>2.2799999999999998</v>
      </c>
      <c r="K307">
        <v>3.52</v>
      </c>
      <c r="L307" t="s">
        <v>6</v>
      </c>
      <c r="M307" t="s">
        <v>72</v>
      </c>
    </row>
    <row r="308" spans="1:13" x14ac:dyDescent="0.45">
      <c r="A308" t="s">
        <v>5</v>
      </c>
      <c r="B308" t="s">
        <v>144</v>
      </c>
      <c r="C308">
        <v>2035</v>
      </c>
      <c r="D308">
        <v>70</v>
      </c>
      <c r="E308">
        <v>4.1100000000000003</v>
      </c>
      <c r="F308">
        <v>3.54</v>
      </c>
      <c r="G308">
        <v>1.7</v>
      </c>
      <c r="H308">
        <v>1.66</v>
      </c>
      <c r="I308">
        <v>9.1199999999999992</v>
      </c>
      <c r="J308">
        <v>2.76</v>
      </c>
      <c r="K308">
        <v>5.27</v>
      </c>
      <c r="L308" t="s">
        <v>6</v>
      </c>
      <c r="M308" t="s">
        <v>72</v>
      </c>
    </row>
    <row r="309" spans="1:13" x14ac:dyDescent="0.45">
      <c r="A309" t="s">
        <v>5</v>
      </c>
      <c r="B309" t="s">
        <v>144</v>
      </c>
      <c r="C309">
        <v>2040</v>
      </c>
      <c r="D309">
        <v>70</v>
      </c>
      <c r="E309">
        <v>5.05</v>
      </c>
      <c r="F309">
        <v>4.18</v>
      </c>
      <c r="G309">
        <v>2.72</v>
      </c>
      <c r="H309">
        <v>2.21</v>
      </c>
      <c r="I309">
        <v>11.9</v>
      </c>
      <c r="J309">
        <v>2.66</v>
      </c>
      <c r="K309">
        <v>6.9</v>
      </c>
      <c r="L309" t="s">
        <v>6</v>
      </c>
      <c r="M309" t="s">
        <v>72</v>
      </c>
    </row>
    <row r="310" spans="1:13" x14ac:dyDescent="0.45">
      <c r="A310" t="s">
        <v>5</v>
      </c>
      <c r="B310" t="s">
        <v>144</v>
      </c>
      <c r="C310">
        <v>2045</v>
      </c>
      <c r="D310">
        <v>70</v>
      </c>
      <c r="E310">
        <v>5.76</v>
      </c>
      <c r="F310">
        <v>4.38</v>
      </c>
      <c r="G310">
        <v>3.34</v>
      </c>
      <c r="H310">
        <v>2.23</v>
      </c>
      <c r="I310">
        <v>13.81</v>
      </c>
      <c r="J310">
        <v>2.9</v>
      </c>
      <c r="K310">
        <v>8.02</v>
      </c>
      <c r="L310" t="s">
        <v>6</v>
      </c>
      <c r="M310" t="s">
        <v>72</v>
      </c>
    </row>
    <row r="311" spans="1:13" x14ac:dyDescent="0.45">
      <c r="A311" t="s">
        <v>5</v>
      </c>
      <c r="B311" t="s">
        <v>144</v>
      </c>
      <c r="C311">
        <v>2050</v>
      </c>
      <c r="D311">
        <v>70</v>
      </c>
      <c r="E311">
        <v>6.63</v>
      </c>
      <c r="F311">
        <v>4.8</v>
      </c>
      <c r="G311">
        <v>3.72</v>
      </c>
      <c r="H311">
        <v>2.48</v>
      </c>
      <c r="I311">
        <v>16.84</v>
      </c>
      <c r="J311">
        <v>3.72</v>
      </c>
      <c r="K311">
        <v>8.7899999999999991</v>
      </c>
      <c r="L311" t="s">
        <v>6</v>
      </c>
      <c r="M311" t="s">
        <v>72</v>
      </c>
    </row>
    <row r="312" spans="1:13" x14ac:dyDescent="0.45">
      <c r="A312" t="s">
        <v>7</v>
      </c>
      <c r="B312" t="s">
        <v>144</v>
      </c>
      <c r="C312">
        <v>2020</v>
      </c>
      <c r="D312">
        <v>28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72</v>
      </c>
    </row>
    <row r="313" spans="1:13" x14ac:dyDescent="0.45">
      <c r="A313" t="s">
        <v>7</v>
      </c>
      <c r="B313" t="s">
        <v>144</v>
      </c>
      <c r="C313">
        <v>2025</v>
      </c>
      <c r="D313">
        <v>28</v>
      </c>
      <c r="E313">
        <v>1.96</v>
      </c>
      <c r="F313">
        <v>1.95</v>
      </c>
      <c r="G313">
        <v>0.27</v>
      </c>
      <c r="H313">
        <v>1.64</v>
      </c>
      <c r="I313">
        <v>2.39</v>
      </c>
      <c r="J313">
        <v>1.64</v>
      </c>
      <c r="K313">
        <v>2.13</v>
      </c>
      <c r="L313" t="s">
        <v>8</v>
      </c>
      <c r="M313" t="s">
        <v>72</v>
      </c>
    </row>
    <row r="314" spans="1:13" x14ac:dyDescent="0.45">
      <c r="A314" t="s">
        <v>7</v>
      </c>
      <c r="B314" t="s">
        <v>144</v>
      </c>
      <c r="C314">
        <v>2030</v>
      </c>
      <c r="D314">
        <v>28</v>
      </c>
      <c r="E314">
        <v>2.96</v>
      </c>
      <c r="F314">
        <v>3.18</v>
      </c>
      <c r="G314">
        <v>0.59</v>
      </c>
      <c r="H314">
        <v>1.81</v>
      </c>
      <c r="I314">
        <v>4.04</v>
      </c>
      <c r="J314">
        <v>2.52</v>
      </c>
      <c r="K314">
        <v>3.24</v>
      </c>
      <c r="L314" t="s">
        <v>8</v>
      </c>
      <c r="M314" t="s">
        <v>72</v>
      </c>
    </row>
    <row r="315" spans="1:13" x14ac:dyDescent="0.45">
      <c r="A315" t="s">
        <v>7</v>
      </c>
      <c r="B315" t="s">
        <v>144</v>
      </c>
      <c r="C315">
        <v>2035</v>
      </c>
      <c r="D315">
        <v>28</v>
      </c>
      <c r="E315">
        <v>3.13</v>
      </c>
      <c r="F315">
        <v>2.98</v>
      </c>
      <c r="G315">
        <v>0.84</v>
      </c>
      <c r="H315">
        <v>1.87</v>
      </c>
      <c r="I315">
        <v>4.99</v>
      </c>
      <c r="J315">
        <v>2.64</v>
      </c>
      <c r="K315">
        <v>3.7</v>
      </c>
      <c r="L315" t="s">
        <v>8</v>
      </c>
      <c r="M315" t="s">
        <v>72</v>
      </c>
    </row>
    <row r="316" spans="1:13" x14ac:dyDescent="0.45">
      <c r="A316" t="s">
        <v>7</v>
      </c>
      <c r="B316" t="s">
        <v>144</v>
      </c>
      <c r="C316">
        <v>2040</v>
      </c>
      <c r="D316">
        <v>28</v>
      </c>
      <c r="E316">
        <v>3.72</v>
      </c>
      <c r="F316">
        <v>3.78</v>
      </c>
      <c r="G316">
        <v>1.22</v>
      </c>
      <c r="H316">
        <v>1.78</v>
      </c>
      <c r="I316">
        <v>7.34</v>
      </c>
      <c r="J316">
        <v>3.29</v>
      </c>
      <c r="K316">
        <v>4.4400000000000004</v>
      </c>
      <c r="L316" t="s">
        <v>8</v>
      </c>
      <c r="M316" t="s">
        <v>72</v>
      </c>
    </row>
    <row r="317" spans="1:13" x14ac:dyDescent="0.45">
      <c r="A317" t="s">
        <v>7</v>
      </c>
      <c r="B317" t="s">
        <v>144</v>
      </c>
      <c r="C317">
        <v>2045</v>
      </c>
      <c r="D317">
        <v>28</v>
      </c>
      <c r="E317">
        <v>4.3499999999999996</v>
      </c>
      <c r="F317">
        <v>4.4400000000000004</v>
      </c>
      <c r="G317">
        <v>1.75</v>
      </c>
      <c r="H317">
        <v>1.87</v>
      </c>
      <c r="I317">
        <v>8.8699999999999992</v>
      </c>
      <c r="J317">
        <v>3.26</v>
      </c>
      <c r="K317">
        <v>5.19</v>
      </c>
      <c r="L317" t="s">
        <v>8</v>
      </c>
      <c r="M317" t="s">
        <v>72</v>
      </c>
    </row>
    <row r="318" spans="1:13" x14ac:dyDescent="0.45">
      <c r="A318" t="s">
        <v>7</v>
      </c>
      <c r="B318" t="s">
        <v>144</v>
      </c>
      <c r="C318">
        <v>2050</v>
      </c>
      <c r="D318">
        <v>28</v>
      </c>
      <c r="E318">
        <v>4.6500000000000004</v>
      </c>
      <c r="F318">
        <v>4.8</v>
      </c>
      <c r="G318">
        <v>1.85</v>
      </c>
      <c r="H318">
        <v>2.29</v>
      </c>
      <c r="I318">
        <v>10.14</v>
      </c>
      <c r="J318">
        <v>3.04</v>
      </c>
      <c r="K318">
        <v>5.69</v>
      </c>
      <c r="L318" t="s">
        <v>8</v>
      </c>
      <c r="M318" t="s">
        <v>72</v>
      </c>
    </row>
    <row r="319" spans="1:13" x14ac:dyDescent="0.45">
      <c r="A319" t="s">
        <v>9</v>
      </c>
      <c r="B319" t="s">
        <v>144</v>
      </c>
      <c r="C319">
        <v>2020</v>
      </c>
      <c r="D319">
        <v>15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72</v>
      </c>
    </row>
    <row r="320" spans="1:13" x14ac:dyDescent="0.45">
      <c r="A320" t="s">
        <v>9</v>
      </c>
      <c r="B320" t="s">
        <v>144</v>
      </c>
      <c r="C320">
        <v>2025</v>
      </c>
      <c r="D320">
        <v>15</v>
      </c>
      <c r="E320">
        <v>1.18</v>
      </c>
      <c r="F320">
        <v>1.02</v>
      </c>
      <c r="G320">
        <v>0.35</v>
      </c>
      <c r="H320">
        <v>1.02</v>
      </c>
      <c r="I320">
        <v>2.11</v>
      </c>
      <c r="J320">
        <v>1.02</v>
      </c>
      <c r="K320">
        <v>1.05</v>
      </c>
      <c r="L320" t="s">
        <v>10</v>
      </c>
      <c r="M320" t="s">
        <v>72</v>
      </c>
    </row>
    <row r="321" spans="1:13" x14ac:dyDescent="0.45">
      <c r="A321" t="s">
        <v>9</v>
      </c>
      <c r="B321" t="s">
        <v>144</v>
      </c>
      <c r="C321">
        <v>2030</v>
      </c>
      <c r="D321">
        <v>15</v>
      </c>
      <c r="E321">
        <v>1.35</v>
      </c>
      <c r="F321">
        <v>1.06</v>
      </c>
      <c r="G321">
        <v>0.66</v>
      </c>
      <c r="H321">
        <v>1.03</v>
      </c>
      <c r="I321">
        <v>3.13</v>
      </c>
      <c r="J321">
        <v>1.04</v>
      </c>
      <c r="K321">
        <v>1.1200000000000001</v>
      </c>
      <c r="L321" t="s">
        <v>10</v>
      </c>
      <c r="M321" t="s">
        <v>72</v>
      </c>
    </row>
    <row r="322" spans="1:13" x14ac:dyDescent="0.45">
      <c r="A322" t="s">
        <v>9</v>
      </c>
      <c r="B322" t="s">
        <v>144</v>
      </c>
      <c r="C322">
        <v>2035</v>
      </c>
      <c r="D322">
        <v>15</v>
      </c>
      <c r="E322">
        <v>1.23</v>
      </c>
      <c r="F322">
        <v>1.07</v>
      </c>
      <c r="G322">
        <v>0.34</v>
      </c>
      <c r="H322">
        <v>1.01</v>
      </c>
      <c r="I322">
        <v>2.23</v>
      </c>
      <c r="J322">
        <v>1.06</v>
      </c>
      <c r="K322">
        <v>1.18</v>
      </c>
      <c r="L322" t="s">
        <v>10</v>
      </c>
      <c r="M322" t="s">
        <v>72</v>
      </c>
    </row>
    <row r="323" spans="1:13" x14ac:dyDescent="0.45">
      <c r="A323" t="s">
        <v>9</v>
      </c>
      <c r="B323" t="s">
        <v>144</v>
      </c>
      <c r="C323">
        <v>2040</v>
      </c>
      <c r="D323">
        <v>15</v>
      </c>
      <c r="E323">
        <v>1.1200000000000001</v>
      </c>
      <c r="F323">
        <v>1.08</v>
      </c>
      <c r="G323">
        <v>0.16</v>
      </c>
      <c r="H323">
        <v>0.86</v>
      </c>
      <c r="I323">
        <v>1.48</v>
      </c>
      <c r="J323">
        <v>1.02</v>
      </c>
      <c r="K323">
        <v>1.2</v>
      </c>
      <c r="L323" t="s">
        <v>10</v>
      </c>
      <c r="M323" t="s">
        <v>72</v>
      </c>
    </row>
    <row r="324" spans="1:13" x14ac:dyDescent="0.45">
      <c r="A324" t="s">
        <v>9</v>
      </c>
      <c r="B324" t="s">
        <v>144</v>
      </c>
      <c r="C324">
        <v>2045</v>
      </c>
      <c r="D324">
        <v>15</v>
      </c>
      <c r="E324">
        <v>1.1499999999999999</v>
      </c>
      <c r="F324">
        <v>1.1000000000000001</v>
      </c>
      <c r="G324">
        <v>0.23</v>
      </c>
      <c r="H324">
        <v>0.85</v>
      </c>
      <c r="I324">
        <v>1.81</v>
      </c>
      <c r="J324">
        <v>1</v>
      </c>
      <c r="K324">
        <v>1.27</v>
      </c>
      <c r="L324" t="s">
        <v>10</v>
      </c>
      <c r="M324" t="s">
        <v>72</v>
      </c>
    </row>
    <row r="325" spans="1:13" x14ac:dyDescent="0.45">
      <c r="A325" t="s">
        <v>9</v>
      </c>
      <c r="B325" t="s">
        <v>144</v>
      </c>
      <c r="C325">
        <v>2050</v>
      </c>
      <c r="D325">
        <v>15</v>
      </c>
      <c r="E325">
        <v>1.21</v>
      </c>
      <c r="F325">
        <v>1.1200000000000001</v>
      </c>
      <c r="G325">
        <v>0.37</v>
      </c>
      <c r="H325">
        <v>0.84</v>
      </c>
      <c r="I325">
        <v>2.38</v>
      </c>
      <c r="J325">
        <v>0.98</v>
      </c>
      <c r="K325">
        <v>1.32</v>
      </c>
      <c r="L325" t="s">
        <v>10</v>
      </c>
      <c r="M325" t="s">
        <v>72</v>
      </c>
    </row>
    <row r="326" spans="1:13" x14ac:dyDescent="0.45">
      <c r="A326" t="s">
        <v>0</v>
      </c>
      <c r="B326" t="s">
        <v>144</v>
      </c>
      <c r="C326">
        <v>2020</v>
      </c>
      <c r="D326">
        <v>7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73</v>
      </c>
    </row>
    <row r="327" spans="1:13" x14ac:dyDescent="0.45">
      <c r="A327" t="s">
        <v>0</v>
      </c>
      <c r="B327" t="s">
        <v>144</v>
      </c>
      <c r="C327">
        <v>2025</v>
      </c>
      <c r="D327">
        <v>7</v>
      </c>
      <c r="E327">
        <v>1.05</v>
      </c>
      <c r="F327">
        <v>1.05</v>
      </c>
      <c r="G327">
        <v>0</v>
      </c>
      <c r="H327">
        <v>1.05</v>
      </c>
      <c r="I327">
        <v>1.05</v>
      </c>
      <c r="J327">
        <v>1.05</v>
      </c>
      <c r="K327">
        <v>1.05</v>
      </c>
      <c r="L327" t="s">
        <v>1</v>
      </c>
      <c r="M327" t="s">
        <v>73</v>
      </c>
    </row>
    <row r="328" spans="1:13" x14ac:dyDescent="0.45">
      <c r="A328" t="s">
        <v>0</v>
      </c>
      <c r="B328" t="s">
        <v>144</v>
      </c>
      <c r="C328">
        <v>2030</v>
      </c>
      <c r="D328">
        <v>7</v>
      </c>
      <c r="E328">
        <v>1.1100000000000001</v>
      </c>
      <c r="F328">
        <v>1.1100000000000001</v>
      </c>
      <c r="G328">
        <v>0</v>
      </c>
      <c r="H328">
        <v>1.1000000000000001</v>
      </c>
      <c r="I328">
        <v>1.1100000000000001</v>
      </c>
      <c r="J328">
        <v>1.1100000000000001</v>
      </c>
      <c r="K328">
        <v>1.1100000000000001</v>
      </c>
      <c r="L328" t="s">
        <v>1</v>
      </c>
      <c r="M328" t="s">
        <v>73</v>
      </c>
    </row>
    <row r="329" spans="1:13" x14ac:dyDescent="0.45">
      <c r="A329" t="s">
        <v>0</v>
      </c>
      <c r="B329" t="s">
        <v>144</v>
      </c>
      <c r="C329">
        <v>2035</v>
      </c>
      <c r="D329">
        <v>7</v>
      </c>
      <c r="E329">
        <v>1.1599999999999999</v>
      </c>
      <c r="F329">
        <v>1.17</v>
      </c>
      <c r="G329">
        <v>0.01</v>
      </c>
      <c r="H329">
        <v>1.1499999999999999</v>
      </c>
      <c r="I329">
        <v>1.17</v>
      </c>
      <c r="J329">
        <v>1.1599999999999999</v>
      </c>
      <c r="K329">
        <v>1.17</v>
      </c>
      <c r="L329" t="s">
        <v>1</v>
      </c>
      <c r="M329" t="s">
        <v>73</v>
      </c>
    </row>
    <row r="330" spans="1:13" x14ac:dyDescent="0.45">
      <c r="A330" t="s">
        <v>0</v>
      </c>
      <c r="B330" t="s">
        <v>144</v>
      </c>
      <c r="C330">
        <v>2040</v>
      </c>
      <c r="D330">
        <v>7</v>
      </c>
      <c r="E330">
        <v>1.1499999999999999</v>
      </c>
      <c r="F330">
        <v>1.17</v>
      </c>
      <c r="G330">
        <v>0.04</v>
      </c>
      <c r="H330">
        <v>1.1000000000000001</v>
      </c>
      <c r="I330">
        <v>1.19</v>
      </c>
      <c r="J330">
        <v>1.1200000000000001</v>
      </c>
      <c r="K330">
        <v>1.19</v>
      </c>
      <c r="L330" t="s">
        <v>1</v>
      </c>
      <c r="M330" t="s">
        <v>73</v>
      </c>
    </row>
    <row r="331" spans="1:13" x14ac:dyDescent="0.45">
      <c r="A331" t="s">
        <v>0</v>
      </c>
      <c r="B331" t="s">
        <v>144</v>
      </c>
      <c r="C331">
        <v>2045</v>
      </c>
      <c r="D331">
        <v>7</v>
      </c>
      <c r="E331">
        <v>1.1000000000000001</v>
      </c>
      <c r="F331">
        <v>1.1100000000000001</v>
      </c>
      <c r="G331">
        <v>0.03</v>
      </c>
      <c r="H331">
        <v>1.05</v>
      </c>
      <c r="I331">
        <v>1.1399999999999999</v>
      </c>
      <c r="J331">
        <v>1.08</v>
      </c>
      <c r="K331">
        <v>1.1299999999999999</v>
      </c>
      <c r="L331" t="s">
        <v>1</v>
      </c>
      <c r="M331" t="s">
        <v>73</v>
      </c>
    </row>
    <row r="332" spans="1:13" x14ac:dyDescent="0.45">
      <c r="A332" t="s">
        <v>0</v>
      </c>
      <c r="B332" t="s">
        <v>144</v>
      </c>
      <c r="C332">
        <v>2050</v>
      </c>
      <c r="D332">
        <v>7</v>
      </c>
      <c r="E332">
        <v>1.06</v>
      </c>
      <c r="F332">
        <v>1.06</v>
      </c>
      <c r="G332">
        <v>0.04</v>
      </c>
      <c r="H332">
        <v>1</v>
      </c>
      <c r="I332">
        <v>1.1399999999999999</v>
      </c>
      <c r="J332">
        <v>1.04</v>
      </c>
      <c r="K332">
        <v>1.08</v>
      </c>
      <c r="L332" t="s">
        <v>1</v>
      </c>
      <c r="M332" t="s">
        <v>73</v>
      </c>
    </row>
    <row r="333" spans="1:13" x14ac:dyDescent="0.45">
      <c r="A333" t="s">
        <v>2</v>
      </c>
      <c r="B333" t="s">
        <v>144</v>
      </c>
      <c r="C333">
        <v>2020</v>
      </c>
      <c r="D333">
        <v>7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73</v>
      </c>
    </row>
    <row r="334" spans="1:13" x14ac:dyDescent="0.45">
      <c r="A334" t="s">
        <v>2</v>
      </c>
      <c r="B334" t="s">
        <v>144</v>
      </c>
      <c r="C334">
        <v>2025</v>
      </c>
      <c r="D334">
        <v>7</v>
      </c>
      <c r="E334">
        <v>1.05</v>
      </c>
      <c r="F334">
        <v>1.05</v>
      </c>
      <c r="G334">
        <v>0</v>
      </c>
      <c r="H334">
        <v>1.05</v>
      </c>
      <c r="I334">
        <v>1.06</v>
      </c>
      <c r="J334">
        <v>1.05</v>
      </c>
      <c r="K334">
        <v>1.05</v>
      </c>
      <c r="L334" t="s">
        <v>3</v>
      </c>
      <c r="M334" t="s">
        <v>73</v>
      </c>
    </row>
    <row r="335" spans="1:13" x14ac:dyDescent="0.45">
      <c r="A335" t="s">
        <v>2</v>
      </c>
      <c r="B335" t="s">
        <v>144</v>
      </c>
      <c r="C335">
        <v>2030</v>
      </c>
      <c r="D335">
        <v>7</v>
      </c>
      <c r="E335">
        <v>1.1100000000000001</v>
      </c>
      <c r="F335">
        <v>1.1100000000000001</v>
      </c>
      <c r="G335">
        <v>0</v>
      </c>
      <c r="H335">
        <v>1.1000000000000001</v>
      </c>
      <c r="I335">
        <v>1.1100000000000001</v>
      </c>
      <c r="J335">
        <v>1.1100000000000001</v>
      </c>
      <c r="K335">
        <v>1.1100000000000001</v>
      </c>
      <c r="L335" t="s">
        <v>3</v>
      </c>
      <c r="M335" t="s">
        <v>73</v>
      </c>
    </row>
    <row r="336" spans="1:13" x14ac:dyDescent="0.45">
      <c r="A336" t="s">
        <v>2</v>
      </c>
      <c r="B336" t="s">
        <v>144</v>
      </c>
      <c r="C336">
        <v>2035</v>
      </c>
      <c r="D336">
        <v>7</v>
      </c>
      <c r="E336">
        <v>1.1599999999999999</v>
      </c>
      <c r="F336">
        <v>1.1599999999999999</v>
      </c>
      <c r="G336">
        <v>0.01</v>
      </c>
      <c r="H336">
        <v>1.1299999999999999</v>
      </c>
      <c r="I336">
        <v>1.17</v>
      </c>
      <c r="J336">
        <v>1.1499999999999999</v>
      </c>
      <c r="K336">
        <v>1.1599999999999999</v>
      </c>
      <c r="L336" t="s">
        <v>3</v>
      </c>
      <c r="M336" t="s">
        <v>73</v>
      </c>
    </row>
    <row r="337" spans="1:13" x14ac:dyDescent="0.45">
      <c r="A337" t="s">
        <v>2</v>
      </c>
      <c r="B337" t="s">
        <v>144</v>
      </c>
      <c r="C337">
        <v>2040</v>
      </c>
      <c r="D337">
        <v>7</v>
      </c>
      <c r="E337">
        <v>1.1499999999999999</v>
      </c>
      <c r="F337">
        <v>1.1499999999999999</v>
      </c>
      <c r="G337">
        <v>0.05</v>
      </c>
      <c r="H337">
        <v>1.0900000000000001</v>
      </c>
      <c r="I337">
        <v>1.22</v>
      </c>
      <c r="J337">
        <v>1.1100000000000001</v>
      </c>
      <c r="K337">
        <v>1.18</v>
      </c>
      <c r="L337" t="s">
        <v>3</v>
      </c>
      <c r="M337" t="s">
        <v>73</v>
      </c>
    </row>
    <row r="338" spans="1:13" x14ac:dyDescent="0.45">
      <c r="A338" t="s">
        <v>2</v>
      </c>
      <c r="B338" t="s">
        <v>144</v>
      </c>
      <c r="C338">
        <v>2045</v>
      </c>
      <c r="D338">
        <v>7</v>
      </c>
      <c r="E338">
        <v>1.19</v>
      </c>
      <c r="F338">
        <v>1.1599999999999999</v>
      </c>
      <c r="G338">
        <v>0.05</v>
      </c>
      <c r="H338">
        <v>1.1399999999999999</v>
      </c>
      <c r="I338">
        <v>1.28</v>
      </c>
      <c r="J338">
        <v>1.1499999999999999</v>
      </c>
      <c r="K338">
        <v>1.22</v>
      </c>
      <c r="L338" t="s">
        <v>3</v>
      </c>
      <c r="M338" t="s">
        <v>73</v>
      </c>
    </row>
    <row r="339" spans="1:13" x14ac:dyDescent="0.45">
      <c r="A339" t="s">
        <v>2</v>
      </c>
      <c r="B339" t="s">
        <v>144</v>
      </c>
      <c r="C339">
        <v>2050</v>
      </c>
      <c r="D339">
        <v>7</v>
      </c>
      <c r="E339">
        <v>1.25</v>
      </c>
      <c r="F339">
        <v>1.22</v>
      </c>
      <c r="G339">
        <v>0.06</v>
      </c>
      <c r="H339">
        <v>1.2</v>
      </c>
      <c r="I339">
        <v>1.35</v>
      </c>
      <c r="J339">
        <v>1.21</v>
      </c>
      <c r="K339">
        <v>1.29</v>
      </c>
      <c r="L339" t="s">
        <v>3</v>
      </c>
      <c r="M339" t="s">
        <v>73</v>
      </c>
    </row>
    <row r="340" spans="1:13" x14ac:dyDescent="0.45">
      <c r="A340" t="s">
        <v>5</v>
      </c>
      <c r="B340" t="s">
        <v>144</v>
      </c>
      <c r="C340">
        <v>2020</v>
      </c>
      <c r="D340">
        <v>18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73</v>
      </c>
    </row>
    <row r="341" spans="1:13" x14ac:dyDescent="0.45">
      <c r="A341" t="s">
        <v>5</v>
      </c>
      <c r="B341" t="s">
        <v>144</v>
      </c>
      <c r="C341">
        <v>2025</v>
      </c>
      <c r="D341">
        <v>18</v>
      </c>
      <c r="E341">
        <v>0.98</v>
      </c>
      <c r="F341">
        <v>1.05</v>
      </c>
      <c r="G341">
        <v>0.09</v>
      </c>
      <c r="H341">
        <v>0.82</v>
      </c>
      <c r="I341">
        <v>1.06</v>
      </c>
      <c r="J341">
        <v>0.87</v>
      </c>
      <c r="K341">
        <v>1.05</v>
      </c>
      <c r="L341" t="s">
        <v>6</v>
      </c>
      <c r="M341" t="s">
        <v>73</v>
      </c>
    </row>
    <row r="342" spans="1:13" x14ac:dyDescent="0.45">
      <c r="A342" t="s">
        <v>5</v>
      </c>
      <c r="B342" t="s">
        <v>144</v>
      </c>
      <c r="C342">
        <v>2030</v>
      </c>
      <c r="D342">
        <v>18</v>
      </c>
      <c r="E342">
        <v>1.1499999999999999</v>
      </c>
      <c r="F342">
        <v>1.1100000000000001</v>
      </c>
      <c r="G342">
        <v>0.1</v>
      </c>
      <c r="H342">
        <v>0.99</v>
      </c>
      <c r="I342">
        <v>1.4</v>
      </c>
      <c r="J342">
        <v>1.1100000000000001</v>
      </c>
      <c r="K342">
        <v>1.17</v>
      </c>
      <c r="L342" t="s">
        <v>6</v>
      </c>
      <c r="M342" t="s">
        <v>73</v>
      </c>
    </row>
    <row r="343" spans="1:13" x14ac:dyDescent="0.45">
      <c r="A343" t="s">
        <v>5</v>
      </c>
      <c r="B343" t="s">
        <v>144</v>
      </c>
      <c r="C343">
        <v>2035</v>
      </c>
      <c r="D343">
        <v>18</v>
      </c>
      <c r="E343">
        <v>1.34</v>
      </c>
      <c r="F343">
        <v>1.25</v>
      </c>
      <c r="G343">
        <v>0.24</v>
      </c>
      <c r="H343">
        <v>1.0900000000000001</v>
      </c>
      <c r="I343">
        <v>1.83</v>
      </c>
      <c r="J343">
        <v>1.1499999999999999</v>
      </c>
      <c r="K343">
        <v>1.54</v>
      </c>
      <c r="L343" t="s">
        <v>6</v>
      </c>
      <c r="M343" t="s">
        <v>73</v>
      </c>
    </row>
    <row r="344" spans="1:13" x14ac:dyDescent="0.45">
      <c r="A344" t="s">
        <v>5</v>
      </c>
      <c r="B344" t="s">
        <v>144</v>
      </c>
      <c r="C344">
        <v>2040</v>
      </c>
      <c r="D344">
        <v>18</v>
      </c>
      <c r="E344">
        <v>1.52</v>
      </c>
      <c r="F344">
        <v>1.35</v>
      </c>
      <c r="G344">
        <v>0.48</v>
      </c>
      <c r="H344">
        <v>1.03</v>
      </c>
      <c r="I344">
        <v>2.4500000000000002</v>
      </c>
      <c r="J344">
        <v>1.08</v>
      </c>
      <c r="K344">
        <v>1.85</v>
      </c>
      <c r="L344" t="s">
        <v>6</v>
      </c>
      <c r="M344" t="s">
        <v>73</v>
      </c>
    </row>
    <row r="345" spans="1:13" x14ac:dyDescent="0.45">
      <c r="A345" t="s">
        <v>5</v>
      </c>
      <c r="B345" t="s">
        <v>144</v>
      </c>
      <c r="C345">
        <v>2045</v>
      </c>
      <c r="D345">
        <v>18</v>
      </c>
      <c r="E345">
        <v>1.77</v>
      </c>
      <c r="F345">
        <v>1.55</v>
      </c>
      <c r="G345">
        <v>0.82</v>
      </c>
      <c r="H345">
        <v>0.99</v>
      </c>
      <c r="I345">
        <v>3.43</v>
      </c>
      <c r="J345">
        <v>1.04</v>
      </c>
      <c r="K345">
        <v>2.23</v>
      </c>
      <c r="L345" t="s">
        <v>6</v>
      </c>
      <c r="M345" t="s">
        <v>73</v>
      </c>
    </row>
    <row r="346" spans="1:13" x14ac:dyDescent="0.45">
      <c r="A346" t="s">
        <v>5</v>
      </c>
      <c r="B346" t="s">
        <v>144</v>
      </c>
      <c r="C346">
        <v>2050</v>
      </c>
      <c r="D346">
        <v>18</v>
      </c>
      <c r="E346">
        <v>2.1</v>
      </c>
      <c r="F346">
        <v>1.8</v>
      </c>
      <c r="G346">
        <v>1.19</v>
      </c>
      <c r="H346">
        <v>0.96</v>
      </c>
      <c r="I346">
        <v>4.32</v>
      </c>
      <c r="J346">
        <v>1.01</v>
      </c>
      <c r="K346">
        <v>2.85</v>
      </c>
      <c r="L346" t="s">
        <v>6</v>
      </c>
      <c r="M346" t="s">
        <v>73</v>
      </c>
    </row>
    <row r="347" spans="1:13" x14ac:dyDescent="0.45">
      <c r="A347" t="s">
        <v>7</v>
      </c>
      <c r="B347" t="s">
        <v>144</v>
      </c>
      <c r="C347">
        <v>2020</v>
      </c>
      <c r="D347">
        <v>8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73</v>
      </c>
    </row>
    <row r="348" spans="1:13" x14ac:dyDescent="0.45">
      <c r="A348" t="s">
        <v>7</v>
      </c>
      <c r="B348" t="s">
        <v>144</v>
      </c>
      <c r="C348">
        <v>2025</v>
      </c>
      <c r="D348">
        <v>8</v>
      </c>
      <c r="E348">
        <v>0.83</v>
      </c>
      <c r="F348">
        <v>0.84</v>
      </c>
      <c r="G348">
        <v>0.01</v>
      </c>
      <c r="H348">
        <v>0.82</v>
      </c>
      <c r="I348">
        <v>0.85</v>
      </c>
      <c r="J348">
        <v>0.82</v>
      </c>
      <c r="K348">
        <v>0.84</v>
      </c>
      <c r="L348" t="s">
        <v>8</v>
      </c>
      <c r="M348" t="s">
        <v>73</v>
      </c>
    </row>
    <row r="349" spans="1:13" x14ac:dyDescent="0.45">
      <c r="A349" t="s">
        <v>7</v>
      </c>
      <c r="B349" t="s">
        <v>144</v>
      </c>
      <c r="C349">
        <v>2030</v>
      </c>
      <c r="D349">
        <v>8</v>
      </c>
      <c r="E349">
        <v>1.17</v>
      </c>
      <c r="F349">
        <v>1.17</v>
      </c>
      <c r="G349">
        <v>0.03</v>
      </c>
      <c r="H349">
        <v>1.1399999999999999</v>
      </c>
      <c r="I349">
        <v>1.24</v>
      </c>
      <c r="J349">
        <v>1.17</v>
      </c>
      <c r="K349">
        <v>1.17</v>
      </c>
      <c r="L349" t="s">
        <v>8</v>
      </c>
      <c r="M349" t="s">
        <v>73</v>
      </c>
    </row>
    <row r="350" spans="1:13" x14ac:dyDescent="0.45">
      <c r="A350" t="s">
        <v>7</v>
      </c>
      <c r="B350" t="s">
        <v>144</v>
      </c>
      <c r="C350">
        <v>2035</v>
      </c>
      <c r="D350">
        <v>8</v>
      </c>
      <c r="E350">
        <v>1.25</v>
      </c>
      <c r="F350">
        <v>1.26</v>
      </c>
      <c r="G350">
        <v>0.08</v>
      </c>
      <c r="H350">
        <v>1.1399999999999999</v>
      </c>
      <c r="I350">
        <v>1.35</v>
      </c>
      <c r="J350">
        <v>1.2</v>
      </c>
      <c r="K350">
        <v>1.3</v>
      </c>
      <c r="L350" t="s">
        <v>8</v>
      </c>
      <c r="M350" t="s">
        <v>73</v>
      </c>
    </row>
    <row r="351" spans="1:13" x14ac:dyDescent="0.45">
      <c r="A351" t="s">
        <v>7</v>
      </c>
      <c r="B351" t="s">
        <v>144</v>
      </c>
      <c r="C351">
        <v>2040</v>
      </c>
      <c r="D351">
        <v>8</v>
      </c>
      <c r="E351">
        <v>1.24</v>
      </c>
      <c r="F351">
        <v>1.23</v>
      </c>
      <c r="G351">
        <v>0.1</v>
      </c>
      <c r="H351">
        <v>1.1100000000000001</v>
      </c>
      <c r="I351">
        <v>1.41</v>
      </c>
      <c r="J351">
        <v>1.19</v>
      </c>
      <c r="K351">
        <v>1.3</v>
      </c>
      <c r="L351" t="s">
        <v>8</v>
      </c>
      <c r="M351" t="s">
        <v>73</v>
      </c>
    </row>
    <row r="352" spans="1:13" x14ac:dyDescent="0.45">
      <c r="A352" t="s">
        <v>7</v>
      </c>
      <c r="B352" t="s">
        <v>144</v>
      </c>
      <c r="C352">
        <v>2045</v>
      </c>
      <c r="D352">
        <v>8</v>
      </c>
      <c r="E352">
        <v>1.51</v>
      </c>
      <c r="F352">
        <v>1.52</v>
      </c>
      <c r="G352">
        <v>0.13</v>
      </c>
      <c r="H352">
        <v>1.31</v>
      </c>
      <c r="I352">
        <v>1.67</v>
      </c>
      <c r="J352">
        <v>1.4</v>
      </c>
      <c r="K352">
        <v>1.6</v>
      </c>
      <c r="L352" t="s">
        <v>8</v>
      </c>
      <c r="M352" t="s">
        <v>73</v>
      </c>
    </row>
    <row r="353" spans="1:13" x14ac:dyDescent="0.45">
      <c r="A353" t="s">
        <v>7</v>
      </c>
      <c r="B353" t="s">
        <v>144</v>
      </c>
      <c r="C353">
        <v>2050</v>
      </c>
      <c r="D353">
        <v>8</v>
      </c>
      <c r="E353">
        <v>1.94</v>
      </c>
      <c r="F353">
        <v>1.94</v>
      </c>
      <c r="G353">
        <v>0.27</v>
      </c>
      <c r="H353">
        <v>1.5</v>
      </c>
      <c r="I353">
        <v>2.29</v>
      </c>
      <c r="J353">
        <v>1.78</v>
      </c>
      <c r="K353">
        <v>2.12</v>
      </c>
      <c r="L353" t="s">
        <v>8</v>
      </c>
      <c r="M353" t="s">
        <v>73</v>
      </c>
    </row>
    <row r="354" spans="1:13" x14ac:dyDescent="0.45">
      <c r="A354" t="s">
        <v>9</v>
      </c>
      <c r="B354" t="s">
        <v>144</v>
      </c>
      <c r="C354">
        <v>2020</v>
      </c>
      <c r="D354">
        <v>10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73</v>
      </c>
    </row>
    <row r="355" spans="1:13" x14ac:dyDescent="0.45">
      <c r="A355" t="s">
        <v>9</v>
      </c>
      <c r="B355" t="s">
        <v>144</v>
      </c>
      <c r="C355">
        <v>2025</v>
      </c>
      <c r="D355">
        <v>10</v>
      </c>
      <c r="E355">
        <v>0.96</v>
      </c>
      <c r="F355">
        <v>0.96</v>
      </c>
      <c r="G355">
        <v>0.09</v>
      </c>
      <c r="H355">
        <v>0.82</v>
      </c>
      <c r="I355">
        <v>1.05</v>
      </c>
      <c r="J355">
        <v>0.94</v>
      </c>
      <c r="K355">
        <v>1.05</v>
      </c>
      <c r="L355" t="s">
        <v>10</v>
      </c>
      <c r="M355" t="s">
        <v>73</v>
      </c>
    </row>
    <row r="356" spans="1:13" x14ac:dyDescent="0.45">
      <c r="A356" t="s">
        <v>9</v>
      </c>
      <c r="B356" t="s">
        <v>144</v>
      </c>
      <c r="C356">
        <v>2030</v>
      </c>
      <c r="D356">
        <v>10</v>
      </c>
      <c r="E356">
        <v>1.03</v>
      </c>
      <c r="F356">
        <v>1.04</v>
      </c>
      <c r="G356">
        <v>0.09</v>
      </c>
      <c r="H356">
        <v>0.9</v>
      </c>
      <c r="I356">
        <v>1.17</v>
      </c>
      <c r="J356">
        <v>0.96</v>
      </c>
      <c r="K356">
        <v>1.1100000000000001</v>
      </c>
      <c r="L356" t="s">
        <v>10</v>
      </c>
      <c r="M356" t="s">
        <v>73</v>
      </c>
    </row>
    <row r="357" spans="1:13" x14ac:dyDescent="0.45">
      <c r="A357" t="s">
        <v>9</v>
      </c>
      <c r="B357" t="s">
        <v>144</v>
      </c>
      <c r="C357">
        <v>2035</v>
      </c>
      <c r="D357">
        <v>10</v>
      </c>
      <c r="E357">
        <v>1.03</v>
      </c>
      <c r="F357">
        <v>1.04</v>
      </c>
      <c r="G357">
        <v>7.0000000000000007E-2</v>
      </c>
      <c r="H357">
        <v>0.89</v>
      </c>
      <c r="I357">
        <v>1.1100000000000001</v>
      </c>
      <c r="J357">
        <v>0.99</v>
      </c>
      <c r="K357">
        <v>1.0900000000000001</v>
      </c>
      <c r="L357" t="s">
        <v>10</v>
      </c>
      <c r="M357" t="s">
        <v>73</v>
      </c>
    </row>
    <row r="358" spans="1:13" x14ac:dyDescent="0.45">
      <c r="A358" t="s">
        <v>9</v>
      </c>
      <c r="B358" t="s">
        <v>144</v>
      </c>
      <c r="C358">
        <v>2040</v>
      </c>
      <c r="D358">
        <v>10</v>
      </c>
      <c r="E358">
        <v>0.99</v>
      </c>
      <c r="F358">
        <v>0.98</v>
      </c>
      <c r="G358">
        <v>0.05</v>
      </c>
      <c r="H358">
        <v>0.9</v>
      </c>
      <c r="I358">
        <v>1.04</v>
      </c>
      <c r="J358">
        <v>0.97</v>
      </c>
      <c r="K358">
        <v>1.03</v>
      </c>
      <c r="L358" t="s">
        <v>10</v>
      </c>
      <c r="M358" t="s">
        <v>73</v>
      </c>
    </row>
    <row r="359" spans="1:13" x14ac:dyDescent="0.45">
      <c r="A359" t="s">
        <v>9</v>
      </c>
      <c r="B359" t="s">
        <v>144</v>
      </c>
      <c r="C359">
        <v>2045</v>
      </c>
      <c r="D359">
        <v>10</v>
      </c>
      <c r="E359">
        <v>0.99</v>
      </c>
      <c r="F359">
        <v>0.99</v>
      </c>
      <c r="G359">
        <v>0.05</v>
      </c>
      <c r="H359">
        <v>0.9</v>
      </c>
      <c r="I359">
        <v>1.07</v>
      </c>
      <c r="J359">
        <v>0.98</v>
      </c>
      <c r="K359">
        <v>1</v>
      </c>
      <c r="L359" t="s">
        <v>10</v>
      </c>
      <c r="M359" t="s">
        <v>73</v>
      </c>
    </row>
    <row r="360" spans="1:13" x14ac:dyDescent="0.45">
      <c r="A360" t="s">
        <v>9</v>
      </c>
      <c r="B360" t="s">
        <v>144</v>
      </c>
      <c r="C360">
        <v>2050</v>
      </c>
      <c r="D360">
        <v>10</v>
      </c>
      <c r="E360">
        <v>1</v>
      </c>
      <c r="F360">
        <v>1</v>
      </c>
      <c r="G360">
        <v>7.0000000000000007E-2</v>
      </c>
      <c r="H360">
        <v>0.85</v>
      </c>
      <c r="I360">
        <v>1.0900000000000001</v>
      </c>
      <c r="J360">
        <v>0.97</v>
      </c>
      <c r="K360">
        <v>1.06</v>
      </c>
      <c r="L360" t="s">
        <v>10</v>
      </c>
      <c r="M360" t="s">
        <v>73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M24"/>
  <sheetViews>
    <sheetView workbookViewId="0">
      <selection activeCell="H21" sqref="H21"/>
    </sheetView>
  </sheetViews>
  <sheetFormatPr defaultRowHeight="14.25" x14ac:dyDescent="0.45"/>
  <sheetData>
    <row r="10" spans="1:13" x14ac:dyDescent="0.45">
      <c r="A10" t="str">
        <f>IFERROR(Veda!D5,"ts_12t")</f>
        <v>ts_annual</v>
      </c>
      <c r="B10" s="15"/>
      <c r="C10" s="15" t="s">
        <v>230</v>
      </c>
      <c r="D10" t="s">
        <v>124</v>
      </c>
      <c r="F10" t="s">
        <v>230</v>
      </c>
      <c r="G10" t="s">
        <v>126</v>
      </c>
      <c r="I10" t="s">
        <v>230</v>
      </c>
      <c r="J10" t="s">
        <v>106</v>
      </c>
      <c r="L10" t="s">
        <v>230</v>
      </c>
      <c r="M10" t="s">
        <v>131</v>
      </c>
    </row>
    <row r="11" spans="1:13" x14ac:dyDescent="0.45">
      <c r="B11" s="15"/>
      <c r="C11" s="15" t="s">
        <v>231</v>
      </c>
      <c r="D11" t="s">
        <v>232</v>
      </c>
      <c r="F11" t="s">
        <v>231</v>
      </c>
      <c r="G11" t="s">
        <v>280</v>
      </c>
      <c r="I11" t="s">
        <v>231</v>
      </c>
      <c r="J11" t="s">
        <v>284</v>
      </c>
      <c r="L11" t="s">
        <v>231</v>
      </c>
      <c r="M11" t="s">
        <v>303</v>
      </c>
    </row>
    <row r="12" spans="1:13" x14ac:dyDescent="0.45">
      <c r="B12" s="15"/>
      <c r="C12" s="15" t="s">
        <v>233</v>
      </c>
      <c r="D12" t="s">
        <v>234</v>
      </c>
      <c r="F12" t="s">
        <v>233</v>
      </c>
      <c r="G12" t="s">
        <v>281</v>
      </c>
      <c r="I12" t="s">
        <v>233</v>
      </c>
      <c r="J12" t="s">
        <v>284</v>
      </c>
      <c r="L12" t="s">
        <v>233</v>
      </c>
      <c r="M12" t="s">
        <v>304</v>
      </c>
    </row>
    <row r="17" spans="3:13" x14ac:dyDescent="0.45">
      <c r="I17" s="12">
        <v>0.75</v>
      </c>
      <c r="K17" s="2" t="s">
        <v>84</v>
      </c>
    </row>
    <row r="18" spans="3:13" ht="17.649999999999999" thickBot="1" x14ac:dyDescent="0.6">
      <c r="C18" s="13" t="s">
        <v>85</v>
      </c>
    </row>
    <row r="19" spans="3:13" ht="14.65" thickTop="1" x14ac:dyDescent="0.45"/>
    <row r="21" spans="3:13" ht="17.649999999999999" thickBot="1" x14ac:dyDescent="0.6">
      <c r="H21" s="13" t="str">
        <f>IF(H23=H24,"Not Required!","~UC_T: LO")</f>
        <v>Not Required!</v>
      </c>
    </row>
    <row r="22" spans="3:13" ht="15" thickTop="1" thickBot="1" x14ac:dyDescent="0.5">
      <c r="C22" s="14" t="s">
        <v>86</v>
      </c>
      <c r="D22" s="14" t="s">
        <v>87</v>
      </c>
      <c r="E22" s="14" t="s">
        <v>88</v>
      </c>
      <c r="F22" s="14" t="s">
        <v>89</v>
      </c>
      <c r="G22" s="14" t="s">
        <v>90</v>
      </c>
      <c r="H22" s="14" t="s">
        <v>91</v>
      </c>
      <c r="I22" s="14" t="s">
        <v>92</v>
      </c>
      <c r="J22" s="14" t="s">
        <v>93</v>
      </c>
      <c r="K22" s="14" t="s">
        <v>94</v>
      </c>
    </row>
    <row r="23" spans="3:13" x14ac:dyDescent="0.45">
      <c r="C23" t="s">
        <v>95</v>
      </c>
      <c r="D23" t="s">
        <v>96</v>
      </c>
      <c r="E23" t="str">
        <f>G23</f>
        <v>AuxStoIN</v>
      </c>
      <c r="F23" t="s">
        <v>97</v>
      </c>
      <c r="G23" t="s">
        <v>98</v>
      </c>
      <c r="H23" t="str">
        <f>HLOOKUP($A$10,$D$10:$CU$12,3,FALSE)</f>
        <v>AllSaAllH</v>
      </c>
      <c r="I23">
        <f>1+I24</f>
        <v>0.25</v>
      </c>
      <c r="J23">
        <v>0</v>
      </c>
      <c r="K23">
        <v>3</v>
      </c>
      <c r="M23" t="s">
        <v>99</v>
      </c>
    </row>
    <row r="24" spans="3:13" x14ac:dyDescent="0.45">
      <c r="D24" t="s">
        <v>96</v>
      </c>
      <c r="E24" t="str">
        <f>G24</f>
        <v>AuxStoIN</v>
      </c>
      <c r="F24" t="s">
        <v>97</v>
      </c>
      <c r="G24" t="s">
        <v>98</v>
      </c>
      <c r="H24" t="str">
        <f>HLOOKUP($A$10,$D$10:$CU$12,2,FALSE)</f>
        <v>AllSaAllH</v>
      </c>
      <c r="I24">
        <f>-$I$17</f>
        <v>-0.75</v>
      </c>
      <c r="M24" t="s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7D99E-1284-4FEB-ABED-DBD8FB57C574}">
  <dimension ref="A9:AN217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124</v>
      </c>
      <c r="C10" t="s">
        <v>150</v>
      </c>
      <c r="D10" t="s">
        <v>151</v>
      </c>
      <c r="E10" t="s">
        <v>152</v>
      </c>
      <c r="F10" t="s">
        <v>153</v>
      </c>
      <c r="G10" t="s">
        <v>154</v>
      </c>
      <c r="I10" t="s">
        <v>13</v>
      </c>
      <c r="J10" t="s">
        <v>121</v>
      </c>
      <c r="K10" t="s">
        <v>163</v>
      </c>
      <c r="L10" t="s">
        <v>30</v>
      </c>
      <c r="N10" t="s">
        <v>13</v>
      </c>
      <c r="O10" t="s">
        <v>121</v>
      </c>
      <c r="P10" t="s">
        <v>163</v>
      </c>
      <c r="Q10" t="s">
        <v>30</v>
      </c>
      <c r="S10" t="s">
        <v>13</v>
      </c>
      <c r="T10" t="s">
        <v>121</v>
      </c>
      <c r="U10" t="s">
        <v>163</v>
      </c>
      <c r="V10" t="s">
        <v>30</v>
      </c>
      <c r="X10" t="s">
        <v>229</v>
      </c>
      <c r="Y10" t="s">
        <v>163</v>
      </c>
      <c r="Z10" t="s">
        <v>121</v>
      </c>
      <c r="AA10" t="s">
        <v>13</v>
      </c>
      <c r="AC10" t="s">
        <v>13</v>
      </c>
      <c r="AD10" t="s">
        <v>121</v>
      </c>
      <c r="AE10" t="s">
        <v>163</v>
      </c>
      <c r="AG10" t="s">
        <v>13</v>
      </c>
      <c r="AH10" t="s">
        <v>121</v>
      </c>
      <c r="AI10" t="s">
        <v>235</v>
      </c>
      <c r="AK10" t="s">
        <v>47</v>
      </c>
      <c r="AL10" t="s">
        <v>121</v>
      </c>
      <c r="AM10" t="s">
        <v>236</v>
      </c>
      <c r="AN10" t="s">
        <v>237</v>
      </c>
    </row>
    <row r="11" spans="1:40" x14ac:dyDescent="0.45">
      <c r="A11" t="str">
        <f>IFERROR(IF(Veda!D5=A10,"ok","x"),"")</f>
        <v>x</v>
      </c>
      <c r="C11" t="s">
        <v>155</v>
      </c>
      <c r="D11" t="s">
        <v>156</v>
      </c>
      <c r="E11" t="s">
        <v>157</v>
      </c>
      <c r="F11" t="s">
        <v>158</v>
      </c>
      <c r="G11" t="s">
        <v>156</v>
      </c>
      <c r="I11" t="s">
        <v>164</v>
      </c>
      <c r="J11" t="s">
        <v>165</v>
      </c>
      <c r="K11">
        <v>7.2904662016210195E-2</v>
      </c>
      <c r="L11" t="s">
        <v>166</v>
      </c>
      <c r="N11" t="s">
        <v>197</v>
      </c>
      <c r="O11" t="s">
        <v>165</v>
      </c>
      <c r="P11">
        <v>0.11460286277215916</v>
      </c>
      <c r="Q11" t="s">
        <v>166</v>
      </c>
      <c r="S11" t="s">
        <v>219</v>
      </c>
      <c r="T11" t="s">
        <v>165</v>
      </c>
      <c r="U11">
        <v>0.10667346892280594</v>
      </c>
      <c r="V11" t="s">
        <v>166</v>
      </c>
      <c r="X11">
        <v>0.10776255707762557</v>
      </c>
      <c r="Y11">
        <v>9.9841715767927136E-2</v>
      </c>
      <c r="Z11" t="s">
        <v>165</v>
      </c>
      <c r="AA11" t="s">
        <v>25</v>
      </c>
      <c r="AC11" t="s">
        <v>22</v>
      </c>
      <c r="AD11" t="s">
        <v>165</v>
      </c>
      <c r="AE11">
        <v>0.12878060425972226</v>
      </c>
      <c r="AG11" t="s">
        <v>96</v>
      </c>
      <c r="AH11" t="s">
        <v>165</v>
      </c>
      <c r="AI11">
        <v>0.19622516112362609</v>
      </c>
      <c r="AK11">
        <v>2020</v>
      </c>
      <c r="AL11" t="s">
        <v>155</v>
      </c>
      <c r="AM11">
        <v>0.3999516962442129</v>
      </c>
      <c r="AN11" t="s">
        <v>238</v>
      </c>
    </row>
    <row r="12" spans="1:40" x14ac:dyDescent="0.45">
      <c r="C12" t="s">
        <v>159</v>
      </c>
      <c r="E12" t="s">
        <v>160</v>
      </c>
      <c r="G12" t="s">
        <v>156</v>
      </c>
      <c r="I12" t="s">
        <v>164</v>
      </c>
      <c r="J12" t="s">
        <v>167</v>
      </c>
      <c r="K12">
        <v>7.9113024401964785E-3</v>
      </c>
      <c r="L12" t="s">
        <v>166</v>
      </c>
      <c r="N12" t="s">
        <v>197</v>
      </c>
      <c r="O12" t="s">
        <v>167</v>
      </c>
      <c r="P12">
        <v>6.9335287590507081E-3</v>
      </c>
      <c r="Q12" t="s">
        <v>166</v>
      </c>
      <c r="S12" t="s">
        <v>219</v>
      </c>
      <c r="T12" t="s">
        <v>167</v>
      </c>
      <c r="U12">
        <v>6.8099290351365041E-3</v>
      </c>
      <c r="V12" t="s">
        <v>166</v>
      </c>
      <c r="X12">
        <v>6.735159817351598E-3</v>
      </c>
      <c r="Y12">
        <v>1.3103614018513452E-2</v>
      </c>
      <c r="Z12" t="s">
        <v>167</v>
      </c>
      <c r="AA12" t="s">
        <v>25</v>
      </c>
      <c r="AC12" t="s">
        <v>22</v>
      </c>
      <c r="AD12" t="s">
        <v>167</v>
      </c>
      <c r="AE12">
        <v>9.6263596139477565E-3</v>
      </c>
      <c r="AG12" t="s">
        <v>96</v>
      </c>
      <c r="AH12" t="s">
        <v>167</v>
      </c>
      <c r="AI12">
        <v>7.9506794508142686E-2</v>
      </c>
      <c r="AK12">
        <v>2020</v>
      </c>
      <c r="AL12" t="s">
        <v>159</v>
      </c>
      <c r="AM12">
        <v>0.39863248495610137</v>
      </c>
      <c r="AN12" t="s">
        <v>238</v>
      </c>
    </row>
    <row r="13" spans="1:40" x14ac:dyDescent="0.45">
      <c r="C13" t="s">
        <v>161</v>
      </c>
      <c r="E13" t="s">
        <v>162</v>
      </c>
      <c r="G13" t="s">
        <v>156</v>
      </c>
      <c r="I13" t="s">
        <v>164</v>
      </c>
      <c r="J13" t="s">
        <v>168</v>
      </c>
      <c r="K13">
        <v>5.324437005537465E-3</v>
      </c>
      <c r="L13" t="s">
        <v>166</v>
      </c>
      <c r="N13" t="s">
        <v>197</v>
      </c>
      <c r="O13" t="s">
        <v>168</v>
      </c>
      <c r="P13">
        <v>5.0329900476069209E-2</v>
      </c>
      <c r="Q13" t="s">
        <v>166</v>
      </c>
      <c r="S13" t="s">
        <v>219</v>
      </c>
      <c r="T13" t="s">
        <v>168</v>
      </c>
      <c r="U13">
        <v>4.8037364933928385E-2</v>
      </c>
      <c r="V13" t="s">
        <v>166</v>
      </c>
      <c r="X13">
        <v>4.714611872146119E-2</v>
      </c>
      <c r="Y13">
        <v>4.8698505829997768E-2</v>
      </c>
      <c r="Z13" t="s">
        <v>168</v>
      </c>
      <c r="AA13" t="s">
        <v>25</v>
      </c>
      <c r="AC13" t="s">
        <v>22</v>
      </c>
      <c r="AD13" t="s">
        <v>168</v>
      </c>
      <c r="AE13">
        <v>5.9848044357526095E-2</v>
      </c>
      <c r="AG13" t="s">
        <v>96</v>
      </c>
      <c r="AH13" t="s">
        <v>168</v>
      </c>
      <c r="AI13">
        <v>0.16853373301084695</v>
      </c>
      <c r="AK13">
        <v>2020</v>
      </c>
      <c r="AL13" t="s">
        <v>161</v>
      </c>
      <c r="AM13">
        <v>0.3336786031370228</v>
      </c>
      <c r="AN13" t="s">
        <v>238</v>
      </c>
    </row>
    <row r="14" spans="1:40" x14ac:dyDescent="0.45">
      <c r="I14" t="s">
        <v>164</v>
      </c>
      <c r="J14" t="s">
        <v>169</v>
      </c>
      <c r="K14">
        <v>0.65349110482413575</v>
      </c>
      <c r="L14" t="s">
        <v>166</v>
      </c>
      <c r="N14" t="s">
        <v>197</v>
      </c>
      <c r="O14" t="s">
        <v>169</v>
      </c>
      <c r="P14">
        <v>0.38013862746653099</v>
      </c>
      <c r="Q14" t="s">
        <v>166</v>
      </c>
      <c r="S14" t="s">
        <v>219</v>
      </c>
      <c r="T14" t="s">
        <v>169</v>
      </c>
      <c r="U14">
        <v>0.41217035095718141</v>
      </c>
      <c r="V14" t="s">
        <v>166</v>
      </c>
      <c r="X14">
        <v>0.44748858447488582</v>
      </c>
      <c r="Y14">
        <v>0.41459695530749419</v>
      </c>
      <c r="Z14" t="s">
        <v>169</v>
      </c>
      <c r="AA14" t="s">
        <v>25</v>
      </c>
      <c r="AC14" t="s">
        <v>22</v>
      </c>
      <c r="AD14" t="s">
        <v>169</v>
      </c>
      <c r="AE14">
        <v>0.40861754650773618</v>
      </c>
      <c r="AG14" t="s">
        <v>96</v>
      </c>
      <c r="AH14" t="s">
        <v>169</v>
      </c>
      <c r="AI14">
        <v>0.39504196916445689</v>
      </c>
      <c r="AK14">
        <v>2021</v>
      </c>
      <c r="AL14" t="s">
        <v>155</v>
      </c>
      <c r="AM14">
        <v>0.38765322510695333</v>
      </c>
      <c r="AN14" t="s">
        <v>238</v>
      </c>
    </row>
    <row r="15" spans="1:40" x14ac:dyDescent="0.45">
      <c r="I15" t="s">
        <v>164</v>
      </c>
      <c r="J15" t="s">
        <v>170</v>
      </c>
      <c r="K15">
        <v>6.6051605611245082E-2</v>
      </c>
      <c r="L15" t="s">
        <v>166</v>
      </c>
      <c r="N15" t="s">
        <v>197</v>
      </c>
      <c r="O15" t="s">
        <v>170</v>
      </c>
      <c r="P15">
        <v>2.4361291115840639E-2</v>
      </c>
      <c r="Q15" t="s">
        <v>166</v>
      </c>
      <c r="S15" t="s">
        <v>219</v>
      </c>
      <c r="T15" t="s">
        <v>170</v>
      </c>
      <c r="U15">
        <v>2.6713350359530978E-2</v>
      </c>
      <c r="V15" t="s">
        <v>166</v>
      </c>
      <c r="X15">
        <v>2.7968036529680364E-2</v>
      </c>
      <c r="Y15">
        <v>5.441331244975927E-2</v>
      </c>
      <c r="Z15" t="s">
        <v>170</v>
      </c>
      <c r="AA15" t="s">
        <v>25</v>
      </c>
      <c r="AC15" t="s">
        <v>22</v>
      </c>
      <c r="AD15" t="s">
        <v>170</v>
      </c>
      <c r="AE15">
        <v>2.9982034724592155E-2</v>
      </c>
      <c r="AG15" t="s">
        <v>96</v>
      </c>
      <c r="AH15" t="s">
        <v>170</v>
      </c>
      <c r="AI15">
        <v>0.28363761019516631</v>
      </c>
      <c r="AK15">
        <v>2021</v>
      </c>
      <c r="AL15" t="s">
        <v>159</v>
      </c>
      <c r="AM15">
        <v>0.43010548667828774</v>
      </c>
      <c r="AN15" t="s">
        <v>238</v>
      </c>
    </row>
    <row r="16" spans="1:40" x14ac:dyDescent="0.45">
      <c r="I16" t="s">
        <v>164</v>
      </c>
      <c r="J16" t="s">
        <v>171</v>
      </c>
      <c r="K16">
        <v>0.10789474994072239</v>
      </c>
      <c r="L16" t="s">
        <v>166</v>
      </c>
      <c r="N16" t="s">
        <v>197</v>
      </c>
      <c r="O16" t="s">
        <v>171</v>
      </c>
      <c r="P16">
        <v>0.18327210096795937</v>
      </c>
      <c r="Q16" t="s">
        <v>166</v>
      </c>
      <c r="S16" t="s">
        <v>219</v>
      </c>
      <c r="T16" t="s">
        <v>171</v>
      </c>
      <c r="U16">
        <v>0.18514765623817439</v>
      </c>
      <c r="V16" t="s">
        <v>166</v>
      </c>
      <c r="X16">
        <v>0.19577625570776255</v>
      </c>
      <c r="Y16">
        <v>0.20222260895507546</v>
      </c>
      <c r="Z16" t="s">
        <v>171</v>
      </c>
      <c r="AA16" t="s">
        <v>25</v>
      </c>
      <c r="AC16" t="s">
        <v>22</v>
      </c>
      <c r="AD16" t="s">
        <v>171</v>
      </c>
      <c r="AE16">
        <v>0.1854782673620971</v>
      </c>
      <c r="AG16" t="s">
        <v>96</v>
      </c>
      <c r="AH16" t="s">
        <v>171</v>
      </c>
      <c r="AI16">
        <v>0.37952060166059853</v>
      </c>
      <c r="AK16">
        <v>2021</v>
      </c>
      <c r="AL16" t="s">
        <v>161</v>
      </c>
      <c r="AM16">
        <v>0.32027113487540071</v>
      </c>
      <c r="AN16" t="s">
        <v>238</v>
      </c>
    </row>
    <row r="17" spans="9:40" x14ac:dyDescent="0.45">
      <c r="I17" t="s">
        <v>164</v>
      </c>
      <c r="J17" t="s">
        <v>172</v>
      </c>
      <c r="K17">
        <v>7.8655333204509251E-2</v>
      </c>
      <c r="L17" t="s">
        <v>166</v>
      </c>
      <c r="N17" t="s">
        <v>197</v>
      </c>
      <c r="O17" t="s">
        <v>172</v>
      </c>
      <c r="P17">
        <v>0.16090106733119564</v>
      </c>
      <c r="Q17" t="s">
        <v>166</v>
      </c>
      <c r="S17" t="s">
        <v>219</v>
      </c>
      <c r="T17" t="s">
        <v>172</v>
      </c>
      <c r="U17">
        <v>0.14224117379555395</v>
      </c>
      <c r="V17" t="s">
        <v>166</v>
      </c>
      <c r="X17">
        <v>0.11141552511415526</v>
      </c>
      <c r="Y17">
        <v>0.10322618070921283</v>
      </c>
      <c r="Z17" t="s">
        <v>172</v>
      </c>
      <c r="AA17" t="s">
        <v>25</v>
      </c>
      <c r="AC17" t="s">
        <v>22</v>
      </c>
      <c r="AD17" t="s">
        <v>172</v>
      </c>
      <c r="AE17">
        <v>0.11550923935083784</v>
      </c>
      <c r="AG17" t="s">
        <v>96</v>
      </c>
      <c r="AH17" t="s">
        <v>172</v>
      </c>
      <c r="AI17">
        <v>0.20546869423139036</v>
      </c>
      <c r="AK17">
        <v>2022</v>
      </c>
      <c r="AL17" t="s">
        <v>155</v>
      </c>
      <c r="AM17">
        <v>0.39175460966156639</v>
      </c>
      <c r="AN17" t="s">
        <v>238</v>
      </c>
    </row>
    <row r="18" spans="9:40" x14ac:dyDescent="0.45">
      <c r="I18" t="s">
        <v>164</v>
      </c>
      <c r="J18" t="s">
        <v>173</v>
      </c>
      <c r="K18">
        <v>7.2959207823588262E-3</v>
      </c>
      <c r="L18" t="s">
        <v>166</v>
      </c>
      <c r="N18" t="s">
        <v>197</v>
      </c>
      <c r="O18" t="s">
        <v>173</v>
      </c>
      <c r="P18">
        <v>1.0051408028609975E-2</v>
      </c>
      <c r="Q18" t="s">
        <v>166</v>
      </c>
      <c r="S18" t="s">
        <v>219</v>
      </c>
      <c r="T18" t="s">
        <v>173</v>
      </c>
      <c r="U18">
        <v>8.9569401940356244E-3</v>
      </c>
      <c r="V18" t="s">
        <v>166</v>
      </c>
      <c r="X18">
        <v>6.9634703196347035E-3</v>
      </c>
      <c r="Y18">
        <v>1.354780432422577E-2</v>
      </c>
      <c r="Z18" t="s">
        <v>173</v>
      </c>
      <c r="AA18" t="s">
        <v>25</v>
      </c>
      <c r="AC18" t="s">
        <v>22</v>
      </c>
      <c r="AD18" t="s">
        <v>173</v>
      </c>
      <c r="AE18">
        <v>8.6266445449216123E-3</v>
      </c>
      <c r="AG18" t="s">
        <v>96</v>
      </c>
      <c r="AH18" t="s">
        <v>173</v>
      </c>
      <c r="AI18">
        <v>8.5394253690701749E-2</v>
      </c>
      <c r="AK18">
        <v>2022</v>
      </c>
      <c r="AL18" t="s">
        <v>159</v>
      </c>
      <c r="AM18">
        <v>0.35250369902677325</v>
      </c>
      <c r="AN18" t="s">
        <v>238</v>
      </c>
    </row>
    <row r="19" spans="9:40" x14ac:dyDescent="0.45">
      <c r="I19" t="s">
        <v>164</v>
      </c>
      <c r="J19" t="s">
        <v>174</v>
      </c>
      <c r="K19">
        <v>4.7088417508202844E-4</v>
      </c>
      <c r="L19" t="s">
        <v>166</v>
      </c>
      <c r="N19" t="s">
        <v>197</v>
      </c>
      <c r="O19" t="s">
        <v>174</v>
      </c>
      <c r="P19">
        <v>6.9409213082583021E-2</v>
      </c>
      <c r="Q19" t="s">
        <v>166</v>
      </c>
      <c r="S19" t="s">
        <v>219</v>
      </c>
      <c r="T19" t="s">
        <v>174</v>
      </c>
      <c r="U19">
        <v>6.3249765563651236E-2</v>
      </c>
      <c r="V19" t="s">
        <v>166</v>
      </c>
      <c r="X19">
        <v>4.8744292237442921E-2</v>
      </c>
      <c r="Y19">
        <v>5.0349302637794295E-2</v>
      </c>
      <c r="Z19" t="s">
        <v>174</v>
      </c>
      <c r="AA19" t="s">
        <v>25</v>
      </c>
      <c r="AC19" t="s">
        <v>22</v>
      </c>
      <c r="AD19" t="s">
        <v>174</v>
      </c>
      <c r="AE19">
        <v>5.3531259278618952E-2</v>
      </c>
      <c r="AG19" t="s">
        <v>96</v>
      </c>
      <c r="AH19" t="s">
        <v>174</v>
      </c>
      <c r="AI19">
        <v>0.16838722036301501</v>
      </c>
      <c r="AK19">
        <v>2022</v>
      </c>
      <c r="AL19" t="s">
        <v>161</v>
      </c>
      <c r="AM19">
        <v>0.33171660352810617</v>
      </c>
      <c r="AN19" t="s">
        <v>238</v>
      </c>
    </row>
    <row r="20" spans="9:40" x14ac:dyDescent="0.45">
      <c r="I20" t="s">
        <v>175</v>
      </c>
      <c r="J20" t="s">
        <v>165</v>
      </c>
      <c r="K20">
        <v>5.977892601226293E-2</v>
      </c>
      <c r="L20" t="s">
        <v>166</v>
      </c>
      <c r="N20" t="s">
        <v>198</v>
      </c>
      <c r="O20" t="s">
        <v>165</v>
      </c>
      <c r="P20">
        <v>0.12385216512738612</v>
      </c>
      <c r="Q20" t="s">
        <v>166</v>
      </c>
      <c r="S20" t="s">
        <v>220</v>
      </c>
      <c r="T20" t="s">
        <v>165</v>
      </c>
      <c r="U20">
        <v>0.11131315977120655</v>
      </c>
      <c r="V20" t="s">
        <v>166</v>
      </c>
      <c r="AC20" t="s">
        <v>19</v>
      </c>
      <c r="AD20" t="s">
        <v>165</v>
      </c>
      <c r="AE20">
        <v>0.10770360313926548</v>
      </c>
      <c r="AK20">
        <v>2025</v>
      </c>
      <c r="AL20" t="s">
        <v>155</v>
      </c>
      <c r="AM20">
        <v>0.34760000000000002</v>
      </c>
      <c r="AN20" t="s">
        <v>238</v>
      </c>
    </row>
    <row r="21" spans="9:40" x14ac:dyDescent="0.45">
      <c r="I21" t="s">
        <v>175</v>
      </c>
      <c r="J21" t="s">
        <v>167</v>
      </c>
      <c r="K21">
        <v>5.9793939046492829E-3</v>
      </c>
      <c r="L21" t="s">
        <v>166</v>
      </c>
      <c r="N21" t="s">
        <v>198</v>
      </c>
      <c r="O21" t="s">
        <v>167</v>
      </c>
      <c r="P21">
        <v>7.6460782270276985E-3</v>
      </c>
      <c r="Q21" t="s">
        <v>166</v>
      </c>
      <c r="S21" t="s">
        <v>220</v>
      </c>
      <c r="T21" t="s">
        <v>167</v>
      </c>
      <c r="U21">
        <v>7.2389217208901815E-3</v>
      </c>
      <c r="V21" t="s">
        <v>166</v>
      </c>
      <c r="AC21" t="s">
        <v>19</v>
      </c>
      <c r="AD21" t="s">
        <v>167</v>
      </c>
      <c r="AE21">
        <v>6.8199361796253506E-3</v>
      </c>
      <c r="AK21">
        <v>2025</v>
      </c>
      <c r="AL21" t="s">
        <v>159</v>
      </c>
      <c r="AM21">
        <v>0.42941249999999997</v>
      </c>
      <c r="AN21" t="s">
        <v>238</v>
      </c>
    </row>
    <row r="22" spans="9:40" x14ac:dyDescent="0.45">
      <c r="I22" t="s">
        <v>175</v>
      </c>
      <c r="J22" t="s">
        <v>168</v>
      </c>
      <c r="K22">
        <v>3.135617756929446E-3</v>
      </c>
      <c r="L22" t="s">
        <v>166</v>
      </c>
      <c r="N22" t="s">
        <v>198</v>
      </c>
      <c r="O22" t="s">
        <v>168</v>
      </c>
      <c r="P22">
        <v>5.4510158730495528E-2</v>
      </c>
      <c r="Q22" t="s">
        <v>166</v>
      </c>
      <c r="S22" t="s">
        <v>220</v>
      </c>
      <c r="T22" t="s">
        <v>168</v>
      </c>
      <c r="U22">
        <v>5.046656239495724E-2</v>
      </c>
      <c r="V22" t="s">
        <v>166</v>
      </c>
      <c r="AC22" t="s">
        <v>19</v>
      </c>
      <c r="AD22" t="s">
        <v>168</v>
      </c>
      <c r="AE22">
        <v>4.7316952024492077E-2</v>
      </c>
      <c r="AK22">
        <v>2025</v>
      </c>
      <c r="AL22" t="s">
        <v>161</v>
      </c>
      <c r="AM22">
        <v>0.35270000000000001</v>
      </c>
      <c r="AN22" t="s">
        <v>238</v>
      </c>
    </row>
    <row r="23" spans="9:40" x14ac:dyDescent="0.45">
      <c r="I23" t="s">
        <v>175</v>
      </c>
      <c r="J23" t="s">
        <v>169</v>
      </c>
      <c r="K23">
        <v>0.69240150194878614</v>
      </c>
      <c r="L23" t="s">
        <v>166</v>
      </c>
      <c r="N23" t="s">
        <v>198</v>
      </c>
      <c r="O23" t="s">
        <v>169</v>
      </c>
      <c r="P23">
        <v>0.36057657486018485</v>
      </c>
      <c r="Q23" t="s">
        <v>166</v>
      </c>
      <c r="S23" t="s">
        <v>220</v>
      </c>
      <c r="T23" t="s">
        <v>169</v>
      </c>
      <c r="U23">
        <v>0.40928725115924453</v>
      </c>
      <c r="V23" t="s">
        <v>166</v>
      </c>
      <c r="AC23" t="s">
        <v>19</v>
      </c>
      <c r="AD23" t="s">
        <v>169</v>
      </c>
      <c r="AE23">
        <v>0.44690284841801414</v>
      </c>
      <c r="AK23">
        <v>2026</v>
      </c>
      <c r="AL23" t="s">
        <v>155</v>
      </c>
      <c r="AM23">
        <v>0.27544999999999997</v>
      </c>
      <c r="AN23" t="s">
        <v>238</v>
      </c>
    </row>
    <row r="24" spans="9:40" x14ac:dyDescent="0.45">
      <c r="I24" t="s">
        <v>175</v>
      </c>
      <c r="J24" t="s">
        <v>170</v>
      </c>
      <c r="K24">
        <v>6.9025420787586944E-2</v>
      </c>
      <c r="L24" t="s">
        <v>166</v>
      </c>
      <c r="N24" t="s">
        <v>198</v>
      </c>
      <c r="O24" t="s">
        <v>170</v>
      </c>
      <c r="P24">
        <v>2.1542214077969666E-2</v>
      </c>
      <c r="Q24" t="s">
        <v>166</v>
      </c>
      <c r="S24" t="s">
        <v>220</v>
      </c>
      <c r="T24" t="s">
        <v>170</v>
      </c>
      <c r="U24">
        <v>2.6154987590798772E-2</v>
      </c>
      <c r="V24" t="s">
        <v>166</v>
      </c>
      <c r="AC24" t="s">
        <v>19</v>
      </c>
      <c r="AD24" t="s">
        <v>170</v>
      </c>
      <c r="AE24">
        <v>2.8180589990966686E-2</v>
      </c>
      <c r="AK24">
        <v>2026</v>
      </c>
      <c r="AL24" t="s">
        <v>159</v>
      </c>
      <c r="AM24">
        <v>0.34077499999999999</v>
      </c>
      <c r="AN24" t="s">
        <v>238</v>
      </c>
    </row>
    <row r="25" spans="9:40" x14ac:dyDescent="0.45">
      <c r="I25" t="s">
        <v>175</v>
      </c>
      <c r="J25" t="s">
        <v>171</v>
      </c>
      <c r="K25">
        <v>0.11839668462635929</v>
      </c>
      <c r="L25" t="s">
        <v>166</v>
      </c>
      <c r="N25" t="s">
        <v>198</v>
      </c>
      <c r="O25" t="s">
        <v>171</v>
      </c>
      <c r="P25">
        <v>0.16332819901360623</v>
      </c>
      <c r="Q25" t="s">
        <v>166</v>
      </c>
      <c r="S25" t="s">
        <v>220</v>
      </c>
      <c r="T25" t="s">
        <v>171</v>
      </c>
      <c r="U25">
        <v>0.18454369947795615</v>
      </c>
      <c r="V25" t="s">
        <v>166</v>
      </c>
      <c r="AC25" t="s">
        <v>19</v>
      </c>
      <c r="AD25" t="s">
        <v>171</v>
      </c>
      <c r="AE25">
        <v>0.19589614659834859</v>
      </c>
      <c r="AK25">
        <v>2026</v>
      </c>
      <c r="AL25" t="s">
        <v>161</v>
      </c>
      <c r="AM25">
        <v>0.31040000000000001</v>
      </c>
      <c r="AN25" t="s">
        <v>238</v>
      </c>
    </row>
    <row r="26" spans="9:40" x14ac:dyDescent="0.45">
      <c r="I26" t="s">
        <v>175</v>
      </c>
      <c r="J26" t="s">
        <v>172</v>
      </c>
      <c r="K26">
        <v>4.6908110946752124E-2</v>
      </c>
      <c r="L26" t="s">
        <v>166</v>
      </c>
      <c r="N26" t="s">
        <v>198</v>
      </c>
      <c r="O26" t="s">
        <v>172</v>
      </c>
      <c r="P26">
        <v>0.18003602756492604</v>
      </c>
      <c r="Q26" t="s">
        <v>166</v>
      </c>
      <c r="S26" t="s">
        <v>220</v>
      </c>
      <c r="T26" t="s">
        <v>172</v>
      </c>
      <c r="U26">
        <v>0.1407691249598447</v>
      </c>
      <c r="V26" t="s">
        <v>166</v>
      </c>
      <c r="AC26" t="s">
        <v>19</v>
      </c>
      <c r="AD26" t="s">
        <v>172</v>
      </c>
      <c r="AE26">
        <v>0.11128867552062166</v>
      </c>
      <c r="AK26">
        <v>2027</v>
      </c>
      <c r="AL26" t="s">
        <v>155</v>
      </c>
      <c r="AM26">
        <v>0.29010000000000002</v>
      </c>
      <c r="AN26" t="s">
        <v>238</v>
      </c>
    </row>
    <row r="27" spans="9:40" x14ac:dyDescent="0.45">
      <c r="I27" t="s">
        <v>175</v>
      </c>
      <c r="J27" t="s">
        <v>173</v>
      </c>
      <c r="K27">
        <v>4.1463407853671161E-3</v>
      </c>
      <c r="L27" t="s">
        <v>166</v>
      </c>
      <c r="N27" t="s">
        <v>198</v>
      </c>
      <c r="O27" t="s">
        <v>173</v>
      </c>
      <c r="P27">
        <v>1.0499096343282409E-2</v>
      </c>
      <c r="Q27" t="s">
        <v>166</v>
      </c>
      <c r="S27" t="s">
        <v>220</v>
      </c>
      <c r="T27" t="s">
        <v>173</v>
      </c>
      <c r="U27">
        <v>8.6008587657999992E-3</v>
      </c>
      <c r="V27" t="s">
        <v>166</v>
      </c>
      <c r="AC27" t="s">
        <v>19</v>
      </c>
      <c r="AD27" t="s">
        <v>173</v>
      </c>
      <c r="AE27">
        <v>7.0344563142201557E-3</v>
      </c>
      <c r="AK27">
        <v>2027</v>
      </c>
      <c r="AL27" t="s">
        <v>159</v>
      </c>
      <c r="AM27">
        <v>0.34230000000000005</v>
      </c>
      <c r="AN27" t="s">
        <v>238</v>
      </c>
    </row>
    <row r="28" spans="9:40" x14ac:dyDescent="0.45">
      <c r="I28" t="s">
        <v>175</v>
      </c>
      <c r="J28" t="s">
        <v>174</v>
      </c>
      <c r="K28">
        <v>2.2800323130698263E-4</v>
      </c>
      <c r="L28" t="s">
        <v>166</v>
      </c>
      <c r="N28" t="s">
        <v>198</v>
      </c>
      <c r="O28" t="s">
        <v>174</v>
      </c>
      <c r="P28">
        <v>7.8009486055124977E-2</v>
      </c>
      <c r="Q28" t="s">
        <v>166</v>
      </c>
      <c r="S28" t="s">
        <v>220</v>
      </c>
      <c r="T28" t="s">
        <v>174</v>
      </c>
      <c r="U28">
        <v>6.1625434159302994E-2</v>
      </c>
      <c r="V28" t="s">
        <v>166</v>
      </c>
      <c r="AC28" t="s">
        <v>19</v>
      </c>
      <c r="AD28" t="s">
        <v>174</v>
      </c>
      <c r="AE28">
        <v>4.8856791814445841E-2</v>
      </c>
      <c r="AK28">
        <v>2027</v>
      </c>
      <c r="AL28" t="s">
        <v>161</v>
      </c>
      <c r="AM28">
        <v>0.29035</v>
      </c>
      <c r="AN28" t="s">
        <v>238</v>
      </c>
    </row>
    <row r="29" spans="9:40" x14ac:dyDescent="0.45">
      <c r="I29" t="s">
        <v>176</v>
      </c>
      <c r="J29" t="s">
        <v>165</v>
      </c>
      <c r="K29">
        <v>5.9761263170985394E-2</v>
      </c>
      <c r="L29" t="s">
        <v>166</v>
      </c>
      <c r="N29" t="s">
        <v>199</v>
      </c>
      <c r="O29" t="s">
        <v>165</v>
      </c>
      <c r="P29">
        <v>0.12088067023745881</v>
      </c>
      <c r="Q29" t="s">
        <v>166</v>
      </c>
      <c r="S29" t="s">
        <v>221</v>
      </c>
      <c r="T29" t="s">
        <v>165</v>
      </c>
      <c r="U29">
        <v>0.11152091206979378</v>
      </c>
      <c r="V29" t="s">
        <v>166</v>
      </c>
      <c r="AK29">
        <v>2028</v>
      </c>
      <c r="AL29" t="s">
        <v>155</v>
      </c>
      <c r="AM29">
        <v>0.28249999999999997</v>
      </c>
      <c r="AN29" t="s">
        <v>238</v>
      </c>
    </row>
    <row r="30" spans="9:40" x14ac:dyDescent="0.45">
      <c r="I30" t="s">
        <v>176</v>
      </c>
      <c r="J30" t="s">
        <v>167</v>
      </c>
      <c r="K30">
        <v>6.2782331029764132E-3</v>
      </c>
      <c r="L30" t="s">
        <v>166</v>
      </c>
      <c r="N30" t="s">
        <v>199</v>
      </c>
      <c r="O30" t="s">
        <v>167</v>
      </c>
      <c r="P30">
        <v>7.5737032608103449E-3</v>
      </c>
      <c r="Q30" t="s">
        <v>166</v>
      </c>
      <c r="S30" t="s">
        <v>221</v>
      </c>
      <c r="T30" t="s">
        <v>167</v>
      </c>
      <c r="U30">
        <v>7.0304257298265177E-3</v>
      </c>
      <c r="V30" t="s">
        <v>166</v>
      </c>
      <c r="AK30">
        <v>2028</v>
      </c>
      <c r="AL30" t="s">
        <v>159</v>
      </c>
      <c r="AM30">
        <v>0.34950000000000003</v>
      </c>
      <c r="AN30" t="s">
        <v>238</v>
      </c>
    </row>
    <row r="31" spans="9:40" x14ac:dyDescent="0.45">
      <c r="I31" t="s">
        <v>176</v>
      </c>
      <c r="J31" t="s">
        <v>168</v>
      </c>
      <c r="K31">
        <v>3.745965971555409E-3</v>
      </c>
      <c r="L31" t="s">
        <v>166</v>
      </c>
      <c r="N31" t="s">
        <v>199</v>
      </c>
      <c r="O31" t="s">
        <v>168</v>
      </c>
      <c r="P31">
        <v>5.4016984379128281E-2</v>
      </c>
      <c r="Q31" t="s">
        <v>166</v>
      </c>
      <c r="S31" t="s">
        <v>221</v>
      </c>
      <c r="T31" t="s">
        <v>168</v>
      </c>
      <c r="U31">
        <v>4.955407724754491E-2</v>
      </c>
      <c r="V31" t="s">
        <v>166</v>
      </c>
      <c r="AK31">
        <v>2028</v>
      </c>
      <c r="AL31" t="s">
        <v>161</v>
      </c>
      <c r="AM31">
        <v>0.2757</v>
      </c>
      <c r="AN31" t="s">
        <v>238</v>
      </c>
    </row>
    <row r="32" spans="9:40" x14ac:dyDescent="0.45">
      <c r="I32" t="s">
        <v>176</v>
      </c>
      <c r="J32" t="s">
        <v>169</v>
      </c>
      <c r="K32">
        <v>0.68269376946677207</v>
      </c>
      <c r="L32" t="s">
        <v>166</v>
      </c>
      <c r="N32" t="s">
        <v>199</v>
      </c>
      <c r="O32" t="s">
        <v>169</v>
      </c>
      <c r="P32">
        <v>0.3684890107317258</v>
      </c>
      <c r="Q32" t="s">
        <v>166</v>
      </c>
      <c r="S32" t="s">
        <v>221</v>
      </c>
      <c r="T32" t="s">
        <v>169</v>
      </c>
      <c r="U32">
        <v>0.40733423698026866</v>
      </c>
      <c r="V32" t="s">
        <v>166</v>
      </c>
      <c r="AK32">
        <v>2029</v>
      </c>
      <c r="AL32" t="s">
        <v>155</v>
      </c>
      <c r="AM32">
        <v>0.31220000000000003</v>
      </c>
      <c r="AN32" t="s">
        <v>238</v>
      </c>
    </row>
    <row r="33" spans="9:40" x14ac:dyDescent="0.45">
      <c r="I33" t="s">
        <v>176</v>
      </c>
      <c r="J33" t="s">
        <v>170</v>
      </c>
      <c r="K33">
        <v>6.8683713970725743E-2</v>
      </c>
      <c r="L33" t="s">
        <v>166</v>
      </c>
      <c r="N33" t="s">
        <v>199</v>
      </c>
      <c r="O33" t="s">
        <v>170</v>
      </c>
      <c r="P33">
        <v>2.2267033672797275E-2</v>
      </c>
      <c r="Q33" t="s">
        <v>166</v>
      </c>
      <c r="S33" t="s">
        <v>221</v>
      </c>
      <c r="T33" t="s">
        <v>170</v>
      </c>
      <c r="U33">
        <v>2.6050622474231303E-2</v>
      </c>
      <c r="V33" t="s">
        <v>166</v>
      </c>
      <c r="AK33">
        <v>2029</v>
      </c>
      <c r="AL33" t="s">
        <v>159</v>
      </c>
      <c r="AM33">
        <v>0.34661250000000005</v>
      </c>
      <c r="AN33" t="s">
        <v>238</v>
      </c>
    </row>
    <row r="34" spans="9:40" x14ac:dyDescent="0.45">
      <c r="I34" t="s">
        <v>176</v>
      </c>
      <c r="J34" t="s">
        <v>171</v>
      </c>
      <c r="K34">
        <v>0.1126653814782471</v>
      </c>
      <c r="L34" t="s">
        <v>166</v>
      </c>
      <c r="N34" t="s">
        <v>199</v>
      </c>
      <c r="O34" t="s">
        <v>171</v>
      </c>
      <c r="P34">
        <v>0.1732676869544558</v>
      </c>
      <c r="Q34" t="s">
        <v>166</v>
      </c>
      <c r="S34" t="s">
        <v>221</v>
      </c>
      <c r="T34" t="s">
        <v>171</v>
      </c>
      <c r="U34">
        <v>0.18538331854273007</v>
      </c>
      <c r="V34" t="s">
        <v>166</v>
      </c>
      <c r="AK34">
        <v>2029</v>
      </c>
      <c r="AL34" t="s">
        <v>161</v>
      </c>
      <c r="AM34">
        <v>0.29915000000000003</v>
      </c>
      <c r="AN34" t="s">
        <v>238</v>
      </c>
    </row>
    <row r="35" spans="9:40" x14ac:dyDescent="0.45">
      <c r="I35" t="s">
        <v>176</v>
      </c>
      <c r="J35" t="s">
        <v>172</v>
      </c>
      <c r="K35">
        <v>6.065138368498485E-2</v>
      </c>
      <c r="L35" t="s">
        <v>166</v>
      </c>
      <c r="N35" t="s">
        <v>199</v>
      </c>
      <c r="O35" t="s">
        <v>172</v>
      </c>
      <c r="P35">
        <v>0.16812244338557597</v>
      </c>
      <c r="Q35" t="s">
        <v>166</v>
      </c>
      <c r="S35" t="s">
        <v>221</v>
      </c>
      <c r="T35" t="s">
        <v>172</v>
      </c>
      <c r="U35">
        <v>0.14266522578330851</v>
      </c>
      <c r="V35" t="s">
        <v>166</v>
      </c>
      <c r="AK35">
        <v>2030</v>
      </c>
      <c r="AL35" t="s">
        <v>155</v>
      </c>
      <c r="AM35">
        <v>0.29905000000000004</v>
      </c>
      <c r="AN35" t="s">
        <v>238</v>
      </c>
    </row>
    <row r="36" spans="9:40" x14ac:dyDescent="0.45">
      <c r="I36" t="s">
        <v>176</v>
      </c>
      <c r="J36" t="s">
        <v>173</v>
      </c>
      <c r="K36">
        <v>5.2400031264128828E-3</v>
      </c>
      <c r="L36" t="s">
        <v>166</v>
      </c>
      <c r="N36" t="s">
        <v>199</v>
      </c>
      <c r="O36" t="s">
        <v>173</v>
      </c>
      <c r="P36">
        <v>1.0348433167501916E-2</v>
      </c>
      <c r="Q36" t="s">
        <v>166</v>
      </c>
      <c r="S36" t="s">
        <v>221</v>
      </c>
      <c r="T36" t="s">
        <v>173</v>
      </c>
      <c r="U36">
        <v>8.8027776599817927E-3</v>
      </c>
      <c r="V36" t="s">
        <v>166</v>
      </c>
      <c r="AK36">
        <v>2030</v>
      </c>
      <c r="AL36" t="s">
        <v>159</v>
      </c>
      <c r="AM36">
        <v>0.35376249999999998</v>
      </c>
      <c r="AN36" t="s">
        <v>238</v>
      </c>
    </row>
    <row r="37" spans="9:40" x14ac:dyDescent="0.45">
      <c r="I37" t="s">
        <v>176</v>
      </c>
      <c r="J37" t="s">
        <v>174</v>
      </c>
      <c r="K37">
        <v>2.8028602734053639E-4</v>
      </c>
      <c r="L37" t="s">
        <v>166</v>
      </c>
      <c r="N37" t="s">
        <v>199</v>
      </c>
      <c r="O37" t="s">
        <v>174</v>
      </c>
      <c r="P37">
        <v>7.5034034210545261E-2</v>
      </c>
      <c r="Q37" t="s">
        <v>166</v>
      </c>
      <c r="S37" t="s">
        <v>221</v>
      </c>
      <c r="T37" t="s">
        <v>174</v>
      </c>
      <c r="U37">
        <v>6.1658403512313047E-2</v>
      </c>
      <c r="V37" t="s">
        <v>166</v>
      </c>
      <c r="AK37">
        <v>2030</v>
      </c>
      <c r="AL37" t="s">
        <v>161</v>
      </c>
      <c r="AM37">
        <v>0.26619999999999999</v>
      </c>
      <c r="AN37" t="s">
        <v>238</v>
      </c>
    </row>
    <row r="38" spans="9:40" x14ac:dyDescent="0.45">
      <c r="I38" t="s">
        <v>177</v>
      </c>
      <c r="J38" t="s">
        <v>165</v>
      </c>
      <c r="K38">
        <v>6.5803723851305743E-2</v>
      </c>
      <c r="L38" t="s">
        <v>166</v>
      </c>
      <c r="N38" t="s">
        <v>200</v>
      </c>
      <c r="O38" t="s">
        <v>165</v>
      </c>
      <c r="P38">
        <v>0.11433130693626964</v>
      </c>
      <c r="Q38" t="s">
        <v>166</v>
      </c>
      <c r="S38" t="s">
        <v>222</v>
      </c>
      <c r="T38" t="s">
        <v>165</v>
      </c>
      <c r="U38">
        <v>0.11765175565948584</v>
      </c>
      <c r="V38" t="s">
        <v>166</v>
      </c>
      <c r="AK38">
        <v>2031</v>
      </c>
      <c r="AL38" t="s">
        <v>155</v>
      </c>
      <c r="AM38">
        <v>0.29054999999999997</v>
      </c>
      <c r="AN38" t="s">
        <v>238</v>
      </c>
    </row>
    <row r="39" spans="9:40" x14ac:dyDescent="0.45">
      <c r="I39" t="s">
        <v>177</v>
      </c>
      <c r="J39" t="s">
        <v>167</v>
      </c>
      <c r="K39">
        <v>3.5534611865305227E-3</v>
      </c>
      <c r="L39" t="s">
        <v>166</v>
      </c>
      <c r="N39" t="s">
        <v>200</v>
      </c>
      <c r="O39" t="s">
        <v>167</v>
      </c>
      <c r="P39">
        <v>7.1853845372154218E-3</v>
      </c>
      <c r="Q39" t="s">
        <v>166</v>
      </c>
      <c r="S39" t="s">
        <v>222</v>
      </c>
      <c r="T39" t="s">
        <v>167</v>
      </c>
      <c r="U39">
        <v>7.4709684418127883E-3</v>
      </c>
      <c r="V39" t="s">
        <v>166</v>
      </c>
      <c r="AK39">
        <v>2031</v>
      </c>
      <c r="AL39" t="s">
        <v>159</v>
      </c>
      <c r="AM39">
        <v>0.34997500000000004</v>
      </c>
      <c r="AN39" t="s">
        <v>238</v>
      </c>
    </row>
    <row r="40" spans="9:40" x14ac:dyDescent="0.45">
      <c r="I40" t="s">
        <v>177</v>
      </c>
      <c r="J40" t="s">
        <v>168</v>
      </c>
      <c r="K40">
        <v>5.55591387707864E-4</v>
      </c>
      <c r="L40" t="s">
        <v>166</v>
      </c>
      <c r="N40" t="s">
        <v>200</v>
      </c>
      <c r="O40" t="s">
        <v>168</v>
      </c>
      <c r="P40">
        <v>5.0509881572832684E-2</v>
      </c>
      <c r="Q40" t="s">
        <v>166</v>
      </c>
      <c r="S40" t="s">
        <v>222</v>
      </c>
      <c r="T40" t="s">
        <v>168</v>
      </c>
      <c r="U40">
        <v>5.2021329417940847E-2</v>
      </c>
      <c r="V40" t="s">
        <v>166</v>
      </c>
      <c r="AK40">
        <v>2031</v>
      </c>
      <c r="AL40" t="s">
        <v>161</v>
      </c>
      <c r="AM40">
        <v>0.29385</v>
      </c>
      <c r="AN40" t="s">
        <v>238</v>
      </c>
    </row>
    <row r="41" spans="9:40" x14ac:dyDescent="0.45">
      <c r="I41" t="s">
        <v>177</v>
      </c>
      <c r="J41" t="s">
        <v>169</v>
      </c>
      <c r="K41">
        <v>0.7482681943545898</v>
      </c>
      <c r="L41" t="s">
        <v>166</v>
      </c>
      <c r="N41" t="s">
        <v>200</v>
      </c>
      <c r="O41" t="s">
        <v>169</v>
      </c>
      <c r="P41">
        <v>0.40717911072418456</v>
      </c>
      <c r="Q41" t="s">
        <v>166</v>
      </c>
      <c r="S41" t="s">
        <v>222</v>
      </c>
      <c r="T41" t="s">
        <v>169</v>
      </c>
      <c r="U41">
        <v>0.39867221004240705</v>
      </c>
      <c r="V41" t="s">
        <v>166</v>
      </c>
      <c r="AK41">
        <v>2032</v>
      </c>
      <c r="AL41" t="s">
        <v>155</v>
      </c>
      <c r="AM41">
        <v>0.37529999999999997</v>
      </c>
      <c r="AN41" t="s">
        <v>238</v>
      </c>
    </row>
    <row r="42" spans="9:40" x14ac:dyDescent="0.45">
      <c r="I42" t="s">
        <v>177</v>
      </c>
      <c r="J42" t="s">
        <v>170</v>
      </c>
      <c r="K42">
        <v>5.8191536777468265E-2</v>
      </c>
      <c r="L42" t="s">
        <v>166</v>
      </c>
      <c r="N42" t="s">
        <v>200</v>
      </c>
      <c r="O42" t="s">
        <v>170</v>
      </c>
      <c r="P42">
        <v>2.5666452552605624E-2</v>
      </c>
      <c r="Q42" t="s">
        <v>166</v>
      </c>
      <c r="S42" t="s">
        <v>222</v>
      </c>
      <c r="T42" t="s">
        <v>170</v>
      </c>
      <c r="U42">
        <v>2.4989338077241564E-2</v>
      </c>
      <c r="V42" t="s">
        <v>166</v>
      </c>
      <c r="AK42">
        <v>2032</v>
      </c>
      <c r="AL42" t="s">
        <v>159</v>
      </c>
      <c r="AM42">
        <v>0.40454999999999997</v>
      </c>
      <c r="AN42" t="s">
        <v>238</v>
      </c>
    </row>
    <row r="43" spans="9:40" x14ac:dyDescent="0.45">
      <c r="I43" t="s">
        <v>177</v>
      </c>
      <c r="J43" t="s">
        <v>171</v>
      </c>
      <c r="K43">
        <v>7.1373933459887726E-2</v>
      </c>
      <c r="L43" t="s">
        <v>166</v>
      </c>
      <c r="N43" t="s">
        <v>200</v>
      </c>
      <c r="O43" t="s">
        <v>171</v>
      </c>
      <c r="P43">
        <v>0.18472852326821543</v>
      </c>
      <c r="Q43" t="s">
        <v>166</v>
      </c>
      <c r="S43" t="s">
        <v>222</v>
      </c>
      <c r="T43" t="s">
        <v>171</v>
      </c>
      <c r="U43">
        <v>0.18163509878457168</v>
      </c>
      <c r="V43" t="s">
        <v>166</v>
      </c>
      <c r="AK43">
        <v>2032</v>
      </c>
      <c r="AL43" t="s">
        <v>161</v>
      </c>
      <c r="AM43">
        <v>0.33655000000000002</v>
      </c>
      <c r="AN43" t="s">
        <v>238</v>
      </c>
    </row>
    <row r="44" spans="9:40" x14ac:dyDescent="0.45">
      <c r="I44" t="s">
        <v>177</v>
      </c>
      <c r="J44" t="s">
        <v>172</v>
      </c>
      <c r="K44">
        <v>5.1735862380696884E-2</v>
      </c>
      <c r="L44" t="s">
        <v>166</v>
      </c>
      <c r="N44" t="s">
        <v>200</v>
      </c>
      <c r="O44" t="s">
        <v>172</v>
      </c>
      <c r="P44">
        <v>0.14070637521972021</v>
      </c>
      <c r="Q44" t="s">
        <v>166</v>
      </c>
      <c r="S44" t="s">
        <v>222</v>
      </c>
      <c r="T44" t="s">
        <v>172</v>
      </c>
      <c r="U44">
        <v>0.14648109392739794</v>
      </c>
      <c r="V44" t="s">
        <v>166</v>
      </c>
      <c r="AK44">
        <v>2033</v>
      </c>
      <c r="AL44" t="s">
        <v>155</v>
      </c>
      <c r="AM44">
        <v>0.35475000000000001</v>
      </c>
      <c r="AN44" t="s">
        <v>238</v>
      </c>
    </row>
    <row r="45" spans="9:40" x14ac:dyDescent="0.45">
      <c r="I45" t="s">
        <v>177</v>
      </c>
      <c r="J45" t="s">
        <v>173</v>
      </c>
      <c r="K45">
        <v>5.1769660181328009E-4</v>
      </c>
      <c r="L45" t="s">
        <v>166</v>
      </c>
      <c r="N45" t="s">
        <v>200</v>
      </c>
      <c r="O45" t="s">
        <v>173</v>
      </c>
      <c r="P45">
        <v>8.668396885547448E-3</v>
      </c>
      <c r="Q45" t="s">
        <v>166</v>
      </c>
      <c r="S45" t="s">
        <v>222</v>
      </c>
      <c r="T45" t="s">
        <v>173</v>
      </c>
      <c r="U45">
        <v>9.0130557570632947E-3</v>
      </c>
      <c r="V45" t="s">
        <v>166</v>
      </c>
      <c r="AK45">
        <v>2033</v>
      </c>
      <c r="AL45" t="s">
        <v>159</v>
      </c>
      <c r="AM45">
        <v>0.41043750000000001</v>
      </c>
      <c r="AN45" t="s">
        <v>238</v>
      </c>
    </row>
    <row r="46" spans="9:40" x14ac:dyDescent="0.45">
      <c r="I46" t="s">
        <v>177</v>
      </c>
      <c r="J46" t="s">
        <v>174</v>
      </c>
      <c r="K46">
        <v>0</v>
      </c>
      <c r="L46" t="s">
        <v>166</v>
      </c>
      <c r="N46" t="s">
        <v>200</v>
      </c>
      <c r="O46" t="s">
        <v>174</v>
      </c>
      <c r="P46">
        <v>6.1024568303408973E-2</v>
      </c>
      <c r="Q46" t="s">
        <v>166</v>
      </c>
      <c r="S46" t="s">
        <v>222</v>
      </c>
      <c r="T46" t="s">
        <v>174</v>
      </c>
      <c r="U46">
        <v>6.2065149892081714E-2</v>
      </c>
      <c r="V46" t="s">
        <v>166</v>
      </c>
      <c r="AK46">
        <v>2033</v>
      </c>
      <c r="AL46" t="s">
        <v>161</v>
      </c>
      <c r="AM46">
        <v>0.34389999999999998</v>
      </c>
      <c r="AN46" t="s">
        <v>238</v>
      </c>
    </row>
    <row r="47" spans="9:40" x14ac:dyDescent="0.45">
      <c r="I47" t="s">
        <v>178</v>
      </c>
      <c r="J47" t="s">
        <v>165</v>
      </c>
      <c r="K47">
        <v>8.2056554967506773E-2</v>
      </c>
      <c r="L47" t="s">
        <v>166</v>
      </c>
      <c r="N47" t="s">
        <v>201</v>
      </c>
      <c r="O47" t="s">
        <v>165</v>
      </c>
      <c r="P47">
        <v>0.11292187817484686</v>
      </c>
      <c r="Q47" t="s">
        <v>166</v>
      </c>
      <c r="S47" t="s">
        <v>223</v>
      </c>
      <c r="T47" t="s">
        <v>165</v>
      </c>
      <c r="U47">
        <v>0.11441424056137676</v>
      </c>
      <c r="V47" t="s">
        <v>166</v>
      </c>
      <c r="AK47">
        <v>2034</v>
      </c>
      <c r="AL47" t="s">
        <v>155</v>
      </c>
      <c r="AM47">
        <v>0.33260000000000001</v>
      </c>
      <c r="AN47" t="s">
        <v>238</v>
      </c>
    </row>
    <row r="48" spans="9:40" x14ac:dyDescent="0.45">
      <c r="I48" t="s">
        <v>178</v>
      </c>
      <c r="J48" t="s">
        <v>167</v>
      </c>
      <c r="K48">
        <v>5.2687979513484501E-3</v>
      </c>
      <c r="L48" t="s">
        <v>166</v>
      </c>
      <c r="N48" t="s">
        <v>201</v>
      </c>
      <c r="O48" t="s">
        <v>167</v>
      </c>
      <c r="P48">
        <v>7.2020442106280795E-3</v>
      </c>
      <c r="Q48" t="s">
        <v>166</v>
      </c>
      <c r="S48" t="s">
        <v>223</v>
      </c>
      <c r="T48" t="s">
        <v>167</v>
      </c>
      <c r="U48">
        <v>7.3750699534949173E-3</v>
      </c>
      <c r="V48" t="s">
        <v>166</v>
      </c>
      <c r="AK48">
        <v>2034</v>
      </c>
      <c r="AL48" t="s">
        <v>159</v>
      </c>
      <c r="AM48">
        <v>0.41247499999999993</v>
      </c>
      <c r="AN48" t="s">
        <v>238</v>
      </c>
    </row>
    <row r="49" spans="9:40" x14ac:dyDescent="0.45">
      <c r="I49" t="s">
        <v>178</v>
      </c>
      <c r="J49" t="s">
        <v>168</v>
      </c>
      <c r="K49">
        <v>1.1581162670755345E-3</v>
      </c>
      <c r="L49" t="s">
        <v>166</v>
      </c>
      <c r="N49" t="s">
        <v>201</v>
      </c>
      <c r="O49" t="s">
        <v>168</v>
      </c>
      <c r="P49">
        <v>5.2202120648541336E-2</v>
      </c>
      <c r="Q49" t="s">
        <v>166</v>
      </c>
      <c r="S49" t="s">
        <v>223</v>
      </c>
      <c r="T49" t="s">
        <v>168</v>
      </c>
      <c r="U49">
        <v>5.3443642845770287E-2</v>
      </c>
      <c r="V49" t="s">
        <v>166</v>
      </c>
      <c r="AK49">
        <v>2034</v>
      </c>
      <c r="AL49" t="s">
        <v>161</v>
      </c>
      <c r="AM49">
        <v>0.34555000000000002</v>
      </c>
      <c r="AN49" t="s">
        <v>238</v>
      </c>
    </row>
    <row r="50" spans="9:40" x14ac:dyDescent="0.45">
      <c r="I50" t="s">
        <v>178</v>
      </c>
      <c r="J50" t="s">
        <v>169</v>
      </c>
      <c r="K50">
        <v>0.70846226817859703</v>
      </c>
      <c r="L50" t="s">
        <v>166</v>
      </c>
      <c r="N50" t="s">
        <v>201</v>
      </c>
      <c r="O50" t="s">
        <v>169</v>
      </c>
      <c r="P50">
        <v>0.39235052685838856</v>
      </c>
      <c r="Q50" t="s">
        <v>166</v>
      </c>
      <c r="S50" t="s">
        <v>223</v>
      </c>
      <c r="T50" t="s">
        <v>169</v>
      </c>
      <c r="U50">
        <v>0.38631139589210356</v>
      </c>
      <c r="V50" t="s">
        <v>166</v>
      </c>
      <c r="AK50">
        <v>2035</v>
      </c>
      <c r="AL50" t="s">
        <v>155</v>
      </c>
      <c r="AM50">
        <v>0.34784999999999999</v>
      </c>
      <c r="AN50" t="s">
        <v>238</v>
      </c>
    </row>
    <row r="51" spans="9:40" x14ac:dyDescent="0.45">
      <c r="I51" t="s">
        <v>178</v>
      </c>
      <c r="J51" t="s">
        <v>170</v>
      </c>
      <c r="K51">
        <v>5.4634647623295209E-2</v>
      </c>
      <c r="L51" t="s">
        <v>166</v>
      </c>
      <c r="N51" t="s">
        <v>201</v>
      </c>
      <c r="O51" t="s">
        <v>170</v>
      </c>
      <c r="P51">
        <v>2.5742947681809323E-2</v>
      </c>
      <c r="Q51" t="s">
        <v>166</v>
      </c>
      <c r="S51" t="s">
        <v>223</v>
      </c>
      <c r="T51" t="s">
        <v>170</v>
      </c>
      <c r="U51">
        <v>2.5541726738066629E-2</v>
      </c>
      <c r="V51" t="s">
        <v>166</v>
      </c>
      <c r="AK51">
        <v>2035</v>
      </c>
      <c r="AL51" t="s">
        <v>159</v>
      </c>
      <c r="AM51">
        <v>0.39565000000000006</v>
      </c>
      <c r="AN51" t="s">
        <v>238</v>
      </c>
    </row>
    <row r="52" spans="9:40" x14ac:dyDescent="0.45">
      <c r="I52" t="s">
        <v>178</v>
      </c>
      <c r="J52" t="s">
        <v>171</v>
      </c>
      <c r="K52">
        <v>6.3991131567685142E-2</v>
      </c>
      <c r="L52" t="s">
        <v>166</v>
      </c>
      <c r="N52" t="s">
        <v>201</v>
      </c>
      <c r="O52" t="s">
        <v>171</v>
      </c>
      <c r="P52">
        <v>0.19066681897937238</v>
      </c>
      <c r="Q52" t="s">
        <v>166</v>
      </c>
      <c r="S52" t="s">
        <v>223</v>
      </c>
      <c r="T52" t="s">
        <v>171</v>
      </c>
      <c r="U52">
        <v>0.19159841014473225</v>
      </c>
      <c r="V52" t="s">
        <v>166</v>
      </c>
      <c r="AK52">
        <v>2035</v>
      </c>
      <c r="AL52" t="s">
        <v>161</v>
      </c>
      <c r="AM52">
        <v>0.3614</v>
      </c>
      <c r="AN52" t="s">
        <v>238</v>
      </c>
    </row>
    <row r="53" spans="9:40" x14ac:dyDescent="0.45">
      <c r="I53" t="s">
        <v>178</v>
      </c>
      <c r="J53" t="s">
        <v>172</v>
      </c>
      <c r="K53">
        <v>8.3403017527542131E-2</v>
      </c>
      <c r="L53" t="s">
        <v>166</v>
      </c>
      <c r="N53" t="s">
        <v>201</v>
      </c>
      <c r="O53" t="s">
        <v>172</v>
      </c>
      <c r="P53">
        <v>0.14514082072856027</v>
      </c>
      <c r="Q53" t="s">
        <v>166</v>
      </c>
      <c r="S53" t="s">
        <v>223</v>
      </c>
      <c r="T53" t="s">
        <v>172</v>
      </c>
      <c r="U53">
        <v>0.14606870174749778</v>
      </c>
      <c r="V53" t="s">
        <v>166</v>
      </c>
      <c r="AK53">
        <v>2036</v>
      </c>
      <c r="AL53" t="s">
        <v>155</v>
      </c>
      <c r="AM53">
        <v>0.37175000000000002</v>
      </c>
      <c r="AN53" t="s">
        <v>238</v>
      </c>
    </row>
    <row r="54" spans="9:40" x14ac:dyDescent="0.45">
      <c r="I54" t="s">
        <v>178</v>
      </c>
      <c r="J54" t="s">
        <v>173</v>
      </c>
      <c r="K54">
        <v>1.0254659169501486E-3</v>
      </c>
      <c r="L54" t="s">
        <v>166</v>
      </c>
      <c r="N54" t="s">
        <v>201</v>
      </c>
      <c r="O54" t="s">
        <v>173</v>
      </c>
      <c r="P54">
        <v>9.2321810890781657E-3</v>
      </c>
      <c r="Q54" t="s">
        <v>166</v>
      </c>
      <c r="S54" t="s">
        <v>223</v>
      </c>
      <c r="T54" t="s">
        <v>173</v>
      </c>
      <c r="U54">
        <v>9.3959206530108887E-3</v>
      </c>
      <c r="V54" t="s">
        <v>166</v>
      </c>
      <c r="AK54">
        <v>2036</v>
      </c>
      <c r="AL54" t="s">
        <v>159</v>
      </c>
      <c r="AM54">
        <v>0.40179999999999993</v>
      </c>
      <c r="AN54" t="s">
        <v>238</v>
      </c>
    </row>
    <row r="55" spans="9:40" x14ac:dyDescent="0.45">
      <c r="I55" t="s">
        <v>178</v>
      </c>
      <c r="J55" t="s">
        <v>174</v>
      </c>
      <c r="K55">
        <v>0</v>
      </c>
      <c r="L55" t="s">
        <v>166</v>
      </c>
      <c r="N55" t="s">
        <v>201</v>
      </c>
      <c r="O55" t="s">
        <v>174</v>
      </c>
      <c r="P55">
        <v>6.4540661628775337E-2</v>
      </c>
      <c r="Q55" t="s">
        <v>166</v>
      </c>
      <c r="S55" t="s">
        <v>223</v>
      </c>
      <c r="T55" t="s">
        <v>174</v>
      </c>
      <c r="U55">
        <v>6.5850891463944045E-2</v>
      </c>
      <c r="V55" t="s">
        <v>166</v>
      </c>
      <c r="AK55">
        <v>2036</v>
      </c>
      <c r="AL55" t="s">
        <v>161</v>
      </c>
      <c r="AM55">
        <v>0.35709999999999997</v>
      </c>
      <c r="AN55" t="s">
        <v>238</v>
      </c>
    </row>
    <row r="56" spans="9:40" x14ac:dyDescent="0.45">
      <c r="I56" t="s">
        <v>179</v>
      </c>
      <c r="J56" t="s">
        <v>165</v>
      </c>
      <c r="K56">
        <v>7.3003073752834602E-2</v>
      </c>
      <c r="L56" t="s">
        <v>166</v>
      </c>
      <c r="N56" t="s">
        <v>202</v>
      </c>
      <c r="O56" t="s">
        <v>165</v>
      </c>
      <c r="P56">
        <v>0.11737679267989301</v>
      </c>
      <c r="Q56" t="s">
        <v>166</v>
      </c>
      <c r="S56" t="s">
        <v>224</v>
      </c>
      <c r="T56" t="s">
        <v>165</v>
      </c>
      <c r="U56">
        <v>0.11119867751709005</v>
      </c>
      <c r="V56" t="s">
        <v>166</v>
      </c>
      <c r="AK56">
        <v>2037</v>
      </c>
      <c r="AL56" t="s">
        <v>155</v>
      </c>
      <c r="AM56">
        <v>0.33945000000000003</v>
      </c>
      <c r="AN56" t="s">
        <v>238</v>
      </c>
    </row>
    <row r="57" spans="9:40" x14ac:dyDescent="0.45">
      <c r="I57" t="s">
        <v>179</v>
      </c>
      <c r="J57" t="s">
        <v>167</v>
      </c>
      <c r="K57">
        <v>4.5140776075841349E-3</v>
      </c>
      <c r="L57" t="s">
        <v>166</v>
      </c>
      <c r="N57" t="s">
        <v>202</v>
      </c>
      <c r="O57" t="s">
        <v>167</v>
      </c>
      <c r="P57">
        <v>7.1657400119548107E-3</v>
      </c>
      <c r="Q57" t="s">
        <v>166</v>
      </c>
      <c r="S57" t="s">
        <v>224</v>
      </c>
      <c r="T57" t="s">
        <v>167</v>
      </c>
      <c r="U57">
        <v>7.0948078348488045E-3</v>
      </c>
      <c r="V57" t="s">
        <v>166</v>
      </c>
      <c r="AK57">
        <v>2037</v>
      </c>
      <c r="AL57" t="s">
        <v>159</v>
      </c>
      <c r="AM57">
        <v>0.39618749999999997</v>
      </c>
      <c r="AN57" t="s">
        <v>238</v>
      </c>
    </row>
    <row r="58" spans="9:40" x14ac:dyDescent="0.45">
      <c r="I58" t="s">
        <v>179</v>
      </c>
      <c r="J58" t="s">
        <v>168</v>
      </c>
      <c r="K58">
        <v>1.3585131470621023E-3</v>
      </c>
      <c r="L58" t="s">
        <v>166</v>
      </c>
      <c r="N58" t="s">
        <v>202</v>
      </c>
      <c r="O58" t="s">
        <v>168</v>
      </c>
      <c r="P58">
        <v>5.1708594221447288E-2</v>
      </c>
      <c r="Q58" t="s">
        <v>166</v>
      </c>
      <c r="S58" t="s">
        <v>224</v>
      </c>
      <c r="T58" t="s">
        <v>168</v>
      </c>
      <c r="U58">
        <v>5.0377685171935291E-2</v>
      </c>
      <c r="V58" t="s">
        <v>166</v>
      </c>
      <c r="AK58">
        <v>2037</v>
      </c>
      <c r="AL58" t="s">
        <v>161</v>
      </c>
      <c r="AM58">
        <v>0.34394999999999998</v>
      </c>
      <c r="AN58" t="s">
        <v>238</v>
      </c>
    </row>
    <row r="59" spans="9:40" x14ac:dyDescent="0.45">
      <c r="I59" t="s">
        <v>179</v>
      </c>
      <c r="J59" t="s">
        <v>169</v>
      </c>
      <c r="K59">
        <v>0.71895178431475815</v>
      </c>
      <c r="L59" t="s">
        <v>166</v>
      </c>
      <c r="N59" t="s">
        <v>202</v>
      </c>
      <c r="O59" t="s">
        <v>169</v>
      </c>
      <c r="P59">
        <v>0.39808122729989465</v>
      </c>
      <c r="Q59" t="s">
        <v>166</v>
      </c>
      <c r="S59" t="s">
        <v>224</v>
      </c>
      <c r="T59" t="s">
        <v>169</v>
      </c>
      <c r="U59">
        <v>0.36938168801324767</v>
      </c>
      <c r="V59" t="s">
        <v>166</v>
      </c>
      <c r="AK59">
        <v>2038</v>
      </c>
      <c r="AL59" t="s">
        <v>155</v>
      </c>
      <c r="AM59">
        <v>0.3377</v>
      </c>
      <c r="AN59" t="s">
        <v>238</v>
      </c>
    </row>
    <row r="60" spans="9:40" x14ac:dyDescent="0.45">
      <c r="I60" t="s">
        <v>179</v>
      </c>
      <c r="J60" t="s">
        <v>170</v>
      </c>
      <c r="K60">
        <v>5.8783748359010797E-2</v>
      </c>
      <c r="L60" t="s">
        <v>166</v>
      </c>
      <c r="N60" t="s">
        <v>202</v>
      </c>
      <c r="O60" t="s">
        <v>170</v>
      </c>
      <c r="P60">
        <v>2.5130449997368593E-2</v>
      </c>
      <c r="Q60" t="s">
        <v>166</v>
      </c>
      <c r="S60" t="s">
        <v>224</v>
      </c>
      <c r="T60" t="s">
        <v>170</v>
      </c>
      <c r="U60">
        <v>2.3187548878484465E-2</v>
      </c>
      <c r="V60" t="s">
        <v>166</v>
      </c>
      <c r="AK60">
        <v>2038</v>
      </c>
      <c r="AL60" t="s">
        <v>159</v>
      </c>
      <c r="AM60">
        <v>0.39656249999999998</v>
      </c>
      <c r="AN60" t="s">
        <v>238</v>
      </c>
    </row>
    <row r="61" spans="9:40" x14ac:dyDescent="0.45">
      <c r="I61" t="s">
        <v>179</v>
      </c>
      <c r="J61" t="s">
        <v>171</v>
      </c>
      <c r="K61">
        <v>7.4712461829142429E-2</v>
      </c>
      <c r="L61" t="s">
        <v>166</v>
      </c>
      <c r="N61" t="s">
        <v>202</v>
      </c>
      <c r="O61" t="s">
        <v>171</v>
      </c>
      <c r="P61">
        <v>0.18261224632703565</v>
      </c>
      <c r="Q61" t="s">
        <v>166</v>
      </c>
      <c r="S61" t="s">
        <v>224</v>
      </c>
      <c r="T61" t="s">
        <v>171</v>
      </c>
      <c r="U61">
        <v>0.17929728867595879</v>
      </c>
      <c r="V61" t="s">
        <v>166</v>
      </c>
      <c r="AK61">
        <v>2038</v>
      </c>
      <c r="AL61" t="s">
        <v>161</v>
      </c>
      <c r="AM61">
        <v>0.33204999999999996</v>
      </c>
      <c r="AN61" t="s">
        <v>238</v>
      </c>
    </row>
    <row r="62" spans="9:40" x14ac:dyDescent="0.45">
      <c r="I62" t="s">
        <v>179</v>
      </c>
      <c r="J62" t="s">
        <v>172</v>
      </c>
      <c r="K62">
        <v>6.7493015323318611E-2</v>
      </c>
      <c r="L62" t="s">
        <v>166</v>
      </c>
      <c r="N62" t="s">
        <v>202</v>
      </c>
      <c r="O62" t="s">
        <v>172</v>
      </c>
      <c r="P62">
        <v>0.14580038798736084</v>
      </c>
      <c r="Q62" t="s">
        <v>166</v>
      </c>
      <c r="S62" t="s">
        <v>224</v>
      </c>
      <c r="T62" t="s">
        <v>172</v>
      </c>
      <c r="U62">
        <v>0.17174268214303909</v>
      </c>
      <c r="V62" t="s">
        <v>166</v>
      </c>
      <c r="AK62">
        <v>2039</v>
      </c>
      <c r="AL62" t="s">
        <v>155</v>
      </c>
      <c r="AM62">
        <v>0.34304999999999997</v>
      </c>
      <c r="AN62" t="s">
        <v>238</v>
      </c>
    </row>
    <row r="63" spans="9:40" x14ac:dyDescent="0.45">
      <c r="I63" t="s">
        <v>179</v>
      </c>
      <c r="J63" t="s">
        <v>173</v>
      </c>
      <c r="K63">
        <v>1.1833256662915654E-3</v>
      </c>
      <c r="L63" t="s">
        <v>166</v>
      </c>
      <c r="N63" t="s">
        <v>202</v>
      </c>
      <c r="O63" t="s">
        <v>173</v>
      </c>
      <c r="P63">
        <v>8.9662267020305039E-3</v>
      </c>
      <c r="Q63" t="s">
        <v>166</v>
      </c>
      <c r="S63" t="s">
        <v>224</v>
      </c>
      <c r="T63" t="s">
        <v>173</v>
      </c>
      <c r="U63">
        <v>1.1179796391686246E-2</v>
      </c>
      <c r="V63" t="s">
        <v>166</v>
      </c>
      <c r="AK63">
        <v>2039</v>
      </c>
      <c r="AL63" t="s">
        <v>159</v>
      </c>
      <c r="AM63">
        <v>0.408275</v>
      </c>
      <c r="AN63" t="s">
        <v>238</v>
      </c>
    </row>
    <row r="64" spans="9:40" x14ac:dyDescent="0.45">
      <c r="I64" t="s">
        <v>179</v>
      </c>
      <c r="J64" t="s">
        <v>174</v>
      </c>
      <c r="K64">
        <v>0</v>
      </c>
      <c r="L64" t="s">
        <v>166</v>
      </c>
      <c r="N64" t="s">
        <v>202</v>
      </c>
      <c r="O64" t="s">
        <v>174</v>
      </c>
      <c r="P64">
        <v>6.3158334773017452E-2</v>
      </c>
      <c r="Q64" t="s">
        <v>166</v>
      </c>
      <c r="S64" t="s">
        <v>224</v>
      </c>
      <c r="T64" t="s">
        <v>174</v>
      </c>
      <c r="U64">
        <v>7.6539825373707307E-2</v>
      </c>
      <c r="V64" t="s">
        <v>166</v>
      </c>
      <c r="AK64">
        <v>2039</v>
      </c>
      <c r="AL64" t="s">
        <v>161</v>
      </c>
      <c r="AM64">
        <v>0.35004999999999997</v>
      </c>
      <c r="AN64" t="s">
        <v>238</v>
      </c>
    </row>
    <row r="65" spans="9:40" x14ac:dyDescent="0.45">
      <c r="I65" t="s">
        <v>180</v>
      </c>
      <c r="J65" t="s">
        <v>165</v>
      </c>
      <c r="K65">
        <v>4.7996402263652031E-2</v>
      </c>
      <c r="L65" t="s">
        <v>166</v>
      </c>
      <c r="N65" t="s">
        <v>203</v>
      </c>
      <c r="O65" t="s">
        <v>165</v>
      </c>
      <c r="P65">
        <v>0.12238917362987896</v>
      </c>
      <c r="Q65" t="s">
        <v>166</v>
      </c>
      <c r="S65" t="s">
        <v>225</v>
      </c>
      <c r="T65" t="s">
        <v>165</v>
      </c>
      <c r="U65">
        <v>0.1196008418149077</v>
      </c>
      <c r="V65" t="s">
        <v>166</v>
      </c>
      <c r="AK65">
        <v>2040</v>
      </c>
      <c r="AL65" t="s">
        <v>155</v>
      </c>
      <c r="AM65">
        <v>0.34950000000000003</v>
      </c>
      <c r="AN65" t="s">
        <v>238</v>
      </c>
    </row>
    <row r="66" spans="9:40" x14ac:dyDescent="0.45">
      <c r="I66" t="s">
        <v>180</v>
      </c>
      <c r="J66" t="s">
        <v>167</v>
      </c>
      <c r="K66">
        <v>4.7106175971652802E-3</v>
      </c>
      <c r="L66" t="s">
        <v>166</v>
      </c>
      <c r="N66" t="s">
        <v>203</v>
      </c>
      <c r="O66" t="s">
        <v>167</v>
      </c>
      <c r="P66">
        <v>7.1437740273294055E-3</v>
      </c>
      <c r="Q66" t="s">
        <v>166</v>
      </c>
      <c r="S66" t="s">
        <v>225</v>
      </c>
      <c r="T66" t="s">
        <v>167</v>
      </c>
      <c r="U66">
        <v>7.6278271614693806E-3</v>
      </c>
      <c r="V66" t="s">
        <v>166</v>
      </c>
      <c r="AK66">
        <v>2040</v>
      </c>
      <c r="AL66" t="s">
        <v>159</v>
      </c>
      <c r="AM66">
        <v>0.40032500000000004</v>
      </c>
      <c r="AN66" t="s">
        <v>238</v>
      </c>
    </row>
    <row r="67" spans="9:40" x14ac:dyDescent="0.45">
      <c r="I67" t="s">
        <v>180</v>
      </c>
      <c r="J67" t="s">
        <v>168</v>
      </c>
      <c r="K67">
        <v>2.6366192030141361E-3</v>
      </c>
      <c r="L67" t="s">
        <v>166</v>
      </c>
      <c r="N67" t="s">
        <v>203</v>
      </c>
      <c r="O67" t="s">
        <v>168</v>
      </c>
      <c r="P67">
        <v>5.386179443877355E-2</v>
      </c>
      <c r="Q67" t="s">
        <v>166</v>
      </c>
      <c r="S67" t="s">
        <v>225</v>
      </c>
      <c r="T67" t="s">
        <v>168</v>
      </c>
      <c r="U67">
        <v>5.3525137291830893E-2</v>
      </c>
      <c r="V67" t="s">
        <v>166</v>
      </c>
      <c r="AK67">
        <v>2040</v>
      </c>
      <c r="AL67" t="s">
        <v>161</v>
      </c>
      <c r="AM67">
        <v>0.36019999999999996</v>
      </c>
      <c r="AN67" t="s">
        <v>238</v>
      </c>
    </row>
    <row r="68" spans="9:40" x14ac:dyDescent="0.45">
      <c r="I68" t="s">
        <v>180</v>
      </c>
      <c r="J68" t="s">
        <v>169</v>
      </c>
      <c r="K68">
        <v>0.70968072057171261</v>
      </c>
      <c r="L68" t="s">
        <v>166</v>
      </c>
      <c r="N68" t="s">
        <v>203</v>
      </c>
      <c r="O68" t="s">
        <v>169</v>
      </c>
      <c r="P68">
        <v>0.38305615061663129</v>
      </c>
      <c r="Q68" t="s">
        <v>166</v>
      </c>
      <c r="S68" t="s">
        <v>225</v>
      </c>
      <c r="T68" t="s">
        <v>169</v>
      </c>
      <c r="U68">
        <v>0.38472234099865521</v>
      </c>
      <c r="V68" t="s">
        <v>166</v>
      </c>
      <c r="AK68">
        <v>2041</v>
      </c>
      <c r="AL68" t="s">
        <v>155</v>
      </c>
      <c r="AM68">
        <v>0.34694999999999998</v>
      </c>
      <c r="AN68" t="s">
        <v>238</v>
      </c>
    </row>
    <row r="69" spans="9:40" x14ac:dyDescent="0.45">
      <c r="I69" t="s">
        <v>180</v>
      </c>
      <c r="J69" t="s">
        <v>170</v>
      </c>
      <c r="K69">
        <v>6.8779272328997013E-2</v>
      </c>
      <c r="L69" t="s">
        <v>166</v>
      </c>
      <c r="N69" t="s">
        <v>203</v>
      </c>
      <c r="O69" t="s">
        <v>170</v>
      </c>
      <c r="P69">
        <v>2.4056174752902906E-2</v>
      </c>
      <c r="Q69" t="s">
        <v>166</v>
      </c>
      <c r="S69" t="s">
        <v>225</v>
      </c>
      <c r="T69" t="s">
        <v>170</v>
      </c>
      <c r="U69">
        <v>2.4260410688597907E-2</v>
      </c>
      <c r="V69" t="s">
        <v>166</v>
      </c>
      <c r="AK69">
        <v>2041</v>
      </c>
      <c r="AL69" t="s">
        <v>159</v>
      </c>
      <c r="AM69">
        <v>0.39748749999999999</v>
      </c>
      <c r="AN69" t="s">
        <v>238</v>
      </c>
    </row>
    <row r="70" spans="9:40" x14ac:dyDescent="0.45">
      <c r="I70" t="s">
        <v>180</v>
      </c>
      <c r="J70" t="s">
        <v>171</v>
      </c>
      <c r="K70">
        <v>0.12488395930873131</v>
      </c>
      <c r="L70" t="s">
        <v>166</v>
      </c>
      <c r="N70" t="s">
        <v>203</v>
      </c>
      <c r="O70" t="s">
        <v>171</v>
      </c>
      <c r="P70">
        <v>0.17867278003839249</v>
      </c>
      <c r="Q70" t="s">
        <v>166</v>
      </c>
      <c r="S70" t="s">
        <v>225</v>
      </c>
      <c r="T70" t="s">
        <v>171</v>
      </c>
      <c r="U70">
        <v>0.17437972737737073</v>
      </c>
      <c r="V70" t="s">
        <v>166</v>
      </c>
      <c r="AK70">
        <v>2041</v>
      </c>
      <c r="AL70" t="s">
        <v>161</v>
      </c>
      <c r="AM70">
        <v>0.35309999999999997</v>
      </c>
      <c r="AN70" t="s">
        <v>238</v>
      </c>
    </row>
    <row r="71" spans="9:40" x14ac:dyDescent="0.45">
      <c r="I71" t="s">
        <v>180</v>
      </c>
      <c r="J71" t="s">
        <v>172</v>
      </c>
      <c r="K71">
        <v>3.8082216884727467E-2</v>
      </c>
      <c r="L71" t="s">
        <v>166</v>
      </c>
      <c r="N71" t="s">
        <v>203</v>
      </c>
      <c r="O71" t="s">
        <v>172</v>
      </c>
      <c r="P71">
        <v>0.15283569855237294</v>
      </c>
      <c r="Q71" t="s">
        <v>166</v>
      </c>
      <c r="S71" t="s">
        <v>225</v>
      </c>
      <c r="T71" t="s">
        <v>172</v>
      </c>
      <c r="U71">
        <v>0.15847338782097339</v>
      </c>
      <c r="V71" t="s">
        <v>166</v>
      </c>
      <c r="AK71">
        <v>2042</v>
      </c>
      <c r="AL71" t="s">
        <v>155</v>
      </c>
      <c r="AM71">
        <v>0.35819999999999996</v>
      </c>
      <c r="AN71" t="s">
        <v>238</v>
      </c>
    </row>
    <row r="72" spans="9:40" x14ac:dyDescent="0.45">
      <c r="I72" t="s">
        <v>180</v>
      </c>
      <c r="J72" t="s">
        <v>173</v>
      </c>
      <c r="K72">
        <v>3.2299679659679539E-3</v>
      </c>
      <c r="L72" t="s">
        <v>166</v>
      </c>
      <c r="N72" t="s">
        <v>203</v>
      </c>
      <c r="O72" t="s">
        <v>173</v>
      </c>
      <c r="P72">
        <v>8.9566848610747943E-3</v>
      </c>
      <c r="Q72" t="s">
        <v>166</v>
      </c>
      <c r="S72" t="s">
        <v>225</v>
      </c>
      <c r="T72" t="s">
        <v>173</v>
      </c>
      <c r="U72">
        <v>9.7897545902337884E-3</v>
      </c>
      <c r="V72" t="s">
        <v>166</v>
      </c>
      <c r="AK72">
        <v>2042</v>
      </c>
      <c r="AL72" t="s">
        <v>159</v>
      </c>
      <c r="AM72">
        <v>0.40078749999999996</v>
      </c>
      <c r="AN72" t="s">
        <v>238</v>
      </c>
    </row>
    <row r="73" spans="9:40" x14ac:dyDescent="0.45">
      <c r="I73" t="s">
        <v>180</v>
      </c>
      <c r="J73" t="s">
        <v>174</v>
      </c>
      <c r="K73">
        <v>2.238760345441391E-7</v>
      </c>
      <c r="L73" t="s">
        <v>166</v>
      </c>
      <c r="N73" t="s">
        <v>203</v>
      </c>
      <c r="O73" t="s">
        <v>174</v>
      </c>
      <c r="P73">
        <v>6.9027769082641008E-2</v>
      </c>
      <c r="Q73" t="s">
        <v>166</v>
      </c>
      <c r="S73" t="s">
        <v>225</v>
      </c>
      <c r="T73" t="s">
        <v>174</v>
      </c>
      <c r="U73">
        <v>6.762057225596288E-2</v>
      </c>
      <c r="V73" t="s">
        <v>166</v>
      </c>
      <c r="AK73">
        <v>2042</v>
      </c>
      <c r="AL73" t="s">
        <v>161</v>
      </c>
      <c r="AM73">
        <v>0.36675000000000002</v>
      </c>
      <c r="AN73" t="s">
        <v>238</v>
      </c>
    </row>
    <row r="74" spans="9:40" x14ac:dyDescent="0.45">
      <c r="I74" t="s">
        <v>181</v>
      </c>
      <c r="J74" t="s">
        <v>165</v>
      </c>
      <c r="K74">
        <v>4.6092544467027756E-2</v>
      </c>
      <c r="L74" t="s">
        <v>166</v>
      </c>
      <c r="N74" t="s">
        <v>204</v>
      </c>
      <c r="O74" t="s">
        <v>165</v>
      </c>
      <c r="P74">
        <v>0.12221659375192878</v>
      </c>
      <c r="Q74" t="s">
        <v>166</v>
      </c>
      <c r="S74" t="s">
        <v>226</v>
      </c>
      <c r="T74" t="s">
        <v>165</v>
      </c>
      <c r="U74">
        <v>0.11895461226029994</v>
      </c>
      <c r="V74" t="s">
        <v>166</v>
      </c>
      <c r="AK74">
        <v>2043</v>
      </c>
      <c r="AL74" t="s">
        <v>155</v>
      </c>
      <c r="AM74">
        <v>0.35019999999999996</v>
      </c>
      <c r="AN74" t="s">
        <v>238</v>
      </c>
    </row>
    <row r="75" spans="9:40" x14ac:dyDescent="0.45">
      <c r="I75" t="s">
        <v>181</v>
      </c>
      <c r="J75" t="s">
        <v>167</v>
      </c>
      <c r="K75">
        <v>4.592205046617409E-3</v>
      </c>
      <c r="L75" t="s">
        <v>166</v>
      </c>
      <c r="N75" t="s">
        <v>204</v>
      </c>
      <c r="O75" t="s">
        <v>167</v>
      </c>
      <c r="P75">
        <v>7.3111361426610516E-3</v>
      </c>
      <c r="Q75" t="s">
        <v>166</v>
      </c>
      <c r="S75" t="s">
        <v>226</v>
      </c>
      <c r="T75" t="s">
        <v>167</v>
      </c>
      <c r="U75">
        <v>7.3268268588623162E-3</v>
      </c>
      <c r="V75" t="s">
        <v>166</v>
      </c>
      <c r="AK75">
        <v>2043</v>
      </c>
      <c r="AL75" t="s">
        <v>159</v>
      </c>
      <c r="AM75">
        <v>0.40817500000000007</v>
      </c>
      <c r="AN75" t="s">
        <v>238</v>
      </c>
    </row>
    <row r="76" spans="9:40" x14ac:dyDescent="0.45">
      <c r="I76" t="s">
        <v>181</v>
      </c>
      <c r="J76" t="s">
        <v>168</v>
      </c>
      <c r="K76">
        <v>2.0042570097154634E-3</v>
      </c>
      <c r="L76" t="s">
        <v>166</v>
      </c>
      <c r="N76" t="s">
        <v>204</v>
      </c>
      <c r="O76" t="s">
        <v>168</v>
      </c>
      <c r="P76">
        <v>5.3864136221543686E-2</v>
      </c>
      <c r="Q76" t="s">
        <v>166</v>
      </c>
      <c r="S76" t="s">
        <v>226</v>
      </c>
      <c r="T76" t="s">
        <v>168</v>
      </c>
      <c r="U76">
        <v>5.3007684648005253E-2</v>
      </c>
      <c r="V76" t="s">
        <v>166</v>
      </c>
      <c r="AK76">
        <v>2043</v>
      </c>
      <c r="AL76" t="s">
        <v>161</v>
      </c>
      <c r="AM76">
        <v>0.32569999999999999</v>
      </c>
      <c r="AN76" t="s">
        <v>238</v>
      </c>
    </row>
    <row r="77" spans="9:40" x14ac:dyDescent="0.45">
      <c r="I77" t="s">
        <v>181</v>
      </c>
      <c r="J77" t="s">
        <v>169</v>
      </c>
      <c r="K77">
        <v>0.71610177453248536</v>
      </c>
      <c r="L77" t="s">
        <v>166</v>
      </c>
      <c r="N77" t="s">
        <v>204</v>
      </c>
      <c r="O77" t="s">
        <v>169</v>
      </c>
      <c r="P77">
        <v>0.37272613881194822</v>
      </c>
      <c r="Q77" t="s">
        <v>166</v>
      </c>
      <c r="S77" t="s">
        <v>226</v>
      </c>
      <c r="T77" t="s">
        <v>169</v>
      </c>
      <c r="U77">
        <v>0.38939929701305726</v>
      </c>
      <c r="V77" t="s">
        <v>166</v>
      </c>
      <c r="AK77">
        <v>2044</v>
      </c>
      <c r="AL77" t="s">
        <v>155</v>
      </c>
      <c r="AM77">
        <v>0.35844999999999999</v>
      </c>
      <c r="AN77" t="s">
        <v>238</v>
      </c>
    </row>
    <row r="78" spans="9:40" x14ac:dyDescent="0.45">
      <c r="I78" t="s">
        <v>181</v>
      </c>
      <c r="J78" t="s">
        <v>170</v>
      </c>
      <c r="K78">
        <v>7.124001930257387E-2</v>
      </c>
      <c r="L78" t="s">
        <v>166</v>
      </c>
      <c r="N78" t="s">
        <v>204</v>
      </c>
      <c r="O78" t="s">
        <v>170</v>
      </c>
      <c r="P78">
        <v>2.3233414968914581E-2</v>
      </c>
      <c r="Q78" t="s">
        <v>166</v>
      </c>
      <c r="S78" t="s">
        <v>226</v>
      </c>
      <c r="T78" t="s">
        <v>170</v>
      </c>
      <c r="U78">
        <v>2.5296224069518845E-2</v>
      </c>
      <c r="V78" t="s">
        <v>166</v>
      </c>
      <c r="AK78">
        <v>2044</v>
      </c>
      <c r="AL78" t="s">
        <v>159</v>
      </c>
      <c r="AM78">
        <v>0.40757500000000002</v>
      </c>
      <c r="AN78" t="s">
        <v>238</v>
      </c>
    </row>
    <row r="79" spans="9:40" x14ac:dyDescent="0.45">
      <c r="I79" t="s">
        <v>181</v>
      </c>
      <c r="J79" t="s">
        <v>171</v>
      </c>
      <c r="K79">
        <v>0.12164242234703791</v>
      </c>
      <c r="L79" t="s">
        <v>166</v>
      </c>
      <c r="N79" t="s">
        <v>204</v>
      </c>
      <c r="O79" t="s">
        <v>171</v>
      </c>
      <c r="P79">
        <v>0.17675249898687256</v>
      </c>
      <c r="Q79" t="s">
        <v>166</v>
      </c>
      <c r="S79" t="s">
        <v>226</v>
      </c>
      <c r="T79" t="s">
        <v>171</v>
      </c>
      <c r="U79">
        <v>0.17935635547590789</v>
      </c>
      <c r="V79" t="s">
        <v>166</v>
      </c>
      <c r="AK79">
        <v>2044</v>
      </c>
      <c r="AL79" t="s">
        <v>161</v>
      </c>
      <c r="AM79">
        <v>0.35575000000000001</v>
      </c>
      <c r="AN79" t="s">
        <v>238</v>
      </c>
    </row>
    <row r="80" spans="9:40" x14ac:dyDescent="0.45">
      <c r="I80" t="s">
        <v>181</v>
      </c>
      <c r="J80" t="s">
        <v>172</v>
      </c>
      <c r="K80">
        <v>3.6028408226589974E-2</v>
      </c>
      <c r="L80" t="s">
        <v>166</v>
      </c>
      <c r="N80" t="s">
        <v>204</v>
      </c>
      <c r="O80" t="s">
        <v>172</v>
      </c>
      <c r="P80">
        <v>0.15866972040834285</v>
      </c>
      <c r="Q80" t="s">
        <v>166</v>
      </c>
      <c r="S80" t="s">
        <v>226</v>
      </c>
      <c r="T80" t="s">
        <v>172</v>
      </c>
      <c r="U80">
        <v>0.15178452333397444</v>
      </c>
      <c r="V80" t="s">
        <v>166</v>
      </c>
      <c r="AK80">
        <v>2045</v>
      </c>
      <c r="AL80" t="s">
        <v>155</v>
      </c>
      <c r="AM80">
        <v>0.37154999999999999</v>
      </c>
      <c r="AN80" t="s">
        <v>238</v>
      </c>
    </row>
    <row r="81" spans="9:40" x14ac:dyDescent="0.45">
      <c r="I81" t="s">
        <v>181</v>
      </c>
      <c r="J81" t="s">
        <v>173</v>
      </c>
      <c r="K81">
        <v>2.2983690679506045E-3</v>
      </c>
      <c r="L81" t="s">
        <v>166</v>
      </c>
      <c r="N81" t="s">
        <v>204</v>
      </c>
      <c r="O81" t="s">
        <v>173</v>
      </c>
      <c r="P81">
        <v>9.9172642250972259E-3</v>
      </c>
      <c r="Q81" t="s">
        <v>166</v>
      </c>
      <c r="S81" t="s">
        <v>226</v>
      </c>
      <c r="T81" t="s">
        <v>173</v>
      </c>
      <c r="U81">
        <v>9.4600652975237731E-3</v>
      </c>
      <c r="V81" t="s">
        <v>166</v>
      </c>
      <c r="AK81">
        <v>2045</v>
      </c>
      <c r="AL81" t="s">
        <v>159</v>
      </c>
      <c r="AM81">
        <v>0.39603749999999993</v>
      </c>
      <c r="AN81" t="s">
        <v>238</v>
      </c>
    </row>
    <row r="82" spans="9:40" x14ac:dyDescent="0.45">
      <c r="I82" t="s">
        <v>181</v>
      </c>
      <c r="J82" t="s">
        <v>174</v>
      </c>
      <c r="K82">
        <v>0</v>
      </c>
      <c r="L82" t="s">
        <v>166</v>
      </c>
      <c r="N82" t="s">
        <v>204</v>
      </c>
      <c r="O82" t="s">
        <v>174</v>
      </c>
      <c r="P82">
        <v>7.5309096482692101E-2</v>
      </c>
      <c r="Q82" t="s">
        <v>166</v>
      </c>
      <c r="S82" t="s">
        <v>226</v>
      </c>
      <c r="T82" t="s">
        <v>174</v>
      </c>
      <c r="U82">
        <v>6.5414411042852658E-2</v>
      </c>
      <c r="V82" t="s">
        <v>166</v>
      </c>
      <c r="AK82">
        <v>2045</v>
      </c>
      <c r="AL82" t="s">
        <v>161</v>
      </c>
      <c r="AM82">
        <v>0.33829999999999999</v>
      </c>
      <c r="AN82" t="s">
        <v>238</v>
      </c>
    </row>
    <row r="83" spans="9:40" x14ac:dyDescent="0.45">
      <c r="I83" t="s">
        <v>182</v>
      </c>
      <c r="J83" t="s">
        <v>165</v>
      </c>
      <c r="K83">
        <v>4.6627819216826086E-2</v>
      </c>
      <c r="L83" t="s">
        <v>166</v>
      </c>
      <c r="N83" t="s">
        <v>205</v>
      </c>
      <c r="O83" t="s">
        <v>165</v>
      </c>
      <c r="P83">
        <v>0.12039526138105759</v>
      </c>
      <c r="Q83" t="s">
        <v>166</v>
      </c>
      <c r="S83" t="s">
        <v>227</v>
      </c>
      <c r="T83" t="s">
        <v>165</v>
      </c>
      <c r="U83">
        <v>0.11965023749102342</v>
      </c>
      <c r="V83" t="s">
        <v>166</v>
      </c>
      <c r="AK83">
        <v>2046</v>
      </c>
      <c r="AL83" t="s">
        <v>155</v>
      </c>
      <c r="AM83">
        <v>0.36675000000000002</v>
      </c>
      <c r="AN83" t="s">
        <v>238</v>
      </c>
    </row>
    <row r="84" spans="9:40" x14ac:dyDescent="0.45">
      <c r="I84" t="s">
        <v>182</v>
      </c>
      <c r="J84" t="s">
        <v>167</v>
      </c>
      <c r="K84">
        <v>5.4346054491979014E-3</v>
      </c>
      <c r="L84" t="s">
        <v>166</v>
      </c>
      <c r="N84" t="s">
        <v>205</v>
      </c>
      <c r="O84" t="s">
        <v>167</v>
      </c>
      <c r="P84">
        <v>7.2418300576423981E-3</v>
      </c>
      <c r="Q84" t="s">
        <v>166</v>
      </c>
      <c r="S84" t="s">
        <v>227</v>
      </c>
      <c r="T84" t="s">
        <v>167</v>
      </c>
      <c r="U84">
        <v>7.0573362839620544E-3</v>
      </c>
      <c r="V84" t="s">
        <v>166</v>
      </c>
      <c r="AK84">
        <v>2046</v>
      </c>
      <c r="AL84" t="s">
        <v>159</v>
      </c>
      <c r="AM84">
        <v>0.40316250000000003</v>
      </c>
      <c r="AN84" t="s">
        <v>238</v>
      </c>
    </row>
    <row r="85" spans="9:40" x14ac:dyDescent="0.45">
      <c r="I85" t="s">
        <v>182</v>
      </c>
      <c r="J85" t="s">
        <v>168</v>
      </c>
      <c r="K85">
        <v>2.3985978620286339E-3</v>
      </c>
      <c r="L85" t="s">
        <v>166</v>
      </c>
      <c r="N85" t="s">
        <v>205</v>
      </c>
      <c r="O85" t="s">
        <v>168</v>
      </c>
      <c r="P85">
        <v>5.1643639852389289E-2</v>
      </c>
      <c r="Q85" t="s">
        <v>166</v>
      </c>
      <c r="S85" t="s">
        <v>227</v>
      </c>
      <c r="T85" t="s">
        <v>168</v>
      </c>
      <c r="U85">
        <v>5.1920522950464669E-2</v>
      </c>
      <c r="V85" t="s">
        <v>166</v>
      </c>
      <c r="AK85">
        <v>2046</v>
      </c>
      <c r="AL85" t="s">
        <v>161</v>
      </c>
      <c r="AM85">
        <v>0.32989999999999997</v>
      </c>
      <c r="AN85" t="s">
        <v>238</v>
      </c>
    </row>
    <row r="86" spans="9:40" x14ac:dyDescent="0.45">
      <c r="I86" t="s">
        <v>182</v>
      </c>
      <c r="J86" t="s">
        <v>169</v>
      </c>
      <c r="K86">
        <v>0.69947016731362743</v>
      </c>
      <c r="L86" t="s">
        <v>166</v>
      </c>
      <c r="N86" t="s">
        <v>205</v>
      </c>
      <c r="O86" t="s">
        <v>169</v>
      </c>
      <c r="P86">
        <v>0.3859650251890715</v>
      </c>
      <c r="Q86" t="s">
        <v>166</v>
      </c>
      <c r="S86" t="s">
        <v>227</v>
      </c>
      <c r="T86" t="s">
        <v>169</v>
      </c>
      <c r="U86">
        <v>0.38555612063799849</v>
      </c>
      <c r="V86" t="s">
        <v>166</v>
      </c>
      <c r="AK86">
        <v>2047</v>
      </c>
      <c r="AL86" t="s">
        <v>155</v>
      </c>
      <c r="AM86">
        <v>0.32999999999999996</v>
      </c>
      <c r="AN86" t="s">
        <v>238</v>
      </c>
    </row>
    <row r="87" spans="9:40" x14ac:dyDescent="0.45">
      <c r="I87" t="s">
        <v>182</v>
      </c>
      <c r="J87" t="s">
        <v>170</v>
      </c>
      <c r="K87">
        <v>7.4466458609026953E-2</v>
      </c>
      <c r="L87" t="s">
        <v>166</v>
      </c>
      <c r="N87" t="s">
        <v>205</v>
      </c>
      <c r="O87" t="s">
        <v>170</v>
      </c>
      <c r="P87">
        <v>2.3705888771785606E-2</v>
      </c>
      <c r="Q87" t="s">
        <v>166</v>
      </c>
      <c r="S87" t="s">
        <v>227</v>
      </c>
      <c r="T87" t="s">
        <v>170</v>
      </c>
      <c r="U87">
        <v>2.4645399769547764E-2</v>
      </c>
      <c r="V87" t="s">
        <v>166</v>
      </c>
      <c r="AK87">
        <v>2047</v>
      </c>
      <c r="AL87" t="s">
        <v>159</v>
      </c>
      <c r="AM87">
        <v>0.40883750000000002</v>
      </c>
      <c r="AN87" t="s">
        <v>238</v>
      </c>
    </row>
    <row r="88" spans="9:40" x14ac:dyDescent="0.45">
      <c r="I88" t="s">
        <v>182</v>
      </c>
      <c r="J88" t="s">
        <v>171</v>
      </c>
      <c r="K88">
        <v>0.13579036989036036</v>
      </c>
      <c r="L88" t="s">
        <v>166</v>
      </c>
      <c r="N88" t="s">
        <v>205</v>
      </c>
      <c r="O88" t="s">
        <v>171</v>
      </c>
      <c r="P88">
        <v>0.17890711730360145</v>
      </c>
      <c r="Q88" t="s">
        <v>166</v>
      </c>
      <c r="S88" t="s">
        <v>227</v>
      </c>
      <c r="T88" t="s">
        <v>171</v>
      </c>
      <c r="U88">
        <v>0.17906359716063822</v>
      </c>
      <c r="V88" t="s">
        <v>166</v>
      </c>
      <c r="AK88">
        <v>2047</v>
      </c>
      <c r="AL88" t="s">
        <v>161</v>
      </c>
      <c r="AM88">
        <v>0.3367</v>
      </c>
      <c r="AN88" t="s">
        <v>238</v>
      </c>
    </row>
    <row r="89" spans="9:40" x14ac:dyDescent="0.45">
      <c r="I89" t="s">
        <v>182</v>
      </c>
      <c r="J89" t="s">
        <v>172</v>
      </c>
      <c r="K89">
        <v>3.3514071577830609E-2</v>
      </c>
      <c r="L89" t="s">
        <v>166</v>
      </c>
      <c r="N89" t="s">
        <v>205</v>
      </c>
      <c r="O89" t="s">
        <v>172</v>
      </c>
      <c r="P89">
        <v>0.157473334764859</v>
      </c>
      <c r="Q89" t="s">
        <v>166</v>
      </c>
      <c r="S89" t="s">
        <v>227</v>
      </c>
      <c r="T89" t="s">
        <v>172</v>
      </c>
      <c r="U89">
        <v>0.15573851013042647</v>
      </c>
      <c r="V89" t="s">
        <v>166</v>
      </c>
      <c r="AK89">
        <v>2048</v>
      </c>
      <c r="AL89" t="s">
        <v>155</v>
      </c>
      <c r="AM89">
        <v>0.33960000000000001</v>
      </c>
      <c r="AN89" t="s">
        <v>238</v>
      </c>
    </row>
    <row r="90" spans="9:40" x14ac:dyDescent="0.45">
      <c r="I90" t="s">
        <v>182</v>
      </c>
      <c r="J90" t="s">
        <v>173</v>
      </c>
      <c r="K90">
        <v>2.2979100810979298E-3</v>
      </c>
      <c r="L90" t="s">
        <v>166</v>
      </c>
      <c r="N90" t="s">
        <v>205</v>
      </c>
      <c r="O90" t="s">
        <v>173</v>
      </c>
      <c r="P90">
        <v>9.1417249359729245E-3</v>
      </c>
      <c r="Q90" t="s">
        <v>166</v>
      </c>
      <c r="S90" t="s">
        <v>227</v>
      </c>
      <c r="T90" t="s">
        <v>173</v>
      </c>
      <c r="U90">
        <v>9.5905790035904978E-3</v>
      </c>
      <c r="V90" t="s">
        <v>166</v>
      </c>
      <c r="AK90">
        <v>2048</v>
      </c>
      <c r="AL90" t="s">
        <v>159</v>
      </c>
      <c r="AM90">
        <v>0.41171250000000004</v>
      </c>
      <c r="AN90" t="s">
        <v>238</v>
      </c>
    </row>
    <row r="91" spans="9:40" x14ac:dyDescent="0.45">
      <c r="I91" t="s">
        <v>182</v>
      </c>
      <c r="J91" t="s">
        <v>174</v>
      </c>
      <c r="K91">
        <v>0</v>
      </c>
      <c r="L91" t="s">
        <v>166</v>
      </c>
      <c r="N91" t="s">
        <v>205</v>
      </c>
      <c r="O91" t="s">
        <v>174</v>
      </c>
      <c r="P91">
        <v>6.5526177743615341E-2</v>
      </c>
      <c r="Q91" t="s">
        <v>166</v>
      </c>
      <c r="S91" t="s">
        <v>227</v>
      </c>
      <c r="T91" t="s">
        <v>174</v>
      </c>
      <c r="U91">
        <v>6.6777696572346154E-2</v>
      </c>
      <c r="V91" t="s">
        <v>166</v>
      </c>
      <c r="AK91">
        <v>2048</v>
      </c>
      <c r="AL91" t="s">
        <v>161</v>
      </c>
      <c r="AM91">
        <v>0.34609999999999996</v>
      </c>
      <c r="AN91" t="s">
        <v>238</v>
      </c>
    </row>
    <row r="92" spans="9:40" x14ac:dyDescent="0.45">
      <c r="I92" t="s">
        <v>183</v>
      </c>
      <c r="J92" t="s">
        <v>165</v>
      </c>
      <c r="K92">
        <v>5.5559891050777702E-2</v>
      </c>
      <c r="L92" t="s">
        <v>166</v>
      </c>
      <c r="N92" t="s">
        <v>206</v>
      </c>
      <c r="O92" t="s">
        <v>165</v>
      </c>
      <c r="P92">
        <v>0.1272243431391098</v>
      </c>
      <c r="Q92" t="s">
        <v>166</v>
      </c>
      <c r="S92" t="s">
        <v>228</v>
      </c>
      <c r="T92" t="s">
        <v>165</v>
      </c>
      <c r="U92">
        <v>0.11970086764802985</v>
      </c>
      <c r="V92" t="s">
        <v>166</v>
      </c>
      <c r="AK92">
        <v>2049</v>
      </c>
      <c r="AL92" t="s">
        <v>155</v>
      </c>
      <c r="AM92">
        <v>0.35704999999999998</v>
      </c>
      <c r="AN92" t="s">
        <v>238</v>
      </c>
    </row>
    <row r="93" spans="9:40" x14ac:dyDescent="0.45">
      <c r="I93" t="s">
        <v>183</v>
      </c>
      <c r="J93" t="s">
        <v>167</v>
      </c>
      <c r="K93">
        <v>5.4294002764658893E-3</v>
      </c>
      <c r="L93" t="s">
        <v>166</v>
      </c>
      <c r="N93" t="s">
        <v>206</v>
      </c>
      <c r="O93" t="s">
        <v>167</v>
      </c>
      <c r="P93">
        <v>7.5368258111818713E-3</v>
      </c>
      <c r="Q93" t="s">
        <v>166</v>
      </c>
      <c r="S93" t="s">
        <v>228</v>
      </c>
      <c r="T93" t="s">
        <v>167</v>
      </c>
      <c r="U93">
        <v>7.1412407379638368E-3</v>
      </c>
      <c r="V93" t="s">
        <v>166</v>
      </c>
      <c r="AK93">
        <v>2049</v>
      </c>
      <c r="AL93" t="s">
        <v>159</v>
      </c>
      <c r="AM93">
        <v>0.4075125</v>
      </c>
      <c r="AN93" t="s">
        <v>238</v>
      </c>
    </row>
    <row r="94" spans="9:40" x14ac:dyDescent="0.45">
      <c r="I94" t="s">
        <v>183</v>
      </c>
      <c r="J94" t="s">
        <v>168</v>
      </c>
      <c r="K94">
        <v>2.4557938842963995E-3</v>
      </c>
      <c r="L94" t="s">
        <v>166</v>
      </c>
      <c r="N94" t="s">
        <v>206</v>
      </c>
      <c r="O94" t="s">
        <v>168</v>
      </c>
      <c r="P94">
        <v>5.3471970024736727E-2</v>
      </c>
      <c r="Q94" t="s">
        <v>166</v>
      </c>
      <c r="S94" t="s">
        <v>228</v>
      </c>
      <c r="T94" t="s">
        <v>168</v>
      </c>
      <c r="U94">
        <v>5.1340255178595626E-2</v>
      </c>
      <c r="V94" t="s">
        <v>166</v>
      </c>
      <c r="AK94">
        <v>2049</v>
      </c>
      <c r="AL94" t="s">
        <v>161</v>
      </c>
      <c r="AM94">
        <v>0.34914999999999996</v>
      </c>
      <c r="AN94" t="s">
        <v>238</v>
      </c>
    </row>
    <row r="95" spans="9:40" x14ac:dyDescent="0.45">
      <c r="I95" t="s">
        <v>183</v>
      </c>
      <c r="J95" t="s">
        <v>169</v>
      </c>
      <c r="K95">
        <v>0.70425516169446956</v>
      </c>
      <c r="L95" t="s">
        <v>166</v>
      </c>
      <c r="N95" t="s">
        <v>206</v>
      </c>
      <c r="O95" t="s">
        <v>169</v>
      </c>
      <c r="P95">
        <v>0.36788926806897732</v>
      </c>
      <c r="Q95" t="s">
        <v>166</v>
      </c>
      <c r="S95" t="s">
        <v>228</v>
      </c>
      <c r="T95" t="s">
        <v>169</v>
      </c>
      <c r="U95">
        <v>0.37988567806002504</v>
      </c>
      <c r="V95" t="s">
        <v>166</v>
      </c>
      <c r="AK95">
        <v>2050</v>
      </c>
      <c r="AL95" t="s">
        <v>155</v>
      </c>
      <c r="AM95">
        <v>0.33560000000000001</v>
      </c>
      <c r="AN95" t="s">
        <v>238</v>
      </c>
    </row>
    <row r="96" spans="9:40" x14ac:dyDescent="0.45">
      <c r="I96" t="s">
        <v>183</v>
      </c>
      <c r="J96" t="s">
        <v>170</v>
      </c>
      <c r="K96">
        <v>6.7237087229130188E-2</v>
      </c>
      <c r="L96" t="s">
        <v>166</v>
      </c>
      <c r="N96" t="s">
        <v>206</v>
      </c>
      <c r="O96" t="s">
        <v>170</v>
      </c>
      <c r="P96">
        <v>2.3397120582038154E-2</v>
      </c>
      <c r="Q96" t="s">
        <v>166</v>
      </c>
      <c r="S96" t="s">
        <v>228</v>
      </c>
      <c r="T96" t="s">
        <v>170</v>
      </c>
      <c r="U96">
        <v>2.4111737896532558E-2</v>
      </c>
      <c r="V96" t="s">
        <v>166</v>
      </c>
      <c r="AK96">
        <v>2050</v>
      </c>
      <c r="AL96" t="s">
        <v>159</v>
      </c>
      <c r="AM96">
        <v>0.39592499999999997</v>
      </c>
      <c r="AN96" t="s">
        <v>238</v>
      </c>
    </row>
    <row r="97" spans="9:40" x14ac:dyDescent="0.45">
      <c r="I97" t="s">
        <v>183</v>
      </c>
      <c r="J97" t="s">
        <v>171</v>
      </c>
      <c r="K97">
        <v>0.11417388737224143</v>
      </c>
      <c r="L97" t="s">
        <v>166</v>
      </c>
      <c r="N97" t="s">
        <v>206</v>
      </c>
      <c r="O97" t="s">
        <v>171</v>
      </c>
      <c r="P97">
        <v>0.16714456783460793</v>
      </c>
      <c r="Q97" t="s">
        <v>166</v>
      </c>
      <c r="S97" t="s">
        <v>228</v>
      </c>
      <c r="T97" t="s">
        <v>171</v>
      </c>
      <c r="U97">
        <v>0.17761465792796841</v>
      </c>
      <c r="V97" t="s">
        <v>166</v>
      </c>
      <c r="AK97">
        <v>2050</v>
      </c>
      <c r="AL97" t="s">
        <v>161</v>
      </c>
      <c r="AM97">
        <v>0.32779999999999998</v>
      </c>
      <c r="AN97" t="s">
        <v>238</v>
      </c>
    </row>
    <row r="98" spans="9:40" x14ac:dyDescent="0.45">
      <c r="I98" t="s">
        <v>183</v>
      </c>
      <c r="J98" t="s">
        <v>172</v>
      </c>
      <c r="K98">
        <v>4.7050175481716729E-2</v>
      </c>
      <c r="L98" t="s">
        <v>166</v>
      </c>
      <c r="N98" t="s">
        <v>206</v>
      </c>
      <c r="O98" t="s">
        <v>172</v>
      </c>
      <c r="P98">
        <v>0.17119596976181956</v>
      </c>
      <c r="Q98" t="s">
        <v>166</v>
      </c>
      <c r="S98" t="s">
        <v>228</v>
      </c>
      <c r="T98" t="s">
        <v>172</v>
      </c>
      <c r="U98">
        <v>0.16218442085566914</v>
      </c>
      <c r="V98" t="s">
        <v>166</v>
      </c>
    </row>
    <row r="99" spans="9:40" x14ac:dyDescent="0.45">
      <c r="I99" t="s">
        <v>183</v>
      </c>
      <c r="J99" t="s">
        <v>173</v>
      </c>
      <c r="K99">
        <v>3.819075420303077E-3</v>
      </c>
      <c r="L99" t="s">
        <v>166</v>
      </c>
      <c r="N99" t="s">
        <v>206</v>
      </c>
      <c r="O99" t="s">
        <v>173</v>
      </c>
      <c r="P99">
        <v>9.8117629259167928E-3</v>
      </c>
      <c r="Q99" t="s">
        <v>166</v>
      </c>
      <c r="S99" t="s">
        <v>228</v>
      </c>
      <c r="T99" t="s">
        <v>173</v>
      </c>
      <c r="U99">
        <v>9.8986376987404891E-3</v>
      </c>
      <c r="V99" t="s">
        <v>166</v>
      </c>
    </row>
    <row r="100" spans="9:40" x14ac:dyDescent="0.45">
      <c r="I100" t="s">
        <v>183</v>
      </c>
      <c r="J100" t="s">
        <v>174</v>
      </c>
      <c r="K100">
        <v>1.9527590598198718E-5</v>
      </c>
      <c r="L100" t="s">
        <v>166</v>
      </c>
      <c r="N100" t="s">
        <v>206</v>
      </c>
      <c r="O100" t="s">
        <v>174</v>
      </c>
      <c r="P100">
        <v>7.2328171851611264E-2</v>
      </c>
      <c r="Q100" t="s">
        <v>166</v>
      </c>
      <c r="S100" t="s">
        <v>228</v>
      </c>
      <c r="T100" t="s">
        <v>174</v>
      </c>
      <c r="U100">
        <v>6.8122503996471725E-2</v>
      </c>
      <c r="V100" t="s">
        <v>166</v>
      </c>
    </row>
    <row r="101" spans="9:40" x14ac:dyDescent="0.45">
      <c r="I101" t="s">
        <v>184</v>
      </c>
      <c r="J101" t="s">
        <v>165</v>
      </c>
      <c r="K101">
        <v>4.7516300989722912E-2</v>
      </c>
      <c r="L101" t="s">
        <v>166</v>
      </c>
      <c r="N101" t="s">
        <v>207</v>
      </c>
      <c r="O101" t="s">
        <v>165</v>
      </c>
      <c r="P101">
        <v>0.15152842631007918</v>
      </c>
      <c r="Q101" t="s">
        <v>166</v>
      </c>
    </row>
    <row r="102" spans="9:40" x14ac:dyDescent="0.45">
      <c r="I102" t="s">
        <v>184</v>
      </c>
      <c r="J102" t="s">
        <v>167</v>
      </c>
      <c r="K102">
        <v>4.8805817628416268E-3</v>
      </c>
      <c r="L102" t="s">
        <v>166</v>
      </c>
      <c r="N102" t="s">
        <v>207</v>
      </c>
      <c r="O102" t="s">
        <v>167</v>
      </c>
      <c r="P102">
        <v>1.0184104338017025E-2</v>
      </c>
      <c r="Q102" t="s">
        <v>166</v>
      </c>
    </row>
    <row r="103" spans="9:40" x14ac:dyDescent="0.45">
      <c r="I103" t="s">
        <v>184</v>
      </c>
      <c r="J103" t="s">
        <v>168</v>
      </c>
      <c r="K103">
        <v>2.5217067197105098E-3</v>
      </c>
      <c r="L103" t="s">
        <v>166</v>
      </c>
      <c r="N103" t="s">
        <v>207</v>
      </c>
      <c r="O103" t="s">
        <v>168</v>
      </c>
      <c r="P103">
        <v>7.4152258331912399E-2</v>
      </c>
      <c r="Q103" t="s">
        <v>166</v>
      </c>
    </row>
    <row r="104" spans="9:40" x14ac:dyDescent="0.45">
      <c r="I104" t="s">
        <v>184</v>
      </c>
      <c r="J104" t="s">
        <v>169</v>
      </c>
      <c r="K104">
        <v>0.70989125499310579</v>
      </c>
      <c r="L104" t="s">
        <v>166</v>
      </c>
      <c r="N104" t="s">
        <v>207</v>
      </c>
      <c r="O104" t="s">
        <v>169</v>
      </c>
      <c r="P104">
        <v>0.35853815944677864</v>
      </c>
      <c r="Q104" t="s">
        <v>166</v>
      </c>
    </row>
    <row r="105" spans="9:40" x14ac:dyDescent="0.45">
      <c r="I105" t="s">
        <v>184</v>
      </c>
      <c r="J105" t="s">
        <v>170</v>
      </c>
      <c r="K105">
        <v>6.8637959019470868E-2</v>
      </c>
      <c r="L105" t="s">
        <v>166</v>
      </c>
      <c r="N105" t="s">
        <v>207</v>
      </c>
      <c r="O105" t="s">
        <v>170</v>
      </c>
      <c r="P105">
        <v>2.6035637682894009E-2</v>
      </c>
      <c r="Q105" t="s">
        <v>166</v>
      </c>
    </row>
    <row r="106" spans="9:40" x14ac:dyDescent="0.45">
      <c r="I106" t="s">
        <v>184</v>
      </c>
      <c r="J106" t="s">
        <v>171</v>
      </c>
      <c r="K106">
        <v>0.12034825118343129</v>
      </c>
      <c r="L106" t="s">
        <v>166</v>
      </c>
      <c r="N106" t="s">
        <v>207</v>
      </c>
      <c r="O106" t="s">
        <v>171</v>
      </c>
      <c r="P106">
        <v>0.18374700162412044</v>
      </c>
      <c r="Q106" t="s">
        <v>166</v>
      </c>
    </row>
    <row r="107" spans="9:40" x14ac:dyDescent="0.45">
      <c r="I107" t="s">
        <v>184</v>
      </c>
      <c r="J107" t="s">
        <v>172</v>
      </c>
      <c r="K107">
        <v>4.2678813908500014E-2</v>
      </c>
      <c r="L107" t="s">
        <v>166</v>
      </c>
      <c r="N107" t="s">
        <v>207</v>
      </c>
      <c r="O107" t="s">
        <v>172</v>
      </c>
      <c r="P107">
        <v>0.12808442921535154</v>
      </c>
      <c r="Q107" t="s">
        <v>166</v>
      </c>
    </row>
    <row r="108" spans="9:40" x14ac:dyDescent="0.45">
      <c r="I108" t="s">
        <v>184</v>
      </c>
      <c r="J108" t="s">
        <v>173</v>
      </c>
      <c r="K108">
        <v>3.5082374180487839E-3</v>
      </c>
      <c r="L108" t="s">
        <v>166</v>
      </c>
      <c r="N108" t="s">
        <v>207</v>
      </c>
      <c r="O108" t="s">
        <v>173</v>
      </c>
      <c r="P108">
        <v>7.1626225619530479E-3</v>
      </c>
      <c r="Q108" t="s">
        <v>166</v>
      </c>
    </row>
    <row r="109" spans="9:40" x14ac:dyDescent="0.45">
      <c r="I109" t="s">
        <v>184</v>
      </c>
      <c r="J109" t="s">
        <v>174</v>
      </c>
      <c r="K109">
        <v>1.689400517075875E-5</v>
      </c>
      <c r="L109" t="s">
        <v>166</v>
      </c>
      <c r="N109" t="s">
        <v>207</v>
      </c>
      <c r="O109" t="s">
        <v>174</v>
      </c>
      <c r="P109">
        <v>6.0567360488891671E-2</v>
      </c>
      <c r="Q109" t="s">
        <v>166</v>
      </c>
    </row>
    <row r="110" spans="9:40" x14ac:dyDescent="0.45">
      <c r="I110" t="s">
        <v>185</v>
      </c>
      <c r="J110" t="s">
        <v>165</v>
      </c>
      <c r="K110">
        <v>4.6084104394964173E-2</v>
      </c>
      <c r="L110" t="s">
        <v>166</v>
      </c>
      <c r="N110" t="s">
        <v>208</v>
      </c>
      <c r="O110" t="s">
        <v>165</v>
      </c>
      <c r="P110">
        <v>0.13491220982899452</v>
      </c>
      <c r="Q110" t="s">
        <v>166</v>
      </c>
    </row>
    <row r="111" spans="9:40" x14ac:dyDescent="0.45">
      <c r="I111" t="s">
        <v>185</v>
      </c>
      <c r="J111" t="s">
        <v>167</v>
      </c>
      <c r="K111">
        <v>3.7409160867166343E-3</v>
      </c>
      <c r="L111" t="s">
        <v>166</v>
      </c>
      <c r="N111" t="s">
        <v>208</v>
      </c>
      <c r="O111" t="s">
        <v>167</v>
      </c>
      <c r="P111">
        <v>8.0134656879885437E-3</v>
      </c>
      <c r="Q111" t="s">
        <v>166</v>
      </c>
    </row>
    <row r="112" spans="9:40" x14ac:dyDescent="0.45">
      <c r="I112" t="s">
        <v>185</v>
      </c>
      <c r="J112" t="s">
        <v>168</v>
      </c>
      <c r="K112">
        <v>1.6472969284009092E-3</v>
      </c>
      <c r="L112" t="s">
        <v>166</v>
      </c>
      <c r="N112" t="s">
        <v>208</v>
      </c>
      <c r="O112" t="s">
        <v>168</v>
      </c>
      <c r="P112">
        <v>5.9526947365959211E-2</v>
      </c>
      <c r="Q112" t="s">
        <v>166</v>
      </c>
    </row>
    <row r="113" spans="9:17" x14ac:dyDescent="0.45">
      <c r="I113" t="s">
        <v>185</v>
      </c>
      <c r="J113" t="s">
        <v>169</v>
      </c>
      <c r="K113">
        <v>0.72223982071384518</v>
      </c>
      <c r="L113" t="s">
        <v>166</v>
      </c>
      <c r="N113" t="s">
        <v>208</v>
      </c>
      <c r="O113" t="s">
        <v>169</v>
      </c>
      <c r="P113">
        <v>0.36114185375718444</v>
      </c>
      <c r="Q113" t="s">
        <v>166</v>
      </c>
    </row>
    <row r="114" spans="9:17" x14ac:dyDescent="0.45">
      <c r="I114" t="s">
        <v>185</v>
      </c>
      <c r="J114" t="s">
        <v>170</v>
      </c>
      <c r="K114">
        <v>6.8197899716387941E-2</v>
      </c>
      <c r="L114" t="s">
        <v>166</v>
      </c>
      <c r="N114" t="s">
        <v>208</v>
      </c>
      <c r="O114" t="s">
        <v>170</v>
      </c>
      <c r="P114">
        <v>2.2027799913181077E-2</v>
      </c>
      <c r="Q114" t="s">
        <v>166</v>
      </c>
    </row>
    <row r="115" spans="9:17" x14ac:dyDescent="0.45">
      <c r="I115" t="s">
        <v>185</v>
      </c>
      <c r="J115" t="s">
        <v>171</v>
      </c>
      <c r="K115">
        <v>0.11524835584369675</v>
      </c>
      <c r="L115" t="s">
        <v>166</v>
      </c>
      <c r="N115" t="s">
        <v>208</v>
      </c>
      <c r="O115" t="s">
        <v>171</v>
      </c>
      <c r="P115">
        <v>0.17693465060729704</v>
      </c>
      <c r="Q115" t="s">
        <v>166</v>
      </c>
    </row>
    <row r="116" spans="9:17" x14ac:dyDescent="0.45">
      <c r="I116" t="s">
        <v>185</v>
      </c>
      <c r="J116" t="s">
        <v>172</v>
      </c>
      <c r="K116">
        <v>4.0138626813042068E-2</v>
      </c>
      <c r="L116" t="s">
        <v>166</v>
      </c>
      <c r="N116" t="s">
        <v>208</v>
      </c>
      <c r="O116" t="s">
        <v>172</v>
      </c>
      <c r="P116">
        <v>0.15839763748359373</v>
      </c>
      <c r="Q116" t="s">
        <v>166</v>
      </c>
    </row>
    <row r="117" spans="9:17" x14ac:dyDescent="0.45">
      <c r="I117" t="s">
        <v>185</v>
      </c>
      <c r="J117" t="s">
        <v>173</v>
      </c>
      <c r="K117">
        <v>2.7029795029460211E-3</v>
      </c>
      <c r="L117" t="s">
        <v>166</v>
      </c>
      <c r="N117" t="s">
        <v>208</v>
      </c>
      <c r="O117" t="s">
        <v>173</v>
      </c>
      <c r="P117">
        <v>8.8841727407000855E-3</v>
      </c>
      <c r="Q117" t="s">
        <v>166</v>
      </c>
    </row>
    <row r="118" spans="9:17" x14ac:dyDescent="0.45">
      <c r="I118" t="s">
        <v>185</v>
      </c>
      <c r="J118" t="s">
        <v>174</v>
      </c>
      <c r="K118">
        <v>0</v>
      </c>
      <c r="L118" t="s">
        <v>166</v>
      </c>
      <c r="N118" t="s">
        <v>208</v>
      </c>
      <c r="O118" t="s">
        <v>174</v>
      </c>
      <c r="P118">
        <v>7.0161262615097017E-2</v>
      </c>
      <c r="Q118" t="s">
        <v>166</v>
      </c>
    </row>
    <row r="119" spans="9:17" x14ac:dyDescent="0.45">
      <c r="I119" t="s">
        <v>186</v>
      </c>
      <c r="J119" t="s">
        <v>165</v>
      </c>
      <c r="K119">
        <v>5.7191227638368841E-2</v>
      </c>
      <c r="L119" t="s">
        <v>166</v>
      </c>
      <c r="N119" t="s">
        <v>209</v>
      </c>
      <c r="O119" t="s">
        <v>165</v>
      </c>
      <c r="P119">
        <v>0.14098885045584511</v>
      </c>
      <c r="Q119" t="s">
        <v>166</v>
      </c>
    </row>
    <row r="120" spans="9:17" x14ac:dyDescent="0.45">
      <c r="I120" t="s">
        <v>186</v>
      </c>
      <c r="J120" t="s">
        <v>167</v>
      </c>
      <c r="K120">
        <v>3.4474143136779814E-3</v>
      </c>
      <c r="L120" t="s">
        <v>166</v>
      </c>
      <c r="N120" t="s">
        <v>209</v>
      </c>
      <c r="O120" t="s">
        <v>167</v>
      </c>
      <c r="P120">
        <v>7.9972872891048499E-3</v>
      </c>
      <c r="Q120" t="s">
        <v>166</v>
      </c>
    </row>
    <row r="121" spans="9:17" x14ac:dyDescent="0.45">
      <c r="I121" t="s">
        <v>186</v>
      </c>
      <c r="J121" t="s">
        <v>168</v>
      </c>
      <c r="K121">
        <v>4.6846406150522299E-4</v>
      </c>
      <c r="L121" t="s">
        <v>166</v>
      </c>
      <c r="N121" t="s">
        <v>209</v>
      </c>
      <c r="O121" t="s">
        <v>168</v>
      </c>
      <c r="P121">
        <v>6.2580213267640919E-2</v>
      </c>
      <c r="Q121" t="s">
        <v>166</v>
      </c>
    </row>
    <row r="122" spans="9:17" x14ac:dyDescent="0.45">
      <c r="I122" t="s">
        <v>186</v>
      </c>
      <c r="J122" t="s">
        <v>169</v>
      </c>
      <c r="K122">
        <v>0.7329591355760533</v>
      </c>
      <c r="L122" t="s">
        <v>166</v>
      </c>
      <c r="N122" t="s">
        <v>209</v>
      </c>
      <c r="O122" t="s">
        <v>169</v>
      </c>
      <c r="P122">
        <v>0.36347167483059339</v>
      </c>
      <c r="Q122" t="s">
        <v>166</v>
      </c>
    </row>
    <row r="123" spans="9:17" x14ac:dyDescent="0.45">
      <c r="I123" t="s">
        <v>186</v>
      </c>
      <c r="J123" t="s">
        <v>170</v>
      </c>
      <c r="K123">
        <v>6.7627511476308216E-2</v>
      </c>
      <c r="L123" t="s">
        <v>166</v>
      </c>
      <c r="N123" t="s">
        <v>209</v>
      </c>
      <c r="O123" t="s">
        <v>170</v>
      </c>
      <c r="P123">
        <v>1.9966628415646941E-2</v>
      </c>
      <c r="Q123" t="s">
        <v>166</v>
      </c>
    </row>
    <row r="124" spans="9:17" x14ac:dyDescent="0.45">
      <c r="I124" t="s">
        <v>186</v>
      </c>
      <c r="J124" t="s">
        <v>171</v>
      </c>
      <c r="K124">
        <v>9.7352374733355285E-2</v>
      </c>
      <c r="L124" t="s">
        <v>166</v>
      </c>
      <c r="N124" t="s">
        <v>209</v>
      </c>
      <c r="O124" t="s">
        <v>171</v>
      </c>
      <c r="P124">
        <v>0.18694653417635876</v>
      </c>
      <c r="Q124" t="s">
        <v>166</v>
      </c>
    </row>
    <row r="125" spans="9:17" x14ac:dyDescent="0.45">
      <c r="I125" t="s">
        <v>186</v>
      </c>
      <c r="J125" t="s">
        <v>172</v>
      </c>
      <c r="K125">
        <v>4.0633678846032049E-2</v>
      </c>
      <c r="L125" t="s">
        <v>166</v>
      </c>
      <c r="N125" t="s">
        <v>209</v>
      </c>
      <c r="O125" t="s">
        <v>172</v>
      </c>
      <c r="P125">
        <v>0.14021690738730591</v>
      </c>
      <c r="Q125" t="s">
        <v>166</v>
      </c>
    </row>
    <row r="126" spans="9:17" x14ac:dyDescent="0.45">
      <c r="I126" t="s">
        <v>186</v>
      </c>
      <c r="J126" t="s">
        <v>173</v>
      </c>
      <c r="K126">
        <v>3.2019335469805015E-4</v>
      </c>
      <c r="L126" t="s">
        <v>166</v>
      </c>
      <c r="N126" t="s">
        <v>209</v>
      </c>
      <c r="O126" t="s">
        <v>173</v>
      </c>
      <c r="P126">
        <v>7.3571073635337637E-3</v>
      </c>
      <c r="Q126" t="s">
        <v>166</v>
      </c>
    </row>
    <row r="127" spans="9:17" x14ac:dyDescent="0.45">
      <c r="I127" t="s">
        <v>186</v>
      </c>
      <c r="J127" t="s">
        <v>174</v>
      </c>
      <c r="K127">
        <v>0</v>
      </c>
      <c r="L127" t="s">
        <v>166</v>
      </c>
      <c r="N127" t="s">
        <v>209</v>
      </c>
      <c r="O127" t="s">
        <v>174</v>
      </c>
      <c r="P127">
        <v>7.0474796813967011E-2</v>
      </c>
      <c r="Q127" t="s">
        <v>166</v>
      </c>
    </row>
    <row r="128" spans="9:17" x14ac:dyDescent="0.45">
      <c r="I128" t="s">
        <v>187</v>
      </c>
      <c r="J128" t="s">
        <v>165</v>
      </c>
      <c r="K128">
        <v>5.9862186437631568E-2</v>
      </c>
      <c r="L128" t="s">
        <v>166</v>
      </c>
      <c r="N128" t="s">
        <v>210</v>
      </c>
      <c r="O128" t="s">
        <v>165</v>
      </c>
      <c r="P128">
        <v>0.133948303367287</v>
      </c>
      <c r="Q128" t="s">
        <v>166</v>
      </c>
    </row>
    <row r="129" spans="9:17" x14ac:dyDescent="0.45">
      <c r="I129" t="s">
        <v>187</v>
      </c>
      <c r="J129" t="s">
        <v>167</v>
      </c>
      <c r="K129">
        <v>3.5499415159390701E-3</v>
      </c>
      <c r="L129" t="s">
        <v>166</v>
      </c>
      <c r="N129" t="s">
        <v>210</v>
      </c>
      <c r="O129" t="s">
        <v>167</v>
      </c>
      <c r="P129">
        <v>8.9052941364599174E-3</v>
      </c>
      <c r="Q129" t="s">
        <v>166</v>
      </c>
    </row>
    <row r="130" spans="9:17" x14ac:dyDescent="0.45">
      <c r="I130" t="s">
        <v>187</v>
      </c>
      <c r="J130" t="s">
        <v>168</v>
      </c>
      <c r="K130">
        <v>4.8855166179644896E-4</v>
      </c>
      <c r="L130" t="s">
        <v>166</v>
      </c>
      <c r="N130" t="s">
        <v>210</v>
      </c>
      <c r="O130" t="s">
        <v>168</v>
      </c>
      <c r="P130">
        <v>6.0477475130631154E-2</v>
      </c>
      <c r="Q130" t="s">
        <v>166</v>
      </c>
    </row>
    <row r="131" spans="9:17" x14ac:dyDescent="0.45">
      <c r="I131" t="s">
        <v>187</v>
      </c>
      <c r="J131" t="s">
        <v>169</v>
      </c>
      <c r="K131">
        <v>0.7450554601037257</v>
      </c>
      <c r="L131" t="s">
        <v>166</v>
      </c>
      <c r="N131" t="s">
        <v>210</v>
      </c>
      <c r="O131" t="s">
        <v>169</v>
      </c>
      <c r="P131">
        <v>0.37071117963294209</v>
      </c>
      <c r="Q131" t="s">
        <v>166</v>
      </c>
    </row>
    <row r="132" spans="9:17" x14ac:dyDescent="0.45">
      <c r="I132" t="s">
        <v>187</v>
      </c>
      <c r="J132" t="s">
        <v>170</v>
      </c>
      <c r="K132">
        <v>6.1830096746331525E-2</v>
      </c>
      <c r="L132" t="s">
        <v>166</v>
      </c>
      <c r="N132" t="s">
        <v>210</v>
      </c>
      <c r="O132" t="s">
        <v>170</v>
      </c>
      <c r="P132">
        <v>2.3535757013398752E-2</v>
      </c>
      <c r="Q132" t="s">
        <v>166</v>
      </c>
    </row>
    <row r="133" spans="9:17" x14ac:dyDescent="0.45">
      <c r="I133" t="s">
        <v>187</v>
      </c>
      <c r="J133" t="s">
        <v>171</v>
      </c>
      <c r="K133">
        <v>8.6944195901525925E-2</v>
      </c>
      <c r="L133" t="s">
        <v>166</v>
      </c>
      <c r="N133" t="s">
        <v>210</v>
      </c>
      <c r="O133" t="s">
        <v>171</v>
      </c>
      <c r="P133">
        <v>0.18416427669820382</v>
      </c>
      <c r="Q133" t="s">
        <v>166</v>
      </c>
    </row>
    <row r="134" spans="9:17" x14ac:dyDescent="0.45">
      <c r="I134" t="s">
        <v>187</v>
      </c>
      <c r="J134" t="s">
        <v>172</v>
      </c>
      <c r="K134">
        <v>4.2067719765954248E-2</v>
      </c>
      <c r="L134" t="s">
        <v>166</v>
      </c>
      <c r="N134" t="s">
        <v>210</v>
      </c>
      <c r="O134" t="s">
        <v>172</v>
      </c>
      <c r="P134">
        <v>0.14726245902014065</v>
      </c>
      <c r="Q134" t="s">
        <v>166</v>
      </c>
    </row>
    <row r="135" spans="9:17" x14ac:dyDescent="0.45">
      <c r="I135" t="s">
        <v>187</v>
      </c>
      <c r="J135" t="s">
        <v>173</v>
      </c>
      <c r="K135">
        <v>2.0184786709480978E-4</v>
      </c>
      <c r="L135" t="s">
        <v>166</v>
      </c>
      <c r="N135" t="s">
        <v>210</v>
      </c>
      <c r="O135" t="s">
        <v>173</v>
      </c>
      <c r="P135">
        <v>7.7939332499882413E-3</v>
      </c>
      <c r="Q135" t="s">
        <v>166</v>
      </c>
    </row>
    <row r="136" spans="9:17" x14ac:dyDescent="0.45">
      <c r="I136" t="s">
        <v>187</v>
      </c>
      <c r="J136" t="s">
        <v>174</v>
      </c>
      <c r="K136">
        <v>0</v>
      </c>
      <c r="L136" t="s">
        <v>166</v>
      </c>
      <c r="N136" t="s">
        <v>210</v>
      </c>
      <c r="O136" t="s">
        <v>174</v>
      </c>
      <c r="P136">
        <v>6.3201321750949016E-2</v>
      </c>
      <c r="Q136" t="s">
        <v>166</v>
      </c>
    </row>
    <row r="137" spans="9:17" x14ac:dyDescent="0.45">
      <c r="I137" t="s">
        <v>188</v>
      </c>
      <c r="J137" t="s">
        <v>165</v>
      </c>
      <c r="K137">
        <v>5.5863893904027996E-2</v>
      </c>
      <c r="L137" t="s">
        <v>166</v>
      </c>
      <c r="N137" t="s">
        <v>211</v>
      </c>
      <c r="O137" t="s">
        <v>165</v>
      </c>
      <c r="P137">
        <v>0.11884172100321552</v>
      </c>
      <c r="Q137" t="s">
        <v>166</v>
      </c>
    </row>
    <row r="138" spans="9:17" x14ac:dyDescent="0.45">
      <c r="I138" t="s">
        <v>188</v>
      </c>
      <c r="J138" t="s">
        <v>167</v>
      </c>
      <c r="K138">
        <v>2.6840025683053112E-3</v>
      </c>
      <c r="L138" t="s">
        <v>166</v>
      </c>
      <c r="N138" t="s">
        <v>211</v>
      </c>
      <c r="O138" t="s">
        <v>167</v>
      </c>
      <c r="P138">
        <v>7.3611577459725772E-3</v>
      </c>
      <c r="Q138" t="s">
        <v>166</v>
      </c>
    </row>
    <row r="139" spans="9:17" x14ac:dyDescent="0.45">
      <c r="I139" t="s">
        <v>188</v>
      </c>
      <c r="J139" t="s">
        <v>168</v>
      </c>
      <c r="K139">
        <v>2.7244013544832745E-4</v>
      </c>
      <c r="L139" t="s">
        <v>166</v>
      </c>
      <c r="N139" t="s">
        <v>211</v>
      </c>
      <c r="O139" t="s">
        <v>168</v>
      </c>
      <c r="P139">
        <v>5.4830404254279888E-2</v>
      </c>
      <c r="Q139" t="s">
        <v>166</v>
      </c>
    </row>
    <row r="140" spans="9:17" x14ac:dyDescent="0.45">
      <c r="I140" t="s">
        <v>188</v>
      </c>
      <c r="J140" t="s">
        <v>169</v>
      </c>
      <c r="K140">
        <v>0.75872333912694656</v>
      </c>
      <c r="L140" t="s">
        <v>166</v>
      </c>
      <c r="N140" t="s">
        <v>211</v>
      </c>
      <c r="O140" t="s">
        <v>169</v>
      </c>
      <c r="P140">
        <v>0.3707708197511837</v>
      </c>
      <c r="Q140" t="s">
        <v>166</v>
      </c>
    </row>
    <row r="141" spans="9:17" x14ac:dyDescent="0.45">
      <c r="I141" t="s">
        <v>188</v>
      </c>
      <c r="J141" t="s">
        <v>170</v>
      </c>
      <c r="K141">
        <v>5.9651029220649264E-2</v>
      </c>
      <c r="L141" t="s">
        <v>166</v>
      </c>
      <c r="N141" t="s">
        <v>211</v>
      </c>
      <c r="O141" t="s">
        <v>170</v>
      </c>
      <c r="P141">
        <v>2.2382060416042668E-2</v>
      </c>
      <c r="Q141" t="s">
        <v>166</v>
      </c>
    </row>
    <row r="142" spans="9:17" x14ac:dyDescent="0.45">
      <c r="I142" t="s">
        <v>188</v>
      </c>
      <c r="J142" t="s">
        <v>171</v>
      </c>
      <c r="K142">
        <v>8.0812660644316497E-2</v>
      </c>
      <c r="L142" t="s">
        <v>166</v>
      </c>
      <c r="N142" t="s">
        <v>211</v>
      </c>
      <c r="O142" t="s">
        <v>171</v>
      </c>
      <c r="P142">
        <v>0.1784513753644599</v>
      </c>
      <c r="Q142" t="s">
        <v>166</v>
      </c>
    </row>
    <row r="143" spans="9:17" x14ac:dyDescent="0.45">
      <c r="I143" t="s">
        <v>188</v>
      </c>
      <c r="J143" t="s">
        <v>172</v>
      </c>
      <c r="K143">
        <v>4.1934674234419898E-2</v>
      </c>
      <c r="L143" t="s">
        <v>166</v>
      </c>
      <c r="N143" t="s">
        <v>211</v>
      </c>
      <c r="O143" t="s">
        <v>172</v>
      </c>
      <c r="P143">
        <v>0.15907047276162059</v>
      </c>
      <c r="Q143" t="s">
        <v>166</v>
      </c>
    </row>
    <row r="144" spans="9:17" x14ac:dyDescent="0.45">
      <c r="I144" t="s">
        <v>188</v>
      </c>
      <c r="J144" t="s">
        <v>173</v>
      </c>
      <c r="K144">
        <v>5.7960165884098471E-5</v>
      </c>
      <c r="L144" t="s">
        <v>166</v>
      </c>
      <c r="N144" t="s">
        <v>211</v>
      </c>
      <c r="O144" t="s">
        <v>173</v>
      </c>
      <c r="P144">
        <v>1.0460094562198863E-2</v>
      </c>
      <c r="Q144" t="s">
        <v>166</v>
      </c>
    </row>
    <row r="145" spans="9:17" x14ac:dyDescent="0.45">
      <c r="I145" t="s">
        <v>188</v>
      </c>
      <c r="J145" t="s">
        <v>174</v>
      </c>
      <c r="K145">
        <v>0</v>
      </c>
      <c r="L145" t="s">
        <v>166</v>
      </c>
      <c r="N145" t="s">
        <v>211</v>
      </c>
      <c r="O145" t="s">
        <v>174</v>
      </c>
      <c r="P145">
        <v>7.7831894141027883E-2</v>
      </c>
      <c r="Q145" t="s">
        <v>166</v>
      </c>
    </row>
    <row r="146" spans="9:17" x14ac:dyDescent="0.45">
      <c r="I146" t="s">
        <v>189</v>
      </c>
      <c r="J146" t="s">
        <v>165</v>
      </c>
      <c r="K146">
        <v>5.4933724356481466E-2</v>
      </c>
      <c r="L146" t="s">
        <v>166</v>
      </c>
      <c r="N146" t="s">
        <v>212</v>
      </c>
      <c r="O146" t="s">
        <v>165</v>
      </c>
      <c r="P146">
        <v>0.13078274350611049</v>
      </c>
      <c r="Q146" t="s">
        <v>166</v>
      </c>
    </row>
    <row r="147" spans="9:17" x14ac:dyDescent="0.45">
      <c r="I147" t="s">
        <v>189</v>
      </c>
      <c r="J147" t="s">
        <v>167</v>
      </c>
      <c r="K147">
        <v>2.5065242308005258E-3</v>
      </c>
      <c r="L147" t="s">
        <v>166</v>
      </c>
      <c r="N147" t="s">
        <v>212</v>
      </c>
      <c r="O147" t="s">
        <v>167</v>
      </c>
      <c r="P147">
        <v>8.0598140825138657E-3</v>
      </c>
      <c r="Q147" t="s">
        <v>166</v>
      </c>
    </row>
    <row r="148" spans="9:17" x14ac:dyDescent="0.45">
      <c r="I148" t="s">
        <v>189</v>
      </c>
      <c r="J148" t="s">
        <v>168</v>
      </c>
      <c r="K148">
        <v>3.2921595571831948E-4</v>
      </c>
      <c r="L148" t="s">
        <v>166</v>
      </c>
      <c r="N148" t="s">
        <v>212</v>
      </c>
      <c r="O148" t="s">
        <v>168</v>
      </c>
      <c r="P148">
        <v>5.7807513070430604E-2</v>
      </c>
      <c r="Q148" t="s">
        <v>166</v>
      </c>
    </row>
    <row r="149" spans="9:17" x14ac:dyDescent="0.45">
      <c r="I149" t="s">
        <v>189</v>
      </c>
      <c r="J149" t="s">
        <v>169</v>
      </c>
      <c r="K149">
        <v>0.74518571177486703</v>
      </c>
      <c r="L149" t="s">
        <v>166</v>
      </c>
      <c r="N149" t="s">
        <v>212</v>
      </c>
      <c r="O149" t="s">
        <v>169</v>
      </c>
      <c r="P149">
        <v>0.35429003208019266</v>
      </c>
      <c r="Q149" t="s">
        <v>166</v>
      </c>
    </row>
    <row r="150" spans="9:17" x14ac:dyDescent="0.45">
      <c r="I150" t="s">
        <v>189</v>
      </c>
      <c r="J150" t="s">
        <v>170</v>
      </c>
      <c r="K150">
        <v>6.5343043861427211E-2</v>
      </c>
      <c r="L150" t="s">
        <v>166</v>
      </c>
      <c r="N150" t="s">
        <v>212</v>
      </c>
      <c r="O150" t="s">
        <v>170</v>
      </c>
      <c r="P150">
        <v>2.1605369293764963E-2</v>
      </c>
      <c r="Q150" t="s">
        <v>166</v>
      </c>
    </row>
    <row r="151" spans="9:17" x14ac:dyDescent="0.45">
      <c r="I151" t="s">
        <v>189</v>
      </c>
      <c r="J151" t="s">
        <v>171</v>
      </c>
      <c r="K151">
        <v>9.2211527694072093E-2</v>
      </c>
      <c r="L151" t="s">
        <v>166</v>
      </c>
      <c r="N151" t="s">
        <v>212</v>
      </c>
      <c r="O151" t="s">
        <v>171</v>
      </c>
      <c r="P151">
        <v>0.18093995107597013</v>
      </c>
      <c r="Q151" t="s">
        <v>166</v>
      </c>
    </row>
    <row r="152" spans="9:17" x14ac:dyDescent="0.45">
      <c r="I152" t="s">
        <v>189</v>
      </c>
      <c r="J152" t="s">
        <v>172</v>
      </c>
      <c r="K152">
        <v>3.9453971939716344E-2</v>
      </c>
      <c r="L152" t="s">
        <v>166</v>
      </c>
      <c r="N152" t="s">
        <v>212</v>
      </c>
      <c r="O152" t="s">
        <v>172</v>
      </c>
      <c r="P152">
        <v>0.15982579839552485</v>
      </c>
      <c r="Q152" t="s">
        <v>166</v>
      </c>
    </row>
    <row r="153" spans="9:17" x14ac:dyDescent="0.45">
      <c r="I153" t="s">
        <v>189</v>
      </c>
      <c r="J153" t="s">
        <v>173</v>
      </c>
      <c r="K153">
        <v>3.6280186912809345E-5</v>
      </c>
      <c r="L153" t="s">
        <v>166</v>
      </c>
      <c r="N153" t="s">
        <v>212</v>
      </c>
      <c r="O153" t="s">
        <v>173</v>
      </c>
      <c r="P153">
        <v>9.8240424182263995E-3</v>
      </c>
      <c r="Q153" t="s">
        <v>166</v>
      </c>
    </row>
    <row r="154" spans="9:17" x14ac:dyDescent="0.45">
      <c r="I154" t="s">
        <v>189</v>
      </c>
      <c r="J154" t="s">
        <v>174</v>
      </c>
      <c r="K154">
        <v>0</v>
      </c>
      <c r="L154" t="s">
        <v>166</v>
      </c>
      <c r="N154" t="s">
        <v>212</v>
      </c>
      <c r="O154" t="s">
        <v>174</v>
      </c>
      <c r="P154">
        <v>7.686473607726356E-2</v>
      </c>
      <c r="Q154" t="s">
        <v>166</v>
      </c>
    </row>
    <row r="155" spans="9:17" x14ac:dyDescent="0.45">
      <c r="I155" t="s">
        <v>190</v>
      </c>
      <c r="J155" t="s">
        <v>165</v>
      </c>
      <c r="K155">
        <v>6.3183852550416253E-2</v>
      </c>
      <c r="L155" t="s">
        <v>166</v>
      </c>
      <c r="N155" t="s">
        <v>213</v>
      </c>
      <c r="O155" t="s">
        <v>165</v>
      </c>
      <c r="P155">
        <v>0.12670874317183198</v>
      </c>
      <c r="Q155" t="s">
        <v>166</v>
      </c>
    </row>
    <row r="156" spans="9:17" x14ac:dyDescent="0.45">
      <c r="I156" t="s">
        <v>190</v>
      </c>
      <c r="J156" t="s">
        <v>167</v>
      </c>
      <c r="K156">
        <v>4.0119837268761298E-3</v>
      </c>
      <c r="L156" t="s">
        <v>166</v>
      </c>
      <c r="N156" t="s">
        <v>213</v>
      </c>
      <c r="O156" t="s">
        <v>167</v>
      </c>
      <c r="P156">
        <v>7.8250417380586919E-3</v>
      </c>
      <c r="Q156" t="s">
        <v>166</v>
      </c>
    </row>
    <row r="157" spans="9:17" x14ac:dyDescent="0.45">
      <c r="I157" t="s">
        <v>190</v>
      </c>
      <c r="J157" t="s">
        <v>168</v>
      </c>
      <c r="K157">
        <v>8.5495176277766206E-4</v>
      </c>
      <c r="L157" t="s">
        <v>166</v>
      </c>
      <c r="N157" t="s">
        <v>213</v>
      </c>
      <c r="O157" t="s">
        <v>168</v>
      </c>
      <c r="P157">
        <v>5.3539861648867607E-2</v>
      </c>
      <c r="Q157" t="s">
        <v>166</v>
      </c>
    </row>
    <row r="158" spans="9:17" x14ac:dyDescent="0.45">
      <c r="I158" t="s">
        <v>190</v>
      </c>
      <c r="J158" t="s">
        <v>169</v>
      </c>
      <c r="K158">
        <v>0.74348684987692182</v>
      </c>
      <c r="L158" t="s">
        <v>166</v>
      </c>
      <c r="N158" t="s">
        <v>213</v>
      </c>
      <c r="O158" t="s">
        <v>169</v>
      </c>
      <c r="P158">
        <v>0.36187721423903946</v>
      </c>
      <c r="Q158" t="s">
        <v>166</v>
      </c>
    </row>
    <row r="159" spans="9:17" x14ac:dyDescent="0.45">
      <c r="I159" t="s">
        <v>190</v>
      </c>
      <c r="J159" t="s">
        <v>170</v>
      </c>
      <c r="K159">
        <v>5.9971097361806398E-2</v>
      </c>
      <c r="L159" t="s">
        <v>166</v>
      </c>
      <c r="N159" t="s">
        <v>213</v>
      </c>
      <c r="O159" t="s">
        <v>170</v>
      </c>
      <c r="P159">
        <v>2.3689620885994342E-2</v>
      </c>
      <c r="Q159" t="s">
        <v>166</v>
      </c>
    </row>
    <row r="160" spans="9:17" x14ac:dyDescent="0.45">
      <c r="I160" t="s">
        <v>190</v>
      </c>
      <c r="J160" t="s">
        <v>171</v>
      </c>
      <c r="K160">
        <v>8.1094561530246259E-2</v>
      </c>
      <c r="L160" t="s">
        <v>166</v>
      </c>
      <c r="N160" t="s">
        <v>213</v>
      </c>
      <c r="O160" t="s">
        <v>171</v>
      </c>
      <c r="P160">
        <v>0.17033692029162825</v>
      </c>
      <c r="Q160" t="s">
        <v>166</v>
      </c>
    </row>
    <row r="161" spans="9:17" x14ac:dyDescent="0.45">
      <c r="I161" t="s">
        <v>190</v>
      </c>
      <c r="J161" t="s">
        <v>172</v>
      </c>
      <c r="K161">
        <v>4.6646574921862534E-2</v>
      </c>
      <c r="L161" t="s">
        <v>166</v>
      </c>
      <c r="N161" t="s">
        <v>213</v>
      </c>
      <c r="O161" t="s">
        <v>172</v>
      </c>
      <c r="P161">
        <v>0.16926320223966568</v>
      </c>
      <c r="Q161" t="s">
        <v>166</v>
      </c>
    </row>
    <row r="162" spans="9:17" x14ac:dyDescent="0.45">
      <c r="I162" t="s">
        <v>190</v>
      </c>
      <c r="J162" t="s">
        <v>173</v>
      </c>
      <c r="K162">
        <v>7.5012826909290277E-4</v>
      </c>
      <c r="L162" t="s">
        <v>166</v>
      </c>
      <c r="N162" t="s">
        <v>213</v>
      </c>
      <c r="O162" t="s">
        <v>173</v>
      </c>
      <c r="P162">
        <v>1.0308367914842503E-2</v>
      </c>
      <c r="Q162" t="s">
        <v>166</v>
      </c>
    </row>
    <row r="163" spans="9:17" x14ac:dyDescent="0.45">
      <c r="I163" t="s">
        <v>190</v>
      </c>
      <c r="J163" t="s">
        <v>174</v>
      </c>
      <c r="K163">
        <v>0</v>
      </c>
      <c r="L163" t="s">
        <v>166</v>
      </c>
      <c r="N163" t="s">
        <v>213</v>
      </c>
      <c r="O163" t="s">
        <v>174</v>
      </c>
      <c r="P163">
        <v>7.6451027870071506E-2</v>
      </c>
      <c r="Q163" t="s">
        <v>166</v>
      </c>
    </row>
    <row r="164" spans="9:17" x14ac:dyDescent="0.45">
      <c r="I164" t="s">
        <v>191</v>
      </c>
      <c r="J164" t="s">
        <v>165</v>
      </c>
      <c r="K164">
        <v>6.3120178428739987E-2</v>
      </c>
      <c r="L164" t="s">
        <v>166</v>
      </c>
      <c r="N164" t="s">
        <v>214</v>
      </c>
      <c r="O164" t="s">
        <v>165</v>
      </c>
      <c r="P164">
        <v>0.14023895388823551</v>
      </c>
      <c r="Q164" t="s">
        <v>166</v>
      </c>
    </row>
    <row r="165" spans="9:17" x14ac:dyDescent="0.45">
      <c r="I165" t="s">
        <v>191</v>
      </c>
      <c r="J165" t="s">
        <v>167</v>
      </c>
      <c r="K165">
        <v>3.6240293205604271E-3</v>
      </c>
      <c r="L165" t="s">
        <v>166</v>
      </c>
      <c r="N165" t="s">
        <v>214</v>
      </c>
      <c r="O165" t="s">
        <v>167</v>
      </c>
      <c r="P165">
        <v>8.8797060498749126E-3</v>
      </c>
      <c r="Q165" t="s">
        <v>166</v>
      </c>
    </row>
    <row r="166" spans="9:17" x14ac:dyDescent="0.45">
      <c r="I166" t="s">
        <v>191</v>
      </c>
      <c r="J166" t="s">
        <v>168</v>
      </c>
      <c r="K166">
        <v>1.0777931996609077E-3</v>
      </c>
      <c r="L166" t="s">
        <v>166</v>
      </c>
      <c r="N166" t="s">
        <v>214</v>
      </c>
      <c r="O166" t="s">
        <v>168</v>
      </c>
      <c r="P166">
        <v>7.0194352217403638E-2</v>
      </c>
      <c r="Q166" t="s">
        <v>166</v>
      </c>
    </row>
    <row r="167" spans="9:17" x14ac:dyDescent="0.45">
      <c r="I167" t="s">
        <v>191</v>
      </c>
      <c r="J167" t="s">
        <v>169</v>
      </c>
      <c r="K167">
        <v>0.73779940647514775</v>
      </c>
      <c r="L167" t="s">
        <v>166</v>
      </c>
      <c r="N167" t="s">
        <v>214</v>
      </c>
      <c r="O167" t="s">
        <v>169</v>
      </c>
      <c r="P167">
        <v>0.36020325827544258</v>
      </c>
      <c r="Q167" t="s">
        <v>166</v>
      </c>
    </row>
    <row r="168" spans="9:17" x14ac:dyDescent="0.45">
      <c r="I168" t="s">
        <v>191</v>
      </c>
      <c r="J168" t="s">
        <v>170</v>
      </c>
      <c r="K168">
        <v>6.1295121720929498E-2</v>
      </c>
      <c r="L168" t="s">
        <v>166</v>
      </c>
      <c r="N168" t="s">
        <v>214</v>
      </c>
      <c r="O168" t="s">
        <v>170</v>
      </c>
      <c r="P168">
        <v>2.1805824271899633E-2</v>
      </c>
      <c r="Q168" t="s">
        <v>166</v>
      </c>
    </row>
    <row r="169" spans="9:17" x14ac:dyDescent="0.45">
      <c r="I169" t="s">
        <v>191</v>
      </c>
      <c r="J169" t="s">
        <v>171</v>
      </c>
      <c r="K169">
        <v>8.1313255149598321E-2</v>
      </c>
      <c r="L169" t="s">
        <v>166</v>
      </c>
      <c r="N169" t="s">
        <v>214</v>
      </c>
      <c r="O169" t="s">
        <v>171</v>
      </c>
      <c r="P169">
        <v>0.17927051369288743</v>
      </c>
      <c r="Q169" t="s">
        <v>166</v>
      </c>
    </row>
    <row r="170" spans="9:17" x14ac:dyDescent="0.45">
      <c r="I170" t="s">
        <v>191</v>
      </c>
      <c r="J170" t="s">
        <v>172</v>
      </c>
      <c r="K170">
        <v>5.0717255908384627E-2</v>
      </c>
      <c r="L170" t="s">
        <v>166</v>
      </c>
      <c r="N170" t="s">
        <v>214</v>
      </c>
      <c r="O170" t="s">
        <v>172</v>
      </c>
      <c r="P170">
        <v>0.140834182289612</v>
      </c>
      <c r="Q170" t="s">
        <v>166</v>
      </c>
    </row>
    <row r="171" spans="9:17" x14ac:dyDescent="0.45">
      <c r="I171" t="s">
        <v>191</v>
      </c>
      <c r="J171" t="s">
        <v>173</v>
      </c>
      <c r="K171">
        <v>1.0529597969739565E-3</v>
      </c>
      <c r="L171" t="s">
        <v>166</v>
      </c>
      <c r="N171" t="s">
        <v>214</v>
      </c>
      <c r="O171" t="s">
        <v>173</v>
      </c>
      <c r="P171">
        <v>9.6880660687634502E-3</v>
      </c>
      <c r="Q171" t="s">
        <v>166</v>
      </c>
    </row>
    <row r="172" spans="9:17" x14ac:dyDescent="0.45">
      <c r="I172" t="s">
        <v>191</v>
      </c>
      <c r="J172" t="s">
        <v>174</v>
      </c>
      <c r="K172">
        <v>0</v>
      </c>
      <c r="L172" t="s">
        <v>166</v>
      </c>
      <c r="N172" t="s">
        <v>214</v>
      </c>
      <c r="O172" t="s">
        <v>174</v>
      </c>
      <c r="P172">
        <v>6.8885143245883865E-2</v>
      </c>
      <c r="Q172" t="s">
        <v>166</v>
      </c>
    </row>
    <row r="173" spans="9:17" x14ac:dyDescent="0.45">
      <c r="I173" t="s">
        <v>192</v>
      </c>
      <c r="J173" t="s">
        <v>165</v>
      </c>
      <c r="K173">
        <v>5.5069844514907207E-2</v>
      </c>
      <c r="L173" t="s">
        <v>166</v>
      </c>
      <c r="N173" t="s">
        <v>215</v>
      </c>
      <c r="O173" t="s">
        <v>165</v>
      </c>
      <c r="P173">
        <v>0.13661487929969734</v>
      </c>
      <c r="Q173" t="s">
        <v>166</v>
      </c>
    </row>
    <row r="174" spans="9:17" x14ac:dyDescent="0.45">
      <c r="I174" t="s">
        <v>192</v>
      </c>
      <c r="J174" t="s">
        <v>167</v>
      </c>
      <c r="K174">
        <v>3.0413294812374324E-3</v>
      </c>
      <c r="L174" t="s">
        <v>166</v>
      </c>
      <c r="N174" t="s">
        <v>215</v>
      </c>
      <c r="O174" t="s">
        <v>167</v>
      </c>
      <c r="P174">
        <v>8.17371895372997E-3</v>
      </c>
      <c r="Q174" t="s">
        <v>166</v>
      </c>
    </row>
    <row r="175" spans="9:17" x14ac:dyDescent="0.45">
      <c r="I175" t="s">
        <v>192</v>
      </c>
      <c r="J175" t="s">
        <v>168</v>
      </c>
      <c r="K175">
        <v>4.1130030705840862E-4</v>
      </c>
      <c r="L175" t="s">
        <v>166</v>
      </c>
      <c r="N175" t="s">
        <v>215</v>
      </c>
      <c r="O175" t="s">
        <v>168</v>
      </c>
      <c r="P175">
        <v>6.3985864714370164E-2</v>
      </c>
      <c r="Q175" t="s">
        <v>166</v>
      </c>
    </row>
    <row r="176" spans="9:17" x14ac:dyDescent="0.45">
      <c r="I176" t="s">
        <v>192</v>
      </c>
      <c r="J176" t="s">
        <v>169</v>
      </c>
      <c r="K176">
        <v>0.7673864323414662</v>
      </c>
      <c r="L176" t="s">
        <v>166</v>
      </c>
      <c r="N176" t="s">
        <v>215</v>
      </c>
      <c r="O176" t="s">
        <v>169</v>
      </c>
      <c r="P176">
        <v>0.35170682620685167</v>
      </c>
      <c r="Q176" t="s">
        <v>166</v>
      </c>
    </row>
    <row r="177" spans="9:17" x14ac:dyDescent="0.45">
      <c r="I177" t="s">
        <v>192</v>
      </c>
      <c r="J177" t="s">
        <v>170</v>
      </c>
      <c r="K177">
        <v>5.7282988537884223E-2</v>
      </c>
      <c r="L177" t="s">
        <v>166</v>
      </c>
      <c r="N177" t="s">
        <v>215</v>
      </c>
      <c r="O177" t="s">
        <v>170</v>
      </c>
      <c r="P177">
        <v>2.0449910889317732E-2</v>
      </c>
      <c r="Q177" t="s">
        <v>166</v>
      </c>
    </row>
    <row r="178" spans="9:17" x14ac:dyDescent="0.45">
      <c r="I178" t="s">
        <v>192</v>
      </c>
      <c r="J178" t="s">
        <v>171</v>
      </c>
      <c r="K178">
        <v>7.1223154564315924E-2</v>
      </c>
      <c r="L178" t="s">
        <v>166</v>
      </c>
      <c r="N178" t="s">
        <v>215</v>
      </c>
      <c r="O178" t="s">
        <v>171</v>
      </c>
      <c r="P178">
        <v>0.1819673283211479</v>
      </c>
      <c r="Q178" t="s">
        <v>166</v>
      </c>
    </row>
    <row r="179" spans="9:17" x14ac:dyDescent="0.45">
      <c r="I179" t="s">
        <v>192</v>
      </c>
      <c r="J179" t="s">
        <v>172</v>
      </c>
      <c r="K179">
        <v>4.5380485748603476E-2</v>
      </c>
      <c r="L179" t="s">
        <v>166</v>
      </c>
      <c r="N179" t="s">
        <v>215</v>
      </c>
      <c r="O179" t="s">
        <v>172</v>
      </c>
      <c r="P179">
        <v>0.14961168181605922</v>
      </c>
      <c r="Q179" t="s">
        <v>166</v>
      </c>
    </row>
    <row r="180" spans="9:17" x14ac:dyDescent="0.45">
      <c r="I180" t="s">
        <v>192</v>
      </c>
      <c r="J180" t="s">
        <v>173</v>
      </c>
      <c r="K180">
        <v>2.0446450452924964E-4</v>
      </c>
      <c r="L180" t="s">
        <v>166</v>
      </c>
      <c r="N180" t="s">
        <v>215</v>
      </c>
      <c r="O180" t="s">
        <v>173</v>
      </c>
      <c r="P180">
        <v>1.0094491850773777E-2</v>
      </c>
      <c r="Q180" t="s">
        <v>166</v>
      </c>
    </row>
    <row r="181" spans="9:17" x14ac:dyDescent="0.45">
      <c r="I181" t="s">
        <v>192</v>
      </c>
      <c r="J181" t="s">
        <v>174</v>
      </c>
      <c r="K181">
        <v>0</v>
      </c>
      <c r="L181" t="s">
        <v>166</v>
      </c>
      <c r="N181" t="s">
        <v>215</v>
      </c>
      <c r="O181" t="s">
        <v>174</v>
      </c>
      <c r="P181">
        <v>7.73952979480486E-2</v>
      </c>
      <c r="Q181" t="s">
        <v>166</v>
      </c>
    </row>
    <row r="182" spans="9:17" x14ac:dyDescent="0.45">
      <c r="I182" t="s">
        <v>193</v>
      </c>
      <c r="J182" t="s">
        <v>165</v>
      </c>
      <c r="K182">
        <v>5.9631419766482743E-2</v>
      </c>
      <c r="L182" t="s">
        <v>166</v>
      </c>
      <c r="N182" t="s">
        <v>216</v>
      </c>
      <c r="O182" t="s">
        <v>165</v>
      </c>
      <c r="P182">
        <v>0.14482429155862095</v>
      </c>
      <c r="Q182" t="s">
        <v>166</v>
      </c>
    </row>
    <row r="183" spans="9:17" x14ac:dyDescent="0.45">
      <c r="I183" t="s">
        <v>193</v>
      </c>
      <c r="J183" t="s">
        <v>167</v>
      </c>
      <c r="K183">
        <v>3.2206857936461445E-3</v>
      </c>
      <c r="L183" t="s">
        <v>166</v>
      </c>
      <c r="N183" t="s">
        <v>216</v>
      </c>
      <c r="O183" t="s">
        <v>167</v>
      </c>
      <c r="P183">
        <v>1.0059457054499775E-2</v>
      </c>
      <c r="Q183" t="s">
        <v>166</v>
      </c>
    </row>
    <row r="184" spans="9:17" x14ac:dyDescent="0.45">
      <c r="I184" t="s">
        <v>193</v>
      </c>
      <c r="J184" t="s">
        <v>168</v>
      </c>
      <c r="K184">
        <v>4.8467983832817967E-4</v>
      </c>
      <c r="L184" t="s">
        <v>166</v>
      </c>
      <c r="N184" t="s">
        <v>216</v>
      </c>
      <c r="O184" t="s">
        <v>168</v>
      </c>
      <c r="P184">
        <v>7.5855883996809911E-2</v>
      </c>
      <c r="Q184" t="s">
        <v>166</v>
      </c>
    </row>
    <row r="185" spans="9:17" x14ac:dyDescent="0.45">
      <c r="I185" t="s">
        <v>193</v>
      </c>
      <c r="J185" t="s">
        <v>169</v>
      </c>
      <c r="K185">
        <v>0.75977251368711629</v>
      </c>
      <c r="L185" t="s">
        <v>166</v>
      </c>
      <c r="N185" t="s">
        <v>216</v>
      </c>
      <c r="O185" t="s">
        <v>169</v>
      </c>
      <c r="P185">
        <v>0.3353029682272875</v>
      </c>
      <c r="Q185" t="s">
        <v>166</v>
      </c>
    </row>
    <row r="186" spans="9:17" x14ac:dyDescent="0.45">
      <c r="I186" t="s">
        <v>193</v>
      </c>
      <c r="J186" t="s">
        <v>170</v>
      </c>
      <c r="K186">
        <v>5.7559060991619476E-2</v>
      </c>
      <c r="L186" t="s">
        <v>166</v>
      </c>
      <c r="N186" t="s">
        <v>216</v>
      </c>
      <c r="O186" t="s">
        <v>170</v>
      </c>
      <c r="P186">
        <v>2.5936583339328103E-2</v>
      </c>
      <c r="Q186" t="s">
        <v>166</v>
      </c>
    </row>
    <row r="187" spans="9:17" x14ac:dyDescent="0.45">
      <c r="I187" t="s">
        <v>193</v>
      </c>
      <c r="J187" t="s">
        <v>171</v>
      </c>
      <c r="K187">
        <v>7.2110878147328736E-2</v>
      </c>
      <c r="L187" t="s">
        <v>166</v>
      </c>
      <c r="N187" t="s">
        <v>216</v>
      </c>
      <c r="O187" t="s">
        <v>171</v>
      </c>
      <c r="P187">
        <v>0.1726400475054764</v>
      </c>
      <c r="Q187" t="s">
        <v>166</v>
      </c>
    </row>
    <row r="188" spans="9:17" x14ac:dyDescent="0.45">
      <c r="I188" t="s">
        <v>193</v>
      </c>
      <c r="J188" t="s">
        <v>172</v>
      </c>
      <c r="K188">
        <v>4.6913356566729771E-2</v>
      </c>
      <c r="L188" t="s">
        <v>166</v>
      </c>
      <c r="N188" t="s">
        <v>216</v>
      </c>
      <c r="O188" t="s">
        <v>172</v>
      </c>
      <c r="P188">
        <v>0.15259719887731665</v>
      </c>
      <c r="Q188" t="s">
        <v>166</v>
      </c>
    </row>
    <row r="189" spans="9:17" x14ac:dyDescent="0.45">
      <c r="I189" t="s">
        <v>193</v>
      </c>
      <c r="J189" t="s">
        <v>173</v>
      </c>
      <c r="K189">
        <v>3.0740520874436724E-4</v>
      </c>
      <c r="L189" t="s">
        <v>166</v>
      </c>
      <c r="N189" t="s">
        <v>216</v>
      </c>
      <c r="O189" t="s">
        <v>173</v>
      </c>
      <c r="P189">
        <v>1.0091821916226163E-2</v>
      </c>
      <c r="Q189" t="s">
        <v>166</v>
      </c>
    </row>
    <row r="190" spans="9:17" x14ac:dyDescent="0.45">
      <c r="I190" t="s">
        <v>193</v>
      </c>
      <c r="J190" t="s">
        <v>174</v>
      </c>
      <c r="K190">
        <v>0</v>
      </c>
      <c r="L190" t="s">
        <v>166</v>
      </c>
      <c r="N190" t="s">
        <v>216</v>
      </c>
      <c r="O190" t="s">
        <v>174</v>
      </c>
      <c r="P190">
        <v>7.2691747524434774E-2</v>
      </c>
      <c r="Q190" t="s">
        <v>166</v>
      </c>
    </row>
    <row r="191" spans="9:17" x14ac:dyDescent="0.45">
      <c r="I191" t="s">
        <v>194</v>
      </c>
      <c r="J191" t="s">
        <v>165</v>
      </c>
      <c r="K191">
        <v>5.7006851449274032E-2</v>
      </c>
      <c r="L191" t="s">
        <v>166</v>
      </c>
      <c r="N191" t="s">
        <v>217</v>
      </c>
      <c r="O191" t="s">
        <v>165</v>
      </c>
      <c r="P191">
        <v>0.1290820894315175</v>
      </c>
      <c r="Q191" t="s">
        <v>166</v>
      </c>
    </row>
    <row r="192" spans="9:17" x14ac:dyDescent="0.45">
      <c r="I192" t="s">
        <v>194</v>
      </c>
      <c r="J192" t="s">
        <v>167</v>
      </c>
      <c r="K192">
        <v>3.4228420935991407E-3</v>
      </c>
      <c r="L192" t="s">
        <v>166</v>
      </c>
      <c r="N192" t="s">
        <v>217</v>
      </c>
      <c r="O192" t="s">
        <v>167</v>
      </c>
      <c r="P192">
        <v>8.2075111696269087E-3</v>
      </c>
      <c r="Q192" t="s">
        <v>166</v>
      </c>
    </row>
    <row r="193" spans="9:17" x14ac:dyDescent="0.45">
      <c r="I193" t="s">
        <v>194</v>
      </c>
      <c r="J193" t="s">
        <v>168</v>
      </c>
      <c r="K193">
        <v>5.5312532158349823E-4</v>
      </c>
      <c r="L193" t="s">
        <v>166</v>
      </c>
      <c r="N193" t="s">
        <v>217</v>
      </c>
      <c r="O193" t="s">
        <v>168</v>
      </c>
      <c r="P193">
        <v>6.7392655108136024E-2</v>
      </c>
      <c r="Q193" t="s">
        <v>166</v>
      </c>
    </row>
    <row r="194" spans="9:17" x14ac:dyDescent="0.45">
      <c r="I194" t="s">
        <v>194</v>
      </c>
      <c r="J194" t="s">
        <v>169</v>
      </c>
      <c r="K194">
        <v>0.75467754573633306</v>
      </c>
      <c r="L194" t="s">
        <v>166</v>
      </c>
      <c r="N194" t="s">
        <v>217</v>
      </c>
      <c r="O194" t="s">
        <v>169</v>
      </c>
      <c r="P194">
        <v>0.35706104962174229</v>
      </c>
      <c r="Q194" t="s">
        <v>166</v>
      </c>
    </row>
    <row r="195" spans="9:17" x14ac:dyDescent="0.45">
      <c r="I195" t="s">
        <v>194</v>
      </c>
      <c r="J195" t="s">
        <v>170</v>
      </c>
      <c r="K195">
        <v>5.9680823367859057E-2</v>
      </c>
      <c r="L195" t="s">
        <v>166</v>
      </c>
      <c r="N195" t="s">
        <v>217</v>
      </c>
      <c r="O195" t="s">
        <v>170</v>
      </c>
      <c r="P195">
        <v>2.1979487477219416E-2</v>
      </c>
      <c r="Q195" t="s">
        <v>166</v>
      </c>
    </row>
    <row r="196" spans="9:17" x14ac:dyDescent="0.45">
      <c r="I196" t="s">
        <v>194</v>
      </c>
      <c r="J196" t="s">
        <v>171</v>
      </c>
      <c r="K196">
        <v>7.9000164516659616E-2</v>
      </c>
      <c r="L196" t="s">
        <v>166</v>
      </c>
      <c r="N196" t="s">
        <v>217</v>
      </c>
      <c r="O196" t="s">
        <v>171</v>
      </c>
      <c r="P196">
        <v>0.18595928957137803</v>
      </c>
      <c r="Q196" t="s">
        <v>166</v>
      </c>
    </row>
    <row r="197" spans="9:17" x14ac:dyDescent="0.45">
      <c r="I197" t="s">
        <v>194</v>
      </c>
      <c r="J197" t="s">
        <v>172</v>
      </c>
      <c r="K197">
        <v>4.5416834908725598E-2</v>
      </c>
      <c r="L197" t="s">
        <v>166</v>
      </c>
      <c r="N197" t="s">
        <v>217</v>
      </c>
      <c r="O197" t="s">
        <v>172</v>
      </c>
      <c r="P197">
        <v>0.14605188517546877</v>
      </c>
      <c r="Q197" t="s">
        <v>166</v>
      </c>
    </row>
    <row r="198" spans="9:17" x14ac:dyDescent="0.45">
      <c r="I198" t="s">
        <v>194</v>
      </c>
      <c r="J198" t="s">
        <v>173</v>
      </c>
      <c r="K198">
        <v>2.4181260596745042E-4</v>
      </c>
      <c r="L198" t="s">
        <v>166</v>
      </c>
      <c r="N198" t="s">
        <v>217</v>
      </c>
      <c r="O198" t="s">
        <v>173</v>
      </c>
      <c r="P198">
        <v>1.0203519967083984E-2</v>
      </c>
      <c r="Q198" t="s">
        <v>166</v>
      </c>
    </row>
    <row r="199" spans="9:17" x14ac:dyDescent="0.45">
      <c r="I199" t="s">
        <v>194</v>
      </c>
      <c r="J199" t="s">
        <v>174</v>
      </c>
      <c r="K199">
        <v>0</v>
      </c>
      <c r="L199" t="s">
        <v>166</v>
      </c>
      <c r="N199" t="s">
        <v>217</v>
      </c>
      <c r="O199" t="s">
        <v>174</v>
      </c>
      <c r="P199">
        <v>7.4062512477830481E-2</v>
      </c>
      <c r="Q199" t="s">
        <v>166</v>
      </c>
    </row>
    <row r="200" spans="9:17" x14ac:dyDescent="0.45">
      <c r="I200" t="s">
        <v>195</v>
      </c>
      <c r="J200" t="s">
        <v>165</v>
      </c>
      <c r="K200">
        <v>6.3126913213933114E-2</v>
      </c>
      <c r="L200" t="s">
        <v>166</v>
      </c>
      <c r="N200" t="s">
        <v>218</v>
      </c>
      <c r="O200" t="s">
        <v>165</v>
      </c>
      <c r="P200">
        <v>0.12833446025631712</v>
      </c>
      <c r="Q200" t="s">
        <v>166</v>
      </c>
    </row>
    <row r="201" spans="9:17" x14ac:dyDescent="0.45">
      <c r="I201" t="s">
        <v>195</v>
      </c>
      <c r="J201" t="s">
        <v>167</v>
      </c>
      <c r="K201">
        <v>4.2442046610772239E-3</v>
      </c>
      <c r="L201" t="s">
        <v>166</v>
      </c>
      <c r="N201" t="s">
        <v>218</v>
      </c>
      <c r="O201" t="s">
        <v>167</v>
      </c>
      <c r="P201">
        <v>8.0549776186895593E-3</v>
      </c>
      <c r="Q201" t="s">
        <v>166</v>
      </c>
    </row>
    <row r="202" spans="9:17" x14ac:dyDescent="0.45">
      <c r="I202" t="s">
        <v>195</v>
      </c>
      <c r="J202" t="s">
        <v>168</v>
      </c>
      <c r="K202">
        <v>6.2205609793274563E-4</v>
      </c>
      <c r="L202" t="s">
        <v>166</v>
      </c>
      <c r="N202" t="s">
        <v>218</v>
      </c>
      <c r="O202" t="s">
        <v>168</v>
      </c>
      <c r="P202">
        <v>5.9874595315511023E-2</v>
      </c>
      <c r="Q202" t="s">
        <v>166</v>
      </c>
    </row>
    <row r="203" spans="9:17" x14ac:dyDescent="0.45">
      <c r="I203" t="s">
        <v>195</v>
      </c>
      <c r="J203" t="s">
        <v>169</v>
      </c>
      <c r="K203">
        <v>0.73709737171802814</v>
      </c>
      <c r="L203" t="s">
        <v>166</v>
      </c>
      <c r="N203" t="s">
        <v>218</v>
      </c>
      <c r="O203" t="s">
        <v>169</v>
      </c>
      <c r="P203">
        <v>0.34269932976961742</v>
      </c>
      <c r="Q203" t="s">
        <v>166</v>
      </c>
    </row>
    <row r="204" spans="9:17" x14ac:dyDescent="0.45">
      <c r="I204" t="s">
        <v>195</v>
      </c>
      <c r="J204" t="s">
        <v>170</v>
      </c>
      <c r="K204">
        <v>6.1527923607540384E-2</v>
      </c>
      <c r="L204" t="s">
        <v>166</v>
      </c>
      <c r="N204" t="s">
        <v>218</v>
      </c>
      <c r="O204" t="s">
        <v>170</v>
      </c>
      <c r="P204">
        <v>2.2712431574761306E-2</v>
      </c>
      <c r="Q204" t="s">
        <v>166</v>
      </c>
    </row>
    <row r="205" spans="9:17" x14ac:dyDescent="0.45">
      <c r="I205" t="s">
        <v>195</v>
      </c>
      <c r="J205" t="s">
        <v>171</v>
      </c>
      <c r="K205">
        <v>8.7512154013946769E-2</v>
      </c>
      <c r="L205" t="s">
        <v>166</v>
      </c>
      <c r="N205" t="s">
        <v>218</v>
      </c>
      <c r="O205" t="s">
        <v>171</v>
      </c>
      <c r="P205">
        <v>0.16884456893037714</v>
      </c>
      <c r="Q205" t="s">
        <v>166</v>
      </c>
    </row>
    <row r="206" spans="9:17" x14ac:dyDescent="0.45">
      <c r="I206" t="s">
        <v>195</v>
      </c>
      <c r="J206" t="s">
        <v>172</v>
      </c>
      <c r="K206">
        <v>4.5473920191327719E-2</v>
      </c>
      <c r="L206" t="s">
        <v>166</v>
      </c>
      <c r="N206" t="s">
        <v>218</v>
      </c>
      <c r="O206" t="s">
        <v>172</v>
      </c>
      <c r="P206">
        <v>0.17208371198056149</v>
      </c>
      <c r="Q206" t="s">
        <v>166</v>
      </c>
    </row>
    <row r="207" spans="9:17" x14ac:dyDescent="0.45">
      <c r="I207" t="s">
        <v>195</v>
      </c>
      <c r="J207" t="s">
        <v>173</v>
      </c>
      <c r="K207">
        <v>3.9545649621578778E-4</v>
      </c>
      <c r="L207" t="s">
        <v>166</v>
      </c>
      <c r="N207" t="s">
        <v>218</v>
      </c>
      <c r="O207" t="s">
        <v>173</v>
      </c>
      <c r="P207">
        <v>1.167536818595208E-2</v>
      </c>
      <c r="Q207" t="s">
        <v>166</v>
      </c>
    </row>
    <row r="208" spans="9:17" x14ac:dyDescent="0.45">
      <c r="I208" t="s">
        <v>195</v>
      </c>
      <c r="J208" t="s">
        <v>174</v>
      </c>
      <c r="K208">
        <v>0</v>
      </c>
      <c r="L208" t="s">
        <v>166</v>
      </c>
      <c r="N208" t="s">
        <v>218</v>
      </c>
      <c r="O208" t="s">
        <v>174</v>
      </c>
      <c r="P208">
        <v>8.5720556368213852E-2</v>
      </c>
      <c r="Q208" t="s">
        <v>166</v>
      </c>
    </row>
    <row r="209" spans="9:12" x14ac:dyDescent="0.45">
      <c r="I209" t="s">
        <v>196</v>
      </c>
      <c r="J209" t="s">
        <v>165</v>
      </c>
      <c r="K209">
        <v>6.2494979717854796E-2</v>
      </c>
      <c r="L209" t="s">
        <v>166</v>
      </c>
    </row>
    <row r="210" spans="9:12" x14ac:dyDescent="0.45">
      <c r="I210" t="s">
        <v>196</v>
      </c>
      <c r="J210" t="s">
        <v>167</v>
      </c>
      <c r="K210">
        <v>4.0486610653401528E-3</v>
      </c>
      <c r="L210" t="s">
        <v>166</v>
      </c>
    </row>
    <row r="211" spans="9:12" x14ac:dyDescent="0.45">
      <c r="I211" t="s">
        <v>196</v>
      </c>
      <c r="J211" t="s">
        <v>168</v>
      </c>
      <c r="K211">
        <v>5.8376096696940245E-4</v>
      </c>
      <c r="L211" t="s">
        <v>166</v>
      </c>
    </row>
    <row r="212" spans="9:12" x14ac:dyDescent="0.45">
      <c r="I212" t="s">
        <v>196</v>
      </c>
      <c r="J212" t="s">
        <v>169</v>
      </c>
      <c r="K212">
        <v>0.74444923019446485</v>
      </c>
      <c r="L212" t="s">
        <v>166</v>
      </c>
    </row>
    <row r="213" spans="9:12" x14ac:dyDescent="0.45">
      <c r="I213" t="s">
        <v>196</v>
      </c>
      <c r="J213" t="s">
        <v>170</v>
      </c>
      <c r="K213">
        <v>5.9307457723512168E-2</v>
      </c>
      <c r="L213" t="s">
        <v>166</v>
      </c>
    </row>
    <row r="214" spans="9:12" x14ac:dyDescent="0.45">
      <c r="I214" t="s">
        <v>196</v>
      </c>
      <c r="J214" t="s">
        <v>171</v>
      </c>
      <c r="K214">
        <v>8.1520428035003811E-2</v>
      </c>
      <c r="L214" t="s">
        <v>166</v>
      </c>
    </row>
    <row r="215" spans="9:12" x14ac:dyDescent="0.45">
      <c r="I215" t="s">
        <v>196</v>
      </c>
      <c r="J215" t="s">
        <v>172</v>
      </c>
      <c r="K215">
        <v>4.712561861256407E-2</v>
      </c>
      <c r="L215" t="s">
        <v>166</v>
      </c>
    </row>
    <row r="216" spans="9:12" x14ac:dyDescent="0.45">
      <c r="I216" t="s">
        <v>196</v>
      </c>
      <c r="J216" t="s">
        <v>173</v>
      </c>
      <c r="K216">
        <v>4.698636842911236E-4</v>
      </c>
      <c r="L216" t="s">
        <v>166</v>
      </c>
    </row>
    <row r="217" spans="9:12" x14ac:dyDescent="0.45">
      <c r="I217" t="s">
        <v>196</v>
      </c>
      <c r="J217" t="s">
        <v>174</v>
      </c>
      <c r="K217">
        <v>0</v>
      </c>
      <c r="L217" t="s">
        <v>166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6C189-A753-4350-904B-70CB3ACF673B}">
  <dimension ref="A9:AN976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126</v>
      </c>
      <c r="C10" t="s">
        <v>150</v>
      </c>
      <c r="D10" t="s">
        <v>151</v>
      </c>
      <c r="E10" t="s">
        <v>152</v>
      </c>
      <c r="F10" t="s">
        <v>153</v>
      </c>
      <c r="G10" t="s">
        <v>154</v>
      </c>
      <c r="I10" t="s">
        <v>13</v>
      </c>
      <c r="J10" t="s">
        <v>121</v>
      </c>
      <c r="K10" t="s">
        <v>163</v>
      </c>
      <c r="L10" t="s">
        <v>30</v>
      </c>
      <c r="N10" t="s">
        <v>13</v>
      </c>
      <c r="O10" t="s">
        <v>121</v>
      </c>
      <c r="P10" t="s">
        <v>163</v>
      </c>
      <c r="Q10" t="s">
        <v>30</v>
      </c>
      <c r="S10" t="s">
        <v>13</v>
      </c>
      <c r="T10" t="s">
        <v>121</v>
      </c>
      <c r="U10" t="s">
        <v>163</v>
      </c>
      <c r="V10" t="s">
        <v>30</v>
      </c>
      <c r="X10" t="s">
        <v>229</v>
      </c>
      <c r="Y10" t="s">
        <v>163</v>
      </c>
      <c r="Z10" t="s">
        <v>121</v>
      </c>
      <c r="AA10" t="s">
        <v>13</v>
      </c>
      <c r="AC10" t="s">
        <v>13</v>
      </c>
      <c r="AD10" t="s">
        <v>121</v>
      </c>
      <c r="AE10" t="s">
        <v>163</v>
      </c>
      <c r="AG10" t="s">
        <v>13</v>
      </c>
      <c r="AH10" t="s">
        <v>121</v>
      </c>
      <c r="AI10" t="s">
        <v>235</v>
      </c>
      <c r="AK10" t="s">
        <v>47</v>
      </c>
      <c r="AL10" t="s">
        <v>121</v>
      </c>
      <c r="AM10" t="s">
        <v>236</v>
      </c>
      <c r="AN10" t="s">
        <v>237</v>
      </c>
    </row>
    <row r="11" spans="1:40" x14ac:dyDescent="0.45">
      <c r="A11" t="str">
        <f>IFERROR(IF(Veda!D5=A10,"ok","x"),"")</f>
        <v>x</v>
      </c>
      <c r="C11" t="s">
        <v>155</v>
      </c>
      <c r="D11" t="s">
        <v>156</v>
      </c>
      <c r="E11" t="s">
        <v>157</v>
      </c>
      <c r="F11" t="s">
        <v>239</v>
      </c>
      <c r="G11" t="s">
        <v>156</v>
      </c>
      <c r="I11" t="s">
        <v>164</v>
      </c>
      <c r="J11" t="s">
        <v>165</v>
      </c>
      <c r="K11">
        <v>0</v>
      </c>
      <c r="L11" t="s">
        <v>166</v>
      </c>
      <c r="N11" t="s">
        <v>197</v>
      </c>
      <c r="O11" t="s">
        <v>165</v>
      </c>
      <c r="P11">
        <v>5.7634887794722915E-2</v>
      </c>
      <c r="Q11" t="s">
        <v>166</v>
      </c>
      <c r="S11" t="s">
        <v>219</v>
      </c>
      <c r="T11" t="s">
        <v>165</v>
      </c>
      <c r="U11">
        <v>5.2490264406950184E-2</v>
      </c>
      <c r="V11" t="s">
        <v>166</v>
      </c>
      <c r="X11">
        <v>5.3881278538812784E-2</v>
      </c>
      <c r="Y11">
        <v>2.9864505382492607E-2</v>
      </c>
      <c r="Z11" t="s">
        <v>165</v>
      </c>
      <c r="AA11" t="s">
        <v>25</v>
      </c>
      <c r="AC11" t="s">
        <v>22</v>
      </c>
      <c r="AD11" t="s">
        <v>165</v>
      </c>
      <c r="AE11">
        <v>5.3668888479083993E-2</v>
      </c>
      <c r="AG11" t="s">
        <v>96</v>
      </c>
      <c r="AH11" t="s">
        <v>165</v>
      </c>
      <c r="AI11">
        <v>0.29126018080643346</v>
      </c>
      <c r="AK11">
        <v>2020</v>
      </c>
      <c r="AL11" t="s">
        <v>155</v>
      </c>
      <c r="AM11">
        <v>0.3999516962442129</v>
      </c>
      <c r="AN11" t="s">
        <v>238</v>
      </c>
    </row>
    <row r="12" spans="1:40" x14ac:dyDescent="0.45">
      <c r="C12" t="s">
        <v>159</v>
      </c>
      <c r="E12" t="s">
        <v>160</v>
      </c>
      <c r="G12" t="s">
        <v>156</v>
      </c>
      <c r="I12" t="s">
        <v>164</v>
      </c>
      <c r="J12" t="s">
        <v>167</v>
      </c>
      <c r="K12">
        <v>1.0836533877110663E-3</v>
      </c>
      <c r="L12" t="s">
        <v>166</v>
      </c>
      <c r="N12" t="s">
        <v>197</v>
      </c>
      <c r="O12" t="s">
        <v>167</v>
      </c>
      <c r="P12">
        <v>7.3977720319865796E-3</v>
      </c>
      <c r="Q12" t="s">
        <v>166</v>
      </c>
      <c r="S12" t="s">
        <v>219</v>
      </c>
      <c r="T12" t="s">
        <v>167</v>
      </c>
      <c r="U12">
        <v>6.7529765294353453E-3</v>
      </c>
      <c r="V12" t="s">
        <v>166</v>
      </c>
      <c r="X12">
        <v>6.735159817351598E-3</v>
      </c>
      <c r="Y12">
        <v>8.6053584599192871E-3</v>
      </c>
      <c r="Z12" t="s">
        <v>167</v>
      </c>
      <c r="AA12" t="s">
        <v>25</v>
      </c>
      <c r="AC12" t="s">
        <v>22</v>
      </c>
      <c r="AD12" t="s">
        <v>167</v>
      </c>
      <c r="AE12">
        <v>9.323225878081709E-3</v>
      </c>
      <c r="AG12" t="s">
        <v>96</v>
      </c>
      <c r="AH12" t="s">
        <v>167</v>
      </c>
      <c r="AI12">
        <v>8.0333357720038912E-2</v>
      </c>
      <c r="AK12">
        <v>2020</v>
      </c>
      <c r="AL12" t="s">
        <v>159</v>
      </c>
      <c r="AM12">
        <v>0.46118180921377128</v>
      </c>
      <c r="AN12" t="s">
        <v>238</v>
      </c>
    </row>
    <row r="13" spans="1:40" x14ac:dyDescent="0.45">
      <c r="C13" t="s">
        <v>161</v>
      </c>
      <c r="E13" t="s">
        <v>162</v>
      </c>
      <c r="G13" t="s">
        <v>156</v>
      </c>
      <c r="I13" t="s">
        <v>164</v>
      </c>
      <c r="J13" t="s">
        <v>168</v>
      </c>
      <c r="K13">
        <v>7.1821008628499133E-2</v>
      </c>
      <c r="L13" t="s">
        <v>166</v>
      </c>
      <c r="N13" t="s">
        <v>197</v>
      </c>
      <c r="O13" t="s">
        <v>168</v>
      </c>
      <c r="P13">
        <v>4.9570202945449671E-2</v>
      </c>
      <c r="Q13" t="s">
        <v>166</v>
      </c>
      <c r="S13" t="s">
        <v>219</v>
      </c>
      <c r="T13" t="s">
        <v>168</v>
      </c>
      <c r="U13">
        <v>4.7430227986420409E-2</v>
      </c>
      <c r="V13" t="s">
        <v>166</v>
      </c>
      <c r="X13">
        <v>4.714611872146119E-2</v>
      </c>
      <c r="Y13">
        <v>6.137185192551526E-2</v>
      </c>
      <c r="Z13" t="s">
        <v>168</v>
      </c>
      <c r="AA13" t="s">
        <v>25</v>
      </c>
      <c r="AC13" t="s">
        <v>22</v>
      </c>
      <c r="AD13" t="s">
        <v>168</v>
      </c>
      <c r="AE13">
        <v>6.5788489902556563E-2</v>
      </c>
      <c r="AG13" t="s">
        <v>96</v>
      </c>
      <c r="AH13" t="s">
        <v>168</v>
      </c>
      <c r="AI13">
        <v>8.572772625404057E-2</v>
      </c>
      <c r="AK13">
        <v>2020</v>
      </c>
      <c r="AL13" t="s">
        <v>161</v>
      </c>
      <c r="AM13">
        <v>0.3363914373088685</v>
      </c>
      <c r="AN13" t="s">
        <v>238</v>
      </c>
    </row>
    <row r="14" spans="1:40" x14ac:dyDescent="0.45">
      <c r="C14" t="s">
        <v>240</v>
      </c>
      <c r="E14" t="s">
        <v>241</v>
      </c>
      <c r="G14" t="s">
        <v>156</v>
      </c>
      <c r="I14" t="s">
        <v>164</v>
      </c>
      <c r="J14" t="s">
        <v>247</v>
      </c>
      <c r="K14">
        <v>7.9113024401964785E-3</v>
      </c>
      <c r="L14" t="s">
        <v>166</v>
      </c>
      <c r="N14" t="s">
        <v>197</v>
      </c>
      <c r="O14" t="s">
        <v>247</v>
      </c>
      <c r="P14">
        <v>6.9335287590507081E-3</v>
      </c>
      <c r="Q14" t="s">
        <v>166</v>
      </c>
      <c r="S14" t="s">
        <v>219</v>
      </c>
      <c r="T14" t="s">
        <v>247</v>
      </c>
      <c r="U14">
        <v>6.8099290351365041E-3</v>
      </c>
      <c r="V14" t="s">
        <v>166</v>
      </c>
      <c r="X14">
        <v>6.735159817351598E-3</v>
      </c>
      <c r="Y14">
        <v>1.3103614018513452E-2</v>
      </c>
      <c r="Z14" t="s">
        <v>247</v>
      </c>
      <c r="AA14" t="s">
        <v>25</v>
      </c>
      <c r="AC14" t="s">
        <v>22</v>
      </c>
      <c r="AD14" t="s">
        <v>247</v>
      </c>
      <c r="AE14">
        <v>9.6263596139477565E-3</v>
      </c>
      <c r="AG14" t="s">
        <v>96</v>
      </c>
      <c r="AH14" t="s">
        <v>247</v>
      </c>
      <c r="AI14">
        <v>7.9506794508142686E-2</v>
      </c>
      <c r="AK14">
        <v>2020</v>
      </c>
      <c r="AL14" t="s">
        <v>240</v>
      </c>
      <c r="AM14">
        <v>0.3847292098253921</v>
      </c>
      <c r="AN14" t="s">
        <v>238</v>
      </c>
    </row>
    <row r="15" spans="1:40" x14ac:dyDescent="0.45">
      <c r="C15" t="s">
        <v>242</v>
      </c>
      <c r="E15" t="s">
        <v>243</v>
      </c>
      <c r="G15" t="s">
        <v>156</v>
      </c>
      <c r="I15" t="s">
        <v>164</v>
      </c>
      <c r="J15" t="s">
        <v>248</v>
      </c>
      <c r="K15">
        <v>4.6145829311445563E-3</v>
      </c>
      <c r="L15" t="s">
        <v>166</v>
      </c>
      <c r="N15" t="s">
        <v>197</v>
      </c>
      <c r="O15" t="s">
        <v>248</v>
      </c>
      <c r="P15">
        <v>7.0195642825322171E-3</v>
      </c>
      <c r="Q15" t="s">
        <v>166</v>
      </c>
      <c r="S15" t="s">
        <v>219</v>
      </c>
      <c r="T15" t="s">
        <v>248</v>
      </c>
      <c r="U15">
        <v>6.9172073727858021E-3</v>
      </c>
      <c r="V15" t="s">
        <v>166</v>
      </c>
      <c r="X15">
        <v>6.735159817351598E-3</v>
      </c>
      <c r="Y15">
        <v>1.3103614018513452E-2</v>
      </c>
      <c r="Z15" t="s">
        <v>248</v>
      </c>
      <c r="AA15" t="s">
        <v>25</v>
      </c>
      <c r="AC15" t="s">
        <v>22</v>
      </c>
      <c r="AD15" t="s">
        <v>248</v>
      </c>
      <c r="AE15">
        <v>9.6700816802201377E-3</v>
      </c>
      <c r="AG15" t="s">
        <v>96</v>
      </c>
      <c r="AH15" t="s">
        <v>248</v>
      </c>
      <c r="AI15">
        <v>8.0562479560222666E-2</v>
      </c>
      <c r="AK15">
        <v>2020</v>
      </c>
      <c r="AL15" t="s">
        <v>242</v>
      </c>
      <c r="AM15">
        <v>0.40135148466015585</v>
      </c>
      <c r="AN15" t="s">
        <v>238</v>
      </c>
    </row>
    <row r="16" spans="1:40" x14ac:dyDescent="0.45">
      <c r="C16" t="s">
        <v>244</v>
      </c>
      <c r="E16" t="s">
        <v>245</v>
      </c>
      <c r="G16" t="s">
        <v>156</v>
      </c>
      <c r="I16" t="s">
        <v>164</v>
      </c>
      <c r="J16" t="s">
        <v>249</v>
      </c>
      <c r="K16">
        <v>7.098540743929085E-4</v>
      </c>
      <c r="L16" t="s">
        <v>166</v>
      </c>
      <c r="N16" t="s">
        <v>197</v>
      </c>
      <c r="O16" t="s">
        <v>249</v>
      </c>
      <c r="P16">
        <v>4.3310336193536997E-2</v>
      </c>
      <c r="Q16" t="s">
        <v>166</v>
      </c>
      <c r="S16" t="s">
        <v>219</v>
      </c>
      <c r="T16" t="s">
        <v>249</v>
      </c>
      <c r="U16">
        <v>4.1120157561142581E-2</v>
      </c>
      <c r="V16" t="s">
        <v>166</v>
      </c>
      <c r="X16">
        <v>4.041095890410959E-2</v>
      </c>
      <c r="Y16">
        <v>3.5594891811484314E-2</v>
      </c>
      <c r="Z16" t="s">
        <v>249</v>
      </c>
      <c r="AA16" t="s">
        <v>25</v>
      </c>
      <c r="AC16" t="s">
        <v>22</v>
      </c>
      <c r="AD16" t="s">
        <v>249</v>
      </c>
      <c r="AE16">
        <v>5.0177962677305961E-2</v>
      </c>
      <c r="AG16" t="s">
        <v>96</v>
      </c>
      <c r="AH16" t="s">
        <v>249</v>
      </c>
      <c r="AI16">
        <v>0.18372287613182636</v>
      </c>
      <c r="AK16">
        <v>2020</v>
      </c>
      <c r="AL16" t="s">
        <v>244</v>
      </c>
      <c r="AM16">
        <v>0.35168195718654433</v>
      </c>
      <c r="AN16" t="s">
        <v>238</v>
      </c>
    </row>
    <row r="17" spans="3:40" x14ac:dyDescent="0.45">
      <c r="C17" t="s">
        <v>246</v>
      </c>
      <c r="I17" t="s">
        <v>164</v>
      </c>
      <c r="J17" t="s">
        <v>169</v>
      </c>
      <c r="K17">
        <v>1.22593642994437E-3</v>
      </c>
      <c r="L17" t="s">
        <v>166</v>
      </c>
      <c r="N17" t="s">
        <v>197</v>
      </c>
      <c r="O17" t="s">
        <v>169</v>
      </c>
      <c r="P17">
        <v>3.3814992333372706E-2</v>
      </c>
      <c r="Q17" t="s">
        <v>166</v>
      </c>
      <c r="S17" t="s">
        <v>219</v>
      </c>
      <c r="T17" t="s">
        <v>169</v>
      </c>
      <c r="U17">
        <v>3.4556321380810946E-2</v>
      </c>
      <c r="V17" t="s">
        <v>166</v>
      </c>
      <c r="X17">
        <v>2.8310502283105023E-2</v>
      </c>
      <c r="Y17">
        <v>1.5691519777241876E-2</v>
      </c>
      <c r="Z17" t="s">
        <v>169</v>
      </c>
      <c r="AA17" t="s">
        <v>25</v>
      </c>
      <c r="AC17" t="s">
        <v>22</v>
      </c>
      <c r="AD17" t="s">
        <v>169</v>
      </c>
      <c r="AE17">
        <v>2.9924509206890628E-2</v>
      </c>
      <c r="AG17" t="s">
        <v>96</v>
      </c>
      <c r="AH17" t="s">
        <v>169</v>
      </c>
      <c r="AI17">
        <v>0.27369806893285165</v>
      </c>
      <c r="AK17">
        <v>2020</v>
      </c>
      <c r="AL17" t="s">
        <v>246</v>
      </c>
      <c r="AM17">
        <v>0.31567524908750122</v>
      </c>
      <c r="AN17" t="s">
        <v>238</v>
      </c>
    </row>
    <row r="18" spans="3:40" x14ac:dyDescent="0.45">
      <c r="I18" t="s">
        <v>164</v>
      </c>
      <c r="J18" t="s">
        <v>170</v>
      </c>
      <c r="K18">
        <v>4.6493989955665024E-3</v>
      </c>
      <c r="L18" t="s">
        <v>166</v>
      </c>
      <c r="N18" t="s">
        <v>197</v>
      </c>
      <c r="O18" t="s">
        <v>170</v>
      </c>
      <c r="P18">
        <v>3.7991696806865772E-3</v>
      </c>
      <c r="Q18" t="s">
        <v>166</v>
      </c>
      <c r="S18" t="s">
        <v>219</v>
      </c>
      <c r="T18" t="s">
        <v>170</v>
      </c>
      <c r="U18">
        <v>4.2918454233985773E-3</v>
      </c>
      <c r="V18" t="s">
        <v>166</v>
      </c>
      <c r="X18">
        <v>3.5388127853881279E-3</v>
      </c>
      <c r="Y18">
        <v>4.521459529788099E-3</v>
      </c>
      <c r="Z18" t="s">
        <v>170</v>
      </c>
      <c r="AA18" t="s">
        <v>25</v>
      </c>
      <c r="AC18" t="s">
        <v>22</v>
      </c>
      <c r="AD18" t="s">
        <v>170</v>
      </c>
      <c r="AE18">
        <v>5.1682256923691145E-3</v>
      </c>
      <c r="AG18" t="s">
        <v>96</v>
      </c>
      <c r="AH18" t="s">
        <v>170</v>
      </c>
      <c r="AI18">
        <v>6.2046139477910378E-2</v>
      </c>
      <c r="AK18">
        <v>2021</v>
      </c>
      <c r="AL18" t="s">
        <v>155</v>
      </c>
      <c r="AM18">
        <v>0.38765322510695333</v>
      </c>
      <c r="AN18" t="s">
        <v>238</v>
      </c>
    </row>
    <row r="19" spans="3:40" x14ac:dyDescent="0.45">
      <c r="I19" t="s">
        <v>164</v>
      </c>
      <c r="J19" t="s">
        <v>171</v>
      </c>
      <c r="K19">
        <v>7.0849988923439661E-2</v>
      </c>
      <c r="L19" t="s">
        <v>166</v>
      </c>
      <c r="N19" t="s">
        <v>197</v>
      </c>
      <c r="O19" t="s">
        <v>171</v>
      </c>
      <c r="P19">
        <v>2.357020283030424E-2</v>
      </c>
      <c r="Q19" t="s">
        <v>166</v>
      </c>
      <c r="S19" t="s">
        <v>219</v>
      </c>
      <c r="T19" t="s">
        <v>171</v>
      </c>
      <c r="U19">
        <v>2.9268810802665794E-2</v>
      </c>
      <c r="V19" t="s">
        <v>166</v>
      </c>
      <c r="X19">
        <v>2.4771689497716895E-2</v>
      </c>
      <c r="Y19">
        <v>3.2246227282897846E-2</v>
      </c>
      <c r="Z19" t="s">
        <v>171</v>
      </c>
      <c r="AA19" t="s">
        <v>25</v>
      </c>
      <c r="AC19" t="s">
        <v>22</v>
      </c>
      <c r="AD19" t="s">
        <v>171</v>
      </c>
      <c r="AE19">
        <v>3.5481778732256289E-2</v>
      </c>
      <c r="AG19" t="s">
        <v>96</v>
      </c>
      <c r="AH19" t="s">
        <v>171</v>
      </c>
      <c r="AI19">
        <v>7.2287932187812265E-2</v>
      </c>
      <c r="AK19">
        <v>2021</v>
      </c>
      <c r="AL19" t="s">
        <v>159</v>
      </c>
      <c r="AM19">
        <v>0.37702959437491429</v>
      </c>
      <c r="AN19" t="s">
        <v>238</v>
      </c>
    </row>
    <row r="20" spans="3:40" x14ac:dyDescent="0.45">
      <c r="I20" t="s">
        <v>164</v>
      </c>
      <c r="J20" t="s">
        <v>250</v>
      </c>
      <c r="K20">
        <v>8.4753444923371408E-3</v>
      </c>
      <c r="L20" t="s">
        <v>166</v>
      </c>
      <c r="N20" t="s">
        <v>197</v>
      </c>
      <c r="O20" t="s">
        <v>250</v>
      </c>
      <c r="P20">
        <v>3.7535356011939107E-3</v>
      </c>
      <c r="Q20" t="s">
        <v>166</v>
      </c>
      <c r="S20" t="s">
        <v>219</v>
      </c>
      <c r="T20" t="s">
        <v>250</v>
      </c>
      <c r="U20">
        <v>4.1705177435482884E-3</v>
      </c>
      <c r="V20" t="s">
        <v>166</v>
      </c>
      <c r="X20">
        <v>3.5388127853881279E-3</v>
      </c>
      <c r="Y20">
        <v>6.8849497385409693E-3</v>
      </c>
      <c r="Z20" t="s">
        <v>250</v>
      </c>
      <c r="AA20" t="s">
        <v>25</v>
      </c>
      <c r="AC20" t="s">
        <v>22</v>
      </c>
      <c r="AD20" t="s">
        <v>250</v>
      </c>
      <c r="AE20">
        <v>5.1312909509251712E-3</v>
      </c>
      <c r="AG20" t="s">
        <v>96</v>
      </c>
      <c r="AH20" t="s">
        <v>250</v>
      </c>
      <c r="AI20">
        <v>7.361205486163569E-2</v>
      </c>
      <c r="AK20">
        <v>2021</v>
      </c>
      <c r="AL20" t="s">
        <v>161</v>
      </c>
      <c r="AM20">
        <v>0.33900020238818052</v>
      </c>
      <c r="AN20" t="s">
        <v>238</v>
      </c>
    </row>
    <row r="21" spans="3:40" x14ac:dyDescent="0.45">
      <c r="I21" t="s">
        <v>164</v>
      </c>
      <c r="J21" t="s">
        <v>251</v>
      </c>
      <c r="K21">
        <v>6.3113567065046089E-3</v>
      </c>
      <c r="L21" t="s">
        <v>166</v>
      </c>
      <c r="N21" t="s">
        <v>197</v>
      </c>
      <c r="O21" t="s">
        <v>251</v>
      </c>
      <c r="P21">
        <v>3.8019131133425919E-3</v>
      </c>
      <c r="Q21" t="s">
        <v>166</v>
      </c>
      <c r="S21" t="s">
        <v>219</v>
      </c>
      <c r="T21" t="s">
        <v>251</v>
      </c>
      <c r="U21">
        <v>4.2074554875440014E-3</v>
      </c>
      <c r="V21" t="s">
        <v>166</v>
      </c>
      <c r="X21">
        <v>3.5388127853881279E-3</v>
      </c>
      <c r="Y21">
        <v>6.8849497385409693E-3</v>
      </c>
      <c r="Z21" t="s">
        <v>251</v>
      </c>
      <c r="AA21" t="s">
        <v>25</v>
      </c>
      <c r="AC21" t="s">
        <v>22</v>
      </c>
      <c r="AD21" t="s">
        <v>251</v>
      </c>
      <c r="AE21">
        <v>5.190671444367214E-3</v>
      </c>
      <c r="AG21" t="s">
        <v>96</v>
      </c>
      <c r="AH21" t="s">
        <v>251</v>
      </c>
      <c r="AI21">
        <v>6.7796732815732952E-2</v>
      </c>
      <c r="AK21">
        <v>2021</v>
      </c>
      <c r="AL21" t="s">
        <v>240</v>
      </c>
      <c r="AM21">
        <v>0.4896488238635251</v>
      </c>
      <c r="AN21" t="s">
        <v>238</v>
      </c>
    </row>
    <row r="22" spans="3:40" x14ac:dyDescent="0.45">
      <c r="I22" t="s">
        <v>164</v>
      </c>
      <c r="J22" t="s">
        <v>252</v>
      </c>
      <c r="K22">
        <v>3.5189373015496717E-3</v>
      </c>
      <c r="L22" t="s">
        <v>166</v>
      </c>
      <c r="N22" t="s">
        <v>197</v>
      </c>
      <c r="O22" t="s">
        <v>252</v>
      </c>
      <c r="P22">
        <v>2.8198693266442403E-2</v>
      </c>
      <c r="Q22" t="s">
        <v>166</v>
      </c>
      <c r="S22" t="s">
        <v>219</v>
      </c>
      <c r="T22" t="s">
        <v>252</v>
      </c>
      <c r="U22">
        <v>2.6211914928016795E-2</v>
      </c>
      <c r="V22" t="s">
        <v>166</v>
      </c>
      <c r="X22">
        <v>2.1232876712328767E-2</v>
      </c>
      <c r="Y22">
        <v>1.8702400782305319E-2</v>
      </c>
      <c r="Z22" t="s">
        <v>252</v>
      </c>
      <c r="AA22" t="s">
        <v>25</v>
      </c>
      <c r="AC22" t="s">
        <v>22</v>
      </c>
      <c r="AD22" t="s">
        <v>252</v>
      </c>
      <c r="AE22">
        <v>2.7252463809723661E-2</v>
      </c>
      <c r="AG22" t="s">
        <v>96</v>
      </c>
      <c r="AH22" t="s">
        <v>252</v>
      </c>
      <c r="AI22">
        <v>0.16363740015840289</v>
      </c>
      <c r="AK22">
        <v>2021</v>
      </c>
      <c r="AL22" t="s">
        <v>242</v>
      </c>
      <c r="AM22">
        <v>0.44703305455993636</v>
      </c>
      <c r="AN22" t="s">
        <v>238</v>
      </c>
    </row>
    <row r="23" spans="3:40" x14ac:dyDescent="0.45">
      <c r="I23" t="s">
        <v>164</v>
      </c>
      <c r="J23" t="s">
        <v>172</v>
      </c>
      <c r="K23">
        <v>5.3468134703034105E-3</v>
      </c>
      <c r="L23" t="s">
        <v>166</v>
      </c>
      <c r="N23" t="s">
        <v>197</v>
      </c>
      <c r="O23" t="s">
        <v>172</v>
      </c>
      <c r="P23">
        <v>2.5574998936711928E-2</v>
      </c>
      <c r="Q23" t="s">
        <v>166</v>
      </c>
      <c r="S23" t="s">
        <v>219</v>
      </c>
      <c r="T23" t="s">
        <v>172</v>
      </c>
      <c r="U23">
        <v>2.2357052635900248E-2</v>
      </c>
      <c r="V23" t="s">
        <v>166</v>
      </c>
      <c r="X23">
        <v>2.7397260273972601E-2</v>
      </c>
      <c r="Y23">
        <v>1.5185341719911493E-2</v>
      </c>
      <c r="Z23" t="s">
        <v>172</v>
      </c>
      <c r="AA23" t="s">
        <v>25</v>
      </c>
      <c r="AC23" t="s">
        <v>22</v>
      </c>
      <c r="AD23" t="s">
        <v>172</v>
      </c>
      <c r="AE23">
        <v>2.2259424990078363E-2</v>
      </c>
      <c r="AG23" t="s">
        <v>96</v>
      </c>
      <c r="AH23" t="s">
        <v>172</v>
      </c>
      <c r="AI23">
        <v>0.28777412823167259</v>
      </c>
      <c r="AK23">
        <v>2021</v>
      </c>
      <c r="AL23" t="s">
        <v>244</v>
      </c>
      <c r="AM23">
        <v>0.27575389597247518</v>
      </c>
      <c r="AN23" t="s">
        <v>238</v>
      </c>
    </row>
    <row r="24" spans="3:40" x14ac:dyDescent="0.45">
      <c r="I24" t="s">
        <v>164</v>
      </c>
      <c r="J24" t="s">
        <v>173</v>
      </c>
      <c r="K24">
        <v>6.8501775053332326E-3</v>
      </c>
      <c r="L24" t="s">
        <v>166</v>
      </c>
      <c r="N24" t="s">
        <v>197</v>
      </c>
      <c r="O24" t="s">
        <v>173</v>
      </c>
      <c r="P24">
        <v>2.3257083452204947E-3</v>
      </c>
      <c r="Q24" t="s">
        <v>166</v>
      </c>
      <c r="S24" t="s">
        <v>219</v>
      </c>
      <c r="T24" t="s">
        <v>173</v>
      </c>
      <c r="U24">
        <v>2.7414950919454283E-3</v>
      </c>
      <c r="V24" t="s">
        <v>166</v>
      </c>
      <c r="X24">
        <v>3.4246575342465752E-3</v>
      </c>
      <c r="Y24">
        <v>4.3756059965691279E-3</v>
      </c>
      <c r="Z24" t="s">
        <v>173</v>
      </c>
      <c r="AA24" t="s">
        <v>25</v>
      </c>
      <c r="AC24" t="s">
        <v>22</v>
      </c>
      <c r="AD24" t="s">
        <v>173</v>
      </c>
      <c r="AE24">
        <v>3.8270595412355215E-3</v>
      </c>
      <c r="AG24" t="s">
        <v>96</v>
      </c>
      <c r="AH24" t="s">
        <v>173</v>
      </c>
      <c r="AI24">
        <v>0.10279096937886756</v>
      </c>
      <c r="AK24">
        <v>2021</v>
      </c>
      <c r="AL24" t="s">
        <v>246</v>
      </c>
      <c r="AM24">
        <v>0.36478837377832618</v>
      </c>
      <c r="AN24" t="s">
        <v>238</v>
      </c>
    </row>
    <row r="25" spans="3:40" x14ac:dyDescent="0.45">
      <c r="I25" t="s">
        <v>164</v>
      </c>
      <c r="J25" t="s">
        <v>174</v>
      </c>
      <c r="K25">
        <v>7.3808477286187293E-2</v>
      </c>
      <c r="L25" t="s">
        <v>166</v>
      </c>
      <c r="N25" t="s">
        <v>197</v>
      </c>
      <c r="O25" t="s">
        <v>174</v>
      </c>
      <c r="P25">
        <v>1.9190120476102669E-2</v>
      </c>
      <c r="Q25" t="s">
        <v>166</v>
      </c>
      <c r="S25" t="s">
        <v>219</v>
      </c>
      <c r="T25" t="s">
        <v>174</v>
      </c>
      <c r="U25">
        <v>2.1731861359415756E-2</v>
      </c>
      <c r="V25" t="s">
        <v>166</v>
      </c>
      <c r="X25">
        <v>2.3972602739726026E-2</v>
      </c>
      <c r="Y25">
        <v>3.1206026402804371E-2</v>
      </c>
      <c r="Z25" t="s">
        <v>174</v>
      </c>
      <c r="AA25" t="s">
        <v>25</v>
      </c>
      <c r="AC25" t="s">
        <v>22</v>
      </c>
      <c r="AD25" t="s">
        <v>174</v>
      </c>
      <c r="AE25">
        <v>2.6066950774456723E-2</v>
      </c>
      <c r="AG25" t="s">
        <v>96</v>
      </c>
      <c r="AH25" t="s">
        <v>174</v>
      </c>
      <c r="AI25">
        <v>0.11233344737264539</v>
      </c>
      <c r="AK25">
        <v>2022</v>
      </c>
      <c r="AL25" t="s">
        <v>155</v>
      </c>
      <c r="AM25">
        <v>0.39175460966156639</v>
      </c>
      <c r="AN25" t="s">
        <v>238</v>
      </c>
    </row>
    <row r="26" spans="3:40" x14ac:dyDescent="0.45">
      <c r="I26" t="s">
        <v>164</v>
      </c>
      <c r="J26" t="s">
        <v>253</v>
      </c>
      <c r="K26">
        <v>9.1602882861438299E-3</v>
      </c>
      <c r="L26" t="s">
        <v>166</v>
      </c>
      <c r="N26" t="s">
        <v>197</v>
      </c>
      <c r="O26" t="s">
        <v>253</v>
      </c>
      <c r="P26">
        <v>2.9451630010276578E-3</v>
      </c>
      <c r="Q26" t="s">
        <v>166</v>
      </c>
      <c r="S26" t="s">
        <v>219</v>
      </c>
      <c r="T26" t="s">
        <v>253</v>
      </c>
      <c r="U26">
        <v>3.2827971388324478E-3</v>
      </c>
      <c r="V26" t="s">
        <v>166</v>
      </c>
      <c r="X26">
        <v>3.4246575342465752E-3</v>
      </c>
      <c r="Y26">
        <v>6.662854585684809E-3</v>
      </c>
      <c r="Z26" t="s">
        <v>253</v>
      </c>
      <c r="AA26" t="s">
        <v>25</v>
      </c>
      <c r="AC26" t="s">
        <v>22</v>
      </c>
      <c r="AD26" t="s">
        <v>253</v>
      </c>
      <c r="AE26">
        <v>3.693256375001926E-3</v>
      </c>
      <c r="AG26" t="s">
        <v>96</v>
      </c>
      <c r="AH26" t="s">
        <v>253</v>
      </c>
      <c r="AI26">
        <v>9.9005232075090266E-2</v>
      </c>
      <c r="AK26">
        <v>2022</v>
      </c>
      <c r="AL26" t="s">
        <v>159</v>
      </c>
      <c r="AM26">
        <v>0.32047602647992962</v>
      </c>
      <c r="AN26" t="s">
        <v>238</v>
      </c>
    </row>
    <row r="27" spans="3:40" x14ac:dyDescent="0.45">
      <c r="I27" t="s">
        <v>164</v>
      </c>
      <c r="J27" t="s">
        <v>254</v>
      </c>
      <c r="K27">
        <v>7.7700242269420766E-3</v>
      </c>
      <c r="L27" t="s">
        <v>166</v>
      </c>
      <c r="N27" t="s">
        <v>197</v>
      </c>
      <c r="O27" t="s">
        <v>254</v>
      </c>
      <c r="P27">
        <v>2.5403999300445896E-3</v>
      </c>
      <c r="Q27" t="s">
        <v>166</v>
      </c>
      <c r="S27" t="s">
        <v>219</v>
      </c>
      <c r="T27" t="s">
        <v>254</v>
      </c>
      <c r="U27">
        <v>3.2864629735203112E-3</v>
      </c>
      <c r="V27" t="s">
        <v>166</v>
      </c>
      <c r="X27">
        <v>3.4246575342465752E-3</v>
      </c>
      <c r="Y27">
        <v>6.662854585684809E-3</v>
      </c>
      <c r="Z27" t="s">
        <v>254</v>
      </c>
      <c r="AA27" t="s">
        <v>25</v>
      </c>
      <c r="AC27" t="s">
        <v>22</v>
      </c>
      <c r="AD27" t="s">
        <v>254</v>
      </c>
      <c r="AE27">
        <v>3.7186228550406416E-3</v>
      </c>
      <c r="AG27" t="s">
        <v>96</v>
      </c>
      <c r="AH27" t="s">
        <v>254</v>
      </c>
      <c r="AI27">
        <v>0.10340416014314457</v>
      </c>
      <c r="AK27">
        <v>2022</v>
      </c>
      <c r="AL27" t="s">
        <v>161</v>
      </c>
      <c r="AM27">
        <v>0.3855278766310794</v>
      </c>
      <c r="AN27" t="s">
        <v>238</v>
      </c>
    </row>
    <row r="28" spans="3:40" x14ac:dyDescent="0.45">
      <c r="I28" t="s">
        <v>164</v>
      </c>
      <c r="J28" t="s">
        <v>255</v>
      </c>
      <c r="K28">
        <v>8.4802613481812644E-3</v>
      </c>
      <c r="L28" t="s">
        <v>166</v>
      </c>
      <c r="N28" t="s">
        <v>197</v>
      </c>
      <c r="O28" t="s">
        <v>255</v>
      </c>
      <c r="P28">
        <v>1.7271681021997009E-2</v>
      </c>
      <c r="Q28" t="s">
        <v>166</v>
      </c>
      <c r="S28" t="s">
        <v>219</v>
      </c>
      <c r="T28" t="s">
        <v>255</v>
      </c>
      <c r="U28">
        <v>1.9161893209388325E-2</v>
      </c>
      <c r="V28" t="s">
        <v>166</v>
      </c>
      <c r="X28">
        <v>2.0547945205479451E-2</v>
      </c>
      <c r="Y28">
        <v>1.8099097531263209E-2</v>
      </c>
      <c r="Z28" t="s">
        <v>255</v>
      </c>
      <c r="AA28" t="s">
        <v>25</v>
      </c>
      <c r="AC28" t="s">
        <v>22</v>
      </c>
      <c r="AD28" t="s">
        <v>255</v>
      </c>
      <c r="AE28">
        <v>1.9087497006262961E-2</v>
      </c>
      <c r="AG28" t="s">
        <v>96</v>
      </c>
      <c r="AH28" t="s">
        <v>255</v>
      </c>
      <c r="AI28">
        <v>0.18569260738165649</v>
      </c>
      <c r="AK28">
        <v>2022</v>
      </c>
      <c r="AL28" t="s">
        <v>240</v>
      </c>
      <c r="AM28">
        <v>0.40896567558259672</v>
      </c>
      <c r="AN28" t="s">
        <v>238</v>
      </c>
    </row>
    <row r="29" spans="3:40" x14ac:dyDescent="0.45">
      <c r="I29" t="s">
        <v>164</v>
      </c>
      <c r="J29" t="s">
        <v>256</v>
      </c>
      <c r="K29">
        <v>6.8293290996293199E-3</v>
      </c>
      <c r="L29" t="s">
        <v>166</v>
      </c>
      <c r="N29" t="s">
        <v>197</v>
      </c>
      <c r="O29" t="s">
        <v>256</v>
      </c>
      <c r="P29">
        <v>2.1424080179217982E-2</v>
      </c>
      <c r="Q29" t="s">
        <v>166</v>
      </c>
      <c r="S29" t="s">
        <v>219</v>
      </c>
      <c r="T29" t="s">
        <v>256</v>
      </c>
      <c r="U29">
        <v>2.4870496749785746E-2</v>
      </c>
      <c r="V29" t="s">
        <v>166</v>
      </c>
      <c r="X29">
        <v>2.8310502283105023E-2</v>
      </c>
      <c r="Y29">
        <v>1.5691519777241876E-2</v>
      </c>
      <c r="Z29" t="s">
        <v>256</v>
      </c>
      <c r="AA29" t="s">
        <v>25</v>
      </c>
      <c r="AC29" t="s">
        <v>22</v>
      </c>
      <c r="AD29" t="s">
        <v>256</v>
      </c>
      <c r="AE29">
        <v>1.950906402167939E-2</v>
      </c>
      <c r="AG29" t="s">
        <v>96</v>
      </c>
      <c r="AH29" t="s">
        <v>256</v>
      </c>
      <c r="AI29">
        <v>0.29708117136809542</v>
      </c>
      <c r="AK29">
        <v>2022</v>
      </c>
      <c r="AL29" t="s">
        <v>242</v>
      </c>
      <c r="AM29">
        <v>0.34101200270411608</v>
      </c>
      <c r="AN29" t="s">
        <v>238</v>
      </c>
    </row>
    <row r="30" spans="3:40" x14ac:dyDescent="0.45">
      <c r="I30" t="s">
        <v>164</v>
      </c>
      <c r="J30" t="s">
        <v>257</v>
      </c>
      <c r="K30">
        <v>7.2337502607864946E-3</v>
      </c>
      <c r="L30" t="s">
        <v>166</v>
      </c>
      <c r="N30" t="s">
        <v>197</v>
      </c>
      <c r="O30" t="s">
        <v>257</v>
      </c>
      <c r="P30">
        <v>1.967290333338412E-3</v>
      </c>
      <c r="Q30" t="s">
        <v>166</v>
      </c>
      <c r="S30" t="s">
        <v>219</v>
      </c>
      <c r="T30" t="s">
        <v>257</v>
      </c>
      <c r="U30">
        <v>2.9440562921463176E-3</v>
      </c>
      <c r="V30" t="s">
        <v>166</v>
      </c>
      <c r="X30">
        <v>3.5388127853881279E-3</v>
      </c>
      <c r="Y30">
        <v>4.521459529788099E-3</v>
      </c>
      <c r="Z30" t="s">
        <v>257</v>
      </c>
      <c r="AA30" t="s">
        <v>25</v>
      </c>
      <c r="AC30" t="s">
        <v>22</v>
      </c>
      <c r="AD30" t="s">
        <v>257</v>
      </c>
      <c r="AE30">
        <v>3.6484625465869362E-3</v>
      </c>
      <c r="AG30" t="s">
        <v>96</v>
      </c>
      <c r="AH30" t="s">
        <v>257</v>
      </c>
      <c r="AI30">
        <v>7.4745705073079316E-2</v>
      </c>
      <c r="AK30">
        <v>2022</v>
      </c>
      <c r="AL30" t="s">
        <v>244</v>
      </c>
      <c r="AM30">
        <v>0.32621589561091341</v>
      </c>
      <c r="AN30" t="s">
        <v>238</v>
      </c>
    </row>
    <row r="31" spans="3:40" x14ac:dyDescent="0.45">
      <c r="I31" t="s">
        <v>164</v>
      </c>
      <c r="J31" t="s">
        <v>258</v>
      </c>
      <c r="K31">
        <v>7.0847405486238191E-2</v>
      </c>
      <c r="L31" t="s">
        <v>166</v>
      </c>
      <c r="N31" t="s">
        <v>197</v>
      </c>
      <c r="O31" t="s">
        <v>258</v>
      </c>
      <c r="P31">
        <v>1.6745564253665815E-2</v>
      </c>
      <c r="Q31" t="s">
        <v>166</v>
      </c>
      <c r="S31" t="s">
        <v>219</v>
      </c>
      <c r="T31" t="s">
        <v>258</v>
      </c>
      <c r="U31">
        <v>2.0574712899532242E-2</v>
      </c>
      <c r="V31" t="s">
        <v>166</v>
      </c>
      <c r="X31">
        <v>2.4771689497716895E-2</v>
      </c>
      <c r="Y31">
        <v>3.2246227282897846E-2</v>
      </c>
      <c r="Z31" t="s">
        <v>258</v>
      </c>
      <c r="AA31" t="s">
        <v>25</v>
      </c>
      <c r="AC31" t="s">
        <v>22</v>
      </c>
      <c r="AD31" t="s">
        <v>258</v>
      </c>
      <c r="AE31">
        <v>2.5472293248957795E-2</v>
      </c>
      <c r="AG31" t="s">
        <v>96</v>
      </c>
      <c r="AH31" t="s">
        <v>258</v>
      </c>
      <c r="AI31">
        <v>6.7265083737548137E-2</v>
      </c>
      <c r="AK31">
        <v>2022</v>
      </c>
      <c r="AL31" t="s">
        <v>246</v>
      </c>
      <c r="AM31">
        <v>0.33721731144529898</v>
      </c>
      <c r="AN31" t="s">
        <v>238</v>
      </c>
    </row>
    <row r="32" spans="3:40" x14ac:dyDescent="0.45">
      <c r="I32" t="s">
        <v>164</v>
      </c>
      <c r="J32" t="s">
        <v>259</v>
      </c>
      <c r="K32">
        <v>7.5208559586618252E-3</v>
      </c>
      <c r="L32" t="s">
        <v>166</v>
      </c>
      <c r="N32" t="s">
        <v>197</v>
      </c>
      <c r="O32" t="s">
        <v>259</v>
      </c>
      <c r="P32">
        <v>2.9886518474545013E-3</v>
      </c>
      <c r="Q32" t="s">
        <v>166</v>
      </c>
      <c r="S32" t="s">
        <v>219</v>
      </c>
      <c r="T32" t="s">
        <v>259</v>
      </c>
      <c r="U32">
        <v>3.1653101868111396E-3</v>
      </c>
      <c r="V32" t="s">
        <v>166</v>
      </c>
      <c r="X32">
        <v>3.5388127853881279E-3</v>
      </c>
      <c r="Y32">
        <v>6.8849497385409693E-3</v>
      </c>
      <c r="Z32" t="s">
        <v>259</v>
      </c>
      <c r="AA32" t="s">
        <v>25</v>
      </c>
      <c r="AC32" t="s">
        <v>22</v>
      </c>
      <c r="AD32" t="s">
        <v>259</v>
      </c>
      <c r="AE32">
        <v>3.6036914258858362E-3</v>
      </c>
      <c r="AG32" t="s">
        <v>96</v>
      </c>
      <c r="AH32" t="s">
        <v>259</v>
      </c>
      <c r="AI32">
        <v>6.3956532184901382E-2</v>
      </c>
      <c r="AK32">
        <v>2025</v>
      </c>
      <c r="AL32" t="s">
        <v>155</v>
      </c>
      <c r="AM32">
        <v>0.34760000000000002</v>
      </c>
      <c r="AN32" t="s">
        <v>238</v>
      </c>
    </row>
    <row r="33" spans="9:40" x14ac:dyDescent="0.45">
      <c r="I33" t="s">
        <v>164</v>
      </c>
      <c r="J33" t="s">
        <v>260</v>
      </c>
      <c r="K33">
        <v>5.6000630766053997E-3</v>
      </c>
      <c r="L33" t="s">
        <v>166</v>
      </c>
      <c r="N33" t="s">
        <v>197</v>
      </c>
      <c r="O33" t="s">
        <v>260</v>
      </c>
      <c r="P33">
        <v>2.797572637191533E-3</v>
      </c>
      <c r="Q33" t="s">
        <v>166</v>
      </c>
      <c r="S33" t="s">
        <v>219</v>
      </c>
      <c r="T33" t="s">
        <v>260</v>
      </c>
      <c r="U33">
        <v>3.1662342433189761E-3</v>
      </c>
      <c r="V33" t="s">
        <v>166</v>
      </c>
      <c r="X33">
        <v>3.5388127853881279E-3</v>
      </c>
      <c r="Y33">
        <v>6.8849497385409693E-3</v>
      </c>
      <c r="Z33" t="s">
        <v>260</v>
      </c>
      <c r="AA33" t="s">
        <v>25</v>
      </c>
      <c r="AC33" t="s">
        <v>22</v>
      </c>
      <c r="AD33" t="s">
        <v>260</v>
      </c>
      <c r="AE33">
        <v>3.603490787060671E-3</v>
      </c>
      <c r="AG33" t="s">
        <v>96</v>
      </c>
      <c r="AH33" t="s">
        <v>260</v>
      </c>
      <c r="AI33">
        <v>6.3989916240608125E-2</v>
      </c>
      <c r="AK33">
        <v>2025</v>
      </c>
      <c r="AL33" t="s">
        <v>159</v>
      </c>
      <c r="AM33">
        <v>0.40749999999999997</v>
      </c>
      <c r="AN33" t="s">
        <v>238</v>
      </c>
    </row>
    <row r="34" spans="9:40" x14ac:dyDescent="0.45">
      <c r="I34" t="s">
        <v>164</v>
      </c>
      <c r="J34" t="s">
        <v>261</v>
      </c>
      <c r="K34">
        <v>6.3142923030891892E-3</v>
      </c>
      <c r="L34" t="s">
        <v>166</v>
      </c>
      <c r="N34" t="s">
        <v>197</v>
      </c>
      <c r="O34" t="s">
        <v>261</v>
      </c>
      <c r="P34">
        <v>1.8844854578238077E-2</v>
      </c>
      <c r="Q34" t="s">
        <v>166</v>
      </c>
      <c r="S34" t="s">
        <v>219</v>
      </c>
      <c r="T34" t="s">
        <v>261</v>
      </c>
      <c r="U34">
        <v>1.9538163833455014E-2</v>
      </c>
      <c r="V34" t="s">
        <v>166</v>
      </c>
      <c r="X34">
        <v>2.1232876712328767E-2</v>
      </c>
      <c r="Y34">
        <v>1.8702400782305319E-2</v>
      </c>
      <c r="Z34" t="s">
        <v>261</v>
      </c>
      <c r="AA34" t="s">
        <v>25</v>
      </c>
      <c r="AC34" t="s">
        <v>22</v>
      </c>
      <c r="AD34" t="s">
        <v>261</v>
      </c>
      <c r="AE34">
        <v>1.8389644978006263E-2</v>
      </c>
      <c r="AG34" t="s">
        <v>96</v>
      </c>
      <c r="AH34" t="s">
        <v>261</v>
      </c>
      <c r="AI34">
        <v>0.15377043643687904</v>
      </c>
      <c r="AK34">
        <v>2025</v>
      </c>
      <c r="AL34" t="s">
        <v>161</v>
      </c>
      <c r="AM34">
        <v>0.42649999999999999</v>
      </c>
      <c r="AN34" t="s">
        <v>238</v>
      </c>
    </row>
    <row r="35" spans="9:40" x14ac:dyDescent="0.45">
      <c r="I35" t="s">
        <v>164</v>
      </c>
      <c r="J35" t="s">
        <v>262</v>
      </c>
      <c r="K35">
        <v>3.114163963116201E-2</v>
      </c>
      <c r="L35" t="s">
        <v>166</v>
      </c>
      <c r="N35" t="s">
        <v>197</v>
      </c>
      <c r="O35" t="s">
        <v>262</v>
      </c>
      <c r="P35">
        <v>0.12085401714545509</v>
      </c>
      <c r="Q35" t="s">
        <v>166</v>
      </c>
      <c r="S35" t="s">
        <v>219</v>
      </c>
      <c r="T35" t="s">
        <v>262</v>
      </c>
      <c r="U35">
        <v>0.12364272881550296</v>
      </c>
      <c r="V35" t="s">
        <v>166</v>
      </c>
      <c r="X35">
        <v>0.13972602739726028</v>
      </c>
      <c r="Y35">
        <v>7.7445242771548628E-2</v>
      </c>
      <c r="Z35" t="s">
        <v>262</v>
      </c>
      <c r="AA35" t="s">
        <v>25</v>
      </c>
      <c r="AC35" t="s">
        <v>22</v>
      </c>
      <c r="AD35" t="s">
        <v>262</v>
      </c>
      <c r="AE35">
        <v>9.5526991700122507E-2</v>
      </c>
      <c r="AG35" t="s">
        <v>96</v>
      </c>
      <c r="AH35" t="s">
        <v>262</v>
      </c>
      <c r="AI35">
        <v>0.34461213847512817</v>
      </c>
      <c r="AK35">
        <v>2025</v>
      </c>
      <c r="AL35" t="s">
        <v>240</v>
      </c>
      <c r="AM35">
        <v>0.50790000000000002</v>
      </c>
      <c r="AN35" t="s">
        <v>238</v>
      </c>
    </row>
    <row r="36" spans="9:40" x14ac:dyDescent="0.45">
      <c r="I36" t="s">
        <v>164</v>
      </c>
      <c r="J36" t="s">
        <v>263</v>
      </c>
      <c r="K36">
        <v>3.2174073490805297E-2</v>
      </c>
      <c r="L36" t="s">
        <v>166</v>
      </c>
      <c r="N36" t="s">
        <v>197</v>
      </c>
      <c r="O36" t="s">
        <v>263</v>
      </c>
      <c r="P36">
        <v>1.4027409570923082E-2</v>
      </c>
      <c r="Q36" t="s">
        <v>166</v>
      </c>
      <c r="S36" t="s">
        <v>219</v>
      </c>
      <c r="T36" t="s">
        <v>263</v>
      </c>
      <c r="U36">
        <v>1.5712656966338567E-2</v>
      </c>
      <c r="V36" t="s">
        <v>166</v>
      </c>
      <c r="X36">
        <v>1.7465753424657535E-2</v>
      </c>
      <c r="Y36">
        <v>2.231559058250256E-2</v>
      </c>
      <c r="Z36" t="s">
        <v>263</v>
      </c>
      <c r="AA36" t="s">
        <v>25</v>
      </c>
      <c r="AC36" t="s">
        <v>22</v>
      </c>
      <c r="AD36" t="s">
        <v>263</v>
      </c>
      <c r="AE36">
        <v>1.7672554093394372E-2</v>
      </c>
      <c r="AG36" t="s">
        <v>96</v>
      </c>
      <c r="AH36" t="s">
        <v>263</v>
      </c>
      <c r="AI36">
        <v>9.406070204999617E-2</v>
      </c>
      <c r="AK36">
        <v>2025</v>
      </c>
      <c r="AL36" t="s">
        <v>242</v>
      </c>
      <c r="AM36">
        <v>0.41868</v>
      </c>
      <c r="AN36" t="s">
        <v>238</v>
      </c>
    </row>
    <row r="37" spans="9:40" x14ac:dyDescent="0.45">
      <c r="I37" t="s">
        <v>164</v>
      </c>
      <c r="J37" t="s">
        <v>264</v>
      </c>
      <c r="K37">
        <v>0.34253411424473995</v>
      </c>
      <c r="L37" t="s">
        <v>166</v>
      </c>
      <c r="N37" t="s">
        <v>197</v>
      </c>
      <c r="O37" t="s">
        <v>264</v>
      </c>
      <c r="P37">
        <v>9.6845073381532018E-2</v>
      </c>
      <c r="Q37" t="s">
        <v>166</v>
      </c>
      <c r="S37" t="s">
        <v>219</v>
      </c>
      <c r="T37" t="s">
        <v>264</v>
      </c>
      <c r="U37">
        <v>0.10947831253973879</v>
      </c>
      <c r="V37" t="s">
        <v>166</v>
      </c>
      <c r="X37">
        <v>0.12226027397260274</v>
      </c>
      <c r="Y37">
        <v>0.15915073465430229</v>
      </c>
      <c r="Z37" t="s">
        <v>264</v>
      </c>
      <c r="AA37" t="s">
        <v>25</v>
      </c>
      <c r="AC37" t="s">
        <v>22</v>
      </c>
      <c r="AD37" t="s">
        <v>264</v>
      </c>
      <c r="AE37">
        <v>0.12406023195970857</v>
      </c>
      <c r="AG37" t="s">
        <v>96</v>
      </c>
      <c r="AH37" t="s">
        <v>264</v>
      </c>
      <c r="AI37">
        <v>9.8242722718917319E-2</v>
      </c>
      <c r="AK37">
        <v>2025</v>
      </c>
      <c r="AL37" t="s">
        <v>244</v>
      </c>
      <c r="AM37">
        <v>0.33</v>
      </c>
      <c r="AN37" t="s">
        <v>238</v>
      </c>
    </row>
    <row r="38" spans="9:40" x14ac:dyDescent="0.45">
      <c r="I38" t="s">
        <v>164</v>
      </c>
      <c r="J38" t="s">
        <v>265</v>
      </c>
      <c r="K38">
        <v>4.0895116874102293E-2</v>
      </c>
      <c r="L38" t="s">
        <v>166</v>
      </c>
      <c r="N38" t="s">
        <v>197</v>
      </c>
      <c r="O38" t="s">
        <v>265</v>
      </c>
      <c r="P38">
        <v>1.467394066616457E-2</v>
      </c>
      <c r="Q38" t="s">
        <v>166</v>
      </c>
      <c r="S38" t="s">
        <v>219</v>
      </c>
      <c r="T38" t="s">
        <v>265</v>
      </c>
      <c r="U38">
        <v>1.6094725290339104E-2</v>
      </c>
      <c r="V38" t="s">
        <v>166</v>
      </c>
      <c r="X38">
        <v>1.7465753424657535E-2</v>
      </c>
      <c r="Y38">
        <v>3.3980558386992522E-2</v>
      </c>
      <c r="Z38" t="s">
        <v>265</v>
      </c>
      <c r="AA38" t="s">
        <v>25</v>
      </c>
      <c r="AC38" t="s">
        <v>22</v>
      </c>
      <c r="AD38" t="s">
        <v>265</v>
      </c>
      <c r="AE38">
        <v>1.7553795972779219E-2</v>
      </c>
      <c r="AG38" t="s">
        <v>96</v>
      </c>
      <c r="AH38" t="s">
        <v>265</v>
      </c>
      <c r="AI38">
        <v>8.2952052149277034E-2</v>
      </c>
      <c r="AK38">
        <v>2025</v>
      </c>
      <c r="AL38" t="s">
        <v>246</v>
      </c>
      <c r="AM38">
        <v>0.37540000000000001</v>
      </c>
      <c r="AN38" t="s">
        <v>238</v>
      </c>
    </row>
    <row r="39" spans="9:40" x14ac:dyDescent="0.45">
      <c r="I39" t="s">
        <v>164</v>
      </c>
      <c r="J39" t="s">
        <v>266</v>
      </c>
      <c r="K39">
        <v>3.2906039012843578E-2</v>
      </c>
      <c r="L39" t="s">
        <v>166</v>
      </c>
      <c r="N39" t="s">
        <v>197</v>
      </c>
      <c r="O39" t="s">
        <v>266</v>
      </c>
      <c r="P39">
        <v>1.4305788885727573E-2</v>
      </c>
      <c r="Q39" t="s">
        <v>166</v>
      </c>
      <c r="S39" t="s">
        <v>219</v>
      </c>
      <c r="T39" t="s">
        <v>266</v>
      </c>
      <c r="U39">
        <v>1.5919657399167939E-2</v>
      </c>
      <c r="V39" t="s">
        <v>166</v>
      </c>
      <c r="X39">
        <v>1.7465753424657535E-2</v>
      </c>
      <c r="Y39">
        <v>3.3980558386992522E-2</v>
      </c>
      <c r="Z39" t="s">
        <v>266</v>
      </c>
      <c r="AA39" t="s">
        <v>25</v>
      </c>
      <c r="AC39" t="s">
        <v>22</v>
      </c>
      <c r="AD39" t="s">
        <v>266</v>
      </c>
      <c r="AE39">
        <v>1.7576081213717187E-2</v>
      </c>
      <c r="AG39" t="s">
        <v>96</v>
      </c>
      <c r="AH39" t="s">
        <v>266</v>
      </c>
      <c r="AI39">
        <v>9.4224041312725104E-2</v>
      </c>
      <c r="AK39">
        <v>2026</v>
      </c>
      <c r="AL39" t="s">
        <v>155</v>
      </c>
      <c r="AM39">
        <v>0.27544999999999997</v>
      </c>
      <c r="AN39" t="s">
        <v>238</v>
      </c>
    </row>
    <row r="40" spans="9:40" x14ac:dyDescent="0.45">
      <c r="I40" t="s">
        <v>164</v>
      </c>
      <c r="J40" t="s">
        <v>267</v>
      </c>
      <c r="K40">
        <v>3.6993775965006588E-2</v>
      </c>
      <c r="L40" t="s">
        <v>166</v>
      </c>
      <c r="N40" t="s">
        <v>197</v>
      </c>
      <c r="O40" t="s">
        <v>267</v>
      </c>
      <c r="P40">
        <v>9.5511197534975598E-2</v>
      </c>
      <c r="Q40" t="s">
        <v>166</v>
      </c>
      <c r="S40" t="s">
        <v>219</v>
      </c>
      <c r="T40" t="s">
        <v>267</v>
      </c>
      <c r="U40">
        <v>9.3655874163763031E-2</v>
      </c>
      <c r="V40" t="s">
        <v>166</v>
      </c>
      <c r="X40">
        <v>0.10479452054794521</v>
      </c>
      <c r="Y40">
        <v>9.2305397409442366E-2</v>
      </c>
      <c r="Z40" t="s">
        <v>267</v>
      </c>
      <c r="AA40" t="s">
        <v>25</v>
      </c>
      <c r="AC40" t="s">
        <v>22</v>
      </c>
      <c r="AD40" t="s">
        <v>267</v>
      </c>
      <c r="AE40">
        <v>9.0659795267918522E-2</v>
      </c>
      <c r="AG40" t="s">
        <v>96</v>
      </c>
      <c r="AH40" t="s">
        <v>267</v>
      </c>
      <c r="AI40">
        <v>0.18128369904320696</v>
      </c>
      <c r="AK40">
        <v>2026</v>
      </c>
      <c r="AL40" t="s">
        <v>159</v>
      </c>
      <c r="AM40">
        <v>0.3281</v>
      </c>
      <c r="AN40" t="s">
        <v>238</v>
      </c>
    </row>
    <row r="41" spans="9:40" x14ac:dyDescent="0.45">
      <c r="I41" t="s">
        <v>164</v>
      </c>
      <c r="J41" t="s">
        <v>268</v>
      </c>
      <c r="K41">
        <v>0</v>
      </c>
      <c r="L41" t="s">
        <v>166</v>
      </c>
      <c r="N41" t="s">
        <v>197</v>
      </c>
      <c r="O41" t="s">
        <v>268</v>
      </c>
      <c r="P41">
        <v>3.2512322869425313E-2</v>
      </c>
      <c r="Q41" t="s">
        <v>166</v>
      </c>
      <c r="S41" t="s">
        <v>219</v>
      </c>
      <c r="T41" t="s">
        <v>268</v>
      </c>
      <c r="U41">
        <v>3.1311476352637771E-2</v>
      </c>
      <c r="V41" t="s">
        <v>166</v>
      </c>
      <c r="X41">
        <v>2.7397260273972601E-2</v>
      </c>
      <c r="Y41">
        <v>1.5185341719911493E-2</v>
      </c>
      <c r="Z41" t="s">
        <v>268</v>
      </c>
      <c r="AA41" t="s">
        <v>25</v>
      </c>
      <c r="AC41" t="s">
        <v>22</v>
      </c>
      <c r="AD41" t="s">
        <v>268</v>
      </c>
      <c r="AE41">
        <v>2.2919471767299051E-2</v>
      </c>
      <c r="AG41" t="s">
        <v>96</v>
      </c>
      <c r="AH41" t="s">
        <v>268</v>
      </c>
      <c r="AI41">
        <v>0.29355900960118486</v>
      </c>
      <c r="AK41">
        <v>2026</v>
      </c>
      <c r="AL41" t="s">
        <v>161</v>
      </c>
      <c r="AM41">
        <v>0.34150000000000003</v>
      </c>
      <c r="AN41" t="s">
        <v>238</v>
      </c>
    </row>
    <row r="42" spans="9:40" x14ac:dyDescent="0.45">
      <c r="I42" t="s">
        <v>164</v>
      </c>
      <c r="J42" t="s">
        <v>269</v>
      </c>
      <c r="K42">
        <v>9.1494201095883721E-4</v>
      </c>
      <c r="L42" t="s">
        <v>166</v>
      </c>
      <c r="N42" t="s">
        <v>197</v>
      </c>
      <c r="O42" t="s">
        <v>269</v>
      </c>
      <c r="P42">
        <v>4.3919060880664093E-3</v>
      </c>
      <c r="Q42" t="s">
        <v>166</v>
      </c>
      <c r="S42" t="s">
        <v>219</v>
      </c>
      <c r="T42" t="s">
        <v>269</v>
      </c>
      <c r="U42">
        <v>3.9289448907688738E-3</v>
      </c>
      <c r="V42" t="s">
        <v>166</v>
      </c>
      <c r="X42">
        <v>3.4246575342465752E-3</v>
      </c>
      <c r="Y42">
        <v>4.3756059965691279E-3</v>
      </c>
      <c r="Z42" t="s">
        <v>269</v>
      </c>
      <c r="AA42" t="s">
        <v>25</v>
      </c>
      <c r="AC42" t="s">
        <v>22</v>
      </c>
      <c r="AD42" t="s">
        <v>269</v>
      </c>
      <c r="AE42">
        <v>4.0647792252521209E-3</v>
      </c>
      <c r="AG42" t="s">
        <v>96</v>
      </c>
      <c r="AH42" t="s">
        <v>269</v>
      </c>
      <c r="AI42">
        <v>9.8207429969362936E-2</v>
      </c>
      <c r="AK42">
        <v>2026</v>
      </c>
      <c r="AL42" t="s">
        <v>240</v>
      </c>
      <c r="AM42">
        <v>0.4375</v>
      </c>
      <c r="AN42" t="s">
        <v>238</v>
      </c>
    </row>
    <row r="43" spans="9:40" x14ac:dyDescent="0.45">
      <c r="I43" t="s">
        <v>164</v>
      </c>
      <c r="J43" t="s">
        <v>270</v>
      </c>
      <c r="K43">
        <v>3.3046543241217016E-2</v>
      </c>
      <c r="L43" t="s">
        <v>166</v>
      </c>
      <c r="N43" t="s">
        <v>197</v>
      </c>
      <c r="O43" t="s">
        <v>270</v>
      </c>
      <c r="P43">
        <v>2.9422077829465092E-2</v>
      </c>
      <c r="Q43" t="s">
        <v>166</v>
      </c>
      <c r="S43" t="s">
        <v>219</v>
      </c>
      <c r="T43" t="s">
        <v>270</v>
      </c>
      <c r="U43">
        <v>2.6960231124355933E-2</v>
      </c>
      <c r="V43" t="s">
        <v>166</v>
      </c>
      <c r="X43">
        <v>2.3972602739726026E-2</v>
      </c>
      <c r="Y43">
        <v>3.1206026402804371E-2</v>
      </c>
      <c r="Z43" t="s">
        <v>270</v>
      </c>
      <c r="AA43" t="s">
        <v>25</v>
      </c>
      <c r="AC43" t="s">
        <v>22</v>
      </c>
      <c r="AD43" t="s">
        <v>270</v>
      </c>
      <c r="AE43">
        <v>2.8509633447811045E-2</v>
      </c>
      <c r="AG43" t="s">
        <v>96</v>
      </c>
      <c r="AH43" t="s">
        <v>270</v>
      </c>
      <c r="AI43">
        <v>0.10641818007322779</v>
      </c>
      <c r="AK43">
        <v>2026</v>
      </c>
      <c r="AL43" t="s">
        <v>242</v>
      </c>
      <c r="AM43">
        <v>0.32382</v>
      </c>
      <c r="AN43" t="s">
        <v>238</v>
      </c>
    </row>
    <row r="44" spans="9:40" x14ac:dyDescent="0.45">
      <c r="I44" t="s">
        <v>164</v>
      </c>
      <c r="J44" t="s">
        <v>271</v>
      </c>
      <c r="K44">
        <v>2.9204767250718172E-3</v>
      </c>
      <c r="L44" t="s">
        <v>166</v>
      </c>
      <c r="N44" t="s">
        <v>197</v>
      </c>
      <c r="O44" t="s">
        <v>271</v>
      </c>
      <c r="P44">
        <v>4.1532813220423433E-3</v>
      </c>
      <c r="Q44" t="s">
        <v>166</v>
      </c>
      <c r="S44" t="s">
        <v>219</v>
      </c>
      <c r="T44" t="s">
        <v>271</v>
      </c>
      <c r="U44">
        <v>3.9302571627991114E-3</v>
      </c>
      <c r="V44" t="s">
        <v>166</v>
      </c>
      <c r="X44">
        <v>3.4246575342465752E-3</v>
      </c>
      <c r="Y44">
        <v>6.662854585684809E-3</v>
      </c>
      <c r="Z44" t="s">
        <v>271</v>
      </c>
      <c r="AA44" t="s">
        <v>25</v>
      </c>
      <c r="AC44" t="s">
        <v>22</v>
      </c>
      <c r="AD44" t="s">
        <v>271</v>
      </c>
      <c r="AE44">
        <v>4.1594520880406842E-3</v>
      </c>
      <c r="AG44" t="s">
        <v>96</v>
      </c>
      <c r="AH44" t="s">
        <v>271</v>
      </c>
      <c r="AI44">
        <v>8.317484755177218E-2</v>
      </c>
      <c r="AK44">
        <v>2026</v>
      </c>
      <c r="AL44" t="s">
        <v>244</v>
      </c>
      <c r="AM44">
        <v>0.29559999999999997</v>
      </c>
      <c r="AN44" t="s">
        <v>238</v>
      </c>
    </row>
    <row r="45" spans="9:40" x14ac:dyDescent="0.45">
      <c r="I45" t="s">
        <v>164</v>
      </c>
      <c r="J45" t="s">
        <v>272</v>
      </c>
      <c r="K45">
        <v>4.7088417508202844E-4</v>
      </c>
      <c r="L45" t="s">
        <v>166</v>
      </c>
      <c r="N45" t="s">
        <v>197</v>
      </c>
      <c r="O45" t="s">
        <v>272</v>
      </c>
      <c r="P45">
        <v>4.1747243249090019E-3</v>
      </c>
      <c r="Q45" t="s">
        <v>166</v>
      </c>
      <c r="S45" t="s">
        <v>219</v>
      </c>
      <c r="T45" t="s">
        <v>272</v>
      </c>
      <c r="U45">
        <v>4.0173065002066383E-3</v>
      </c>
      <c r="V45" t="s">
        <v>166</v>
      </c>
      <c r="X45">
        <v>3.4246575342465752E-3</v>
      </c>
      <c r="Y45">
        <v>6.662854585684809E-3</v>
      </c>
      <c r="Z45" t="s">
        <v>272</v>
      </c>
      <c r="AA45" t="s">
        <v>25</v>
      </c>
      <c r="AC45" t="s">
        <v>22</v>
      </c>
      <c r="AD45" t="s">
        <v>272</v>
      </c>
      <c r="AE45">
        <v>4.1914023878137424E-3</v>
      </c>
      <c r="AG45" t="s">
        <v>96</v>
      </c>
      <c r="AH45" t="s">
        <v>272</v>
      </c>
      <c r="AI45">
        <v>8.3920125831570491E-2</v>
      </c>
      <c r="AK45">
        <v>2026</v>
      </c>
      <c r="AL45" t="s">
        <v>246</v>
      </c>
      <c r="AM45">
        <v>0.32519999999999999</v>
      </c>
      <c r="AN45" t="s">
        <v>238</v>
      </c>
    </row>
    <row r="46" spans="9:40" x14ac:dyDescent="0.45">
      <c r="I46" t="s">
        <v>164</v>
      </c>
      <c r="J46" t="s">
        <v>273</v>
      </c>
      <c r="K46">
        <v>0</v>
      </c>
      <c r="L46" t="s">
        <v>166</v>
      </c>
      <c r="N46" t="s">
        <v>197</v>
      </c>
      <c r="O46" t="s">
        <v>273</v>
      </c>
      <c r="P46">
        <v>2.3859822468810549E-2</v>
      </c>
      <c r="Q46" t="s">
        <v>166</v>
      </c>
      <c r="S46" t="s">
        <v>219</v>
      </c>
      <c r="T46" t="s">
        <v>273</v>
      </c>
      <c r="U46">
        <v>2.4490623109313412E-2</v>
      </c>
      <c r="V46" t="s">
        <v>166</v>
      </c>
      <c r="X46">
        <v>2.0547945205479451E-2</v>
      </c>
      <c r="Y46">
        <v>1.8099097531263209E-2</v>
      </c>
      <c r="Z46" t="s">
        <v>273</v>
      </c>
      <c r="AA46" t="s">
        <v>25</v>
      </c>
      <c r="AC46" t="s">
        <v>22</v>
      </c>
      <c r="AD46" t="s">
        <v>273</v>
      </c>
      <c r="AE46">
        <v>2.1718542337258902E-2</v>
      </c>
      <c r="AG46" t="s">
        <v>96</v>
      </c>
      <c r="AH46" t="s">
        <v>273</v>
      </c>
      <c r="AI46">
        <v>0.18965932033405553</v>
      </c>
      <c r="AK46">
        <v>2027</v>
      </c>
      <c r="AL46" t="s">
        <v>155</v>
      </c>
      <c r="AM46">
        <v>0.29010000000000002</v>
      </c>
      <c r="AN46" t="s">
        <v>238</v>
      </c>
    </row>
    <row r="47" spans="9:40" x14ac:dyDescent="0.45">
      <c r="I47" t="s">
        <v>164</v>
      </c>
      <c r="J47" t="s">
        <v>274</v>
      </c>
      <c r="K47">
        <v>0</v>
      </c>
      <c r="L47" t="s">
        <v>166</v>
      </c>
      <c r="N47" t="s">
        <v>197</v>
      </c>
      <c r="O47" t="s">
        <v>274</v>
      </c>
      <c r="P47">
        <v>4.6779082381651425E-2</v>
      </c>
      <c r="Q47" t="s">
        <v>166</v>
      </c>
      <c r="S47" t="s">
        <v>219</v>
      </c>
      <c r="T47" t="s">
        <v>274</v>
      </c>
      <c r="U47">
        <v>4.0854212466271148E-2</v>
      </c>
      <c r="V47" t="s">
        <v>166</v>
      </c>
      <c r="X47">
        <v>2.8310502283105023E-2</v>
      </c>
      <c r="Y47">
        <v>1.5691519777241876E-2</v>
      </c>
      <c r="Z47" t="s">
        <v>274</v>
      </c>
      <c r="AA47" t="s">
        <v>25</v>
      </c>
      <c r="AC47" t="s">
        <v>22</v>
      </c>
      <c r="AD47" t="s">
        <v>274</v>
      </c>
      <c r="AE47">
        <v>2.4942998885035525E-2</v>
      </c>
      <c r="AG47" t="s">
        <v>96</v>
      </c>
      <c r="AH47" t="s">
        <v>274</v>
      </c>
      <c r="AI47">
        <v>0.26445797953675454</v>
      </c>
      <c r="AK47">
        <v>2027</v>
      </c>
      <c r="AL47" t="s">
        <v>159</v>
      </c>
      <c r="AM47">
        <v>0.31219999999999998</v>
      </c>
      <c r="AN47" t="s">
        <v>238</v>
      </c>
    </row>
    <row r="48" spans="9:40" x14ac:dyDescent="0.45">
      <c r="I48" t="s">
        <v>164</v>
      </c>
      <c r="J48" t="s">
        <v>275</v>
      </c>
      <c r="K48">
        <v>0</v>
      </c>
      <c r="L48" t="s">
        <v>166</v>
      </c>
      <c r="N48" t="s">
        <v>197</v>
      </c>
      <c r="O48" t="s">
        <v>275</v>
      </c>
      <c r="P48">
        <v>6.2849470977450143E-3</v>
      </c>
      <c r="Q48" t="s">
        <v>166</v>
      </c>
      <c r="S48" t="s">
        <v>219</v>
      </c>
      <c r="T48" t="s">
        <v>275</v>
      </c>
      <c r="U48">
        <v>4.8334434588756213E-3</v>
      </c>
      <c r="V48" t="s">
        <v>166</v>
      </c>
      <c r="X48">
        <v>3.5388127853881279E-3</v>
      </c>
      <c r="Y48">
        <v>4.521459529788099E-3</v>
      </c>
      <c r="Z48" t="s">
        <v>275</v>
      </c>
      <c r="AA48" t="s">
        <v>25</v>
      </c>
      <c r="AC48" t="s">
        <v>22</v>
      </c>
      <c r="AD48" t="s">
        <v>275</v>
      </c>
      <c r="AE48">
        <v>4.3968656823916716E-3</v>
      </c>
      <c r="AG48" t="s">
        <v>96</v>
      </c>
      <c r="AH48" t="s">
        <v>275</v>
      </c>
      <c r="AI48">
        <v>6.750385296878858E-2</v>
      </c>
      <c r="AK48">
        <v>2027</v>
      </c>
      <c r="AL48" t="s">
        <v>161</v>
      </c>
      <c r="AM48">
        <v>0.31609999999999999</v>
      </c>
      <c r="AN48" t="s">
        <v>238</v>
      </c>
    </row>
    <row r="49" spans="9:40" x14ac:dyDescent="0.45">
      <c r="I49" t="s">
        <v>164</v>
      </c>
      <c r="J49" t="s">
        <v>276</v>
      </c>
      <c r="K49">
        <v>4.4693847952333401E-2</v>
      </c>
      <c r="L49" t="s">
        <v>166</v>
      </c>
      <c r="N49" t="s">
        <v>197</v>
      </c>
      <c r="O49" t="s">
        <v>276</v>
      </c>
      <c r="P49">
        <v>4.1510731064842384E-2</v>
      </c>
      <c r="Q49" t="s">
        <v>166</v>
      </c>
      <c r="S49" t="s">
        <v>219</v>
      </c>
      <c r="T49" t="s">
        <v>276</v>
      </c>
      <c r="U49">
        <v>3.4352865502644603E-2</v>
      </c>
      <c r="V49" t="s">
        <v>166</v>
      </c>
      <c r="X49">
        <v>2.4771689497716895E-2</v>
      </c>
      <c r="Y49">
        <v>3.2246227282897846E-2</v>
      </c>
      <c r="Z49" t="s">
        <v>276</v>
      </c>
      <c r="AA49" t="s">
        <v>25</v>
      </c>
      <c r="AC49" t="s">
        <v>22</v>
      </c>
      <c r="AD49" t="s">
        <v>276</v>
      </c>
      <c r="AE49">
        <v>3.0675490343048433E-2</v>
      </c>
      <c r="AG49" t="s">
        <v>96</v>
      </c>
      <c r="AH49" t="s">
        <v>276</v>
      </c>
      <c r="AI49">
        <v>8.5594267559709225E-2</v>
      </c>
      <c r="AK49">
        <v>2027</v>
      </c>
      <c r="AL49" t="s">
        <v>240</v>
      </c>
      <c r="AM49">
        <v>0.43209999999999998</v>
      </c>
      <c r="AN49" t="s">
        <v>238</v>
      </c>
    </row>
    <row r="50" spans="9:40" x14ac:dyDescent="0.45">
      <c r="I50" t="s">
        <v>164</v>
      </c>
      <c r="J50" t="s">
        <v>277</v>
      </c>
      <c r="K50">
        <v>4.3754440572870094E-3</v>
      </c>
      <c r="L50" t="s">
        <v>166</v>
      </c>
      <c r="N50" t="s">
        <v>197</v>
      </c>
      <c r="O50" t="s">
        <v>277</v>
      </c>
      <c r="P50">
        <v>5.8981267065676317E-3</v>
      </c>
      <c r="Q50" t="s">
        <v>166</v>
      </c>
      <c r="S50" t="s">
        <v>219</v>
      </c>
      <c r="T50" t="s">
        <v>277</v>
      </c>
      <c r="U50">
        <v>5.026683031236513E-3</v>
      </c>
      <c r="V50" t="s">
        <v>166</v>
      </c>
      <c r="X50">
        <v>3.5388127853881279E-3</v>
      </c>
      <c r="Y50">
        <v>6.8849497385409693E-3</v>
      </c>
      <c r="Z50" t="s">
        <v>277</v>
      </c>
      <c r="AA50" t="s">
        <v>25</v>
      </c>
      <c r="AC50" t="s">
        <v>22</v>
      </c>
      <c r="AD50" t="s">
        <v>277</v>
      </c>
      <c r="AE50">
        <v>4.467192456880929E-3</v>
      </c>
      <c r="AG50" t="s">
        <v>96</v>
      </c>
      <c r="AH50" t="s">
        <v>277</v>
      </c>
      <c r="AI50">
        <v>7.3382032846391221E-2</v>
      </c>
      <c r="AK50">
        <v>2027</v>
      </c>
      <c r="AL50" t="s">
        <v>242</v>
      </c>
      <c r="AM50">
        <v>0.33560000000000001</v>
      </c>
      <c r="AN50" t="s">
        <v>238</v>
      </c>
    </row>
    <row r="51" spans="9:40" x14ac:dyDescent="0.45">
      <c r="I51" t="s">
        <v>164</v>
      </c>
      <c r="J51" t="s">
        <v>278</v>
      </c>
      <c r="K51">
        <v>0</v>
      </c>
      <c r="L51" t="s">
        <v>166</v>
      </c>
      <c r="N51" t="s">
        <v>197</v>
      </c>
      <c r="O51" t="s">
        <v>278</v>
      </c>
      <c r="P51">
        <v>6.0534898519671526E-3</v>
      </c>
      <c r="Q51" t="s">
        <v>166</v>
      </c>
      <c r="S51" t="s">
        <v>219</v>
      </c>
      <c r="T51" t="s">
        <v>278</v>
      </c>
      <c r="U51">
        <v>4.9402965148134083E-3</v>
      </c>
      <c r="V51" t="s">
        <v>166</v>
      </c>
      <c r="X51">
        <v>3.5388127853881279E-3</v>
      </c>
      <c r="Y51">
        <v>6.8849497385409693E-3</v>
      </c>
      <c r="Z51" t="s">
        <v>278</v>
      </c>
      <c r="AA51" t="s">
        <v>25</v>
      </c>
      <c r="AC51" t="s">
        <v>22</v>
      </c>
      <c r="AD51" t="s">
        <v>278</v>
      </c>
      <c r="AE51">
        <v>4.4859837159920953E-3</v>
      </c>
      <c r="AG51" t="s">
        <v>96</v>
      </c>
      <c r="AH51" t="s">
        <v>278</v>
      </c>
      <c r="AI51">
        <v>7.2204719550229779E-2</v>
      </c>
      <c r="AK51">
        <v>2027</v>
      </c>
      <c r="AL51" t="s">
        <v>244</v>
      </c>
      <c r="AM51">
        <v>0.27939999999999998</v>
      </c>
      <c r="AN51" t="s">
        <v>238</v>
      </c>
    </row>
    <row r="52" spans="9:40" x14ac:dyDescent="0.45">
      <c r="I52" t="s">
        <v>164</v>
      </c>
      <c r="J52" t="s">
        <v>279</v>
      </c>
      <c r="K52">
        <v>0</v>
      </c>
      <c r="L52" t="s">
        <v>166</v>
      </c>
      <c r="N52" t="s">
        <v>197</v>
      </c>
      <c r="O52" t="s">
        <v>279</v>
      </c>
      <c r="P52">
        <v>3.532117643689632E-2</v>
      </c>
      <c r="Q52" t="s">
        <v>166</v>
      </c>
      <c r="S52" t="s">
        <v>219</v>
      </c>
      <c r="T52" t="s">
        <v>279</v>
      </c>
      <c r="U52">
        <v>2.9801539439317785E-2</v>
      </c>
      <c r="V52" t="s">
        <v>166</v>
      </c>
      <c r="X52">
        <v>2.1232876712328767E-2</v>
      </c>
      <c r="Y52">
        <v>1.8702400782305319E-2</v>
      </c>
      <c r="Z52" t="s">
        <v>279</v>
      </c>
      <c r="AA52" t="s">
        <v>25</v>
      </c>
      <c r="AC52" t="s">
        <v>22</v>
      </c>
      <c r="AD52" t="s">
        <v>279</v>
      </c>
      <c r="AE52">
        <v>2.313533083755422E-2</v>
      </c>
      <c r="AG52" t="s">
        <v>96</v>
      </c>
      <c r="AH52" t="s">
        <v>279</v>
      </c>
      <c r="AI52">
        <v>0.173387686403907</v>
      </c>
      <c r="AK52">
        <v>2027</v>
      </c>
      <c r="AL52" t="s">
        <v>246</v>
      </c>
      <c r="AM52">
        <v>0.30130000000000001</v>
      </c>
      <c r="AN52" t="s">
        <v>238</v>
      </c>
    </row>
    <row r="53" spans="9:40" x14ac:dyDescent="0.45">
      <c r="I53" t="s">
        <v>175</v>
      </c>
      <c r="J53" t="s">
        <v>165</v>
      </c>
      <c r="K53">
        <v>0</v>
      </c>
      <c r="L53" t="s">
        <v>166</v>
      </c>
      <c r="N53" t="s">
        <v>198</v>
      </c>
      <c r="O53" t="s">
        <v>165</v>
      </c>
      <c r="P53">
        <v>6.2165811645563951E-2</v>
      </c>
      <c r="Q53" t="s">
        <v>166</v>
      </c>
      <c r="S53" t="s">
        <v>220</v>
      </c>
      <c r="T53" t="s">
        <v>165</v>
      </c>
      <c r="U53">
        <v>5.5292339525515224E-2</v>
      </c>
      <c r="V53" t="s">
        <v>166</v>
      </c>
      <c r="AC53" t="s">
        <v>19</v>
      </c>
      <c r="AD53" t="s">
        <v>165</v>
      </c>
      <c r="AE53">
        <v>5.3250607527923946E-2</v>
      </c>
      <c r="AK53">
        <v>2028</v>
      </c>
      <c r="AL53" t="s">
        <v>155</v>
      </c>
      <c r="AM53">
        <v>0.28249999999999997</v>
      </c>
      <c r="AN53" t="s">
        <v>238</v>
      </c>
    </row>
    <row r="54" spans="9:40" x14ac:dyDescent="0.45">
      <c r="I54" t="s">
        <v>175</v>
      </c>
      <c r="J54" t="s">
        <v>167</v>
      </c>
      <c r="K54">
        <v>3.3642232026335171E-4</v>
      </c>
      <c r="L54" t="s">
        <v>166</v>
      </c>
      <c r="N54" t="s">
        <v>198</v>
      </c>
      <c r="O54" t="s">
        <v>167</v>
      </c>
      <c r="P54">
        <v>7.7963564224585707E-3</v>
      </c>
      <c r="Q54" t="s">
        <v>166</v>
      </c>
      <c r="S54" t="s">
        <v>220</v>
      </c>
      <c r="T54" t="s">
        <v>167</v>
      </c>
      <c r="U54">
        <v>6.8849962840303053E-3</v>
      </c>
      <c r="V54" t="s">
        <v>166</v>
      </c>
      <c r="AC54" t="s">
        <v>19</v>
      </c>
      <c r="AD54" t="s">
        <v>167</v>
      </c>
      <c r="AE54">
        <v>6.8029382163175564E-3</v>
      </c>
      <c r="AK54">
        <v>2028</v>
      </c>
      <c r="AL54" t="s">
        <v>159</v>
      </c>
      <c r="AM54">
        <v>0.33329999999999999</v>
      </c>
      <c r="AN54" t="s">
        <v>238</v>
      </c>
    </row>
    <row r="55" spans="9:40" x14ac:dyDescent="0.45">
      <c r="I55" t="s">
        <v>175</v>
      </c>
      <c r="J55" t="s">
        <v>168</v>
      </c>
      <c r="K55">
        <v>5.9442503691999576E-2</v>
      </c>
      <c r="L55" t="s">
        <v>166</v>
      </c>
      <c r="N55" t="s">
        <v>198</v>
      </c>
      <c r="O55" t="s">
        <v>168</v>
      </c>
      <c r="P55">
        <v>5.3889997059363592E-2</v>
      </c>
      <c r="Q55" t="s">
        <v>166</v>
      </c>
      <c r="S55" t="s">
        <v>220</v>
      </c>
      <c r="T55" t="s">
        <v>168</v>
      </c>
      <c r="U55">
        <v>4.9135823961661024E-2</v>
      </c>
      <c r="V55" t="s">
        <v>166</v>
      </c>
      <c r="AC55" t="s">
        <v>19</v>
      </c>
      <c r="AD55" t="s">
        <v>168</v>
      </c>
      <c r="AE55">
        <v>4.7650057395023968E-2</v>
      </c>
      <c r="AK55">
        <v>2028</v>
      </c>
      <c r="AL55" t="s">
        <v>161</v>
      </c>
      <c r="AM55">
        <v>0.31879999999999997</v>
      </c>
      <c r="AN55" t="s">
        <v>238</v>
      </c>
    </row>
    <row r="56" spans="9:40" x14ac:dyDescent="0.45">
      <c r="I56" t="s">
        <v>175</v>
      </c>
      <c r="J56" t="s">
        <v>247</v>
      </c>
      <c r="K56">
        <v>5.9793939046492829E-3</v>
      </c>
      <c r="L56" t="s">
        <v>166</v>
      </c>
      <c r="N56" t="s">
        <v>198</v>
      </c>
      <c r="O56" t="s">
        <v>247</v>
      </c>
      <c r="P56">
        <v>7.6460782270276985E-3</v>
      </c>
      <c r="Q56" t="s">
        <v>166</v>
      </c>
      <c r="S56" t="s">
        <v>220</v>
      </c>
      <c r="T56" t="s">
        <v>247</v>
      </c>
      <c r="U56">
        <v>7.2389217208901815E-3</v>
      </c>
      <c r="V56" t="s">
        <v>166</v>
      </c>
      <c r="AC56" t="s">
        <v>19</v>
      </c>
      <c r="AD56" t="s">
        <v>247</v>
      </c>
      <c r="AE56">
        <v>6.8199361796253506E-3</v>
      </c>
      <c r="AK56">
        <v>2028</v>
      </c>
      <c r="AL56" t="s">
        <v>240</v>
      </c>
      <c r="AM56">
        <v>0.36699999999999999</v>
      </c>
      <c r="AN56" t="s">
        <v>238</v>
      </c>
    </row>
    <row r="57" spans="9:40" x14ac:dyDescent="0.45">
      <c r="I57" t="s">
        <v>175</v>
      </c>
      <c r="J57" t="s">
        <v>248</v>
      </c>
      <c r="K57">
        <v>2.9024762596950126E-3</v>
      </c>
      <c r="L57" t="s">
        <v>166</v>
      </c>
      <c r="N57" t="s">
        <v>198</v>
      </c>
      <c r="O57" t="s">
        <v>248</v>
      </c>
      <c r="P57">
        <v>7.7491635027386631E-3</v>
      </c>
      <c r="Q57" t="s">
        <v>166</v>
      </c>
      <c r="S57" t="s">
        <v>220</v>
      </c>
      <c r="T57" t="s">
        <v>248</v>
      </c>
      <c r="U57">
        <v>7.3468027974496249E-3</v>
      </c>
      <c r="V57" t="s">
        <v>166</v>
      </c>
      <c r="AC57" t="s">
        <v>19</v>
      </c>
      <c r="AD57" t="s">
        <v>248</v>
      </c>
      <c r="AE57">
        <v>6.8223878568565753E-3</v>
      </c>
      <c r="AK57">
        <v>2028</v>
      </c>
      <c r="AL57" t="s">
        <v>242</v>
      </c>
      <c r="AM57">
        <v>0.35537999999999997</v>
      </c>
      <c r="AN57" t="s">
        <v>238</v>
      </c>
    </row>
    <row r="58" spans="9:40" x14ac:dyDescent="0.45">
      <c r="I58" t="s">
        <v>175</v>
      </c>
      <c r="J58" t="s">
        <v>249</v>
      </c>
      <c r="K58">
        <v>2.3314149723443323E-4</v>
      </c>
      <c r="L58" t="s">
        <v>166</v>
      </c>
      <c r="N58" t="s">
        <v>198</v>
      </c>
      <c r="O58" t="s">
        <v>249</v>
      </c>
      <c r="P58">
        <v>4.6760995227756862E-2</v>
      </c>
      <c r="Q58" t="s">
        <v>166</v>
      </c>
      <c r="S58" t="s">
        <v>220</v>
      </c>
      <c r="T58" t="s">
        <v>249</v>
      </c>
      <c r="U58">
        <v>4.311975959750762E-2</v>
      </c>
      <c r="V58" t="s">
        <v>166</v>
      </c>
      <c r="AC58" t="s">
        <v>19</v>
      </c>
      <c r="AD58" t="s">
        <v>249</v>
      </c>
      <c r="AE58">
        <v>4.0494564167635499E-2</v>
      </c>
      <c r="AK58">
        <v>2028</v>
      </c>
      <c r="AL58" t="s">
        <v>244</v>
      </c>
      <c r="AM58">
        <v>0.27489999999999998</v>
      </c>
      <c r="AN58" t="s">
        <v>238</v>
      </c>
    </row>
    <row r="59" spans="9:40" x14ac:dyDescent="0.45">
      <c r="I59" t="s">
        <v>175</v>
      </c>
      <c r="J59" t="s">
        <v>169</v>
      </c>
      <c r="K59">
        <v>8.3557348143801114E-4</v>
      </c>
      <c r="L59" t="s">
        <v>166</v>
      </c>
      <c r="N59" t="s">
        <v>198</v>
      </c>
      <c r="O59" t="s">
        <v>169</v>
      </c>
      <c r="P59">
        <v>2.5668056908714373E-2</v>
      </c>
      <c r="Q59" t="s">
        <v>166</v>
      </c>
      <c r="S59" t="s">
        <v>220</v>
      </c>
      <c r="T59" t="s">
        <v>169</v>
      </c>
      <c r="U59">
        <v>3.3980491047868343E-2</v>
      </c>
      <c r="V59" t="s">
        <v>166</v>
      </c>
      <c r="AC59" t="s">
        <v>19</v>
      </c>
      <c r="AD59" t="s">
        <v>169</v>
      </c>
      <c r="AE59">
        <v>2.8008611038386283E-2</v>
      </c>
      <c r="AK59">
        <v>2028</v>
      </c>
      <c r="AL59" t="s">
        <v>246</v>
      </c>
      <c r="AM59">
        <v>0.27650000000000002</v>
      </c>
      <c r="AN59" t="s">
        <v>238</v>
      </c>
    </row>
    <row r="60" spans="9:40" x14ac:dyDescent="0.45">
      <c r="I60" t="s">
        <v>175</v>
      </c>
      <c r="J60" t="s">
        <v>170</v>
      </c>
      <c r="K60">
        <v>4.3022118616235618E-3</v>
      </c>
      <c r="L60" t="s">
        <v>166</v>
      </c>
      <c r="N60" t="s">
        <v>198</v>
      </c>
      <c r="O60" t="s">
        <v>170</v>
      </c>
      <c r="P60">
        <v>3.1504509920536566E-3</v>
      </c>
      <c r="Q60" t="s">
        <v>166</v>
      </c>
      <c r="S60" t="s">
        <v>220</v>
      </c>
      <c r="T60" t="s">
        <v>170</v>
      </c>
      <c r="U60">
        <v>4.1944991631269026E-3</v>
      </c>
      <c r="V60" t="s">
        <v>166</v>
      </c>
      <c r="AC60" t="s">
        <v>19</v>
      </c>
      <c r="AD60" t="s">
        <v>170</v>
      </c>
      <c r="AE60">
        <v>3.5811312998755523E-3</v>
      </c>
      <c r="AK60">
        <v>2029</v>
      </c>
      <c r="AL60" t="s">
        <v>155</v>
      </c>
      <c r="AM60">
        <v>0.31220000000000003</v>
      </c>
      <c r="AN60" t="s">
        <v>238</v>
      </c>
    </row>
    <row r="61" spans="9:40" x14ac:dyDescent="0.45">
      <c r="I61" t="s">
        <v>175</v>
      </c>
      <c r="J61" t="s">
        <v>171</v>
      </c>
      <c r="K61">
        <v>6.9952005107459622E-2</v>
      </c>
      <c r="L61" t="s">
        <v>166</v>
      </c>
      <c r="N61" t="s">
        <v>198</v>
      </c>
      <c r="O61" t="s">
        <v>171</v>
      </c>
      <c r="P61">
        <v>2.0380336403156611E-2</v>
      </c>
      <c r="Q61" t="s">
        <v>166</v>
      </c>
      <c r="S61" t="s">
        <v>220</v>
      </c>
      <c r="T61" t="s">
        <v>171</v>
      </c>
      <c r="U61">
        <v>2.847732832144878E-2</v>
      </c>
      <c r="V61" t="s">
        <v>166</v>
      </c>
      <c r="AC61" t="s">
        <v>19</v>
      </c>
      <c r="AD61" t="s">
        <v>171</v>
      </c>
      <c r="AE61">
        <v>2.5028902650573344E-2</v>
      </c>
      <c r="AK61">
        <v>2029</v>
      </c>
      <c r="AL61" t="s">
        <v>159</v>
      </c>
      <c r="AM61">
        <v>0.34910000000000002</v>
      </c>
      <c r="AN61" t="s">
        <v>238</v>
      </c>
    </row>
    <row r="62" spans="9:40" x14ac:dyDescent="0.45">
      <c r="I62" t="s">
        <v>175</v>
      </c>
      <c r="J62" t="s">
        <v>250</v>
      </c>
      <c r="K62">
        <v>8.3471650510890116E-3</v>
      </c>
      <c r="L62" t="s">
        <v>166</v>
      </c>
      <c r="N62" t="s">
        <v>198</v>
      </c>
      <c r="O62" t="s">
        <v>250</v>
      </c>
      <c r="P62">
        <v>3.3289800970869401E-3</v>
      </c>
      <c r="Q62" t="s">
        <v>166</v>
      </c>
      <c r="S62" t="s">
        <v>220</v>
      </c>
      <c r="T62" t="s">
        <v>250</v>
      </c>
      <c r="U62">
        <v>4.2546075007540941E-3</v>
      </c>
      <c r="V62" t="s">
        <v>166</v>
      </c>
      <c r="AC62" t="s">
        <v>19</v>
      </c>
      <c r="AD62" t="s">
        <v>250</v>
      </c>
      <c r="AE62">
        <v>3.5790602160417012E-3</v>
      </c>
      <c r="AK62">
        <v>2029</v>
      </c>
      <c r="AL62" t="s">
        <v>161</v>
      </c>
      <c r="AM62">
        <v>0.31690000000000002</v>
      </c>
      <c r="AN62" t="s">
        <v>238</v>
      </c>
    </row>
    <row r="63" spans="9:40" x14ac:dyDescent="0.45">
      <c r="I63" t="s">
        <v>175</v>
      </c>
      <c r="J63" t="s">
        <v>251</v>
      </c>
      <c r="K63">
        <v>6.3394454477722507E-3</v>
      </c>
      <c r="L63" t="s">
        <v>166</v>
      </c>
      <c r="N63" t="s">
        <v>198</v>
      </c>
      <c r="O63" t="s">
        <v>251</v>
      </c>
      <c r="P63">
        <v>3.3045240265234853E-3</v>
      </c>
      <c r="Q63" t="s">
        <v>166</v>
      </c>
      <c r="S63" t="s">
        <v>220</v>
      </c>
      <c r="T63" t="s">
        <v>251</v>
      </c>
      <c r="U63">
        <v>4.3383559817555505E-3</v>
      </c>
      <c r="V63" t="s">
        <v>166</v>
      </c>
      <c r="AC63" t="s">
        <v>19</v>
      </c>
      <c r="AD63" t="s">
        <v>251</v>
      </c>
      <c r="AE63">
        <v>3.582389926098033E-3</v>
      </c>
      <c r="AK63">
        <v>2029</v>
      </c>
      <c r="AL63" t="s">
        <v>240</v>
      </c>
      <c r="AM63">
        <v>0.38679999999999998</v>
      </c>
      <c r="AN63" t="s">
        <v>238</v>
      </c>
    </row>
    <row r="64" spans="9:40" x14ac:dyDescent="0.45">
      <c r="I64" t="s">
        <v>175</v>
      </c>
      <c r="J64" t="s">
        <v>252</v>
      </c>
      <c r="K64">
        <v>3.5879057003734547E-3</v>
      </c>
      <c r="L64" t="s">
        <v>166</v>
      </c>
      <c r="N64" t="s">
        <v>198</v>
      </c>
      <c r="O64" t="s">
        <v>252</v>
      </c>
      <c r="P64">
        <v>2.2508541888368132E-2</v>
      </c>
      <c r="Q64" t="s">
        <v>166</v>
      </c>
      <c r="S64" t="s">
        <v>220</v>
      </c>
      <c r="T64" t="s">
        <v>252</v>
      </c>
      <c r="U64">
        <v>2.626544933051685E-2</v>
      </c>
      <c r="V64" t="s">
        <v>166</v>
      </c>
      <c r="AC64" t="s">
        <v>19</v>
      </c>
      <c r="AD64" t="s">
        <v>252</v>
      </c>
      <c r="AE64">
        <v>2.1276123407035077E-2</v>
      </c>
      <c r="AK64">
        <v>2029</v>
      </c>
      <c r="AL64" t="s">
        <v>242</v>
      </c>
      <c r="AM64">
        <v>0.34401999999999999</v>
      </c>
      <c r="AN64" t="s">
        <v>238</v>
      </c>
    </row>
    <row r="65" spans="9:40" x14ac:dyDescent="0.45">
      <c r="I65" t="s">
        <v>175</v>
      </c>
      <c r="J65" t="s">
        <v>172</v>
      </c>
      <c r="K65">
        <v>5.1147198899896187E-3</v>
      </c>
      <c r="L65" t="s">
        <v>166</v>
      </c>
      <c r="N65" t="s">
        <v>198</v>
      </c>
      <c r="O65" t="s">
        <v>172</v>
      </c>
      <c r="P65">
        <v>2.2550848155835104E-2</v>
      </c>
      <c r="Q65" t="s">
        <v>166</v>
      </c>
      <c r="S65" t="s">
        <v>220</v>
      </c>
      <c r="T65" t="s">
        <v>172</v>
      </c>
      <c r="U65">
        <v>2.4365875198644575E-2</v>
      </c>
      <c r="V65" t="s">
        <v>166</v>
      </c>
      <c r="AC65" t="s">
        <v>19</v>
      </c>
      <c r="AD65" t="s">
        <v>172</v>
      </c>
      <c r="AE65">
        <v>2.7168972315407609E-2</v>
      </c>
      <c r="AK65">
        <v>2029</v>
      </c>
      <c r="AL65" t="s">
        <v>244</v>
      </c>
      <c r="AM65">
        <v>0.2848</v>
      </c>
      <c r="AN65" t="s">
        <v>238</v>
      </c>
    </row>
    <row r="66" spans="9:40" x14ac:dyDescent="0.45">
      <c r="I66" t="s">
        <v>175</v>
      </c>
      <c r="J66" t="s">
        <v>173</v>
      </c>
      <c r="K66">
        <v>6.2761186615092742E-3</v>
      </c>
      <c r="L66" t="s">
        <v>166</v>
      </c>
      <c r="N66" t="s">
        <v>198</v>
      </c>
      <c r="O66" t="s">
        <v>173</v>
      </c>
      <c r="P66">
        <v>2.5353812390071298E-3</v>
      </c>
      <c r="Q66" t="s">
        <v>166</v>
      </c>
      <c r="S66" t="s">
        <v>220</v>
      </c>
      <c r="T66" t="s">
        <v>173</v>
      </c>
      <c r="U66">
        <v>2.8435344993808279E-3</v>
      </c>
      <c r="V66" t="s">
        <v>166</v>
      </c>
      <c r="AC66" t="s">
        <v>19</v>
      </c>
      <c r="AD66" t="s">
        <v>173</v>
      </c>
      <c r="AE66">
        <v>3.4546983469650096E-3</v>
      </c>
      <c r="AK66">
        <v>2029</v>
      </c>
      <c r="AL66" t="s">
        <v>246</v>
      </c>
      <c r="AM66">
        <v>0.3135</v>
      </c>
      <c r="AN66" t="s">
        <v>238</v>
      </c>
    </row>
    <row r="67" spans="9:40" x14ac:dyDescent="0.45">
      <c r="I67" t="s">
        <v>175</v>
      </c>
      <c r="J67" t="s">
        <v>174</v>
      </c>
      <c r="K67">
        <v>6.9743707494682644E-2</v>
      </c>
      <c r="L67" t="s">
        <v>166</v>
      </c>
      <c r="N67" t="s">
        <v>198</v>
      </c>
      <c r="O67" t="s">
        <v>174</v>
      </c>
      <c r="P67">
        <v>1.6572394425601208E-2</v>
      </c>
      <c r="Q67" t="s">
        <v>166</v>
      </c>
      <c r="S67" t="s">
        <v>220</v>
      </c>
      <c r="T67" t="s">
        <v>174</v>
      </c>
      <c r="U67">
        <v>2.0836474071571662E-2</v>
      </c>
      <c r="V67" t="s">
        <v>166</v>
      </c>
      <c r="AC67" t="s">
        <v>19</v>
      </c>
      <c r="AD67" t="s">
        <v>174</v>
      </c>
      <c r="AE67">
        <v>2.414237676889221E-2</v>
      </c>
      <c r="AK67">
        <v>2030</v>
      </c>
      <c r="AL67" t="s">
        <v>155</v>
      </c>
      <c r="AM67">
        <v>0.29905000000000004</v>
      </c>
      <c r="AN67" t="s">
        <v>238</v>
      </c>
    </row>
    <row r="68" spans="9:40" x14ac:dyDescent="0.45">
      <c r="I68" t="s">
        <v>175</v>
      </c>
      <c r="J68" t="s">
        <v>253</v>
      </c>
      <c r="K68">
        <v>7.4546476620290505E-3</v>
      </c>
      <c r="L68" t="s">
        <v>166</v>
      </c>
      <c r="N68" t="s">
        <v>198</v>
      </c>
      <c r="O68" t="s">
        <v>253</v>
      </c>
      <c r="P68">
        <v>2.5339617390264051E-3</v>
      </c>
      <c r="Q68" t="s">
        <v>166</v>
      </c>
      <c r="S68" t="s">
        <v>220</v>
      </c>
      <c r="T68" t="s">
        <v>253</v>
      </c>
      <c r="U68">
        <v>3.3042759197319748E-3</v>
      </c>
      <c r="V68" t="s">
        <v>166</v>
      </c>
      <c r="AC68" t="s">
        <v>19</v>
      </c>
      <c r="AD68" t="s">
        <v>253</v>
      </c>
      <c r="AE68">
        <v>3.4471954495933024E-3</v>
      </c>
      <c r="AK68">
        <v>2030</v>
      </c>
      <c r="AL68" t="s">
        <v>159</v>
      </c>
      <c r="AM68">
        <v>0.3155</v>
      </c>
      <c r="AN68" t="s">
        <v>238</v>
      </c>
    </row>
    <row r="69" spans="9:40" x14ac:dyDescent="0.45">
      <c r="I69" t="s">
        <v>175</v>
      </c>
      <c r="J69" t="s">
        <v>254</v>
      </c>
      <c r="K69">
        <v>5.8005597490022182E-3</v>
      </c>
      <c r="L69" t="s">
        <v>166</v>
      </c>
      <c r="N69" t="s">
        <v>198</v>
      </c>
      <c r="O69" t="s">
        <v>254</v>
      </c>
      <c r="P69">
        <v>2.2173885565890832E-3</v>
      </c>
      <c r="Q69" t="s">
        <v>166</v>
      </c>
      <c r="S69" t="s">
        <v>220</v>
      </c>
      <c r="T69" t="s">
        <v>254</v>
      </c>
      <c r="U69">
        <v>3.3587929304271166E-3</v>
      </c>
      <c r="V69" t="s">
        <v>166</v>
      </c>
      <c r="AC69" t="s">
        <v>19</v>
      </c>
      <c r="AD69" t="s">
        <v>254</v>
      </c>
      <c r="AE69">
        <v>3.4486178531265613E-3</v>
      </c>
      <c r="AK69">
        <v>2030</v>
      </c>
      <c r="AL69" t="s">
        <v>161</v>
      </c>
      <c r="AM69">
        <v>0.35410000000000003</v>
      </c>
      <c r="AN69" t="s">
        <v>238</v>
      </c>
    </row>
    <row r="70" spans="9:40" x14ac:dyDescent="0.45">
      <c r="I70" t="s">
        <v>175</v>
      </c>
      <c r="J70" t="s">
        <v>255</v>
      </c>
      <c r="K70">
        <v>6.519027047149001E-3</v>
      </c>
      <c r="L70" t="s">
        <v>166</v>
      </c>
      <c r="N70" t="s">
        <v>198</v>
      </c>
      <c r="O70" t="s">
        <v>255</v>
      </c>
      <c r="P70">
        <v>1.562216164682086E-2</v>
      </c>
      <c r="Q70" t="s">
        <v>166</v>
      </c>
      <c r="S70" t="s">
        <v>220</v>
      </c>
      <c r="T70" t="s">
        <v>255</v>
      </c>
      <c r="U70">
        <v>2.0178561096518995E-2</v>
      </c>
      <c r="V70" t="s">
        <v>166</v>
      </c>
      <c r="AC70" t="s">
        <v>19</v>
      </c>
      <c r="AD70" t="s">
        <v>255</v>
      </c>
      <c r="AE70">
        <v>2.051091062916257E-2</v>
      </c>
      <c r="AK70">
        <v>2030</v>
      </c>
      <c r="AL70" t="s">
        <v>240</v>
      </c>
      <c r="AM70">
        <v>0.40870000000000001</v>
      </c>
      <c r="AN70" t="s">
        <v>238</v>
      </c>
    </row>
    <row r="71" spans="9:40" x14ac:dyDescent="0.45">
      <c r="I71" t="s">
        <v>175</v>
      </c>
      <c r="J71" t="s">
        <v>256</v>
      </c>
      <c r="K71">
        <v>7.9677303649586719E-3</v>
      </c>
      <c r="L71" t="s">
        <v>166</v>
      </c>
      <c r="N71" t="s">
        <v>198</v>
      </c>
      <c r="O71" t="s">
        <v>256</v>
      </c>
      <c r="P71">
        <v>2.485796147807422E-2</v>
      </c>
      <c r="Q71" t="s">
        <v>166</v>
      </c>
      <c r="S71" t="s">
        <v>220</v>
      </c>
      <c r="T71" t="s">
        <v>256</v>
      </c>
      <c r="U71">
        <v>2.2170487568841182E-2</v>
      </c>
      <c r="V71" t="s">
        <v>166</v>
      </c>
      <c r="AC71" t="s">
        <v>19</v>
      </c>
      <c r="AD71" t="s">
        <v>256</v>
      </c>
      <c r="AE71">
        <v>2.799789087316297E-2</v>
      </c>
      <c r="AK71">
        <v>2030</v>
      </c>
      <c r="AL71" t="s">
        <v>242</v>
      </c>
      <c r="AM71">
        <v>0.35035999999999995</v>
      </c>
      <c r="AN71" t="s">
        <v>238</v>
      </c>
    </row>
    <row r="72" spans="9:40" x14ac:dyDescent="0.45">
      <c r="I72" t="s">
        <v>175</v>
      </c>
      <c r="J72" t="s">
        <v>257</v>
      </c>
      <c r="K72">
        <v>7.0621312578060405E-3</v>
      </c>
      <c r="L72" t="s">
        <v>166</v>
      </c>
      <c r="N72" t="s">
        <v>198</v>
      </c>
      <c r="O72" t="s">
        <v>257</v>
      </c>
      <c r="P72">
        <v>2.9108602905236324E-3</v>
      </c>
      <c r="Q72" t="s">
        <v>166</v>
      </c>
      <c r="S72" t="s">
        <v>220</v>
      </c>
      <c r="T72" t="s">
        <v>257</v>
      </c>
      <c r="U72">
        <v>2.605300908271841E-3</v>
      </c>
      <c r="V72" t="s">
        <v>166</v>
      </c>
      <c r="AC72" t="s">
        <v>19</v>
      </c>
      <c r="AD72" t="s">
        <v>257</v>
      </c>
      <c r="AE72">
        <v>3.5675765094234455E-3</v>
      </c>
      <c r="AK72">
        <v>2030</v>
      </c>
      <c r="AL72" t="s">
        <v>244</v>
      </c>
      <c r="AM72">
        <v>0.255</v>
      </c>
      <c r="AN72" t="s">
        <v>238</v>
      </c>
    </row>
    <row r="73" spans="9:40" x14ac:dyDescent="0.45">
      <c r="I73" t="s">
        <v>175</v>
      </c>
      <c r="J73" t="s">
        <v>258</v>
      </c>
      <c r="K73">
        <v>6.9510942565396569E-2</v>
      </c>
      <c r="L73" t="s">
        <v>166</v>
      </c>
      <c r="N73" t="s">
        <v>198</v>
      </c>
      <c r="O73" t="s">
        <v>258</v>
      </c>
      <c r="P73">
        <v>1.9403570750973338E-2</v>
      </c>
      <c r="Q73" t="s">
        <v>166</v>
      </c>
      <c r="S73" t="s">
        <v>220</v>
      </c>
      <c r="T73" t="s">
        <v>258</v>
      </c>
      <c r="U73">
        <v>1.6937780015432901E-2</v>
      </c>
      <c r="V73" t="s">
        <v>166</v>
      </c>
      <c r="AC73" t="s">
        <v>19</v>
      </c>
      <c r="AD73" t="s">
        <v>258</v>
      </c>
      <c r="AE73">
        <v>2.4969281706424821E-2</v>
      </c>
      <c r="AK73">
        <v>2030</v>
      </c>
      <c r="AL73" t="s">
        <v>246</v>
      </c>
      <c r="AM73">
        <v>0.27739999999999998</v>
      </c>
      <c r="AN73" t="s">
        <v>238</v>
      </c>
    </row>
    <row r="74" spans="9:40" x14ac:dyDescent="0.45">
      <c r="I74" t="s">
        <v>175</v>
      </c>
      <c r="J74" t="s">
        <v>259</v>
      </c>
      <c r="K74">
        <v>7.9607830917258551E-3</v>
      </c>
      <c r="L74" t="s">
        <v>166</v>
      </c>
      <c r="N74" t="s">
        <v>198</v>
      </c>
      <c r="O74" t="s">
        <v>259</v>
      </c>
      <c r="P74">
        <v>3.1114324118996905E-3</v>
      </c>
      <c r="Q74" t="s">
        <v>166</v>
      </c>
      <c r="S74" t="s">
        <v>220</v>
      </c>
      <c r="T74" t="s">
        <v>259</v>
      </c>
      <c r="U74">
        <v>2.3840722507936932E-3</v>
      </c>
      <c r="V74" t="s">
        <v>166</v>
      </c>
      <c r="AC74" t="s">
        <v>19</v>
      </c>
      <c r="AD74" t="s">
        <v>259</v>
      </c>
      <c r="AE74">
        <v>3.5650660073681339E-3</v>
      </c>
      <c r="AK74">
        <v>2031</v>
      </c>
      <c r="AL74" t="s">
        <v>155</v>
      </c>
      <c r="AM74">
        <v>0.29054999999999997</v>
      </c>
      <c r="AN74" t="s">
        <v>238</v>
      </c>
    </row>
    <row r="75" spans="9:40" x14ac:dyDescent="0.45">
      <c r="I75" t="s">
        <v>175</v>
      </c>
      <c r="J75" t="s">
        <v>260</v>
      </c>
      <c r="K75">
        <v>6.2858156122341169E-3</v>
      </c>
      <c r="L75" t="s">
        <v>166</v>
      </c>
      <c r="N75" t="s">
        <v>198</v>
      </c>
      <c r="O75" t="s">
        <v>260</v>
      </c>
      <c r="P75">
        <v>2.8078897035174071E-3</v>
      </c>
      <c r="Q75" t="s">
        <v>166</v>
      </c>
      <c r="S75" t="s">
        <v>220</v>
      </c>
      <c r="T75" t="s">
        <v>260</v>
      </c>
      <c r="U75">
        <v>2.3138716552590379E-3</v>
      </c>
      <c r="V75" t="s">
        <v>166</v>
      </c>
      <c r="AC75" t="s">
        <v>19</v>
      </c>
      <c r="AD75" t="s">
        <v>260</v>
      </c>
      <c r="AE75">
        <v>3.5650547567187179E-3</v>
      </c>
      <c r="AK75">
        <v>2031</v>
      </c>
      <c r="AL75" t="s">
        <v>159</v>
      </c>
      <c r="AM75">
        <v>0.31059999999999999</v>
      </c>
      <c r="AN75" t="s">
        <v>238</v>
      </c>
    </row>
    <row r="76" spans="9:40" x14ac:dyDescent="0.45">
      <c r="I76" t="s">
        <v>175</v>
      </c>
      <c r="J76" t="s">
        <v>261</v>
      </c>
      <c r="K76">
        <v>8.449858978456468E-3</v>
      </c>
      <c r="L76" t="s">
        <v>166</v>
      </c>
      <c r="N76" t="s">
        <v>198</v>
      </c>
      <c r="O76" t="s">
        <v>261</v>
      </c>
      <c r="P76">
        <v>1.6387219141252012E-2</v>
      </c>
      <c r="Q76" t="s">
        <v>166</v>
      </c>
      <c r="S76" t="s">
        <v>220</v>
      </c>
      <c r="T76" t="s">
        <v>261</v>
      </c>
      <c r="U76">
        <v>1.4953815152285501E-2</v>
      </c>
      <c r="V76" t="s">
        <v>166</v>
      </c>
      <c r="AC76" t="s">
        <v>19</v>
      </c>
      <c r="AD76" t="s">
        <v>261</v>
      </c>
      <c r="AE76">
        <v>2.1209136188579641E-2</v>
      </c>
      <c r="AK76">
        <v>2031</v>
      </c>
      <c r="AL76" t="s">
        <v>161</v>
      </c>
      <c r="AM76">
        <v>0.36070000000000002</v>
      </c>
      <c r="AN76" t="s">
        <v>238</v>
      </c>
    </row>
    <row r="77" spans="9:40" x14ac:dyDescent="0.45">
      <c r="I77" t="s">
        <v>175</v>
      </c>
      <c r="J77" t="s">
        <v>262</v>
      </c>
      <c r="K77">
        <v>3.9060799902279987E-2</v>
      </c>
      <c r="L77" t="s">
        <v>166</v>
      </c>
      <c r="N77" t="s">
        <v>198</v>
      </c>
      <c r="O77" t="s">
        <v>262</v>
      </c>
      <c r="P77">
        <v>0.12087814287680962</v>
      </c>
      <c r="Q77" t="s">
        <v>166</v>
      </c>
      <c r="S77" t="s">
        <v>220</v>
      </c>
      <c r="T77" t="s">
        <v>262</v>
      </c>
      <c r="U77">
        <v>0.12635215086333326</v>
      </c>
      <c r="V77" t="s">
        <v>166</v>
      </c>
      <c r="AC77" t="s">
        <v>19</v>
      </c>
      <c r="AD77" t="s">
        <v>262</v>
      </c>
      <c r="AE77">
        <v>0.13819622838174872</v>
      </c>
      <c r="AK77">
        <v>2031</v>
      </c>
      <c r="AL77" t="s">
        <v>240</v>
      </c>
      <c r="AM77">
        <v>0.41520000000000001</v>
      </c>
      <c r="AN77" t="s">
        <v>238</v>
      </c>
    </row>
    <row r="78" spans="9:40" x14ac:dyDescent="0.45">
      <c r="I78" t="s">
        <v>175</v>
      </c>
      <c r="J78" t="s">
        <v>263</v>
      </c>
      <c r="K78">
        <v>3.751380713363571E-2</v>
      </c>
      <c r="L78" t="s">
        <v>166</v>
      </c>
      <c r="N78" t="s">
        <v>198</v>
      </c>
      <c r="O78" t="s">
        <v>263</v>
      </c>
      <c r="P78">
        <v>1.3716864186050448E-2</v>
      </c>
      <c r="Q78" t="s">
        <v>166</v>
      </c>
      <c r="S78" t="s">
        <v>220</v>
      </c>
      <c r="T78" t="s">
        <v>263</v>
      </c>
      <c r="U78">
        <v>1.5928503819074871E-2</v>
      </c>
      <c r="V78" t="s">
        <v>166</v>
      </c>
      <c r="AC78" t="s">
        <v>19</v>
      </c>
      <c r="AD78" t="s">
        <v>263</v>
      </c>
      <c r="AE78">
        <v>1.7595927577352649E-2</v>
      </c>
      <c r="AK78">
        <v>2031</v>
      </c>
      <c r="AL78" t="s">
        <v>242</v>
      </c>
      <c r="AM78">
        <v>0.34265999999999996</v>
      </c>
      <c r="AN78" t="s">
        <v>238</v>
      </c>
    </row>
    <row r="79" spans="9:40" x14ac:dyDescent="0.45">
      <c r="I79" t="s">
        <v>175</v>
      </c>
      <c r="J79" t="s">
        <v>264</v>
      </c>
      <c r="K79">
        <v>0.37506175422800647</v>
      </c>
      <c r="L79" t="s">
        <v>166</v>
      </c>
      <c r="N79" t="s">
        <v>198</v>
      </c>
      <c r="O79" t="s">
        <v>264</v>
      </c>
      <c r="P79">
        <v>8.7951707153385503E-2</v>
      </c>
      <c r="Q79" t="s">
        <v>166</v>
      </c>
      <c r="S79" t="s">
        <v>220</v>
      </c>
      <c r="T79" t="s">
        <v>264</v>
      </c>
      <c r="U79">
        <v>0.11059482568224938</v>
      </c>
      <c r="V79" t="s">
        <v>166</v>
      </c>
      <c r="AC79" t="s">
        <v>19</v>
      </c>
      <c r="AD79" t="s">
        <v>264</v>
      </c>
      <c r="AE79">
        <v>0.12319125094980155</v>
      </c>
      <c r="AK79">
        <v>2031</v>
      </c>
      <c r="AL79" t="s">
        <v>244</v>
      </c>
      <c r="AM79">
        <v>0.2596</v>
      </c>
      <c r="AN79" t="s">
        <v>238</v>
      </c>
    </row>
    <row r="80" spans="9:40" x14ac:dyDescent="0.45">
      <c r="I80" t="s">
        <v>175</v>
      </c>
      <c r="J80" t="s">
        <v>265</v>
      </c>
      <c r="K80">
        <v>4.5262824982743033E-2</v>
      </c>
      <c r="L80" t="s">
        <v>166</v>
      </c>
      <c r="N80" t="s">
        <v>198</v>
      </c>
      <c r="O80" t="s">
        <v>265</v>
      </c>
      <c r="P80">
        <v>1.256783982995663E-2</v>
      </c>
      <c r="Q80" t="s">
        <v>166</v>
      </c>
      <c r="S80" t="s">
        <v>220</v>
      </c>
      <c r="T80" t="s">
        <v>265</v>
      </c>
      <c r="U80">
        <v>1.6212031919519011E-2</v>
      </c>
      <c r="V80" t="s">
        <v>166</v>
      </c>
      <c r="AC80" t="s">
        <v>19</v>
      </c>
      <c r="AD80" t="s">
        <v>265</v>
      </c>
      <c r="AE80">
        <v>1.758926831796355E-2</v>
      </c>
      <c r="AK80">
        <v>2031</v>
      </c>
      <c r="AL80" t="s">
        <v>246</v>
      </c>
      <c r="AM80">
        <v>0.3281</v>
      </c>
      <c r="AN80" t="s">
        <v>238</v>
      </c>
    </row>
    <row r="81" spans="9:40" x14ac:dyDescent="0.45">
      <c r="I81" t="s">
        <v>175</v>
      </c>
      <c r="J81" t="s">
        <v>266</v>
      </c>
      <c r="K81">
        <v>3.6515965844731949E-2</v>
      </c>
      <c r="L81" t="s">
        <v>166</v>
      </c>
      <c r="N81" t="s">
        <v>198</v>
      </c>
      <c r="O81" t="s">
        <v>266</v>
      </c>
      <c r="P81">
        <v>1.2382483046484666E-2</v>
      </c>
      <c r="Q81" t="s">
        <v>166</v>
      </c>
      <c r="S81" t="s">
        <v>220</v>
      </c>
      <c r="T81" t="s">
        <v>266</v>
      </c>
      <c r="U81">
        <v>1.6196183751908226E-2</v>
      </c>
      <c r="V81" t="s">
        <v>166</v>
      </c>
      <c r="AC81" t="s">
        <v>19</v>
      </c>
      <c r="AD81" t="s">
        <v>266</v>
      </c>
      <c r="AE81">
        <v>1.7590517943666499E-2</v>
      </c>
      <c r="AK81">
        <v>2032</v>
      </c>
      <c r="AL81" t="s">
        <v>155</v>
      </c>
      <c r="AM81">
        <v>0.37529999999999997</v>
      </c>
      <c r="AN81" t="s">
        <v>238</v>
      </c>
    </row>
    <row r="82" spans="9:40" x14ac:dyDescent="0.45">
      <c r="I82" t="s">
        <v>175</v>
      </c>
      <c r="J82" t="s">
        <v>267</v>
      </c>
      <c r="K82">
        <v>4.4898106246639834E-2</v>
      </c>
      <c r="L82" t="s">
        <v>166</v>
      </c>
      <c r="N82" t="s">
        <v>198</v>
      </c>
      <c r="O82" t="s">
        <v>267</v>
      </c>
      <c r="P82">
        <v>8.809799100405058E-2</v>
      </c>
      <c r="Q82" t="s">
        <v>166</v>
      </c>
      <c r="S82" t="s">
        <v>220</v>
      </c>
      <c r="T82" t="s">
        <v>267</v>
      </c>
      <c r="U82">
        <v>9.6938669579284875E-2</v>
      </c>
      <c r="V82" t="s">
        <v>166</v>
      </c>
      <c r="AC82" t="s">
        <v>19</v>
      </c>
      <c r="AD82" t="s">
        <v>267</v>
      </c>
      <c r="AE82">
        <v>0.10471339589396146</v>
      </c>
      <c r="AK82">
        <v>2032</v>
      </c>
      <c r="AL82" t="s">
        <v>159</v>
      </c>
      <c r="AM82">
        <v>0.37069999999999997</v>
      </c>
      <c r="AN82" t="s">
        <v>238</v>
      </c>
    </row>
    <row r="83" spans="9:40" x14ac:dyDescent="0.45">
      <c r="I83" t="s">
        <v>175</v>
      </c>
      <c r="J83" t="s">
        <v>268</v>
      </c>
      <c r="K83">
        <v>0</v>
      </c>
      <c r="L83" t="s">
        <v>166</v>
      </c>
      <c r="N83" t="s">
        <v>198</v>
      </c>
      <c r="O83" t="s">
        <v>268</v>
      </c>
      <c r="P83">
        <v>3.8631595941033436E-2</v>
      </c>
      <c r="Q83" t="s">
        <v>166</v>
      </c>
      <c r="S83" t="s">
        <v>220</v>
      </c>
      <c r="T83" t="s">
        <v>268</v>
      </c>
      <c r="U83">
        <v>3.0115072074579433E-2</v>
      </c>
      <c r="V83" t="s">
        <v>166</v>
      </c>
      <c r="AC83" t="s">
        <v>19</v>
      </c>
      <c r="AD83" t="s">
        <v>268</v>
      </c>
      <c r="AE83">
        <v>2.7089190778074958E-2</v>
      </c>
      <c r="AK83">
        <v>2032</v>
      </c>
      <c r="AL83" t="s">
        <v>161</v>
      </c>
      <c r="AM83">
        <v>0.36899999999999999</v>
      </c>
      <c r="AN83" t="s">
        <v>238</v>
      </c>
    </row>
    <row r="84" spans="9:40" x14ac:dyDescent="0.45">
      <c r="I84" t="s">
        <v>175</v>
      </c>
      <c r="J84" t="s">
        <v>269</v>
      </c>
      <c r="K84">
        <v>2.2566549497357618E-4</v>
      </c>
      <c r="L84" t="s">
        <v>166</v>
      </c>
      <c r="N84" t="s">
        <v>198</v>
      </c>
      <c r="O84" t="s">
        <v>269</v>
      </c>
      <c r="P84">
        <v>4.8377147279243535E-3</v>
      </c>
      <c r="Q84" t="s">
        <v>166</v>
      </c>
      <c r="S84" t="s">
        <v>220</v>
      </c>
      <c r="T84" t="s">
        <v>269</v>
      </c>
      <c r="U84">
        <v>3.6853523126822336E-3</v>
      </c>
      <c r="V84" t="s">
        <v>166</v>
      </c>
      <c r="AC84" t="s">
        <v>19</v>
      </c>
      <c r="AD84" t="s">
        <v>269</v>
      </c>
      <c r="AE84">
        <v>3.4534291370958998E-3</v>
      </c>
      <c r="AK84">
        <v>2032</v>
      </c>
      <c r="AL84" t="s">
        <v>240</v>
      </c>
      <c r="AM84">
        <v>0.48049999999999998</v>
      </c>
      <c r="AN84" t="s">
        <v>238</v>
      </c>
    </row>
    <row r="85" spans="9:40" x14ac:dyDescent="0.45">
      <c r="I85" t="s">
        <v>175</v>
      </c>
      <c r="J85" t="s">
        <v>270</v>
      </c>
      <c r="K85">
        <v>2.3267292111574259E-2</v>
      </c>
      <c r="L85" t="s">
        <v>166</v>
      </c>
      <c r="N85" t="s">
        <v>198</v>
      </c>
      <c r="O85" t="s">
        <v>270</v>
      </c>
      <c r="P85">
        <v>2.8739113462882361E-2</v>
      </c>
      <c r="Q85" t="s">
        <v>166</v>
      </c>
      <c r="S85" t="s">
        <v>220</v>
      </c>
      <c r="T85" t="s">
        <v>270</v>
      </c>
      <c r="U85">
        <v>2.5024099465163811E-2</v>
      </c>
      <c r="V85" t="s">
        <v>166</v>
      </c>
      <c r="AC85" t="s">
        <v>19</v>
      </c>
      <c r="AD85" t="s">
        <v>270</v>
      </c>
      <c r="AE85">
        <v>2.4177154141507669E-2</v>
      </c>
      <c r="AK85">
        <v>2032</v>
      </c>
      <c r="AL85" t="s">
        <v>242</v>
      </c>
      <c r="AM85">
        <v>0.4032400000000001</v>
      </c>
      <c r="AN85" t="s">
        <v>238</v>
      </c>
    </row>
    <row r="86" spans="9:40" x14ac:dyDescent="0.45">
      <c r="I86" t="s">
        <v>175</v>
      </c>
      <c r="J86" t="s">
        <v>271</v>
      </c>
      <c r="K86">
        <v>2.0623780209081616E-3</v>
      </c>
      <c r="L86" t="s">
        <v>166</v>
      </c>
      <c r="N86" t="s">
        <v>198</v>
      </c>
      <c r="O86" t="s">
        <v>271</v>
      </c>
      <c r="P86">
        <v>4.1088479724484981E-3</v>
      </c>
      <c r="Q86" t="s">
        <v>166</v>
      </c>
      <c r="S86" t="s">
        <v>220</v>
      </c>
      <c r="T86" t="s">
        <v>271</v>
      </c>
      <c r="U86">
        <v>3.5631357412701219E-3</v>
      </c>
      <c r="V86" t="s">
        <v>166</v>
      </c>
      <c r="AC86" t="s">
        <v>19</v>
      </c>
      <c r="AD86" t="s">
        <v>271</v>
      </c>
      <c r="AE86">
        <v>3.4587378363844373E-3</v>
      </c>
      <c r="AK86">
        <v>2032</v>
      </c>
      <c r="AL86" t="s">
        <v>244</v>
      </c>
      <c r="AM86">
        <v>0.3387</v>
      </c>
      <c r="AN86" t="s">
        <v>238</v>
      </c>
    </row>
    <row r="87" spans="9:40" x14ac:dyDescent="0.45">
      <c r="I87" t="s">
        <v>175</v>
      </c>
      <c r="J87" t="s">
        <v>272</v>
      </c>
      <c r="K87">
        <v>2.2800323130698263E-4</v>
      </c>
      <c r="L87" t="s">
        <v>166</v>
      </c>
      <c r="N87" t="s">
        <v>198</v>
      </c>
      <c r="O87" t="s">
        <v>272</v>
      </c>
      <c r="P87">
        <v>4.2550695785981783E-3</v>
      </c>
      <c r="Q87" t="s">
        <v>166</v>
      </c>
      <c r="S87" t="s">
        <v>220</v>
      </c>
      <c r="T87" t="s">
        <v>272</v>
      </c>
      <c r="U87">
        <v>3.5651532452638836E-3</v>
      </c>
      <c r="V87" t="s">
        <v>166</v>
      </c>
      <c r="AC87" t="s">
        <v>19</v>
      </c>
      <c r="AD87" t="s">
        <v>272</v>
      </c>
      <c r="AE87">
        <v>3.4605294219420919E-3</v>
      </c>
      <c r="AK87">
        <v>2032</v>
      </c>
      <c r="AL87" t="s">
        <v>246</v>
      </c>
      <c r="AM87">
        <v>0.33439999999999998</v>
      </c>
      <c r="AN87" t="s">
        <v>238</v>
      </c>
    </row>
    <row r="88" spans="9:40" x14ac:dyDescent="0.45">
      <c r="I88" t="s">
        <v>175</v>
      </c>
      <c r="J88" t="s">
        <v>273</v>
      </c>
      <c r="K88">
        <v>0</v>
      </c>
      <c r="L88" t="s">
        <v>166</v>
      </c>
      <c r="N88" t="s">
        <v>198</v>
      </c>
      <c r="O88" t="s">
        <v>273</v>
      </c>
      <c r="P88">
        <v>2.6460579266620297E-2</v>
      </c>
      <c r="Q88" t="s">
        <v>166</v>
      </c>
      <c r="S88" t="s">
        <v>220</v>
      </c>
      <c r="T88" t="s">
        <v>273</v>
      </c>
      <c r="U88">
        <v>2.2838969996534526E-2</v>
      </c>
      <c r="V88" t="s">
        <v>166</v>
      </c>
      <c r="AC88" t="s">
        <v>19</v>
      </c>
      <c r="AD88" t="s">
        <v>273</v>
      </c>
      <c r="AE88">
        <v>2.0570849412193257E-2</v>
      </c>
      <c r="AK88">
        <v>2033</v>
      </c>
      <c r="AL88" t="s">
        <v>155</v>
      </c>
      <c r="AM88">
        <v>0.35475000000000001</v>
      </c>
      <c r="AN88" t="s">
        <v>238</v>
      </c>
    </row>
    <row r="89" spans="9:40" x14ac:dyDescent="0.45">
      <c r="I89" t="s">
        <v>175</v>
      </c>
      <c r="J89" t="s">
        <v>274</v>
      </c>
      <c r="K89">
        <v>0</v>
      </c>
      <c r="L89" t="s">
        <v>166</v>
      </c>
      <c r="N89" t="s">
        <v>198</v>
      </c>
      <c r="O89" t="s">
        <v>274</v>
      </c>
      <c r="P89">
        <v>5.4646151352423976E-2</v>
      </c>
      <c r="Q89" t="s">
        <v>166</v>
      </c>
      <c r="S89" t="s">
        <v>220</v>
      </c>
      <c r="T89" t="s">
        <v>274</v>
      </c>
      <c r="U89">
        <v>4.1054494689719147E-2</v>
      </c>
      <c r="V89" t="s">
        <v>166</v>
      </c>
      <c r="AC89" t="s">
        <v>19</v>
      </c>
      <c r="AD89" t="s">
        <v>274</v>
      </c>
      <c r="AE89">
        <v>2.8000453240712094E-2</v>
      </c>
      <c r="AK89">
        <v>2033</v>
      </c>
      <c r="AL89" t="s">
        <v>159</v>
      </c>
      <c r="AM89">
        <v>0.372</v>
      </c>
      <c r="AN89" t="s">
        <v>238</v>
      </c>
    </row>
    <row r="90" spans="9:40" x14ac:dyDescent="0.45">
      <c r="I90" t="s">
        <v>175</v>
      </c>
      <c r="J90" t="s">
        <v>275</v>
      </c>
      <c r="K90">
        <v>0</v>
      </c>
      <c r="L90" t="s">
        <v>166</v>
      </c>
      <c r="N90" t="s">
        <v>198</v>
      </c>
      <c r="O90" t="s">
        <v>275</v>
      </c>
      <c r="P90">
        <v>7.1288083328538239E-3</v>
      </c>
      <c r="Q90" t="s">
        <v>166</v>
      </c>
      <c r="S90" t="s">
        <v>220</v>
      </c>
      <c r="T90" t="s">
        <v>275</v>
      </c>
      <c r="U90">
        <v>5.1985286837764834E-3</v>
      </c>
      <c r="V90" t="s">
        <v>166</v>
      </c>
      <c r="AC90" t="s">
        <v>19</v>
      </c>
      <c r="AD90" t="s">
        <v>275</v>
      </c>
      <c r="AE90">
        <v>3.571774964491983E-3</v>
      </c>
      <c r="AK90">
        <v>2033</v>
      </c>
      <c r="AL90" t="s">
        <v>161</v>
      </c>
      <c r="AM90">
        <v>0.40570000000000001</v>
      </c>
      <c r="AN90" t="s">
        <v>238</v>
      </c>
    </row>
    <row r="91" spans="9:40" x14ac:dyDescent="0.45">
      <c r="I91" t="s">
        <v>175</v>
      </c>
      <c r="J91" t="s">
        <v>276</v>
      </c>
      <c r="K91">
        <v>2.3415153340204289E-2</v>
      </c>
      <c r="L91" t="s">
        <v>166</v>
      </c>
      <c r="N91" t="s">
        <v>198</v>
      </c>
      <c r="O91" t="s">
        <v>276</v>
      </c>
      <c r="P91">
        <v>4.6052643747808097E-2</v>
      </c>
      <c r="Q91" t="s">
        <v>166</v>
      </c>
      <c r="S91" t="s">
        <v>220</v>
      </c>
      <c r="T91" t="s">
        <v>276</v>
      </c>
      <c r="U91">
        <v>3.5691577733923605E-2</v>
      </c>
      <c r="V91" t="s">
        <v>166</v>
      </c>
      <c r="AC91" t="s">
        <v>19</v>
      </c>
      <c r="AD91" t="s">
        <v>276</v>
      </c>
      <c r="AE91">
        <v>2.4996673258739058E-2</v>
      </c>
      <c r="AK91">
        <v>2033</v>
      </c>
      <c r="AL91" t="s">
        <v>240</v>
      </c>
      <c r="AM91">
        <v>0.43190000000000001</v>
      </c>
      <c r="AN91" t="s">
        <v>238</v>
      </c>
    </row>
    <row r="92" spans="9:40" x14ac:dyDescent="0.45">
      <c r="I92" t="s">
        <v>175</v>
      </c>
      <c r="J92" t="s">
        <v>277</v>
      </c>
      <c r="K92">
        <v>2.0839627644589544E-3</v>
      </c>
      <c r="L92" t="s">
        <v>166</v>
      </c>
      <c r="N92" t="s">
        <v>198</v>
      </c>
      <c r="O92" t="s">
        <v>277</v>
      </c>
      <c r="P92">
        <v>6.3902483708339107E-3</v>
      </c>
      <c r="Q92" t="s">
        <v>166</v>
      </c>
      <c r="S92" t="s">
        <v>220</v>
      </c>
      <c r="T92" t="s">
        <v>277</v>
      </c>
      <c r="U92">
        <v>5.0377230245298764E-3</v>
      </c>
      <c r="V92" t="s">
        <v>166</v>
      </c>
      <c r="AC92" t="s">
        <v>19</v>
      </c>
      <c r="AD92" t="s">
        <v>277</v>
      </c>
      <c r="AE92">
        <v>3.5757184778357179E-3</v>
      </c>
      <c r="AK92">
        <v>2033</v>
      </c>
      <c r="AL92" t="s">
        <v>242</v>
      </c>
      <c r="AM92">
        <v>0.41477999999999993</v>
      </c>
      <c r="AN92" t="s">
        <v>238</v>
      </c>
    </row>
    <row r="93" spans="9:40" x14ac:dyDescent="0.45">
      <c r="I93" t="s">
        <v>175</v>
      </c>
      <c r="J93" t="s">
        <v>278</v>
      </c>
      <c r="K93">
        <v>0</v>
      </c>
      <c r="L93" t="s">
        <v>166</v>
      </c>
      <c r="N93" t="s">
        <v>198</v>
      </c>
      <c r="O93" t="s">
        <v>278</v>
      </c>
      <c r="P93">
        <v>6.5775388649482085E-3</v>
      </c>
      <c r="Q93" t="s">
        <v>166</v>
      </c>
      <c r="S93" t="s">
        <v>220</v>
      </c>
      <c r="T93" t="s">
        <v>278</v>
      </c>
      <c r="U93">
        <v>5.0589323585173186E-3</v>
      </c>
      <c r="V93" t="s">
        <v>166</v>
      </c>
      <c r="AC93" t="s">
        <v>19</v>
      </c>
      <c r="AD93" t="s">
        <v>278</v>
      </c>
      <c r="AE93">
        <v>3.5767721815152713E-3</v>
      </c>
      <c r="AK93">
        <v>2033</v>
      </c>
      <c r="AL93" t="s">
        <v>244</v>
      </c>
      <c r="AM93">
        <v>0.35420000000000001</v>
      </c>
      <c r="AN93" t="s">
        <v>238</v>
      </c>
    </row>
    <row r="94" spans="9:40" x14ac:dyDescent="0.45">
      <c r="I94" t="s">
        <v>175</v>
      </c>
      <c r="J94" t="s">
        <v>279</v>
      </c>
      <c r="K94">
        <v>0</v>
      </c>
      <c r="L94" t="s">
        <v>166</v>
      </c>
      <c r="N94" t="s">
        <v>198</v>
      </c>
      <c r="O94" t="s">
        <v>279</v>
      </c>
      <c r="P94">
        <v>4.0716298344958289E-2</v>
      </c>
      <c r="Q94" t="s">
        <v>166</v>
      </c>
      <c r="S94" t="s">
        <v>220</v>
      </c>
      <c r="T94" t="s">
        <v>279</v>
      </c>
      <c r="U94">
        <v>3.016237855898727E-2</v>
      </c>
      <c r="V94" t="s">
        <v>166</v>
      </c>
      <c r="AC94" t="s">
        <v>19</v>
      </c>
      <c r="AD94" t="s">
        <v>279</v>
      </c>
      <c r="AE94">
        <v>2.1248640798795224E-2</v>
      </c>
      <c r="AK94">
        <v>2033</v>
      </c>
      <c r="AL94" t="s">
        <v>246</v>
      </c>
      <c r="AM94">
        <v>0.33360000000000001</v>
      </c>
      <c r="AN94" t="s">
        <v>238</v>
      </c>
    </row>
    <row r="95" spans="9:40" x14ac:dyDescent="0.45">
      <c r="I95" t="s">
        <v>176</v>
      </c>
      <c r="J95" t="s">
        <v>165</v>
      </c>
      <c r="K95">
        <v>0</v>
      </c>
      <c r="L95" t="s">
        <v>166</v>
      </c>
      <c r="N95" t="s">
        <v>199</v>
      </c>
      <c r="O95" t="s">
        <v>165</v>
      </c>
      <c r="P95">
        <v>5.9714263894571434E-2</v>
      </c>
      <c r="Q95" t="s">
        <v>166</v>
      </c>
      <c r="S95" t="s">
        <v>221</v>
      </c>
      <c r="T95" t="s">
        <v>165</v>
      </c>
      <c r="U95">
        <v>5.6066183960469557E-2</v>
      </c>
      <c r="V95" t="s">
        <v>166</v>
      </c>
      <c r="AK95">
        <v>2034</v>
      </c>
      <c r="AL95" t="s">
        <v>155</v>
      </c>
      <c r="AM95">
        <v>0.33260000000000001</v>
      </c>
      <c r="AN95" t="s">
        <v>238</v>
      </c>
    </row>
    <row r="96" spans="9:40" x14ac:dyDescent="0.45">
      <c r="I96" t="s">
        <v>176</v>
      </c>
      <c r="J96" t="s">
        <v>167</v>
      </c>
      <c r="K96">
        <v>8.3343886306758434E-4</v>
      </c>
      <c r="L96" t="s">
        <v>166</v>
      </c>
      <c r="N96" t="s">
        <v>199</v>
      </c>
      <c r="O96" t="s">
        <v>167</v>
      </c>
      <c r="P96">
        <v>7.7394185257876899E-3</v>
      </c>
      <c r="Q96" t="s">
        <v>166</v>
      </c>
      <c r="S96" t="s">
        <v>221</v>
      </c>
      <c r="T96" t="s">
        <v>167</v>
      </c>
      <c r="U96">
        <v>6.9753573694268647E-3</v>
      </c>
      <c r="V96" t="s">
        <v>166</v>
      </c>
      <c r="AK96">
        <v>2034</v>
      </c>
      <c r="AL96" t="s">
        <v>159</v>
      </c>
      <c r="AM96">
        <v>0.3488</v>
      </c>
      <c r="AN96" t="s">
        <v>238</v>
      </c>
    </row>
    <row r="97" spans="9:40" x14ac:dyDescent="0.45">
      <c r="I97" t="s">
        <v>176</v>
      </c>
      <c r="J97" t="s">
        <v>168</v>
      </c>
      <c r="K97">
        <v>5.8927824307917813E-2</v>
      </c>
      <c r="L97" t="s">
        <v>166</v>
      </c>
      <c r="N97" t="s">
        <v>199</v>
      </c>
      <c r="O97" t="s">
        <v>168</v>
      </c>
      <c r="P97">
        <v>5.3426987817099696E-2</v>
      </c>
      <c r="Q97" t="s">
        <v>166</v>
      </c>
      <c r="S97" t="s">
        <v>221</v>
      </c>
      <c r="T97" t="s">
        <v>168</v>
      </c>
      <c r="U97">
        <v>4.8479370739897359E-2</v>
      </c>
      <c r="V97" t="s">
        <v>166</v>
      </c>
      <c r="AK97">
        <v>2034</v>
      </c>
      <c r="AL97" t="s">
        <v>161</v>
      </c>
      <c r="AM97">
        <v>0.3574</v>
      </c>
      <c r="AN97" t="s">
        <v>238</v>
      </c>
    </row>
    <row r="98" spans="9:40" x14ac:dyDescent="0.45">
      <c r="I98" t="s">
        <v>176</v>
      </c>
      <c r="J98" t="s">
        <v>247</v>
      </c>
      <c r="K98">
        <v>6.2782331029764132E-3</v>
      </c>
      <c r="L98" t="s">
        <v>166</v>
      </c>
      <c r="N98" t="s">
        <v>199</v>
      </c>
      <c r="O98" t="s">
        <v>247</v>
      </c>
      <c r="P98">
        <v>7.5737032608103449E-3</v>
      </c>
      <c r="Q98" t="s">
        <v>166</v>
      </c>
      <c r="S98" t="s">
        <v>221</v>
      </c>
      <c r="T98" t="s">
        <v>247</v>
      </c>
      <c r="U98">
        <v>7.0304257298265177E-3</v>
      </c>
      <c r="V98" t="s">
        <v>166</v>
      </c>
      <c r="AK98">
        <v>2034</v>
      </c>
      <c r="AL98" t="s">
        <v>240</v>
      </c>
      <c r="AM98">
        <v>0.49669999999999997</v>
      </c>
      <c r="AN98" t="s">
        <v>238</v>
      </c>
    </row>
    <row r="99" spans="9:40" x14ac:dyDescent="0.45">
      <c r="I99" t="s">
        <v>176</v>
      </c>
      <c r="J99" t="s">
        <v>248</v>
      </c>
      <c r="K99">
        <v>3.2996214331154424E-3</v>
      </c>
      <c r="L99" t="s">
        <v>166</v>
      </c>
      <c r="N99" t="s">
        <v>199</v>
      </c>
      <c r="O99" t="s">
        <v>248</v>
      </c>
      <c r="P99">
        <v>7.7348845514796389E-3</v>
      </c>
      <c r="Q99" t="s">
        <v>166</v>
      </c>
      <c r="S99" t="s">
        <v>221</v>
      </c>
      <c r="T99" t="s">
        <v>248</v>
      </c>
      <c r="U99">
        <v>7.1106299043377499E-3</v>
      </c>
      <c r="V99" t="s">
        <v>166</v>
      </c>
      <c r="AK99">
        <v>2034</v>
      </c>
      <c r="AL99" t="s">
        <v>242</v>
      </c>
      <c r="AM99">
        <v>0.41938000000000003</v>
      </c>
      <c r="AN99" t="s">
        <v>238</v>
      </c>
    </row>
    <row r="100" spans="9:40" x14ac:dyDescent="0.45">
      <c r="I100" t="s">
        <v>176</v>
      </c>
      <c r="J100" t="s">
        <v>249</v>
      </c>
      <c r="K100">
        <v>4.4634453843996682E-4</v>
      </c>
      <c r="L100" t="s">
        <v>166</v>
      </c>
      <c r="N100" t="s">
        <v>199</v>
      </c>
      <c r="O100" t="s">
        <v>249</v>
      </c>
      <c r="P100">
        <v>4.6282099827648644E-2</v>
      </c>
      <c r="Q100" t="s">
        <v>166</v>
      </c>
      <c r="S100" t="s">
        <v>221</v>
      </c>
      <c r="T100" t="s">
        <v>249</v>
      </c>
      <c r="U100">
        <v>4.2443447343207159E-2</v>
      </c>
      <c r="V100" t="s">
        <v>166</v>
      </c>
      <c r="AK100">
        <v>2034</v>
      </c>
      <c r="AL100" t="s">
        <v>244</v>
      </c>
      <c r="AM100">
        <v>0.34549999999999997</v>
      </c>
      <c r="AN100" t="s">
        <v>238</v>
      </c>
    </row>
    <row r="101" spans="9:40" x14ac:dyDescent="0.45">
      <c r="I101" t="s">
        <v>176</v>
      </c>
      <c r="J101" t="s">
        <v>169</v>
      </c>
      <c r="K101">
        <v>1.1532407276226143E-3</v>
      </c>
      <c r="L101" t="s">
        <v>166</v>
      </c>
      <c r="N101" t="s">
        <v>199</v>
      </c>
      <c r="O101" t="s">
        <v>169</v>
      </c>
      <c r="P101">
        <v>3.0177130023066961E-2</v>
      </c>
      <c r="Q101" t="s">
        <v>166</v>
      </c>
      <c r="S101" t="s">
        <v>221</v>
      </c>
      <c r="T101" t="s">
        <v>169</v>
      </c>
      <c r="U101">
        <v>3.4656083782353762E-2</v>
      </c>
      <c r="V101" t="s">
        <v>166</v>
      </c>
      <c r="AK101">
        <v>2034</v>
      </c>
      <c r="AL101" t="s">
        <v>246</v>
      </c>
      <c r="AM101">
        <v>0.34560000000000002</v>
      </c>
      <c r="AN101" t="s">
        <v>238</v>
      </c>
    </row>
    <row r="102" spans="9:40" x14ac:dyDescent="0.45">
      <c r="I102" t="s">
        <v>176</v>
      </c>
      <c r="J102" t="s">
        <v>170</v>
      </c>
      <c r="K102">
        <v>4.5027849394214002E-3</v>
      </c>
      <c r="L102" t="s">
        <v>166</v>
      </c>
      <c r="N102" t="s">
        <v>199</v>
      </c>
      <c r="O102" t="s">
        <v>170</v>
      </c>
      <c r="P102">
        <v>3.3684036116679405E-3</v>
      </c>
      <c r="Q102" t="s">
        <v>166</v>
      </c>
      <c r="S102" t="s">
        <v>221</v>
      </c>
      <c r="T102" t="s">
        <v>170</v>
      </c>
      <c r="U102">
        <v>4.3150762891792233E-3</v>
      </c>
      <c r="V102" t="s">
        <v>166</v>
      </c>
      <c r="AK102">
        <v>2035</v>
      </c>
      <c r="AL102" t="s">
        <v>155</v>
      </c>
      <c r="AM102">
        <v>0.34784999999999999</v>
      </c>
      <c r="AN102" t="s">
        <v>238</v>
      </c>
    </row>
    <row r="103" spans="9:40" x14ac:dyDescent="0.45">
      <c r="I103" t="s">
        <v>176</v>
      </c>
      <c r="J103" t="s">
        <v>171</v>
      </c>
      <c r="K103">
        <v>6.9029825802022646E-2</v>
      </c>
      <c r="L103" t="s">
        <v>166</v>
      </c>
      <c r="N103" t="s">
        <v>199</v>
      </c>
      <c r="O103" t="s">
        <v>171</v>
      </c>
      <c r="P103">
        <v>2.2886708883044688E-2</v>
      </c>
      <c r="Q103" t="s">
        <v>166</v>
      </c>
      <c r="S103" t="s">
        <v>221</v>
      </c>
      <c r="T103" t="s">
        <v>171</v>
      </c>
      <c r="U103">
        <v>2.8679408593469763E-2</v>
      </c>
      <c r="V103" t="s">
        <v>166</v>
      </c>
      <c r="AK103">
        <v>2035</v>
      </c>
      <c r="AL103" t="s">
        <v>159</v>
      </c>
      <c r="AM103">
        <v>0.34710000000000002</v>
      </c>
      <c r="AN103" t="s">
        <v>238</v>
      </c>
    </row>
    <row r="104" spans="9:40" x14ac:dyDescent="0.45">
      <c r="I104" t="s">
        <v>176</v>
      </c>
      <c r="J104" t="s">
        <v>250</v>
      </c>
      <c r="K104">
        <v>8.5078192651598956E-3</v>
      </c>
      <c r="L104" t="s">
        <v>166</v>
      </c>
      <c r="N104" t="s">
        <v>199</v>
      </c>
      <c r="O104" t="s">
        <v>250</v>
      </c>
      <c r="P104">
        <v>3.616693166939561E-3</v>
      </c>
      <c r="Q104" t="s">
        <v>166</v>
      </c>
      <c r="S104" t="s">
        <v>221</v>
      </c>
      <c r="T104" t="s">
        <v>250</v>
      </c>
      <c r="U104">
        <v>4.1560154037923397E-3</v>
      </c>
      <c r="V104" t="s">
        <v>166</v>
      </c>
      <c r="AK104">
        <v>2035</v>
      </c>
      <c r="AL104" t="s">
        <v>161</v>
      </c>
      <c r="AM104">
        <v>0.39369999999999999</v>
      </c>
      <c r="AN104" t="s">
        <v>238</v>
      </c>
    </row>
    <row r="105" spans="9:40" x14ac:dyDescent="0.45">
      <c r="I105" t="s">
        <v>176</v>
      </c>
      <c r="J105" t="s">
        <v>251</v>
      </c>
      <c r="K105">
        <v>6.2040345503592354E-3</v>
      </c>
      <c r="L105" t="s">
        <v>166</v>
      </c>
      <c r="N105" t="s">
        <v>199</v>
      </c>
      <c r="O105" t="s">
        <v>251</v>
      </c>
      <c r="P105">
        <v>3.5421508391774567E-3</v>
      </c>
      <c r="Q105" t="s">
        <v>166</v>
      </c>
      <c r="S105" t="s">
        <v>221</v>
      </c>
      <c r="T105" t="s">
        <v>251</v>
      </c>
      <c r="U105">
        <v>4.2562380863464993E-3</v>
      </c>
      <c r="V105" t="s">
        <v>166</v>
      </c>
      <c r="AK105">
        <v>2035</v>
      </c>
      <c r="AL105" t="s">
        <v>240</v>
      </c>
      <c r="AM105">
        <v>0.42</v>
      </c>
      <c r="AN105" t="s">
        <v>238</v>
      </c>
    </row>
    <row r="106" spans="9:40" x14ac:dyDescent="0.45">
      <c r="I106" t="s">
        <v>176</v>
      </c>
      <c r="J106" t="s">
        <v>252</v>
      </c>
      <c r="K106">
        <v>3.37092402097358E-3</v>
      </c>
      <c r="L106" t="s">
        <v>166</v>
      </c>
      <c r="N106" t="s">
        <v>199</v>
      </c>
      <c r="O106" t="s">
        <v>252</v>
      </c>
      <c r="P106">
        <v>2.5403443034655415E-2</v>
      </c>
      <c r="Q106" t="s">
        <v>166</v>
      </c>
      <c r="S106" t="s">
        <v>221</v>
      </c>
      <c r="T106" t="s">
        <v>252</v>
      </c>
      <c r="U106">
        <v>2.6410933707559509E-2</v>
      </c>
      <c r="V106" t="s">
        <v>166</v>
      </c>
      <c r="AK106">
        <v>2035</v>
      </c>
      <c r="AL106" t="s">
        <v>242</v>
      </c>
      <c r="AM106">
        <v>0.4008799999999999</v>
      </c>
      <c r="AN106" t="s">
        <v>238</v>
      </c>
    </row>
    <row r="107" spans="9:40" x14ac:dyDescent="0.45">
      <c r="I107" t="s">
        <v>176</v>
      </c>
      <c r="J107" t="s">
        <v>172</v>
      </c>
      <c r="K107">
        <v>6.2451618740561972E-3</v>
      </c>
      <c r="L107" t="s">
        <v>166</v>
      </c>
      <c r="N107" t="s">
        <v>199</v>
      </c>
      <c r="O107" t="s">
        <v>172</v>
      </c>
      <c r="P107">
        <v>2.2780813690226012E-2</v>
      </c>
      <c r="Q107" t="s">
        <v>166</v>
      </c>
      <c r="S107" t="s">
        <v>221</v>
      </c>
      <c r="T107" t="s">
        <v>172</v>
      </c>
      <c r="U107">
        <v>2.4129065667260793E-2</v>
      </c>
      <c r="V107" t="s">
        <v>166</v>
      </c>
      <c r="AK107">
        <v>2035</v>
      </c>
      <c r="AL107" t="s">
        <v>244</v>
      </c>
      <c r="AM107">
        <v>0.34399999999999997</v>
      </c>
      <c r="AN107" t="s">
        <v>238</v>
      </c>
    </row>
    <row r="108" spans="9:40" x14ac:dyDescent="0.45">
      <c r="I108" t="s">
        <v>176</v>
      </c>
      <c r="J108" t="s">
        <v>173</v>
      </c>
      <c r="K108">
        <v>6.8531747550578167E-3</v>
      </c>
      <c r="L108" t="s">
        <v>166</v>
      </c>
      <c r="N108" t="s">
        <v>199</v>
      </c>
      <c r="O108" t="s">
        <v>173</v>
      </c>
      <c r="P108">
        <v>2.0744016883746151E-3</v>
      </c>
      <c r="Q108" t="s">
        <v>166</v>
      </c>
      <c r="S108" t="s">
        <v>221</v>
      </c>
      <c r="T108" t="s">
        <v>173</v>
      </c>
      <c r="U108">
        <v>2.7051167084637278E-3</v>
      </c>
      <c r="V108" t="s">
        <v>166</v>
      </c>
      <c r="AK108">
        <v>2035</v>
      </c>
      <c r="AL108" t="s">
        <v>246</v>
      </c>
      <c r="AM108">
        <v>0.37880000000000003</v>
      </c>
      <c r="AN108" t="s">
        <v>238</v>
      </c>
    </row>
    <row r="109" spans="9:40" x14ac:dyDescent="0.45">
      <c r="I109" t="s">
        <v>176</v>
      </c>
      <c r="J109" t="s">
        <v>174</v>
      </c>
      <c r="K109">
        <v>7.0883648808017632E-2</v>
      </c>
      <c r="L109" t="s">
        <v>166</v>
      </c>
      <c r="N109" t="s">
        <v>199</v>
      </c>
      <c r="O109" t="s">
        <v>174</v>
      </c>
      <c r="P109">
        <v>1.5138536406274257E-2</v>
      </c>
      <c r="Q109" t="s">
        <v>166</v>
      </c>
      <c r="S109" t="s">
        <v>221</v>
      </c>
      <c r="T109" t="s">
        <v>174</v>
      </c>
      <c r="U109">
        <v>2.0164424539262236E-2</v>
      </c>
      <c r="V109" t="s">
        <v>166</v>
      </c>
      <c r="AK109">
        <v>2036</v>
      </c>
      <c r="AL109" t="s">
        <v>155</v>
      </c>
      <c r="AM109">
        <v>0.37175000000000002</v>
      </c>
      <c r="AN109" t="s">
        <v>238</v>
      </c>
    </row>
    <row r="110" spans="9:40" x14ac:dyDescent="0.45">
      <c r="I110" t="s">
        <v>176</v>
      </c>
      <c r="J110" t="s">
        <v>253</v>
      </c>
      <c r="K110">
        <v>8.2027182032585952E-3</v>
      </c>
      <c r="L110" t="s">
        <v>166</v>
      </c>
      <c r="N110" t="s">
        <v>199</v>
      </c>
      <c r="O110" t="s">
        <v>253</v>
      </c>
      <c r="P110">
        <v>2.304258554113878E-3</v>
      </c>
      <c r="Q110" t="s">
        <v>166</v>
      </c>
      <c r="S110" t="s">
        <v>221</v>
      </c>
      <c r="T110" t="s">
        <v>253</v>
      </c>
      <c r="U110">
        <v>3.225220216328319E-3</v>
      </c>
      <c r="V110" t="s">
        <v>166</v>
      </c>
      <c r="AK110">
        <v>2036</v>
      </c>
      <c r="AL110" t="s">
        <v>159</v>
      </c>
      <c r="AM110">
        <v>0.3705</v>
      </c>
      <c r="AN110" t="s">
        <v>238</v>
      </c>
    </row>
    <row r="111" spans="9:40" x14ac:dyDescent="0.45">
      <c r="I111" t="s">
        <v>176</v>
      </c>
      <c r="J111" t="s">
        <v>254</v>
      </c>
      <c r="K111">
        <v>6.4808204935069861E-3</v>
      </c>
      <c r="L111" t="s">
        <v>166</v>
      </c>
      <c r="N111" t="s">
        <v>199</v>
      </c>
      <c r="O111" t="s">
        <v>254</v>
      </c>
      <c r="P111">
        <v>1.9844580987694233E-3</v>
      </c>
      <c r="Q111" t="s">
        <v>166</v>
      </c>
      <c r="S111" t="s">
        <v>221</v>
      </c>
      <c r="T111" t="s">
        <v>254</v>
      </c>
      <c r="U111">
        <v>3.3044249231925066E-3</v>
      </c>
      <c r="V111" t="s">
        <v>166</v>
      </c>
      <c r="AK111">
        <v>2036</v>
      </c>
      <c r="AL111" t="s">
        <v>161</v>
      </c>
      <c r="AM111">
        <v>0.39019999999999999</v>
      </c>
      <c r="AN111" t="s">
        <v>238</v>
      </c>
    </row>
    <row r="112" spans="9:40" x14ac:dyDescent="0.45">
      <c r="I112" t="s">
        <v>176</v>
      </c>
      <c r="J112" t="s">
        <v>255</v>
      </c>
      <c r="K112">
        <v>7.0654423136819579E-3</v>
      </c>
      <c r="L112" t="s">
        <v>166</v>
      </c>
      <c r="N112" t="s">
        <v>199</v>
      </c>
      <c r="O112" t="s">
        <v>255</v>
      </c>
      <c r="P112">
        <v>1.6558955667154273E-2</v>
      </c>
      <c r="Q112" t="s">
        <v>166</v>
      </c>
      <c r="S112" t="s">
        <v>221</v>
      </c>
      <c r="T112" t="s">
        <v>255</v>
      </c>
      <c r="U112">
        <v>2.0239948637687823E-2</v>
      </c>
      <c r="V112" t="s">
        <v>166</v>
      </c>
      <c r="AK112">
        <v>2036</v>
      </c>
      <c r="AL112" t="s">
        <v>240</v>
      </c>
      <c r="AM112">
        <v>0.46139999999999998</v>
      </c>
      <c r="AN112" t="s">
        <v>238</v>
      </c>
    </row>
    <row r="113" spans="9:40" x14ac:dyDescent="0.45">
      <c r="I113" t="s">
        <v>176</v>
      </c>
      <c r="J113" t="s">
        <v>256</v>
      </c>
      <c r="K113">
        <v>8.6085451360022516E-3</v>
      </c>
      <c r="L113" t="s">
        <v>166</v>
      </c>
      <c r="N113" t="s">
        <v>199</v>
      </c>
      <c r="O113" t="s">
        <v>256</v>
      </c>
      <c r="P113">
        <v>2.2907273354174716E-2</v>
      </c>
      <c r="Q113" t="s">
        <v>166</v>
      </c>
      <c r="S113" t="s">
        <v>221</v>
      </c>
      <c r="T113" t="s">
        <v>256</v>
      </c>
      <c r="U113">
        <v>2.3320096574863919E-2</v>
      </c>
      <c r="V113" t="s">
        <v>166</v>
      </c>
      <c r="AK113">
        <v>2036</v>
      </c>
      <c r="AL113" t="s">
        <v>242</v>
      </c>
      <c r="AM113">
        <v>0.39845999999999993</v>
      </c>
      <c r="AN113" t="s">
        <v>238</v>
      </c>
    </row>
    <row r="114" spans="9:40" x14ac:dyDescent="0.45">
      <c r="I114" t="s">
        <v>176</v>
      </c>
      <c r="J114" t="s">
        <v>257</v>
      </c>
      <c r="K114">
        <v>7.8051467366502302E-3</v>
      </c>
      <c r="L114" t="s">
        <v>166</v>
      </c>
      <c r="N114" t="s">
        <v>199</v>
      </c>
      <c r="O114" t="s">
        <v>257</v>
      </c>
      <c r="P114">
        <v>2.3907699437582435E-3</v>
      </c>
      <c r="Q114" t="s">
        <v>166</v>
      </c>
      <c r="S114" t="s">
        <v>221</v>
      </c>
      <c r="T114" t="s">
        <v>257</v>
      </c>
      <c r="U114">
        <v>2.7928808142660623E-3</v>
      </c>
      <c r="V114" t="s">
        <v>166</v>
      </c>
      <c r="AK114">
        <v>2036</v>
      </c>
      <c r="AL114" t="s">
        <v>244</v>
      </c>
      <c r="AM114">
        <v>0.34660000000000002</v>
      </c>
      <c r="AN114" t="s">
        <v>238</v>
      </c>
    </row>
    <row r="115" spans="9:40" x14ac:dyDescent="0.45">
      <c r="I115" t="s">
        <v>176</v>
      </c>
      <c r="J115" t="s">
        <v>258</v>
      </c>
      <c r="K115">
        <v>7.2132628266912427E-2</v>
      </c>
      <c r="L115" t="s">
        <v>166</v>
      </c>
      <c r="N115" t="s">
        <v>199</v>
      </c>
      <c r="O115" t="s">
        <v>258</v>
      </c>
      <c r="P115">
        <v>1.9092460878683312E-2</v>
      </c>
      <c r="Q115" t="s">
        <v>166</v>
      </c>
      <c r="S115" t="s">
        <v>221</v>
      </c>
      <c r="T115" t="s">
        <v>258</v>
      </c>
      <c r="U115">
        <v>1.87734200892192E-2</v>
      </c>
      <c r="V115" t="s">
        <v>166</v>
      </c>
      <c r="AK115">
        <v>2036</v>
      </c>
      <c r="AL115" t="s">
        <v>246</v>
      </c>
      <c r="AM115">
        <v>0.36759999999999998</v>
      </c>
      <c r="AN115" t="s">
        <v>238</v>
      </c>
    </row>
    <row r="116" spans="9:40" x14ac:dyDescent="0.45">
      <c r="I116" t="s">
        <v>176</v>
      </c>
      <c r="J116" t="s">
        <v>259</v>
      </c>
      <c r="K116">
        <v>8.169167387785007E-3</v>
      </c>
      <c r="L116" t="s">
        <v>166</v>
      </c>
      <c r="N116" t="s">
        <v>199</v>
      </c>
      <c r="O116" t="s">
        <v>259</v>
      </c>
      <c r="P116">
        <v>3.1468239941402844E-3</v>
      </c>
      <c r="Q116" t="s">
        <v>166</v>
      </c>
      <c r="S116" t="s">
        <v>221</v>
      </c>
      <c r="T116" t="s">
        <v>259</v>
      </c>
      <c r="U116">
        <v>2.8125786892767681E-3</v>
      </c>
      <c r="V116" t="s">
        <v>166</v>
      </c>
      <c r="AK116">
        <v>2037</v>
      </c>
      <c r="AL116" t="s">
        <v>155</v>
      </c>
      <c r="AM116">
        <v>0.33945000000000003</v>
      </c>
      <c r="AN116" t="s">
        <v>238</v>
      </c>
    </row>
    <row r="117" spans="9:40" x14ac:dyDescent="0.45">
      <c r="I117" t="s">
        <v>176</v>
      </c>
      <c r="J117" t="s">
        <v>260</v>
      </c>
      <c r="K117">
        <v>6.390989513339225E-3</v>
      </c>
      <c r="L117" t="s">
        <v>166</v>
      </c>
      <c r="N117" t="s">
        <v>199</v>
      </c>
      <c r="O117" t="s">
        <v>260</v>
      </c>
      <c r="P117">
        <v>2.9296843258187397E-3</v>
      </c>
      <c r="Q117" t="s">
        <v>166</v>
      </c>
      <c r="S117" t="s">
        <v>221</v>
      </c>
      <c r="T117" t="s">
        <v>260</v>
      </c>
      <c r="U117">
        <v>2.8382403456088928E-3</v>
      </c>
      <c r="V117" t="s">
        <v>166</v>
      </c>
      <c r="AK117">
        <v>2037</v>
      </c>
      <c r="AL117" t="s">
        <v>159</v>
      </c>
      <c r="AM117">
        <v>0.39029999999999998</v>
      </c>
      <c r="AN117" t="s">
        <v>238</v>
      </c>
    </row>
    <row r="118" spans="9:40" x14ac:dyDescent="0.45">
      <c r="I118" t="s">
        <v>176</v>
      </c>
      <c r="J118" t="s">
        <v>261</v>
      </c>
      <c r="K118">
        <v>7.3895675865330397E-3</v>
      </c>
      <c r="L118" t="s">
        <v>166</v>
      </c>
      <c r="N118" t="s">
        <v>199</v>
      </c>
      <c r="O118" t="s">
        <v>261</v>
      </c>
      <c r="P118">
        <v>1.8509505491673739E-2</v>
      </c>
      <c r="Q118" t="s">
        <v>166</v>
      </c>
      <c r="S118" t="s">
        <v>221</v>
      </c>
      <c r="T118" t="s">
        <v>261</v>
      </c>
      <c r="U118">
        <v>1.7342989241007092E-2</v>
      </c>
      <c r="V118" t="s">
        <v>166</v>
      </c>
      <c r="AK118">
        <v>2037</v>
      </c>
      <c r="AL118" t="s">
        <v>161</v>
      </c>
      <c r="AM118">
        <v>0.3881</v>
      </c>
      <c r="AN118" t="s">
        <v>238</v>
      </c>
    </row>
    <row r="119" spans="9:40" x14ac:dyDescent="0.45">
      <c r="I119" t="s">
        <v>176</v>
      </c>
      <c r="J119" t="s">
        <v>262</v>
      </c>
      <c r="K119">
        <v>3.6791046096705061E-2</v>
      </c>
      <c r="L119" t="s">
        <v>166</v>
      </c>
      <c r="N119" t="s">
        <v>199</v>
      </c>
      <c r="O119" t="s">
        <v>262</v>
      </c>
      <c r="P119">
        <v>0.1237907780807533</v>
      </c>
      <c r="Q119" t="s">
        <v>166</v>
      </c>
      <c r="S119" t="s">
        <v>221</v>
      </c>
      <c r="T119" t="s">
        <v>262</v>
      </c>
      <c r="U119">
        <v>0.12485874935593934</v>
      </c>
      <c r="V119" t="s">
        <v>166</v>
      </c>
      <c r="AK119">
        <v>2037</v>
      </c>
      <c r="AL119" t="s">
        <v>240</v>
      </c>
      <c r="AM119">
        <v>0.50460000000000005</v>
      </c>
      <c r="AN119" t="s">
        <v>238</v>
      </c>
    </row>
    <row r="120" spans="9:40" x14ac:dyDescent="0.45">
      <c r="I120" t="s">
        <v>176</v>
      </c>
      <c r="J120" t="s">
        <v>263</v>
      </c>
      <c r="K120">
        <v>3.5305612136301963E-2</v>
      </c>
      <c r="L120" t="s">
        <v>166</v>
      </c>
      <c r="N120" t="s">
        <v>199</v>
      </c>
      <c r="O120" t="s">
        <v>263</v>
      </c>
      <c r="P120">
        <v>1.3808080307743505E-2</v>
      </c>
      <c r="Q120" t="s">
        <v>166</v>
      </c>
      <c r="S120" t="s">
        <v>221</v>
      </c>
      <c r="T120" t="s">
        <v>263</v>
      </c>
      <c r="U120">
        <v>1.5835210296670798E-2</v>
      </c>
      <c r="V120" t="s">
        <v>166</v>
      </c>
      <c r="AK120">
        <v>2037</v>
      </c>
      <c r="AL120" t="s">
        <v>242</v>
      </c>
      <c r="AM120">
        <v>0.37729999999999997</v>
      </c>
      <c r="AN120" t="s">
        <v>238</v>
      </c>
    </row>
    <row r="121" spans="9:40" x14ac:dyDescent="0.45">
      <c r="I121" t="s">
        <v>176</v>
      </c>
      <c r="J121" t="s">
        <v>264</v>
      </c>
      <c r="K121">
        <v>0.36338295418800187</v>
      </c>
      <c r="L121" t="s">
        <v>166</v>
      </c>
      <c r="N121" t="s">
        <v>199</v>
      </c>
      <c r="O121" t="s">
        <v>264</v>
      </c>
      <c r="P121">
        <v>9.0073653863958228E-2</v>
      </c>
      <c r="Q121" t="s">
        <v>166</v>
      </c>
      <c r="S121" t="s">
        <v>221</v>
      </c>
      <c r="T121" t="s">
        <v>264</v>
      </c>
      <c r="U121">
        <v>0.10710470426931985</v>
      </c>
      <c r="V121" t="s">
        <v>166</v>
      </c>
      <c r="AK121">
        <v>2037</v>
      </c>
      <c r="AL121" t="s">
        <v>244</v>
      </c>
      <c r="AM121">
        <v>0.32250000000000001</v>
      </c>
      <c r="AN121" t="s">
        <v>238</v>
      </c>
    </row>
    <row r="122" spans="9:40" x14ac:dyDescent="0.45">
      <c r="I122" t="s">
        <v>176</v>
      </c>
      <c r="J122" t="s">
        <v>265</v>
      </c>
      <c r="K122">
        <v>4.3804009114522251E-2</v>
      </c>
      <c r="L122" t="s">
        <v>166</v>
      </c>
      <c r="N122" t="s">
        <v>199</v>
      </c>
      <c r="O122" t="s">
        <v>265</v>
      </c>
      <c r="P122">
        <v>1.3199257957603549E-2</v>
      </c>
      <c r="Q122" t="s">
        <v>166</v>
      </c>
      <c r="S122" t="s">
        <v>221</v>
      </c>
      <c r="T122" t="s">
        <v>265</v>
      </c>
      <c r="U122">
        <v>1.5856808164833876E-2</v>
      </c>
      <c r="V122" t="s">
        <v>166</v>
      </c>
      <c r="AK122">
        <v>2037</v>
      </c>
      <c r="AL122" t="s">
        <v>246</v>
      </c>
      <c r="AM122">
        <v>0.3654</v>
      </c>
      <c r="AN122" t="s">
        <v>238</v>
      </c>
    </row>
    <row r="123" spans="9:40" x14ac:dyDescent="0.45">
      <c r="I123" t="s">
        <v>176</v>
      </c>
      <c r="J123" t="s">
        <v>266</v>
      </c>
      <c r="K123">
        <v>3.5241120025197005E-2</v>
      </c>
      <c r="L123" t="s">
        <v>166</v>
      </c>
      <c r="N123" t="s">
        <v>199</v>
      </c>
      <c r="O123" t="s">
        <v>266</v>
      </c>
      <c r="P123">
        <v>1.3018054937631987E-2</v>
      </c>
      <c r="Q123" t="s">
        <v>166</v>
      </c>
      <c r="S123" t="s">
        <v>221</v>
      </c>
      <c r="T123" t="s">
        <v>266</v>
      </c>
      <c r="U123">
        <v>1.5799340188263587E-2</v>
      </c>
      <c r="V123" t="s">
        <v>166</v>
      </c>
      <c r="AK123">
        <v>2038</v>
      </c>
      <c r="AL123" t="s">
        <v>155</v>
      </c>
      <c r="AM123">
        <v>0.3377</v>
      </c>
      <c r="AN123" t="s">
        <v>238</v>
      </c>
    </row>
    <row r="124" spans="9:40" x14ac:dyDescent="0.45">
      <c r="I124" t="s">
        <v>176</v>
      </c>
      <c r="J124" t="s">
        <v>267</v>
      </c>
      <c r="K124">
        <v>4.0522482974656077E-2</v>
      </c>
      <c r="L124" t="s">
        <v>166</v>
      </c>
      <c r="N124" t="s">
        <v>199</v>
      </c>
      <c r="O124" t="s">
        <v>267</v>
      </c>
      <c r="P124">
        <v>9.1321434559574755E-2</v>
      </c>
      <c r="Q124" t="s">
        <v>166</v>
      </c>
      <c r="S124" t="s">
        <v>221</v>
      </c>
      <c r="T124" t="s">
        <v>267</v>
      </c>
      <c r="U124">
        <v>9.5191203413064168E-2</v>
      </c>
      <c r="V124" t="s">
        <v>166</v>
      </c>
      <c r="AK124">
        <v>2038</v>
      </c>
      <c r="AL124" t="s">
        <v>159</v>
      </c>
      <c r="AM124">
        <v>0.34300000000000003</v>
      </c>
      <c r="AN124" t="s">
        <v>238</v>
      </c>
    </row>
    <row r="125" spans="9:40" x14ac:dyDescent="0.45">
      <c r="I125" t="s">
        <v>176</v>
      </c>
      <c r="J125" t="s">
        <v>268</v>
      </c>
      <c r="K125">
        <v>0</v>
      </c>
      <c r="L125" t="s">
        <v>166</v>
      </c>
      <c r="N125" t="s">
        <v>199</v>
      </c>
      <c r="O125" t="s">
        <v>268</v>
      </c>
      <c r="P125">
        <v>3.4029724371942398E-2</v>
      </c>
      <c r="Q125" t="s">
        <v>166</v>
      </c>
      <c r="S125" t="s">
        <v>221</v>
      </c>
      <c r="T125" t="s">
        <v>268</v>
      </c>
      <c r="U125">
        <v>3.077464218653557E-2</v>
      </c>
      <c r="V125" t="s">
        <v>166</v>
      </c>
      <c r="AK125">
        <v>2038</v>
      </c>
      <c r="AL125" t="s">
        <v>161</v>
      </c>
      <c r="AM125">
        <v>0.36430000000000001</v>
      </c>
      <c r="AN125" t="s">
        <v>238</v>
      </c>
    </row>
    <row r="126" spans="9:40" x14ac:dyDescent="0.45">
      <c r="I126" t="s">
        <v>176</v>
      </c>
      <c r="J126" t="s">
        <v>269</v>
      </c>
      <c r="K126">
        <v>7.0732015411425055E-4</v>
      </c>
      <c r="L126" t="s">
        <v>166</v>
      </c>
      <c r="N126" t="s">
        <v>199</v>
      </c>
      <c r="O126" t="s">
        <v>269</v>
      </c>
      <c r="P126">
        <v>4.5993561643046027E-3</v>
      </c>
      <c r="Q126" t="s">
        <v>166</v>
      </c>
      <c r="S126" t="s">
        <v>221</v>
      </c>
      <c r="T126" t="s">
        <v>269</v>
      </c>
      <c r="U126">
        <v>3.7620333376833684E-3</v>
      </c>
      <c r="V126" t="s">
        <v>166</v>
      </c>
      <c r="AK126">
        <v>2038</v>
      </c>
      <c r="AL126" t="s">
        <v>240</v>
      </c>
      <c r="AM126">
        <v>0.5101</v>
      </c>
      <c r="AN126" t="s">
        <v>238</v>
      </c>
    </row>
    <row r="127" spans="9:40" x14ac:dyDescent="0.45">
      <c r="I127" t="s">
        <v>176</v>
      </c>
      <c r="J127" t="s">
        <v>270</v>
      </c>
      <c r="K127">
        <v>2.8425361455541386E-2</v>
      </c>
      <c r="L127" t="s">
        <v>166</v>
      </c>
      <c r="N127" t="s">
        <v>199</v>
      </c>
      <c r="O127" t="s">
        <v>270</v>
      </c>
      <c r="P127">
        <v>2.8609329592848339E-2</v>
      </c>
      <c r="Q127" t="s">
        <v>166</v>
      </c>
      <c r="S127" t="s">
        <v>221</v>
      </c>
      <c r="T127" t="s">
        <v>270</v>
      </c>
      <c r="U127">
        <v>2.6801563162740297E-2</v>
      </c>
      <c r="V127" t="s">
        <v>166</v>
      </c>
      <c r="AK127">
        <v>2038</v>
      </c>
      <c r="AL127" t="s">
        <v>242</v>
      </c>
      <c r="AM127">
        <v>0.39101999999999998</v>
      </c>
      <c r="AN127" t="s">
        <v>238</v>
      </c>
    </row>
    <row r="128" spans="9:40" x14ac:dyDescent="0.45">
      <c r="I128" t="s">
        <v>176</v>
      </c>
      <c r="J128" t="s">
        <v>271</v>
      </c>
      <c r="K128">
        <v>2.4139143217906281E-3</v>
      </c>
      <c r="L128" t="s">
        <v>166</v>
      </c>
      <c r="N128" t="s">
        <v>199</v>
      </c>
      <c r="O128" t="s">
        <v>271</v>
      </c>
      <c r="P128">
        <v>3.9508254205305859E-3</v>
      </c>
      <c r="Q128" t="s">
        <v>166</v>
      </c>
      <c r="S128" t="s">
        <v>221</v>
      </c>
      <c r="T128" t="s">
        <v>271</v>
      </c>
      <c r="U128">
        <v>3.6965045149000945E-3</v>
      </c>
      <c r="V128" t="s">
        <v>166</v>
      </c>
      <c r="AK128">
        <v>2038</v>
      </c>
      <c r="AL128" t="s">
        <v>244</v>
      </c>
      <c r="AM128">
        <v>0.32469999999999999</v>
      </c>
      <c r="AN128" t="s">
        <v>238</v>
      </c>
    </row>
    <row r="129" spans="9:40" x14ac:dyDescent="0.45">
      <c r="I129" t="s">
        <v>176</v>
      </c>
      <c r="J129" t="s">
        <v>272</v>
      </c>
      <c r="K129">
        <v>2.8028602734053639E-4</v>
      </c>
      <c r="L129" t="s">
        <v>166</v>
      </c>
      <c r="N129" t="s">
        <v>199</v>
      </c>
      <c r="O129" t="s">
        <v>272</v>
      </c>
      <c r="P129">
        <v>4.131594968878053E-3</v>
      </c>
      <c r="Q129" t="s">
        <v>166</v>
      </c>
      <c r="S129" t="s">
        <v>221</v>
      </c>
      <c r="T129" t="s">
        <v>272</v>
      </c>
      <c r="U129">
        <v>3.7811915638012593E-3</v>
      </c>
      <c r="V129" t="s">
        <v>166</v>
      </c>
      <c r="AK129">
        <v>2038</v>
      </c>
      <c r="AL129" t="s">
        <v>246</v>
      </c>
      <c r="AM129">
        <v>0.33939999999999998</v>
      </c>
      <c r="AN129" t="s">
        <v>238</v>
      </c>
    </row>
    <row r="130" spans="9:40" x14ac:dyDescent="0.45">
      <c r="I130" t="s">
        <v>176</v>
      </c>
      <c r="J130" t="s">
        <v>273</v>
      </c>
      <c r="K130">
        <v>0</v>
      </c>
      <c r="L130" t="s">
        <v>166</v>
      </c>
      <c r="N130" t="s">
        <v>199</v>
      </c>
      <c r="O130" t="s">
        <v>273</v>
      </c>
      <c r="P130">
        <v>2.5263524462849147E-2</v>
      </c>
      <c r="Q130" t="s">
        <v>166</v>
      </c>
      <c r="S130" t="s">
        <v>221</v>
      </c>
      <c r="T130" t="s">
        <v>273</v>
      </c>
      <c r="U130">
        <v>2.3002211164080907E-2</v>
      </c>
      <c r="V130" t="s">
        <v>166</v>
      </c>
      <c r="AK130">
        <v>2039</v>
      </c>
      <c r="AL130" t="s">
        <v>155</v>
      </c>
      <c r="AM130">
        <v>0.34304999999999997</v>
      </c>
      <c r="AN130" t="s">
        <v>238</v>
      </c>
    </row>
    <row r="131" spans="9:40" x14ac:dyDescent="0.45">
      <c r="I131" t="s">
        <v>176</v>
      </c>
      <c r="J131" t="s">
        <v>274</v>
      </c>
      <c r="K131">
        <v>0</v>
      </c>
      <c r="L131" t="s">
        <v>166</v>
      </c>
      <c r="N131" t="s">
        <v>199</v>
      </c>
      <c r="O131" t="s">
        <v>274</v>
      </c>
      <c r="P131">
        <v>5.0293532708749297E-2</v>
      </c>
      <c r="Q131" t="s">
        <v>166</v>
      </c>
      <c r="S131" t="s">
        <v>221</v>
      </c>
      <c r="T131" t="s">
        <v>274</v>
      </c>
      <c r="U131">
        <v>4.0954789024505077E-2</v>
      </c>
      <c r="V131" t="s">
        <v>166</v>
      </c>
      <c r="AK131">
        <v>2039</v>
      </c>
      <c r="AL131" t="s">
        <v>159</v>
      </c>
      <c r="AM131">
        <v>0.41270000000000001</v>
      </c>
      <c r="AN131" t="s">
        <v>238</v>
      </c>
    </row>
    <row r="132" spans="9:40" x14ac:dyDescent="0.45">
      <c r="I132" t="s">
        <v>176</v>
      </c>
      <c r="J132" t="s">
        <v>275</v>
      </c>
      <c r="K132">
        <v>0</v>
      </c>
      <c r="L132" t="s">
        <v>166</v>
      </c>
      <c r="N132" t="s">
        <v>199</v>
      </c>
      <c r="O132" t="s">
        <v>275</v>
      </c>
      <c r="P132">
        <v>6.7310662821639129E-3</v>
      </c>
      <c r="Q132" t="s">
        <v>166</v>
      </c>
      <c r="S132" t="s">
        <v>221</v>
      </c>
      <c r="T132" t="s">
        <v>275</v>
      </c>
      <c r="U132">
        <v>5.1769731059889117E-3</v>
      </c>
      <c r="V132" t="s">
        <v>166</v>
      </c>
      <c r="AK132">
        <v>2039</v>
      </c>
      <c r="AL132" t="s">
        <v>161</v>
      </c>
      <c r="AM132">
        <v>0.40649999999999997</v>
      </c>
      <c r="AN132" t="s">
        <v>238</v>
      </c>
    </row>
    <row r="133" spans="9:40" x14ac:dyDescent="0.45">
      <c r="I133" t="s">
        <v>176</v>
      </c>
      <c r="J133" t="s">
        <v>276</v>
      </c>
      <c r="K133">
        <v>3.1518702075329218E-2</v>
      </c>
      <c r="L133" t="s">
        <v>166</v>
      </c>
      <c r="N133" t="s">
        <v>199</v>
      </c>
      <c r="O133" t="s">
        <v>276</v>
      </c>
      <c r="P133">
        <v>4.3859434265567432E-2</v>
      </c>
      <c r="Q133" t="s">
        <v>166</v>
      </c>
      <c r="S133" t="s">
        <v>221</v>
      </c>
      <c r="T133" t="s">
        <v>276</v>
      </c>
      <c r="U133">
        <v>3.5195224965855282E-2</v>
      </c>
      <c r="V133" t="s">
        <v>166</v>
      </c>
      <c r="AK133">
        <v>2039</v>
      </c>
      <c r="AL133" t="s">
        <v>240</v>
      </c>
      <c r="AM133">
        <v>0.47820000000000001</v>
      </c>
      <c r="AN133" t="s">
        <v>238</v>
      </c>
    </row>
    <row r="134" spans="9:40" x14ac:dyDescent="0.45">
      <c r="I134" t="s">
        <v>176</v>
      </c>
      <c r="J134" t="s">
        <v>277</v>
      </c>
      <c r="K134">
        <v>2.8260888046222551E-3</v>
      </c>
      <c r="L134" t="s">
        <v>166</v>
      </c>
      <c r="N134" t="s">
        <v>199</v>
      </c>
      <c r="O134" t="s">
        <v>277</v>
      </c>
      <c r="P134">
        <v>6.3976077469713299E-3</v>
      </c>
      <c r="Q134" t="s">
        <v>166</v>
      </c>
      <c r="S134" t="s">
        <v>221</v>
      </c>
      <c r="T134" t="s">
        <v>277</v>
      </c>
      <c r="U134">
        <v>5.1062731450816981E-3</v>
      </c>
      <c r="V134" t="s">
        <v>166</v>
      </c>
      <c r="AK134">
        <v>2039</v>
      </c>
      <c r="AL134" t="s">
        <v>242</v>
      </c>
      <c r="AM134">
        <v>0.39376</v>
      </c>
      <c r="AN134" t="s">
        <v>238</v>
      </c>
    </row>
    <row r="135" spans="9:40" x14ac:dyDescent="0.45">
      <c r="I135" t="s">
        <v>176</v>
      </c>
      <c r="J135" t="s">
        <v>278</v>
      </c>
      <c r="K135">
        <v>0</v>
      </c>
      <c r="L135" t="s">
        <v>166</v>
      </c>
      <c r="N135" t="s">
        <v>199</v>
      </c>
      <c r="O135" t="s">
        <v>278</v>
      </c>
      <c r="P135">
        <v>6.6166949809653144E-3</v>
      </c>
      <c r="Q135" t="s">
        <v>166</v>
      </c>
      <c r="S135" t="s">
        <v>221</v>
      </c>
      <c r="T135" t="s">
        <v>278</v>
      </c>
      <c r="U135">
        <v>4.9628258665444739E-3</v>
      </c>
      <c r="V135" t="s">
        <v>166</v>
      </c>
      <c r="AK135">
        <v>2039</v>
      </c>
      <c r="AL135" t="s">
        <v>244</v>
      </c>
      <c r="AM135">
        <v>0.33040000000000003</v>
      </c>
      <c r="AN135" t="s">
        <v>238</v>
      </c>
    </row>
    <row r="136" spans="9:40" x14ac:dyDescent="0.45">
      <c r="I136" t="s">
        <v>176</v>
      </c>
      <c r="J136" t="s">
        <v>279</v>
      </c>
      <c r="K136">
        <v>0</v>
      </c>
      <c r="L136" t="s">
        <v>166</v>
      </c>
      <c r="N136" t="s">
        <v>199</v>
      </c>
      <c r="O136" t="s">
        <v>279</v>
      </c>
      <c r="P136">
        <v>3.9022219797852753E-2</v>
      </c>
      <c r="Q136" t="s">
        <v>166</v>
      </c>
      <c r="S136" t="s">
        <v>221</v>
      </c>
      <c r="T136" t="s">
        <v>279</v>
      </c>
      <c r="U136">
        <v>2.9912174917886405E-2</v>
      </c>
      <c r="V136" t="s">
        <v>166</v>
      </c>
      <c r="AK136">
        <v>2039</v>
      </c>
      <c r="AL136" t="s">
        <v>246</v>
      </c>
      <c r="AM136">
        <v>0.36969999999999997</v>
      </c>
      <c r="AN136" t="s">
        <v>238</v>
      </c>
    </row>
    <row r="137" spans="9:40" x14ac:dyDescent="0.45">
      <c r="I137" t="s">
        <v>177</v>
      </c>
      <c r="J137" t="s">
        <v>165</v>
      </c>
      <c r="K137">
        <v>2.6262679174045078E-4</v>
      </c>
      <c r="L137" t="s">
        <v>166</v>
      </c>
      <c r="N137" t="s">
        <v>200</v>
      </c>
      <c r="O137" t="s">
        <v>165</v>
      </c>
      <c r="P137">
        <v>5.741531606309682E-2</v>
      </c>
      <c r="Q137" t="s">
        <v>166</v>
      </c>
      <c r="S137" t="s">
        <v>222</v>
      </c>
      <c r="T137" t="s">
        <v>165</v>
      </c>
      <c r="U137">
        <v>5.9045767689701725E-2</v>
      </c>
      <c r="V137" t="s">
        <v>166</v>
      </c>
      <c r="AK137">
        <v>2040</v>
      </c>
      <c r="AL137" t="s">
        <v>155</v>
      </c>
      <c r="AM137">
        <v>0.34950000000000003</v>
      </c>
      <c r="AN137" t="s">
        <v>238</v>
      </c>
    </row>
    <row r="138" spans="9:40" x14ac:dyDescent="0.45">
      <c r="I138" t="s">
        <v>177</v>
      </c>
      <c r="J138" t="s">
        <v>167</v>
      </c>
      <c r="K138">
        <v>3.7939845890011489E-3</v>
      </c>
      <c r="L138" t="s">
        <v>166</v>
      </c>
      <c r="N138" t="s">
        <v>200</v>
      </c>
      <c r="O138" t="s">
        <v>167</v>
      </c>
      <c r="P138">
        <v>7.1910934753620119E-3</v>
      </c>
      <c r="Q138" t="s">
        <v>166</v>
      </c>
      <c r="S138" t="s">
        <v>222</v>
      </c>
      <c r="T138" t="s">
        <v>167</v>
      </c>
      <c r="U138">
        <v>7.3189534825621981E-3</v>
      </c>
      <c r="V138" t="s">
        <v>166</v>
      </c>
      <c r="AK138">
        <v>2040</v>
      </c>
      <c r="AL138" t="s">
        <v>159</v>
      </c>
      <c r="AM138">
        <v>0.40970000000000001</v>
      </c>
      <c r="AN138" t="s">
        <v>238</v>
      </c>
    </row>
    <row r="139" spans="9:40" x14ac:dyDescent="0.45">
      <c r="I139" t="s">
        <v>177</v>
      </c>
      <c r="J139" t="s">
        <v>168</v>
      </c>
      <c r="K139">
        <v>6.1747112470564143E-2</v>
      </c>
      <c r="L139" t="s">
        <v>166</v>
      </c>
      <c r="N139" t="s">
        <v>200</v>
      </c>
      <c r="O139" t="s">
        <v>168</v>
      </c>
      <c r="P139">
        <v>4.9724897397810802E-2</v>
      </c>
      <c r="Q139" t="s">
        <v>166</v>
      </c>
      <c r="S139" t="s">
        <v>222</v>
      </c>
      <c r="T139" t="s">
        <v>168</v>
      </c>
      <c r="U139">
        <v>5.1287034487221911E-2</v>
      </c>
      <c r="V139" t="s">
        <v>166</v>
      </c>
      <c r="AK139">
        <v>2040</v>
      </c>
      <c r="AL139" t="s">
        <v>161</v>
      </c>
      <c r="AM139">
        <v>0.4047</v>
      </c>
      <c r="AN139" t="s">
        <v>238</v>
      </c>
    </row>
    <row r="140" spans="9:40" x14ac:dyDescent="0.45">
      <c r="I140" t="s">
        <v>177</v>
      </c>
      <c r="J140" t="s">
        <v>247</v>
      </c>
      <c r="K140">
        <v>3.5534611865305227E-3</v>
      </c>
      <c r="L140" t="s">
        <v>166</v>
      </c>
      <c r="N140" t="s">
        <v>200</v>
      </c>
      <c r="O140" t="s">
        <v>247</v>
      </c>
      <c r="P140">
        <v>7.1853845372154218E-3</v>
      </c>
      <c r="Q140" t="s">
        <v>166</v>
      </c>
      <c r="S140" t="s">
        <v>222</v>
      </c>
      <c r="T140" t="s">
        <v>247</v>
      </c>
      <c r="U140">
        <v>7.4709684418127883E-3</v>
      </c>
      <c r="V140" t="s">
        <v>166</v>
      </c>
      <c r="AK140">
        <v>2040</v>
      </c>
      <c r="AL140" t="s">
        <v>240</v>
      </c>
      <c r="AM140">
        <v>0.43209999999999998</v>
      </c>
      <c r="AN140" t="s">
        <v>238</v>
      </c>
    </row>
    <row r="141" spans="9:40" x14ac:dyDescent="0.45">
      <c r="I141" t="s">
        <v>177</v>
      </c>
      <c r="J141" t="s">
        <v>248</v>
      </c>
      <c r="K141">
        <v>5.55591387707864E-4</v>
      </c>
      <c r="L141" t="s">
        <v>166</v>
      </c>
      <c r="N141" t="s">
        <v>200</v>
      </c>
      <c r="O141" t="s">
        <v>248</v>
      </c>
      <c r="P141">
        <v>7.3050608207572776E-3</v>
      </c>
      <c r="Q141" t="s">
        <v>166</v>
      </c>
      <c r="S141" t="s">
        <v>222</v>
      </c>
      <c r="T141" t="s">
        <v>248</v>
      </c>
      <c r="U141">
        <v>7.5548315572320883E-3</v>
      </c>
      <c r="V141" t="s">
        <v>166</v>
      </c>
      <c r="AK141">
        <v>2040</v>
      </c>
      <c r="AL141" t="s">
        <v>242</v>
      </c>
      <c r="AM141">
        <v>0.39122000000000001</v>
      </c>
      <c r="AN141" t="s">
        <v>238</v>
      </c>
    </row>
    <row r="142" spans="9:40" x14ac:dyDescent="0.45">
      <c r="I142" t="s">
        <v>177</v>
      </c>
      <c r="J142" t="s">
        <v>249</v>
      </c>
      <c r="K142">
        <v>0</v>
      </c>
      <c r="L142" t="s">
        <v>166</v>
      </c>
      <c r="N142" t="s">
        <v>200</v>
      </c>
      <c r="O142" t="s">
        <v>249</v>
      </c>
      <c r="P142">
        <v>4.3204820752075407E-2</v>
      </c>
      <c r="Q142" t="s">
        <v>166</v>
      </c>
      <c r="S142" t="s">
        <v>222</v>
      </c>
      <c r="T142" t="s">
        <v>249</v>
      </c>
      <c r="U142">
        <v>4.4466497860708755E-2</v>
      </c>
      <c r="V142" t="s">
        <v>166</v>
      </c>
      <c r="AK142">
        <v>2040</v>
      </c>
      <c r="AL142" t="s">
        <v>244</v>
      </c>
      <c r="AM142">
        <v>0.34589999999999999</v>
      </c>
      <c r="AN142" t="s">
        <v>238</v>
      </c>
    </row>
    <row r="143" spans="9:40" x14ac:dyDescent="0.45">
      <c r="I143" t="s">
        <v>177</v>
      </c>
      <c r="J143" t="s">
        <v>169</v>
      </c>
      <c r="K143">
        <v>5.0669155085514613E-3</v>
      </c>
      <c r="L143" t="s">
        <v>166</v>
      </c>
      <c r="N143" t="s">
        <v>200</v>
      </c>
      <c r="O143" t="s">
        <v>169</v>
      </c>
      <c r="P143">
        <v>3.4065142621185047E-2</v>
      </c>
      <c r="Q143" t="s">
        <v>166</v>
      </c>
      <c r="S143" t="s">
        <v>222</v>
      </c>
      <c r="T143" t="s">
        <v>169</v>
      </c>
      <c r="U143">
        <v>3.5550509668637501E-2</v>
      </c>
      <c r="V143" t="s">
        <v>166</v>
      </c>
      <c r="AK143">
        <v>2040</v>
      </c>
      <c r="AL143" t="s">
        <v>246</v>
      </c>
      <c r="AM143">
        <v>0.3745</v>
      </c>
      <c r="AN143" t="s">
        <v>238</v>
      </c>
    </row>
    <row r="144" spans="9:40" x14ac:dyDescent="0.45">
      <c r="I144" t="s">
        <v>177</v>
      </c>
      <c r="J144" t="s">
        <v>170</v>
      </c>
      <c r="K144">
        <v>7.4069400935011806E-3</v>
      </c>
      <c r="L144" t="s">
        <v>166</v>
      </c>
      <c r="N144" t="s">
        <v>200</v>
      </c>
      <c r="O144" t="s">
        <v>170</v>
      </c>
      <c r="P144">
        <v>4.1662625690196357E-3</v>
      </c>
      <c r="Q144" t="s">
        <v>166</v>
      </c>
      <c r="S144" t="s">
        <v>222</v>
      </c>
      <c r="T144" t="s">
        <v>170</v>
      </c>
      <c r="U144">
        <v>4.3631202532279463E-3</v>
      </c>
      <c r="V144" t="s">
        <v>166</v>
      </c>
      <c r="AK144">
        <v>2041</v>
      </c>
      <c r="AL144" t="s">
        <v>155</v>
      </c>
      <c r="AM144">
        <v>0.34694999999999998</v>
      </c>
      <c r="AN144" t="s">
        <v>238</v>
      </c>
    </row>
    <row r="145" spans="9:40" x14ac:dyDescent="0.45">
      <c r="I145" t="s">
        <v>177</v>
      </c>
      <c r="J145" t="s">
        <v>171</v>
      </c>
      <c r="K145">
        <v>7.1234211615713375E-2</v>
      </c>
      <c r="L145" t="s">
        <v>166</v>
      </c>
      <c r="N145" t="s">
        <v>200</v>
      </c>
      <c r="O145" t="s">
        <v>171</v>
      </c>
      <c r="P145">
        <v>2.8226579620061983E-2</v>
      </c>
      <c r="Q145" t="s">
        <v>166</v>
      </c>
      <c r="S145" t="s">
        <v>222</v>
      </c>
      <c r="T145" t="s">
        <v>171</v>
      </c>
      <c r="U145">
        <v>2.9306080740120647E-2</v>
      </c>
      <c r="V145" t="s">
        <v>166</v>
      </c>
      <c r="AK145">
        <v>2041</v>
      </c>
      <c r="AL145" t="s">
        <v>159</v>
      </c>
      <c r="AM145">
        <v>0.39300000000000002</v>
      </c>
      <c r="AN145" t="s">
        <v>238</v>
      </c>
    </row>
    <row r="146" spans="9:40" x14ac:dyDescent="0.45">
      <c r="I146" t="s">
        <v>177</v>
      </c>
      <c r="J146" t="s">
        <v>250</v>
      </c>
      <c r="K146">
        <v>6.6318886134979008E-3</v>
      </c>
      <c r="L146" t="s">
        <v>166</v>
      </c>
      <c r="N146" t="s">
        <v>200</v>
      </c>
      <c r="O146" t="s">
        <v>250</v>
      </c>
      <c r="P146">
        <v>4.2112935091022912E-3</v>
      </c>
      <c r="Q146" t="s">
        <v>166</v>
      </c>
      <c r="S146" t="s">
        <v>222</v>
      </c>
      <c r="T146" t="s">
        <v>250</v>
      </c>
      <c r="U146">
        <v>4.418452878959059E-3</v>
      </c>
      <c r="V146" t="s">
        <v>166</v>
      </c>
      <c r="AK146">
        <v>2041</v>
      </c>
      <c r="AL146" t="s">
        <v>161</v>
      </c>
      <c r="AM146">
        <v>0.40720000000000001</v>
      </c>
      <c r="AN146" t="s">
        <v>238</v>
      </c>
    </row>
    <row r="147" spans="9:40" x14ac:dyDescent="0.45">
      <c r="I147" t="s">
        <v>177</v>
      </c>
      <c r="J147" t="s">
        <v>251</v>
      </c>
      <c r="K147">
        <v>3.8742521870883811E-3</v>
      </c>
      <c r="L147" t="s">
        <v>166</v>
      </c>
      <c r="N147" t="s">
        <v>200</v>
      </c>
      <c r="O147" t="s">
        <v>251</v>
      </c>
      <c r="P147">
        <v>4.3207278344523084E-3</v>
      </c>
      <c r="Q147" t="s">
        <v>166</v>
      </c>
      <c r="S147" t="s">
        <v>222</v>
      </c>
      <c r="T147" t="s">
        <v>251</v>
      </c>
      <c r="U147">
        <v>4.5519076948756284E-3</v>
      </c>
      <c r="V147" t="s">
        <v>166</v>
      </c>
      <c r="AK147">
        <v>2041</v>
      </c>
      <c r="AL147" t="s">
        <v>240</v>
      </c>
      <c r="AM147">
        <v>0.44950000000000001</v>
      </c>
      <c r="AN147" t="s">
        <v>238</v>
      </c>
    </row>
    <row r="148" spans="9:40" x14ac:dyDescent="0.45">
      <c r="I148" t="s">
        <v>177</v>
      </c>
      <c r="J148" t="s">
        <v>252</v>
      </c>
      <c r="K148">
        <v>3.800038127855516E-4</v>
      </c>
      <c r="L148" t="s">
        <v>166</v>
      </c>
      <c r="N148" t="s">
        <v>200</v>
      </c>
      <c r="O148" t="s">
        <v>252</v>
      </c>
      <c r="P148">
        <v>2.6610599214158009E-2</v>
      </c>
      <c r="Q148" t="s">
        <v>166</v>
      </c>
      <c r="S148" t="s">
        <v>222</v>
      </c>
      <c r="T148" t="s">
        <v>252</v>
      </c>
      <c r="U148">
        <v>2.8149866546918589E-2</v>
      </c>
      <c r="V148" t="s">
        <v>166</v>
      </c>
      <c r="AK148">
        <v>2041</v>
      </c>
      <c r="AL148" t="s">
        <v>242</v>
      </c>
      <c r="AM148">
        <v>0.38603999999999999</v>
      </c>
      <c r="AN148" t="s">
        <v>238</v>
      </c>
    </row>
    <row r="149" spans="9:40" x14ac:dyDescent="0.45">
      <c r="I149" t="s">
        <v>177</v>
      </c>
      <c r="J149" t="s">
        <v>172</v>
      </c>
      <c r="K149">
        <v>1.0669143263444253E-2</v>
      </c>
      <c r="L149" t="s">
        <v>166</v>
      </c>
      <c r="N149" t="s">
        <v>200</v>
      </c>
      <c r="O149" t="s">
        <v>172</v>
      </c>
      <c r="P149">
        <v>2.5288672063127338E-2</v>
      </c>
      <c r="Q149" t="s">
        <v>166</v>
      </c>
      <c r="S149" t="s">
        <v>222</v>
      </c>
      <c r="T149" t="s">
        <v>172</v>
      </c>
      <c r="U149">
        <v>2.448541514424097E-2</v>
      </c>
      <c r="V149" t="s">
        <v>166</v>
      </c>
      <c r="AK149">
        <v>2041</v>
      </c>
      <c r="AL149" t="s">
        <v>244</v>
      </c>
      <c r="AM149">
        <v>0.34889999999999999</v>
      </c>
      <c r="AN149" t="s">
        <v>238</v>
      </c>
    </row>
    <row r="150" spans="9:40" x14ac:dyDescent="0.45">
      <c r="I150" t="s">
        <v>177</v>
      </c>
      <c r="J150" t="s">
        <v>173</v>
      </c>
      <c r="K150">
        <v>8.3770850949146779E-3</v>
      </c>
      <c r="L150" t="s">
        <v>166</v>
      </c>
      <c r="N150" t="s">
        <v>200</v>
      </c>
      <c r="O150" t="s">
        <v>173</v>
      </c>
      <c r="P150">
        <v>2.8104183987846731E-3</v>
      </c>
      <c r="Q150" t="s">
        <v>166</v>
      </c>
      <c r="S150" t="s">
        <v>222</v>
      </c>
      <c r="T150" t="s">
        <v>173</v>
      </c>
      <c r="U150">
        <v>2.6322913761288131E-3</v>
      </c>
      <c r="V150" t="s">
        <v>166</v>
      </c>
      <c r="AK150">
        <v>2041</v>
      </c>
      <c r="AL150" t="s">
        <v>246</v>
      </c>
      <c r="AM150">
        <v>0.35730000000000001</v>
      </c>
      <c r="AN150" t="s">
        <v>238</v>
      </c>
    </row>
    <row r="151" spans="9:40" x14ac:dyDescent="0.45">
      <c r="I151" t="s">
        <v>177</v>
      </c>
      <c r="J151" t="s">
        <v>174</v>
      </c>
      <c r="K151">
        <v>7.1617778714912997E-2</v>
      </c>
      <c r="L151" t="s">
        <v>166</v>
      </c>
      <c r="N151" t="s">
        <v>200</v>
      </c>
      <c r="O151" t="s">
        <v>174</v>
      </c>
      <c r="P151">
        <v>2.0529311812124845E-2</v>
      </c>
      <c r="Q151" t="s">
        <v>166</v>
      </c>
      <c r="S151" t="s">
        <v>222</v>
      </c>
      <c r="T151" t="s">
        <v>174</v>
      </c>
      <c r="U151">
        <v>1.8483423379514811E-2</v>
      </c>
      <c r="V151" t="s">
        <v>166</v>
      </c>
      <c r="AK151">
        <v>2042</v>
      </c>
      <c r="AL151" t="s">
        <v>155</v>
      </c>
      <c r="AM151">
        <v>0.35819999999999996</v>
      </c>
      <c r="AN151" t="s">
        <v>238</v>
      </c>
    </row>
    <row r="152" spans="9:40" x14ac:dyDescent="0.45">
      <c r="I152" t="s">
        <v>177</v>
      </c>
      <c r="J152" t="s">
        <v>253</v>
      </c>
      <c r="K152">
        <v>6.4490628560609871E-3</v>
      </c>
      <c r="L152" t="s">
        <v>166</v>
      </c>
      <c r="N152" t="s">
        <v>200</v>
      </c>
      <c r="O152" t="s">
        <v>253</v>
      </c>
      <c r="P152">
        <v>3.213733217768109E-3</v>
      </c>
      <c r="Q152" t="s">
        <v>166</v>
      </c>
      <c r="S152" t="s">
        <v>222</v>
      </c>
      <c r="T152" t="s">
        <v>253</v>
      </c>
      <c r="U152">
        <v>2.9128193748251207E-3</v>
      </c>
      <c r="V152" t="s">
        <v>166</v>
      </c>
      <c r="AK152">
        <v>2042</v>
      </c>
      <c r="AL152" t="s">
        <v>159</v>
      </c>
      <c r="AM152">
        <v>0.3579</v>
      </c>
      <c r="AN152" t="s">
        <v>238</v>
      </c>
    </row>
    <row r="153" spans="9:40" x14ac:dyDescent="0.45">
      <c r="I153" t="s">
        <v>177</v>
      </c>
      <c r="J153" t="s">
        <v>254</v>
      </c>
      <c r="K153">
        <v>4.7915969500048226E-3</v>
      </c>
      <c r="L153" t="s">
        <v>166</v>
      </c>
      <c r="N153" t="s">
        <v>200</v>
      </c>
      <c r="O153" t="s">
        <v>254</v>
      </c>
      <c r="P153">
        <v>3.2253737572843525E-3</v>
      </c>
      <c r="Q153" t="s">
        <v>166</v>
      </c>
      <c r="S153" t="s">
        <v>222</v>
      </c>
      <c r="T153" t="s">
        <v>254</v>
      </c>
      <c r="U153">
        <v>2.9979852454300928E-3</v>
      </c>
      <c r="V153" t="s">
        <v>166</v>
      </c>
      <c r="AK153">
        <v>2042</v>
      </c>
      <c r="AL153" t="s">
        <v>161</v>
      </c>
      <c r="AM153">
        <v>0.40210000000000001</v>
      </c>
      <c r="AN153" t="s">
        <v>238</v>
      </c>
    </row>
    <row r="154" spans="9:40" x14ac:dyDescent="0.45">
      <c r="I154" t="s">
        <v>177</v>
      </c>
      <c r="J154" t="s">
        <v>255</v>
      </c>
      <c r="K154">
        <v>2.553070352201133E-3</v>
      </c>
      <c r="L154" t="s">
        <v>166</v>
      </c>
      <c r="N154" t="s">
        <v>200</v>
      </c>
      <c r="O154" t="s">
        <v>255</v>
      </c>
      <c r="P154">
        <v>2.0201704140712679E-2</v>
      </c>
      <c r="Q154" t="s">
        <v>166</v>
      </c>
      <c r="S154" t="s">
        <v>222</v>
      </c>
      <c r="T154" t="s">
        <v>255</v>
      </c>
      <c r="U154">
        <v>1.9436557048914355E-2</v>
      </c>
      <c r="V154" t="s">
        <v>166</v>
      </c>
      <c r="AK154">
        <v>2042</v>
      </c>
      <c r="AL154" t="s">
        <v>240</v>
      </c>
      <c r="AM154">
        <v>0.47689999999999999</v>
      </c>
      <c r="AN154" t="s">
        <v>238</v>
      </c>
    </row>
    <row r="155" spans="9:40" x14ac:dyDescent="0.45">
      <c r="I155" t="s">
        <v>177</v>
      </c>
      <c r="J155" t="s">
        <v>256</v>
      </c>
      <c r="K155">
        <v>1.4021232038909681E-2</v>
      </c>
      <c r="L155" t="s">
        <v>166</v>
      </c>
      <c r="N155" t="s">
        <v>200</v>
      </c>
      <c r="O155" t="s">
        <v>256</v>
      </c>
      <c r="P155">
        <v>2.2404015028049215E-2</v>
      </c>
      <c r="Q155" t="s">
        <v>166</v>
      </c>
      <c r="S155" t="s">
        <v>222</v>
      </c>
      <c r="T155" t="s">
        <v>256</v>
      </c>
      <c r="U155">
        <v>2.1389202744414745E-2</v>
      </c>
      <c r="V155" t="s">
        <v>166</v>
      </c>
      <c r="AK155">
        <v>2042</v>
      </c>
      <c r="AL155" t="s">
        <v>242</v>
      </c>
      <c r="AM155">
        <v>0.39387999999999995</v>
      </c>
      <c r="AN155" t="s">
        <v>238</v>
      </c>
    </row>
    <row r="156" spans="9:40" x14ac:dyDescent="0.45">
      <c r="I156" t="s">
        <v>177</v>
      </c>
      <c r="J156" t="s">
        <v>257</v>
      </c>
      <c r="K156">
        <v>8.6169334245980566E-3</v>
      </c>
      <c r="L156" t="s">
        <v>166</v>
      </c>
      <c r="N156" t="s">
        <v>200</v>
      </c>
      <c r="O156" t="s">
        <v>257</v>
      </c>
      <c r="P156">
        <v>2.6401180538498459E-3</v>
      </c>
      <c r="Q156" t="s">
        <v>166</v>
      </c>
      <c r="S156" t="s">
        <v>222</v>
      </c>
      <c r="T156" t="s">
        <v>257</v>
      </c>
      <c r="U156">
        <v>2.5471320044296924E-3</v>
      </c>
      <c r="V156" t="s">
        <v>166</v>
      </c>
      <c r="AK156">
        <v>2042</v>
      </c>
      <c r="AL156" t="s">
        <v>244</v>
      </c>
      <c r="AM156">
        <v>0.3543</v>
      </c>
      <c r="AN156" t="s">
        <v>238</v>
      </c>
    </row>
    <row r="157" spans="9:40" x14ac:dyDescent="0.45">
      <c r="I157" t="s">
        <v>177</v>
      </c>
      <c r="J157" t="s">
        <v>258</v>
      </c>
      <c r="K157">
        <v>6.922539644453056E-2</v>
      </c>
      <c r="L157" t="s">
        <v>166</v>
      </c>
      <c r="N157" t="s">
        <v>200</v>
      </c>
      <c r="O157" t="s">
        <v>258</v>
      </c>
      <c r="P157">
        <v>1.8011495068811938E-2</v>
      </c>
      <c r="Q157" t="s">
        <v>166</v>
      </c>
      <c r="S157" t="s">
        <v>222</v>
      </c>
      <c r="T157" t="s">
        <v>258</v>
      </c>
      <c r="U157">
        <v>1.7014241361029862E-2</v>
      </c>
      <c r="V157" t="s">
        <v>166</v>
      </c>
      <c r="AK157">
        <v>2042</v>
      </c>
      <c r="AL157" t="s">
        <v>246</v>
      </c>
      <c r="AM157">
        <v>0.37919999999999998</v>
      </c>
      <c r="AN157" t="s">
        <v>238</v>
      </c>
    </row>
    <row r="158" spans="9:40" x14ac:dyDescent="0.45">
      <c r="I158" t="s">
        <v>177</v>
      </c>
      <c r="J158" t="s">
        <v>259</v>
      </c>
      <c r="K158">
        <v>7.1214244302930845E-3</v>
      </c>
      <c r="L158" t="s">
        <v>166</v>
      </c>
      <c r="N158" t="s">
        <v>200</v>
      </c>
      <c r="O158" t="s">
        <v>259</v>
      </c>
      <c r="P158">
        <v>2.4587653354814333E-3</v>
      </c>
      <c r="Q158" t="s">
        <v>166</v>
      </c>
      <c r="S158" t="s">
        <v>222</v>
      </c>
      <c r="T158" t="s">
        <v>259</v>
      </c>
      <c r="U158">
        <v>2.3053786765892979E-3</v>
      </c>
      <c r="V158" t="s">
        <v>166</v>
      </c>
      <c r="AK158">
        <v>2043</v>
      </c>
      <c r="AL158" t="s">
        <v>155</v>
      </c>
      <c r="AM158">
        <v>0.35019999999999996</v>
      </c>
      <c r="AN158" t="s">
        <v>238</v>
      </c>
    </row>
    <row r="159" spans="9:40" x14ac:dyDescent="0.45">
      <c r="I159" t="s">
        <v>177</v>
      </c>
      <c r="J159" t="s">
        <v>260</v>
      </c>
      <c r="K159">
        <v>5.2931572748257461E-3</v>
      </c>
      <c r="L159" t="s">
        <v>166</v>
      </c>
      <c r="N159" t="s">
        <v>200</v>
      </c>
      <c r="O159" t="s">
        <v>260</v>
      </c>
      <c r="P159">
        <v>2.3870511252253009E-3</v>
      </c>
      <c r="Q159" t="s">
        <v>166</v>
      </c>
      <c r="S159" t="s">
        <v>222</v>
      </c>
      <c r="T159" t="s">
        <v>260</v>
      </c>
      <c r="U159">
        <v>2.3164470018769874E-3</v>
      </c>
      <c r="V159" t="s">
        <v>166</v>
      </c>
      <c r="AK159">
        <v>2043</v>
      </c>
      <c r="AL159" t="s">
        <v>159</v>
      </c>
      <c r="AM159">
        <v>0.4113</v>
      </c>
      <c r="AN159" t="s">
        <v>238</v>
      </c>
    </row>
    <row r="160" spans="9:40" x14ac:dyDescent="0.45">
      <c r="I160" t="s">
        <v>177</v>
      </c>
      <c r="J160" t="s">
        <v>261</v>
      </c>
      <c r="K160">
        <v>4.7788644051436017E-3</v>
      </c>
      <c r="L160" t="s">
        <v>166</v>
      </c>
      <c r="N160" t="s">
        <v>200</v>
      </c>
      <c r="O160" t="s">
        <v>261</v>
      </c>
      <c r="P160">
        <v>1.5409218662263916E-2</v>
      </c>
      <c r="Q160" t="s">
        <v>166</v>
      </c>
      <c r="S160" t="s">
        <v>222</v>
      </c>
      <c r="T160" t="s">
        <v>261</v>
      </c>
      <c r="U160">
        <v>1.4623900273404327E-2</v>
      </c>
      <c r="V160" t="s">
        <v>166</v>
      </c>
      <c r="AK160">
        <v>2043</v>
      </c>
      <c r="AL160" t="s">
        <v>161</v>
      </c>
      <c r="AM160">
        <v>0.38250000000000001</v>
      </c>
      <c r="AN160" t="s">
        <v>238</v>
      </c>
    </row>
    <row r="161" spans="9:40" x14ac:dyDescent="0.45">
      <c r="I161" t="s">
        <v>177</v>
      </c>
      <c r="J161" t="s">
        <v>262</v>
      </c>
      <c r="K161">
        <v>7.0149375761596133E-2</v>
      </c>
      <c r="L161" t="s">
        <v>166</v>
      </c>
      <c r="N161" t="s">
        <v>200</v>
      </c>
      <c r="O161" t="s">
        <v>262</v>
      </c>
      <c r="P161">
        <v>0.1259647892056987</v>
      </c>
      <c r="Q161" t="s">
        <v>166</v>
      </c>
      <c r="S161" t="s">
        <v>222</v>
      </c>
      <c r="T161" t="s">
        <v>262</v>
      </c>
      <c r="U161">
        <v>0.12224328624549255</v>
      </c>
      <c r="V161" t="s">
        <v>166</v>
      </c>
      <c r="AK161">
        <v>2043</v>
      </c>
      <c r="AL161" t="s">
        <v>240</v>
      </c>
      <c r="AM161">
        <v>0.43090000000000001</v>
      </c>
      <c r="AN161" t="s">
        <v>238</v>
      </c>
    </row>
    <row r="162" spans="9:40" x14ac:dyDescent="0.45">
      <c r="I162" t="s">
        <v>177</v>
      </c>
      <c r="J162" t="s">
        <v>263</v>
      </c>
      <c r="K162">
        <v>4.4471379877874265E-2</v>
      </c>
      <c r="L162" t="s">
        <v>166</v>
      </c>
      <c r="N162" t="s">
        <v>200</v>
      </c>
      <c r="O162" t="s">
        <v>263</v>
      </c>
      <c r="P162">
        <v>1.5367598497741339E-2</v>
      </c>
      <c r="Q162" t="s">
        <v>166</v>
      </c>
      <c r="S162" t="s">
        <v>222</v>
      </c>
      <c r="T162" t="s">
        <v>263</v>
      </c>
      <c r="U162">
        <v>1.5272581244581399E-2</v>
      </c>
      <c r="V162" t="s">
        <v>166</v>
      </c>
      <c r="AK162">
        <v>2043</v>
      </c>
      <c r="AL162" t="s">
        <v>242</v>
      </c>
      <c r="AM162">
        <v>0.40814000000000006</v>
      </c>
      <c r="AN162" t="s">
        <v>238</v>
      </c>
    </row>
    <row r="163" spans="9:40" x14ac:dyDescent="0.45">
      <c r="I163" t="s">
        <v>177</v>
      </c>
      <c r="J163" t="s">
        <v>264</v>
      </c>
      <c r="K163">
        <v>0.36741180251604311</v>
      </c>
      <c r="L163" t="s">
        <v>166</v>
      </c>
      <c r="N163" t="s">
        <v>200</v>
      </c>
      <c r="O163" t="s">
        <v>264</v>
      </c>
      <c r="P163">
        <v>0.10770470778573001</v>
      </c>
      <c r="Q163" t="s">
        <v>166</v>
      </c>
      <c r="S163" t="s">
        <v>222</v>
      </c>
      <c r="T163" t="s">
        <v>264</v>
      </c>
      <c r="U163">
        <v>0.10538492588058813</v>
      </c>
      <c r="V163" t="s">
        <v>166</v>
      </c>
      <c r="AK163">
        <v>2043</v>
      </c>
      <c r="AL163" t="s">
        <v>244</v>
      </c>
      <c r="AM163">
        <v>0.30420000000000003</v>
      </c>
      <c r="AN163" t="s">
        <v>238</v>
      </c>
    </row>
    <row r="164" spans="9:40" x14ac:dyDescent="0.45">
      <c r="I164" t="s">
        <v>177</v>
      </c>
      <c r="J164" t="s">
        <v>265</v>
      </c>
      <c r="K164">
        <v>3.7989160877616293E-2</v>
      </c>
      <c r="L164" t="s">
        <v>166</v>
      </c>
      <c r="N164" t="s">
        <v>200</v>
      </c>
      <c r="O164" t="s">
        <v>265</v>
      </c>
      <c r="P164">
        <v>1.5782660490253789E-2</v>
      </c>
      <c r="Q164" t="s">
        <v>166</v>
      </c>
      <c r="S164" t="s">
        <v>222</v>
      </c>
      <c r="T164" t="s">
        <v>265</v>
      </c>
      <c r="U164">
        <v>1.5352687146868086E-2</v>
      </c>
      <c r="V164" t="s">
        <v>166</v>
      </c>
      <c r="AK164">
        <v>2043</v>
      </c>
      <c r="AL164" t="s">
        <v>246</v>
      </c>
      <c r="AM164">
        <v>0.34720000000000001</v>
      </c>
      <c r="AN164" t="s">
        <v>238</v>
      </c>
    </row>
    <row r="165" spans="9:40" x14ac:dyDescent="0.45">
      <c r="I165" t="s">
        <v>177</v>
      </c>
      <c r="J165" t="s">
        <v>266</v>
      </c>
      <c r="K165">
        <v>2.6894570135564056E-2</v>
      </c>
      <c r="L165" t="s">
        <v>166</v>
      </c>
      <c r="N165" t="s">
        <v>200</v>
      </c>
      <c r="O165" t="s">
        <v>266</v>
      </c>
      <c r="P165">
        <v>1.5792861976668893E-2</v>
      </c>
      <c r="Q165" t="s">
        <v>166</v>
      </c>
      <c r="S165" t="s">
        <v>222</v>
      </c>
      <c r="T165" t="s">
        <v>266</v>
      </c>
      <c r="U165">
        <v>1.5441503562938485E-2</v>
      </c>
      <c r="V165" t="s">
        <v>166</v>
      </c>
      <c r="AK165">
        <v>2044</v>
      </c>
      <c r="AL165" t="s">
        <v>155</v>
      </c>
      <c r="AM165">
        <v>0.35844999999999999</v>
      </c>
      <c r="AN165" t="s">
        <v>238</v>
      </c>
    </row>
    <row r="166" spans="9:40" x14ac:dyDescent="0.45">
      <c r="I166" t="s">
        <v>177</v>
      </c>
      <c r="J166" t="s">
        <v>267</v>
      </c>
      <c r="K166">
        <v>2.2808418342274425E-2</v>
      </c>
      <c r="L166" t="s">
        <v>166</v>
      </c>
      <c r="N166" t="s">
        <v>200</v>
      </c>
      <c r="O166" t="s">
        <v>267</v>
      </c>
      <c r="P166">
        <v>9.6780986557449974E-2</v>
      </c>
      <c r="Q166" t="s">
        <v>166</v>
      </c>
      <c r="S166" t="s">
        <v>222</v>
      </c>
      <c r="T166" t="s">
        <v>267</v>
      </c>
      <c r="U166">
        <v>9.4116931410213198E-2</v>
      </c>
      <c r="V166" t="s">
        <v>166</v>
      </c>
      <c r="AK166">
        <v>2044</v>
      </c>
      <c r="AL166" t="s">
        <v>159</v>
      </c>
      <c r="AM166">
        <v>0.39350000000000002</v>
      </c>
      <c r="AN166" t="s">
        <v>238</v>
      </c>
    </row>
    <row r="167" spans="9:40" x14ac:dyDescent="0.45">
      <c r="I167" t="s">
        <v>177</v>
      </c>
      <c r="J167" t="s">
        <v>268</v>
      </c>
      <c r="K167">
        <v>8.8760682427890101E-5</v>
      </c>
      <c r="L167" t="s">
        <v>166</v>
      </c>
      <c r="N167" t="s">
        <v>200</v>
      </c>
      <c r="O167" t="s">
        <v>268</v>
      </c>
      <c r="P167">
        <v>3.0215818036018173E-2</v>
      </c>
      <c r="Q167" t="s">
        <v>166</v>
      </c>
      <c r="S167" t="s">
        <v>222</v>
      </c>
      <c r="T167" t="s">
        <v>268</v>
      </c>
      <c r="U167">
        <v>3.0119746745153587E-2</v>
      </c>
      <c r="V167" t="s">
        <v>166</v>
      </c>
      <c r="AK167">
        <v>2044</v>
      </c>
      <c r="AL167" t="s">
        <v>161</v>
      </c>
      <c r="AM167">
        <v>0.3962</v>
      </c>
      <c r="AN167" t="s">
        <v>238</v>
      </c>
    </row>
    <row r="168" spans="9:40" x14ac:dyDescent="0.45">
      <c r="I168" t="s">
        <v>177</v>
      </c>
      <c r="J168" t="s">
        <v>269</v>
      </c>
      <c r="K168">
        <v>1.5272397393151632E-3</v>
      </c>
      <c r="L168" t="s">
        <v>166</v>
      </c>
      <c r="N168" t="s">
        <v>200</v>
      </c>
      <c r="O168" t="s">
        <v>269</v>
      </c>
      <c r="P168">
        <v>3.6170890065681258E-3</v>
      </c>
      <c r="Q168" t="s">
        <v>166</v>
      </c>
      <c r="S168" t="s">
        <v>222</v>
      </c>
      <c r="T168" t="s">
        <v>269</v>
      </c>
      <c r="U168">
        <v>3.6858178753032289E-3</v>
      </c>
      <c r="V168" t="s">
        <v>166</v>
      </c>
      <c r="AK168">
        <v>2044</v>
      </c>
      <c r="AL168" t="s">
        <v>240</v>
      </c>
      <c r="AM168">
        <v>0.46050000000000002</v>
      </c>
      <c r="AN168" t="s">
        <v>238</v>
      </c>
    </row>
    <row r="169" spans="9:40" x14ac:dyDescent="0.45">
      <c r="I169" t="s">
        <v>177</v>
      </c>
      <c r="J169" t="s">
        <v>270</v>
      </c>
      <c r="K169">
        <v>2.3789704868470238E-2</v>
      </c>
      <c r="L169" t="s">
        <v>166</v>
      </c>
      <c r="N169" t="s">
        <v>200</v>
      </c>
      <c r="O169" t="s">
        <v>270</v>
      </c>
      <c r="P169">
        <v>2.4451068118983729E-2</v>
      </c>
      <c r="Q169" t="s">
        <v>166</v>
      </c>
      <c r="S169" t="s">
        <v>222</v>
      </c>
      <c r="T169" t="s">
        <v>270</v>
      </c>
      <c r="U169">
        <v>2.4588386890965649E-2</v>
      </c>
      <c r="V169" t="s">
        <v>166</v>
      </c>
      <c r="AK169">
        <v>2044</v>
      </c>
      <c r="AL169" t="s">
        <v>242</v>
      </c>
      <c r="AM169">
        <v>0.40208000000000005</v>
      </c>
      <c r="AN169" t="s">
        <v>238</v>
      </c>
    </row>
    <row r="170" spans="9:40" x14ac:dyDescent="0.45">
      <c r="I170" t="s">
        <v>177</v>
      </c>
      <c r="J170" t="s">
        <v>271</v>
      </c>
      <c r="K170">
        <v>5.1769660181328009E-4</v>
      </c>
      <c r="L170" t="s">
        <v>166</v>
      </c>
      <c r="N170" t="s">
        <v>200</v>
      </c>
      <c r="O170" t="s">
        <v>271</v>
      </c>
      <c r="P170">
        <v>3.5487851874344669E-3</v>
      </c>
      <c r="Q170" t="s">
        <v>166</v>
      </c>
      <c r="S170" t="s">
        <v>222</v>
      </c>
      <c r="T170" t="s">
        <v>271</v>
      </c>
      <c r="U170">
        <v>3.4548579087819121E-3</v>
      </c>
      <c r="V170" t="s">
        <v>166</v>
      </c>
      <c r="AK170">
        <v>2044</v>
      </c>
      <c r="AL170" t="s">
        <v>244</v>
      </c>
      <c r="AM170">
        <v>0.3372</v>
      </c>
      <c r="AN170" t="s">
        <v>238</v>
      </c>
    </row>
    <row r="171" spans="9:40" x14ac:dyDescent="0.45">
      <c r="I171" t="s">
        <v>177</v>
      </c>
      <c r="J171" t="s">
        <v>272</v>
      </c>
      <c r="K171">
        <v>0</v>
      </c>
      <c r="L171" t="s">
        <v>166</v>
      </c>
      <c r="N171" t="s">
        <v>200</v>
      </c>
      <c r="O171" t="s">
        <v>272</v>
      </c>
      <c r="P171">
        <v>3.58201880173266E-3</v>
      </c>
      <c r="Q171" t="s">
        <v>166</v>
      </c>
      <c r="S171" t="s">
        <v>222</v>
      </c>
      <c r="T171" t="s">
        <v>272</v>
      </c>
      <c r="U171">
        <v>3.484378411530601E-3</v>
      </c>
      <c r="V171" t="s">
        <v>166</v>
      </c>
      <c r="AK171">
        <v>2044</v>
      </c>
      <c r="AL171" t="s">
        <v>246</v>
      </c>
      <c r="AM171">
        <v>0.37430000000000002</v>
      </c>
      <c r="AN171" t="s">
        <v>238</v>
      </c>
    </row>
    <row r="172" spans="9:40" x14ac:dyDescent="0.45">
      <c r="I172" t="s">
        <v>177</v>
      </c>
      <c r="J172" t="s">
        <v>273</v>
      </c>
      <c r="K172">
        <v>0</v>
      </c>
      <c r="L172" t="s">
        <v>166</v>
      </c>
      <c r="N172" t="s">
        <v>200</v>
      </c>
      <c r="O172" t="s">
        <v>273</v>
      </c>
      <c r="P172">
        <v>2.1492318414372998E-2</v>
      </c>
      <c r="Q172" t="s">
        <v>166</v>
      </c>
      <c r="S172" t="s">
        <v>222</v>
      </c>
      <c r="T172" t="s">
        <v>273</v>
      </c>
      <c r="U172">
        <v>2.0328166887939803E-2</v>
      </c>
      <c r="V172" t="s">
        <v>166</v>
      </c>
      <c r="AK172">
        <v>2045</v>
      </c>
      <c r="AL172" t="s">
        <v>155</v>
      </c>
      <c r="AM172">
        <v>0.37154999999999999</v>
      </c>
      <c r="AN172" t="s">
        <v>238</v>
      </c>
    </row>
    <row r="173" spans="9:40" x14ac:dyDescent="0.45">
      <c r="I173" t="s">
        <v>177</v>
      </c>
      <c r="J173" t="s">
        <v>274</v>
      </c>
      <c r="K173">
        <v>0</v>
      </c>
      <c r="L173" t="s">
        <v>166</v>
      </c>
      <c r="N173" t="s">
        <v>200</v>
      </c>
      <c r="O173" t="s">
        <v>274</v>
      </c>
      <c r="P173">
        <v>4.1380011638420228E-2</v>
      </c>
      <c r="Q173" t="s">
        <v>166</v>
      </c>
      <c r="S173" t="s">
        <v>222</v>
      </c>
      <c r="T173" t="s">
        <v>274</v>
      </c>
      <c r="U173">
        <v>4.3866315473354116E-2</v>
      </c>
      <c r="V173" t="s">
        <v>166</v>
      </c>
      <c r="AK173">
        <v>2045</v>
      </c>
      <c r="AL173" t="s">
        <v>159</v>
      </c>
      <c r="AM173">
        <v>0.3569</v>
      </c>
      <c r="AN173" t="s">
        <v>238</v>
      </c>
    </row>
    <row r="174" spans="9:40" x14ac:dyDescent="0.45">
      <c r="I174" t="s">
        <v>177</v>
      </c>
      <c r="J174" t="s">
        <v>275</v>
      </c>
      <c r="K174">
        <v>1.1100665252916017E-3</v>
      </c>
      <c r="L174" t="s">
        <v>166</v>
      </c>
      <c r="N174" t="s">
        <v>200</v>
      </c>
      <c r="O174" t="s">
        <v>275</v>
      </c>
      <c r="P174">
        <v>5.3200831636050641E-3</v>
      </c>
      <c r="Q174" t="s">
        <v>166</v>
      </c>
      <c r="S174" t="s">
        <v>222</v>
      </c>
      <c r="T174" t="s">
        <v>275</v>
      </c>
      <c r="U174">
        <v>5.7921294104214443E-3</v>
      </c>
      <c r="V174" t="s">
        <v>166</v>
      </c>
      <c r="AK174">
        <v>2045</v>
      </c>
      <c r="AL174" t="s">
        <v>161</v>
      </c>
      <c r="AM174">
        <v>0.37430000000000002</v>
      </c>
      <c r="AN174" t="s">
        <v>238</v>
      </c>
    </row>
    <row r="175" spans="9:40" x14ac:dyDescent="0.45">
      <c r="I175" t="s">
        <v>177</v>
      </c>
      <c r="J175" t="s">
        <v>276</v>
      </c>
      <c r="K175">
        <v>2.5220090565191991E-2</v>
      </c>
      <c r="L175" t="s">
        <v>166</v>
      </c>
      <c r="N175" t="s">
        <v>200</v>
      </c>
      <c r="O175" t="s">
        <v>276</v>
      </c>
      <c r="P175">
        <v>3.5722305256124874E-2</v>
      </c>
      <c r="Q175" t="s">
        <v>166</v>
      </c>
      <c r="S175" t="s">
        <v>222</v>
      </c>
      <c r="T175" t="s">
        <v>276</v>
      </c>
      <c r="U175">
        <v>3.8428697532199921E-2</v>
      </c>
      <c r="V175" t="s">
        <v>166</v>
      </c>
      <c r="AK175">
        <v>2045</v>
      </c>
      <c r="AL175" t="s">
        <v>240</v>
      </c>
      <c r="AM175">
        <v>0.43569999999999998</v>
      </c>
      <c r="AN175" t="s">
        <v>238</v>
      </c>
    </row>
    <row r="176" spans="9:40" x14ac:dyDescent="0.45">
      <c r="I176" t="s">
        <v>177</v>
      </c>
      <c r="J176" t="s">
        <v>277</v>
      </c>
      <c r="K176">
        <v>0</v>
      </c>
      <c r="L176" t="s">
        <v>166</v>
      </c>
      <c r="N176" t="s">
        <v>200</v>
      </c>
      <c r="O176" t="s">
        <v>277</v>
      </c>
      <c r="P176">
        <v>5.1196116981129811E-3</v>
      </c>
      <c r="Q176" t="s">
        <v>166</v>
      </c>
      <c r="S176" t="s">
        <v>222</v>
      </c>
      <c r="T176" t="s">
        <v>277</v>
      </c>
      <c r="U176">
        <v>5.5581978482813826E-3</v>
      </c>
      <c r="V176" t="s">
        <v>166</v>
      </c>
      <c r="AK176">
        <v>2045</v>
      </c>
      <c r="AL176" t="s">
        <v>242</v>
      </c>
      <c r="AM176">
        <v>0.40027999999999997</v>
      </c>
      <c r="AN176" t="s">
        <v>238</v>
      </c>
    </row>
    <row r="177" spans="9:40" x14ac:dyDescent="0.45">
      <c r="I177" t="s">
        <v>177</v>
      </c>
      <c r="J177" t="s">
        <v>278</v>
      </c>
      <c r="K177">
        <v>0</v>
      </c>
      <c r="L177" t="s">
        <v>166</v>
      </c>
      <c r="N177" t="s">
        <v>200</v>
      </c>
      <c r="O177" t="s">
        <v>278</v>
      </c>
      <c r="P177">
        <v>5.097403989507766E-3</v>
      </c>
      <c r="Q177" t="s">
        <v>166</v>
      </c>
      <c r="S177" t="s">
        <v>222</v>
      </c>
      <c r="T177" t="s">
        <v>278</v>
      </c>
      <c r="U177">
        <v>5.502023572832364E-3</v>
      </c>
      <c r="V177" t="s">
        <v>166</v>
      </c>
      <c r="AK177">
        <v>2045</v>
      </c>
      <c r="AL177" t="s">
        <v>244</v>
      </c>
      <c r="AM177">
        <v>0.31819999999999998</v>
      </c>
      <c r="AN177" t="s">
        <v>238</v>
      </c>
    </row>
    <row r="178" spans="9:40" x14ac:dyDescent="0.45">
      <c r="I178" t="s">
        <v>177</v>
      </c>
      <c r="J178" t="s">
        <v>279</v>
      </c>
      <c r="K178">
        <v>0</v>
      </c>
      <c r="L178" t="s">
        <v>166</v>
      </c>
      <c r="N178" t="s">
        <v>200</v>
      </c>
      <c r="O178" t="s">
        <v>279</v>
      </c>
      <c r="P178">
        <v>3.0852827097795545E-2</v>
      </c>
      <c r="Q178" t="s">
        <v>166</v>
      </c>
      <c r="S178" t="s">
        <v>222</v>
      </c>
      <c r="T178" t="s">
        <v>279</v>
      </c>
      <c r="U178">
        <v>3.275058101977895E-2</v>
      </c>
      <c r="V178" t="s">
        <v>166</v>
      </c>
      <c r="AK178">
        <v>2045</v>
      </c>
      <c r="AL178" t="s">
        <v>246</v>
      </c>
      <c r="AM178">
        <v>0.3584</v>
      </c>
      <c r="AN178" t="s">
        <v>238</v>
      </c>
    </row>
    <row r="179" spans="9:40" x14ac:dyDescent="0.45">
      <c r="I179" t="s">
        <v>178</v>
      </c>
      <c r="J179" t="s">
        <v>165</v>
      </c>
      <c r="K179">
        <v>8.0269095075216114E-4</v>
      </c>
      <c r="L179" t="s">
        <v>166</v>
      </c>
      <c r="N179" t="s">
        <v>201</v>
      </c>
      <c r="O179" t="s">
        <v>165</v>
      </c>
      <c r="P179">
        <v>5.5794552689978731E-2</v>
      </c>
      <c r="Q179" t="s">
        <v>166</v>
      </c>
      <c r="S179" t="s">
        <v>223</v>
      </c>
      <c r="T179" t="s">
        <v>165</v>
      </c>
      <c r="U179">
        <v>5.6494744538564783E-2</v>
      </c>
      <c r="V179" t="s">
        <v>166</v>
      </c>
      <c r="AK179">
        <v>2046</v>
      </c>
      <c r="AL179" t="s">
        <v>155</v>
      </c>
      <c r="AM179">
        <v>0.36675000000000002</v>
      </c>
      <c r="AN179" t="s">
        <v>238</v>
      </c>
    </row>
    <row r="180" spans="9:40" x14ac:dyDescent="0.45">
      <c r="I180" t="s">
        <v>178</v>
      </c>
      <c r="J180" t="s">
        <v>167</v>
      </c>
      <c r="K180">
        <v>4.6161021478907729E-3</v>
      </c>
      <c r="L180" t="s">
        <v>166</v>
      </c>
      <c r="N180" t="s">
        <v>201</v>
      </c>
      <c r="O180" t="s">
        <v>167</v>
      </c>
      <c r="P180">
        <v>7.0813701127290709E-3</v>
      </c>
      <c r="Q180" t="s">
        <v>166</v>
      </c>
      <c r="S180" t="s">
        <v>223</v>
      </c>
      <c r="T180" t="s">
        <v>167</v>
      </c>
      <c r="U180">
        <v>7.118654657515538E-3</v>
      </c>
      <c r="V180" t="s">
        <v>166</v>
      </c>
      <c r="AK180">
        <v>2046</v>
      </c>
      <c r="AL180" t="s">
        <v>159</v>
      </c>
      <c r="AM180">
        <v>0.37940000000000002</v>
      </c>
      <c r="AN180" t="s">
        <v>238</v>
      </c>
    </row>
    <row r="181" spans="9:40" x14ac:dyDescent="0.45">
      <c r="I181" t="s">
        <v>178</v>
      </c>
      <c r="J181" t="s">
        <v>168</v>
      </c>
      <c r="K181">
        <v>7.6637761868863827E-2</v>
      </c>
      <c r="L181" t="s">
        <v>166</v>
      </c>
      <c r="N181" t="s">
        <v>201</v>
      </c>
      <c r="O181" t="s">
        <v>168</v>
      </c>
      <c r="P181">
        <v>5.0045955372139052E-2</v>
      </c>
      <c r="Q181" t="s">
        <v>166</v>
      </c>
      <c r="S181" t="s">
        <v>223</v>
      </c>
      <c r="T181" t="s">
        <v>168</v>
      </c>
      <c r="U181">
        <v>5.0800841365296445E-2</v>
      </c>
      <c r="V181" t="s">
        <v>166</v>
      </c>
      <c r="AK181">
        <v>2046</v>
      </c>
      <c r="AL181" t="s">
        <v>161</v>
      </c>
      <c r="AM181">
        <v>0.3866</v>
      </c>
      <c r="AN181" t="s">
        <v>238</v>
      </c>
    </row>
    <row r="182" spans="9:40" x14ac:dyDescent="0.45">
      <c r="I182" t="s">
        <v>178</v>
      </c>
      <c r="J182" t="s">
        <v>247</v>
      </c>
      <c r="K182">
        <v>5.2687979513484501E-3</v>
      </c>
      <c r="L182" t="s">
        <v>166</v>
      </c>
      <c r="N182" t="s">
        <v>201</v>
      </c>
      <c r="O182" t="s">
        <v>247</v>
      </c>
      <c r="P182">
        <v>7.2020442106280795E-3</v>
      </c>
      <c r="Q182" t="s">
        <v>166</v>
      </c>
      <c r="S182" t="s">
        <v>223</v>
      </c>
      <c r="T182" t="s">
        <v>247</v>
      </c>
      <c r="U182">
        <v>7.3750699534949173E-3</v>
      </c>
      <c r="V182" t="s">
        <v>166</v>
      </c>
      <c r="AK182">
        <v>2046</v>
      </c>
      <c r="AL182" t="s">
        <v>240</v>
      </c>
      <c r="AM182">
        <v>0.41820000000000002</v>
      </c>
      <c r="AN182" t="s">
        <v>238</v>
      </c>
    </row>
    <row r="183" spans="9:40" x14ac:dyDescent="0.45">
      <c r="I183" t="s">
        <v>178</v>
      </c>
      <c r="J183" t="s">
        <v>248</v>
      </c>
      <c r="K183">
        <v>1.1581162670755345E-3</v>
      </c>
      <c r="L183" t="s">
        <v>166</v>
      </c>
      <c r="N183" t="s">
        <v>201</v>
      </c>
      <c r="O183" t="s">
        <v>248</v>
      </c>
      <c r="P183">
        <v>7.3301096097906863E-3</v>
      </c>
      <c r="Q183" t="s">
        <v>166</v>
      </c>
      <c r="S183" t="s">
        <v>223</v>
      </c>
      <c r="T183" t="s">
        <v>248</v>
      </c>
      <c r="U183">
        <v>7.5230324062514568E-3</v>
      </c>
      <c r="V183" t="s">
        <v>166</v>
      </c>
      <c r="AK183">
        <v>2046</v>
      </c>
      <c r="AL183" t="s">
        <v>242</v>
      </c>
      <c r="AM183">
        <v>0.40822000000000003</v>
      </c>
      <c r="AN183" t="s">
        <v>238</v>
      </c>
    </row>
    <row r="184" spans="9:40" x14ac:dyDescent="0.45">
      <c r="I184" t="s">
        <v>178</v>
      </c>
      <c r="J184" t="s">
        <v>249</v>
      </c>
      <c r="K184">
        <v>0</v>
      </c>
      <c r="L184" t="s">
        <v>166</v>
      </c>
      <c r="N184" t="s">
        <v>201</v>
      </c>
      <c r="O184" t="s">
        <v>249</v>
      </c>
      <c r="P184">
        <v>4.4872011038750652E-2</v>
      </c>
      <c r="Q184" t="s">
        <v>166</v>
      </c>
      <c r="S184" t="s">
        <v>223</v>
      </c>
      <c r="T184" t="s">
        <v>249</v>
      </c>
      <c r="U184">
        <v>4.5920610439518832E-2</v>
      </c>
      <c r="V184" t="s">
        <v>166</v>
      </c>
      <c r="AK184">
        <v>2046</v>
      </c>
      <c r="AL184" t="s">
        <v>244</v>
      </c>
      <c r="AM184">
        <v>0.32150000000000001</v>
      </c>
      <c r="AN184" t="s">
        <v>238</v>
      </c>
    </row>
    <row r="185" spans="9:40" x14ac:dyDescent="0.45">
      <c r="I185" t="s">
        <v>178</v>
      </c>
      <c r="J185" t="s">
        <v>169</v>
      </c>
      <c r="K185">
        <v>4.8072930329381772E-3</v>
      </c>
      <c r="L185" t="s">
        <v>166</v>
      </c>
      <c r="N185" t="s">
        <v>201</v>
      </c>
      <c r="O185" t="s">
        <v>169</v>
      </c>
      <c r="P185">
        <v>3.2241362767233508E-2</v>
      </c>
      <c r="Q185" t="s">
        <v>166</v>
      </c>
      <c r="S185" t="s">
        <v>223</v>
      </c>
      <c r="T185" t="s">
        <v>169</v>
      </c>
      <c r="U185">
        <v>3.2596862471764236E-2</v>
      </c>
      <c r="V185" t="s">
        <v>166</v>
      </c>
      <c r="AK185">
        <v>2046</v>
      </c>
      <c r="AL185" t="s">
        <v>246</v>
      </c>
      <c r="AM185">
        <v>0.33829999999999999</v>
      </c>
      <c r="AN185" t="s">
        <v>238</v>
      </c>
    </row>
    <row r="186" spans="9:40" x14ac:dyDescent="0.45">
      <c r="I186" t="s">
        <v>178</v>
      </c>
      <c r="J186" t="s">
        <v>170</v>
      </c>
      <c r="K186">
        <v>7.1758393461449485E-3</v>
      </c>
      <c r="L186" t="s">
        <v>166</v>
      </c>
      <c r="N186" t="s">
        <v>201</v>
      </c>
      <c r="O186" t="s">
        <v>170</v>
      </c>
      <c r="P186">
        <v>4.0874965230135009E-3</v>
      </c>
      <c r="Q186" t="s">
        <v>166</v>
      </c>
      <c r="S186" t="s">
        <v>223</v>
      </c>
      <c r="T186" t="s">
        <v>170</v>
      </c>
      <c r="U186">
        <v>4.1663240840311066E-3</v>
      </c>
      <c r="V186" t="s">
        <v>166</v>
      </c>
      <c r="AK186">
        <v>2047</v>
      </c>
      <c r="AL186" t="s">
        <v>155</v>
      </c>
      <c r="AM186">
        <v>0.32999999999999996</v>
      </c>
      <c r="AN186" t="s">
        <v>238</v>
      </c>
    </row>
    <row r="187" spans="9:40" x14ac:dyDescent="0.45">
      <c r="I187" t="s">
        <v>178</v>
      </c>
      <c r="J187" t="s">
        <v>171</v>
      </c>
      <c r="K187">
        <v>6.8936122255526769E-2</v>
      </c>
      <c r="L187" t="s">
        <v>166</v>
      </c>
      <c r="N187" t="s">
        <v>201</v>
      </c>
      <c r="O187" t="s">
        <v>171</v>
      </c>
      <c r="P187">
        <v>2.9160641106600649E-2</v>
      </c>
      <c r="Q187" t="s">
        <v>166</v>
      </c>
      <c r="S187" t="s">
        <v>223</v>
      </c>
      <c r="T187" t="s">
        <v>171</v>
      </c>
      <c r="U187">
        <v>3.0551689617063022E-2</v>
      </c>
      <c r="V187" t="s">
        <v>166</v>
      </c>
      <c r="AK187">
        <v>2047</v>
      </c>
      <c r="AL187" t="s">
        <v>159</v>
      </c>
      <c r="AM187">
        <v>0.34360000000000002</v>
      </c>
      <c r="AN187" t="s">
        <v>238</v>
      </c>
    </row>
    <row r="188" spans="9:40" x14ac:dyDescent="0.45">
      <c r="I188" t="s">
        <v>178</v>
      </c>
      <c r="J188" t="s">
        <v>250</v>
      </c>
      <c r="K188">
        <v>5.9790140384968649E-3</v>
      </c>
      <c r="L188" t="s">
        <v>166</v>
      </c>
      <c r="N188" t="s">
        <v>201</v>
      </c>
      <c r="O188" t="s">
        <v>250</v>
      </c>
      <c r="P188">
        <v>4.3992760447506066E-3</v>
      </c>
      <c r="Q188" t="s">
        <v>166</v>
      </c>
      <c r="S188" t="s">
        <v>223</v>
      </c>
      <c r="T188" t="s">
        <v>250</v>
      </c>
      <c r="U188">
        <v>4.6460627334656522E-3</v>
      </c>
      <c r="V188" t="s">
        <v>166</v>
      </c>
      <c r="AK188">
        <v>2047</v>
      </c>
      <c r="AL188" t="s">
        <v>161</v>
      </c>
      <c r="AM188">
        <v>0.35709999999999997</v>
      </c>
      <c r="AN188" t="s">
        <v>238</v>
      </c>
    </row>
    <row r="189" spans="9:40" x14ac:dyDescent="0.45">
      <c r="I189" t="s">
        <v>178</v>
      </c>
      <c r="J189" t="s">
        <v>251</v>
      </c>
      <c r="K189">
        <v>3.4569106462868757E-3</v>
      </c>
      <c r="L189" t="s">
        <v>166</v>
      </c>
      <c r="N189" t="s">
        <v>201</v>
      </c>
      <c r="O189" t="s">
        <v>251</v>
      </c>
      <c r="P189">
        <v>4.4976116711780865E-3</v>
      </c>
      <c r="Q189" t="s">
        <v>166</v>
      </c>
      <c r="S189" t="s">
        <v>223</v>
      </c>
      <c r="T189" t="s">
        <v>251</v>
      </c>
      <c r="U189">
        <v>4.7621927424963042E-3</v>
      </c>
      <c r="V189" t="s">
        <v>166</v>
      </c>
      <c r="AK189">
        <v>2047</v>
      </c>
      <c r="AL189" t="s">
        <v>240</v>
      </c>
      <c r="AM189">
        <v>0.50429999999999997</v>
      </c>
      <c r="AN189" t="s">
        <v>238</v>
      </c>
    </row>
    <row r="190" spans="9:40" x14ac:dyDescent="0.45">
      <c r="I190" t="s">
        <v>178</v>
      </c>
      <c r="J190" t="s">
        <v>252</v>
      </c>
      <c r="K190">
        <v>2.2838746736443264E-4</v>
      </c>
      <c r="L190" t="s">
        <v>166</v>
      </c>
      <c r="N190" t="s">
        <v>201</v>
      </c>
      <c r="O190" t="s">
        <v>252</v>
      </c>
      <c r="P190">
        <v>2.7496862360826876E-2</v>
      </c>
      <c r="Q190" t="s">
        <v>166</v>
      </c>
      <c r="S190" t="s">
        <v>223</v>
      </c>
      <c r="T190" t="s">
        <v>252</v>
      </c>
      <c r="U190">
        <v>2.8503913352012276E-2</v>
      </c>
      <c r="V190" t="s">
        <v>166</v>
      </c>
      <c r="AK190">
        <v>2047</v>
      </c>
      <c r="AL190" t="s">
        <v>242</v>
      </c>
      <c r="AM190">
        <v>0.41314000000000001</v>
      </c>
      <c r="AN190" t="s">
        <v>238</v>
      </c>
    </row>
    <row r="191" spans="9:40" x14ac:dyDescent="0.45">
      <c r="I191" t="s">
        <v>178</v>
      </c>
      <c r="J191" t="s">
        <v>172</v>
      </c>
      <c r="K191">
        <v>1.1273598258728328E-2</v>
      </c>
      <c r="L191" t="s">
        <v>166</v>
      </c>
      <c r="N191" t="s">
        <v>201</v>
      </c>
      <c r="O191" t="s">
        <v>172</v>
      </c>
      <c r="P191">
        <v>2.9335335661013952E-2</v>
      </c>
      <c r="Q191" t="s">
        <v>166</v>
      </c>
      <c r="S191" t="s">
        <v>223</v>
      </c>
      <c r="T191" t="s">
        <v>172</v>
      </c>
      <c r="U191">
        <v>2.9006717522925333E-2</v>
      </c>
      <c r="V191" t="s">
        <v>166</v>
      </c>
      <c r="AK191">
        <v>2047</v>
      </c>
      <c r="AL191" t="s">
        <v>244</v>
      </c>
      <c r="AM191">
        <v>0.33729999999999999</v>
      </c>
      <c r="AN191" t="s">
        <v>238</v>
      </c>
    </row>
    <row r="192" spans="9:40" x14ac:dyDescent="0.45">
      <c r="I192" t="s">
        <v>178</v>
      </c>
      <c r="J192" t="s">
        <v>173</v>
      </c>
      <c r="K192">
        <v>8.5351945731124423E-3</v>
      </c>
      <c r="L192" t="s">
        <v>166</v>
      </c>
      <c r="N192" t="s">
        <v>201</v>
      </c>
      <c r="O192" t="s">
        <v>173</v>
      </c>
      <c r="P192">
        <v>3.308066335860135E-3</v>
      </c>
      <c r="Q192" t="s">
        <v>166</v>
      </c>
      <c r="S192" t="s">
        <v>223</v>
      </c>
      <c r="T192" t="s">
        <v>173</v>
      </c>
      <c r="U192">
        <v>3.3776233226005072E-3</v>
      </c>
      <c r="V192" t="s">
        <v>166</v>
      </c>
      <c r="AK192">
        <v>2047</v>
      </c>
      <c r="AL192" t="s">
        <v>246</v>
      </c>
      <c r="AM192">
        <v>0.33610000000000001</v>
      </c>
      <c r="AN192" t="s">
        <v>238</v>
      </c>
    </row>
    <row r="193" spans="9:40" x14ac:dyDescent="0.45">
      <c r="I193" t="s">
        <v>178</v>
      </c>
      <c r="J193" t="s">
        <v>174</v>
      </c>
      <c r="K193">
        <v>7.1044667948573337E-2</v>
      </c>
      <c r="L193" t="s">
        <v>166</v>
      </c>
      <c r="N193" t="s">
        <v>201</v>
      </c>
      <c r="O193" t="s">
        <v>174</v>
      </c>
      <c r="P193">
        <v>2.2346572807997497E-2</v>
      </c>
      <c r="Q193" t="s">
        <v>166</v>
      </c>
      <c r="S193" t="s">
        <v>223</v>
      </c>
      <c r="T193" t="s">
        <v>174</v>
      </c>
      <c r="U193">
        <v>2.2046524031543273E-2</v>
      </c>
      <c r="V193" t="s">
        <v>166</v>
      </c>
      <c r="AK193">
        <v>2048</v>
      </c>
      <c r="AL193" t="s">
        <v>155</v>
      </c>
      <c r="AM193">
        <v>0.33960000000000001</v>
      </c>
      <c r="AN193" t="s">
        <v>238</v>
      </c>
    </row>
    <row r="194" spans="9:40" x14ac:dyDescent="0.45">
      <c r="I194" t="s">
        <v>178</v>
      </c>
      <c r="J194" t="s">
        <v>253</v>
      </c>
      <c r="K194">
        <v>7.1362575655140349E-3</v>
      </c>
      <c r="L194" t="s">
        <v>166</v>
      </c>
      <c r="N194" t="s">
        <v>201</v>
      </c>
      <c r="O194" t="s">
        <v>253</v>
      </c>
      <c r="P194">
        <v>3.4857024863646376E-3</v>
      </c>
      <c r="Q194" t="s">
        <v>166</v>
      </c>
      <c r="S194" t="s">
        <v>223</v>
      </c>
      <c r="T194" t="s">
        <v>253</v>
      </c>
      <c r="U194">
        <v>3.4763687432233037E-3</v>
      </c>
      <c r="V194" t="s">
        <v>166</v>
      </c>
      <c r="AK194">
        <v>2048</v>
      </c>
      <c r="AL194" t="s">
        <v>159</v>
      </c>
      <c r="AM194">
        <v>0.38490000000000002</v>
      </c>
      <c r="AN194" t="s">
        <v>238</v>
      </c>
    </row>
    <row r="195" spans="9:40" x14ac:dyDescent="0.45">
      <c r="I195" t="s">
        <v>178</v>
      </c>
      <c r="J195" t="s">
        <v>254</v>
      </c>
      <c r="K195">
        <v>5.1341705105689955E-3</v>
      </c>
      <c r="L195" t="s">
        <v>166</v>
      </c>
      <c r="N195" t="s">
        <v>201</v>
      </c>
      <c r="O195" t="s">
        <v>254</v>
      </c>
      <c r="P195">
        <v>3.4556482021502956E-3</v>
      </c>
      <c r="Q195" t="s">
        <v>166</v>
      </c>
      <c r="S195" t="s">
        <v>223</v>
      </c>
      <c r="T195" t="s">
        <v>254</v>
      </c>
      <c r="U195">
        <v>3.5506483728817719E-3</v>
      </c>
      <c r="V195" t="s">
        <v>166</v>
      </c>
      <c r="AK195">
        <v>2048</v>
      </c>
      <c r="AL195" t="s">
        <v>161</v>
      </c>
      <c r="AM195">
        <v>0.38640000000000002</v>
      </c>
      <c r="AN195" t="s">
        <v>238</v>
      </c>
    </row>
    <row r="196" spans="9:40" x14ac:dyDescent="0.45">
      <c r="I196" t="s">
        <v>178</v>
      </c>
      <c r="J196" t="s">
        <v>255</v>
      </c>
      <c r="K196">
        <v>2.7875121805625834E-3</v>
      </c>
      <c r="L196" t="s">
        <v>166</v>
      </c>
      <c r="N196" t="s">
        <v>201</v>
      </c>
      <c r="O196" t="s">
        <v>255</v>
      </c>
      <c r="P196">
        <v>2.1457450471305425E-2</v>
      </c>
      <c r="Q196" t="s">
        <v>166</v>
      </c>
      <c r="S196" t="s">
        <v>223</v>
      </c>
      <c r="T196" t="s">
        <v>255</v>
      </c>
      <c r="U196">
        <v>2.2124241159257641E-2</v>
      </c>
      <c r="V196" t="s">
        <v>166</v>
      </c>
      <c r="AK196">
        <v>2048</v>
      </c>
      <c r="AL196" t="s">
        <v>240</v>
      </c>
      <c r="AM196">
        <v>0.50419999999999998</v>
      </c>
      <c r="AN196" t="s">
        <v>238</v>
      </c>
    </row>
    <row r="197" spans="9:40" x14ac:dyDescent="0.45">
      <c r="I197" t="s">
        <v>178</v>
      </c>
      <c r="J197" t="s">
        <v>256</v>
      </c>
      <c r="K197">
        <v>1.3331837871675583E-2</v>
      </c>
      <c r="L197" t="s">
        <v>166</v>
      </c>
      <c r="N197" t="s">
        <v>201</v>
      </c>
      <c r="O197" t="s">
        <v>256</v>
      </c>
      <c r="P197">
        <v>2.3480518439430578E-2</v>
      </c>
      <c r="Q197" t="s">
        <v>166</v>
      </c>
      <c r="S197" t="s">
        <v>223</v>
      </c>
      <c r="T197" t="s">
        <v>256</v>
      </c>
      <c r="U197">
        <v>2.3333882635201548E-2</v>
      </c>
      <c r="V197" t="s">
        <v>166</v>
      </c>
      <c r="AK197">
        <v>2048</v>
      </c>
      <c r="AL197" t="s">
        <v>242</v>
      </c>
      <c r="AM197">
        <v>0.40363999999999994</v>
      </c>
      <c r="AN197" t="s">
        <v>238</v>
      </c>
    </row>
    <row r="198" spans="9:40" x14ac:dyDescent="0.45">
      <c r="I198" t="s">
        <v>178</v>
      </c>
      <c r="J198" t="s">
        <v>257</v>
      </c>
      <c r="K198">
        <v>8.5894060888062947E-3</v>
      </c>
      <c r="L198" t="s">
        <v>166</v>
      </c>
      <c r="N198" t="s">
        <v>201</v>
      </c>
      <c r="O198" t="s">
        <v>257</v>
      </c>
      <c r="P198">
        <v>2.671764631701567E-3</v>
      </c>
      <c r="Q198" t="s">
        <v>166</v>
      </c>
      <c r="S198" t="s">
        <v>223</v>
      </c>
      <c r="T198" t="s">
        <v>257</v>
      </c>
      <c r="U198">
        <v>2.6871361441908382E-3</v>
      </c>
      <c r="V198" t="s">
        <v>166</v>
      </c>
      <c r="AK198">
        <v>2048</v>
      </c>
      <c r="AL198" t="s">
        <v>244</v>
      </c>
      <c r="AM198">
        <v>0.3246</v>
      </c>
      <c r="AN198" t="s">
        <v>238</v>
      </c>
    </row>
    <row r="199" spans="9:40" x14ac:dyDescent="0.45">
      <c r="I199" t="s">
        <v>178</v>
      </c>
      <c r="J199" t="s">
        <v>258</v>
      </c>
      <c r="K199">
        <v>6.6539319978282524E-2</v>
      </c>
      <c r="L199" t="s">
        <v>166</v>
      </c>
      <c r="N199" t="s">
        <v>201</v>
      </c>
      <c r="O199" t="s">
        <v>258</v>
      </c>
      <c r="P199">
        <v>1.8304725261266957E-2</v>
      </c>
      <c r="Q199" t="s">
        <v>166</v>
      </c>
      <c r="S199" t="s">
        <v>223</v>
      </c>
      <c r="T199" t="s">
        <v>258</v>
      </c>
      <c r="U199">
        <v>1.777241801518319E-2</v>
      </c>
      <c r="V199" t="s">
        <v>166</v>
      </c>
      <c r="AK199">
        <v>2048</v>
      </c>
      <c r="AL199" t="s">
        <v>246</v>
      </c>
      <c r="AM199">
        <v>0.36759999999999998</v>
      </c>
      <c r="AN199" t="s">
        <v>238</v>
      </c>
    </row>
    <row r="200" spans="9:40" x14ac:dyDescent="0.45">
      <c r="I200" t="s">
        <v>178</v>
      </c>
      <c r="J200" t="s">
        <v>259</v>
      </c>
      <c r="K200">
        <v>6.2738188584706613E-3</v>
      </c>
      <c r="L200" t="s">
        <v>166</v>
      </c>
      <c r="N200" t="s">
        <v>201</v>
      </c>
      <c r="O200" t="s">
        <v>259</v>
      </c>
      <c r="P200">
        <v>2.8229593919946437E-3</v>
      </c>
      <c r="Q200" t="s">
        <v>166</v>
      </c>
      <c r="S200" t="s">
        <v>223</v>
      </c>
      <c r="T200" t="s">
        <v>259</v>
      </c>
      <c r="U200">
        <v>2.7761761026096213E-3</v>
      </c>
      <c r="V200" t="s">
        <v>166</v>
      </c>
      <c r="AK200">
        <v>2049</v>
      </c>
      <c r="AL200" t="s">
        <v>155</v>
      </c>
      <c r="AM200">
        <v>0.35704999999999998</v>
      </c>
      <c r="AN200" t="s">
        <v>238</v>
      </c>
    </row>
    <row r="201" spans="9:40" x14ac:dyDescent="0.45">
      <c r="I201" t="s">
        <v>178</v>
      </c>
      <c r="J201" t="s">
        <v>260</v>
      </c>
      <c r="K201">
        <v>4.5737022631605088E-3</v>
      </c>
      <c r="L201" t="s">
        <v>166</v>
      </c>
      <c r="N201" t="s">
        <v>201</v>
      </c>
      <c r="O201" t="s">
        <v>260</v>
      </c>
      <c r="P201">
        <v>2.8588523268507009E-3</v>
      </c>
      <c r="Q201" t="s">
        <v>166</v>
      </c>
      <c r="S201" t="s">
        <v>223</v>
      </c>
      <c r="T201" t="s">
        <v>260</v>
      </c>
      <c r="U201">
        <v>2.8375272166381226E-3</v>
      </c>
      <c r="V201" t="s">
        <v>166</v>
      </c>
      <c r="AK201">
        <v>2049</v>
      </c>
      <c r="AL201" t="s">
        <v>159</v>
      </c>
      <c r="AM201">
        <v>0.40329999999999999</v>
      </c>
      <c r="AN201" t="s">
        <v>238</v>
      </c>
    </row>
    <row r="202" spans="9:40" x14ac:dyDescent="0.45">
      <c r="I202" t="s">
        <v>178</v>
      </c>
      <c r="J202" t="s">
        <v>261</v>
      </c>
      <c r="K202">
        <v>3.7722038068802896E-3</v>
      </c>
      <c r="L202" t="s">
        <v>166</v>
      </c>
      <c r="N202" t="s">
        <v>201</v>
      </c>
      <c r="O202" t="s">
        <v>261</v>
      </c>
      <c r="P202">
        <v>1.9256856007175204E-2</v>
      </c>
      <c r="Q202" t="s">
        <v>166</v>
      </c>
      <c r="S202" t="s">
        <v>223</v>
      </c>
      <c r="T202" t="s">
        <v>261</v>
      </c>
      <c r="U202">
        <v>1.8949330702918151E-2</v>
      </c>
      <c r="V202" t="s">
        <v>166</v>
      </c>
      <c r="AK202">
        <v>2049</v>
      </c>
      <c r="AL202" t="s">
        <v>161</v>
      </c>
      <c r="AM202">
        <v>0.39589999999999997</v>
      </c>
      <c r="AN202" t="s">
        <v>238</v>
      </c>
    </row>
    <row r="203" spans="9:40" x14ac:dyDescent="0.45">
      <c r="I203" t="s">
        <v>178</v>
      </c>
      <c r="J203" t="s">
        <v>262</v>
      </c>
      <c r="K203">
        <v>6.2207238765958371E-2</v>
      </c>
      <c r="L203" t="s">
        <v>166</v>
      </c>
      <c r="N203" t="s">
        <v>201</v>
      </c>
      <c r="O203" t="s">
        <v>262</v>
      </c>
      <c r="P203">
        <v>0.1166100010484412</v>
      </c>
      <c r="Q203" t="s">
        <v>166</v>
      </c>
      <c r="S203" t="s">
        <v>223</v>
      </c>
      <c r="T203" t="s">
        <v>262</v>
      </c>
      <c r="U203">
        <v>0.11289429344797362</v>
      </c>
      <c r="V203" t="s">
        <v>166</v>
      </c>
      <c r="AK203">
        <v>2049</v>
      </c>
      <c r="AL203" t="s">
        <v>240</v>
      </c>
      <c r="AM203">
        <v>0.48170000000000002</v>
      </c>
      <c r="AN203" t="s">
        <v>238</v>
      </c>
    </row>
    <row r="204" spans="9:40" x14ac:dyDescent="0.45">
      <c r="I204" t="s">
        <v>178</v>
      </c>
      <c r="J204" t="s">
        <v>263</v>
      </c>
      <c r="K204">
        <v>4.1498744227801553E-2</v>
      </c>
      <c r="L204" t="s">
        <v>166</v>
      </c>
      <c r="N204" t="s">
        <v>201</v>
      </c>
      <c r="O204" t="s">
        <v>263</v>
      </c>
      <c r="P204">
        <v>1.4121763459844909E-2</v>
      </c>
      <c r="Q204" t="s">
        <v>166</v>
      </c>
      <c r="S204" t="s">
        <v>223</v>
      </c>
      <c r="T204" t="s">
        <v>263</v>
      </c>
      <c r="U204">
        <v>1.3992134122417068E-2</v>
      </c>
      <c r="V204" t="s">
        <v>166</v>
      </c>
      <c r="AK204">
        <v>2049</v>
      </c>
      <c r="AL204" t="s">
        <v>242</v>
      </c>
      <c r="AM204">
        <v>0.39584000000000003</v>
      </c>
      <c r="AN204" t="s">
        <v>238</v>
      </c>
    </row>
    <row r="205" spans="9:40" x14ac:dyDescent="0.45">
      <c r="I205" t="s">
        <v>178</v>
      </c>
      <c r="J205" t="s">
        <v>264</v>
      </c>
      <c r="K205">
        <v>0.34452300583104872</v>
      </c>
      <c r="L205" t="s">
        <v>166</v>
      </c>
      <c r="N205" t="s">
        <v>201</v>
      </c>
      <c r="O205" t="s">
        <v>264</v>
      </c>
      <c r="P205">
        <v>9.6682278815984096E-2</v>
      </c>
      <c r="Q205" t="s">
        <v>166</v>
      </c>
      <c r="S205" t="s">
        <v>223</v>
      </c>
      <c r="T205" t="s">
        <v>264</v>
      </c>
      <c r="U205">
        <v>9.3885790477209838E-2</v>
      </c>
      <c r="V205" t="s">
        <v>166</v>
      </c>
      <c r="AK205">
        <v>2049</v>
      </c>
      <c r="AL205" t="s">
        <v>244</v>
      </c>
      <c r="AM205">
        <v>0.31709999999999999</v>
      </c>
      <c r="AN205" t="s">
        <v>238</v>
      </c>
    </row>
    <row r="206" spans="9:40" x14ac:dyDescent="0.45">
      <c r="I206" t="s">
        <v>178</v>
      </c>
      <c r="J206" t="s">
        <v>265</v>
      </c>
      <c r="K206">
        <v>3.5245557160813651E-2</v>
      </c>
      <c r="L206" t="s">
        <v>166</v>
      </c>
      <c r="N206" t="s">
        <v>201</v>
      </c>
      <c r="O206" t="s">
        <v>265</v>
      </c>
      <c r="P206">
        <v>1.5035009758699435E-2</v>
      </c>
      <c r="Q206" t="s">
        <v>166</v>
      </c>
      <c r="S206" t="s">
        <v>223</v>
      </c>
      <c r="T206" t="s">
        <v>265</v>
      </c>
      <c r="U206">
        <v>1.464311915876805E-2</v>
      </c>
      <c r="V206" t="s">
        <v>166</v>
      </c>
      <c r="AK206">
        <v>2049</v>
      </c>
      <c r="AL206" t="s">
        <v>246</v>
      </c>
      <c r="AM206">
        <v>0.38119999999999998</v>
      </c>
      <c r="AN206" t="s">
        <v>238</v>
      </c>
    </row>
    <row r="207" spans="9:40" x14ac:dyDescent="0.45">
      <c r="I207" t="s">
        <v>178</v>
      </c>
      <c r="J207" t="s">
        <v>266</v>
      </c>
      <c r="K207">
        <v>2.4508401332139693E-2</v>
      </c>
      <c r="L207" t="s">
        <v>166</v>
      </c>
      <c r="N207" t="s">
        <v>201</v>
      </c>
      <c r="O207" t="s">
        <v>266</v>
      </c>
      <c r="P207">
        <v>1.5287109029703034E-2</v>
      </c>
      <c r="Q207" t="s">
        <v>166</v>
      </c>
      <c r="S207" t="s">
        <v>223</v>
      </c>
      <c r="T207" t="s">
        <v>266</v>
      </c>
      <c r="U207">
        <v>1.517483356328966E-2</v>
      </c>
      <c r="V207" t="s">
        <v>166</v>
      </c>
      <c r="AK207">
        <v>2050</v>
      </c>
      <c r="AL207" t="s">
        <v>155</v>
      </c>
      <c r="AM207">
        <v>0.33560000000000001</v>
      </c>
      <c r="AN207" t="s">
        <v>238</v>
      </c>
    </row>
    <row r="208" spans="9:40" x14ac:dyDescent="0.45">
      <c r="I208" t="s">
        <v>178</v>
      </c>
      <c r="J208" t="s">
        <v>267</v>
      </c>
      <c r="K208">
        <v>1.9529843360721767E-2</v>
      </c>
      <c r="L208" t="s">
        <v>166</v>
      </c>
      <c r="N208" t="s">
        <v>201</v>
      </c>
      <c r="O208" t="s">
        <v>267</v>
      </c>
      <c r="P208">
        <v>9.635642891018277E-2</v>
      </c>
      <c r="Q208" t="s">
        <v>166</v>
      </c>
      <c r="S208" t="s">
        <v>223</v>
      </c>
      <c r="T208" t="s">
        <v>267</v>
      </c>
      <c r="U208">
        <v>9.5695723035238336E-2</v>
      </c>
      <c r="V208" t="s">
        <v>166</v>
      </c>
      <c r="AK208">
        <v>2050</v>
      </c>
      <c r="AL208" t="s">
        <v>159</v>
      </c>
      <c r="AM208">
        <v>0.39860000000000001</v>
      </c>
      <c r="AN208" t="s">
        <v>238</v>
      </c>
    </row>
    <row r="209" spans="9:40" x14ac:dyDescent="0.45">
      <c r="I209" t="s">
        <v>178</v>
      </c>
      <c r="J209" t="s">
        <v>268</v>
      </c>
      <c r="K209">
        <v>4.7905717716776317E-4</v>
      </c>
      <c r="L209" t="s">
        <v>166</v>
      </c>
      <c r="N209" t="s">
        <v>201</v>
      </c>
      <c r="O209" t="s">
        <v>268</v>
      </c>
      <c r="P209">
        <v>3.3505324127789726E-2</v>
      </c>
      <c r="Q209" t="s">
        <v>166</v>
      </c>
      <c r="S209" t="s">
        <v>223</v>
      </c>
      <c r="T209" t="s">
        <v>268</v>
      </c>
      <c r="U209">
        <v>3.2550111311670175E-2</v>
      </c>
      <c r="V209" t="s">
        <v>166</v>
      </c>
      <c r="AK209">
        <v>2050</v>
      </c>
      <c r="AL209" t="s">
        <v>161</v>
      </c>
      <c r="AM209">
        <v>0.41099999999999998</v>
      </c>
      <c r="AN209" t="s">
        <v>238</v>
      </c>
    </row>
    <row r="210" spans="9:40" x14ac:dyDescent="0.45">
      <c r="I210" t="s">
        <v>178</v>
      </c>
      <c r="J210" t="s">
        <v>269</v>
      </c>
      <c r="K210">
        <v>2.5819955277776299E-3</v>
      </c>
      <c r="L210" t="s">
        <v>166</v>
      </c>
      <c r="N210" t="s">
        <v>201</v>
      </c>
      <c r="O210" t="s">
        <v>269</v>
      </c>
      <c r="P210">
        <v>4.3065374884446372E-3</v>
      </c>
      <c r="Q210" t="s">
        <v>166</v>
      </c>
      <c r="S210" t="s">
        <v>223</v>
      </c>
      <c r="T210" t="s">
        <v>269</v>
      </c>
      <c r="U210">
        <v>4.2494209444347546E-3</v>
      </c>
      <c r="V210" t="s">
        <v>166</v>
      </c>
      <c r="AK210">
        <v>2050</v>
      </c>
      <c r="AL210" t="s">
        <v>240</v>
      </c>
      <c r="AM210">
        <v>0.43319999999999997</v>
      </c>
      <c r="AN210" t="s">
        <v>238</v>
      </c>
    </row>
    <row r="211" spans="9:40" x14ac:dyDescent="0.45">
      <c r="I211" t="s">
        <v>178</v>
      </c>
      <c r="J211" t="s">
        <v>270</v>
      </c>
      <c r="K211">
        <v>3.1611521182101143E-2</v>
      </c>
      <c r="L211" t="s">
        <v>166</v>
      </c>
      <c r="N211" t="s">
        <v>201</v>
      </c>
      <c r="O211" t="s">
        <v>270</v>
      </c>
      <c r="P211">
        <v>2.8355627417493076E-2</v>
      </c>
      <c r="Q211" t="s">
        <v>166</v>
      </c>
      <c r="S211" t="s">
        <v>223</v>
      </c>
      <c r="T211" t="s">
        <v>270</v>
      </c>
      <c r="U211">
        <v>2.8482897450335391E-2</v>
      </c>
      <c r="V211" t="s">
        <v>166</v>
      </c>
      <c r="AK211">
        <v>2050</v>
      </c>
      <c r="AL211" t="s">
        <v>242</v>
      </c>
      <c r="AM211">
        <v>0.38491999999999998</v>
      </c>
      <c r="AN211" t="s">
        <v>238</v>
      </c>
    </row>
    <row r="212" spans="9:40" x14ac:dyDescent="0.45">
      <c r="I212" t="s">
        <v>178</v>
      </c>
      <c r="J212" t="s">
        <v>271</v>
      </c>
      <c r="K212">
        <v>1.0254659169501486E-3</v>
      </c>
      <c r="L212" t="s">
        <v>166</v>
      </c>
      <c r="N212" t="s">
        <v>201</v>
      </c>
      <c r="O212" t="s">
        <v>271</v>
      </c>
      <c r="P212">
        <v>4.0390169233893297E-3</v>
      </c>
      <c r="Q212" t="s">
        <v>166</v>
      </c>
      <c r="S212" t="s">
        <v>223</v>
      </c>
      <c r="T212" t="s">
        <v>271</v>
      </c>
      <c r="U212">
        <v>4.1124839376808549E-3</v>
      </c>
      <c r="V212" t="s">
        <v>166</v>
      </c>
      <c r="AK212">
        <v>2050</v>
      </c>
      <c r="AL212" t="s">
        <v>244</v>
      </c>
      <c r="AM212">
        <v>0.29349999999999998</v>
      </c>
      <c r="AN212" t="s">
        <v>238</v>
      </c>
    </row>
    <row r="213" spans="9:40" x14ac:dyDescent="0.45">
      <c r="I213" t="s">
        <v>178</v>
      </c>
      <c r="J213" t="s">
        <v>272</v>
      </c>
      <c r="K213">
        <v>0</v>
      </c>
      <c r="L213" t="s">
        <v>166</v>
      </c>
      <c r="N213" t="s">
        <v>201</v>
      </c>
      <c r="O213" t="s">
        <v>272</v>
      </c>
      <c r="P213">
        <v>4.0718678844641372E-3</v>
      </c>
      <c r="Q213" t="s">
        <v>166</v>
      </c>
      <c r="S213" t="s">
        <v>223</v>
      </c>
      <c r="T213" t="s">
        <v>272</v>
      </c>
      <c r="U213">
        <v>4.1669108781188478E-3</v>
      </c>
      <c r="V213" t="s">
        <v>166</v>
      </c>
      <c r="AK213">
        <v>2050</v>
      </c>
      <c r="AL213" t="s">
        <v>246</v>
      </c>
      <c r="AM213">
        <v>0.36209999999999998</v>
      </c>
      <c r="AN213" t="s">
        <v>238</v>
      </c>
    </row>
    <row r="214" spans="9:40" x14ac:dyDescent="0.45">
      <c r="I214" t="s">
        <v>178</v>
      </c>
      <c r="J214" t="s">
        <v>273</v>
      </c>
      <c r="K214">
        <v>0</v>
      </c>
      <c r="L214" t="s">
        <v>166</v>
      </c>
      <c r="N214" t="s">
        <v>201</v>
      </c>
      <c r="O214" t="s">
        <v>273</v>
      </c>
      <c r="P214">
        <v>2.4689035588128464E-2</v>
      </c>
      <c r="Q214" t="s">
        <v>166</v>
      </c>
      <c r="S214" t="s">
        <v>223</v>
      </c>
      <c r="T214" t="s">
        <v>273</v>
      </c>
      <c r="U214">
        <v>2.4624734506826285E-2</v>
      </c>
      <c r="V214" t="s">
        <v>166</v>
      </c>
    </row>
    <row r="215" spans="9:40" x14ac:dyDescent="0.45">
      <c r="I215" t="s">
        <v>178</v>
      </c>
      <c r="J215" t="s">
        <v>274</v>
      </c>
      <c r="K215">
        <v>0</v>
      </c>
      <c r="L215" t="s">
        <v>166</v>
      </c>
      <c r="N215" t="s">
        <v>201</v>
      </c>
      <c r="O215" t="s">
        <v>274</v>
      </c>
      <c r="P215">
        <v>3.8363247877425712E-2</v>
      </c>
      <c r="Q215" t="s">
        <v>166</v>
      </c>
      <c r="S215" t="s">
        <v>223</v>
      </c>
      <c r="T215" t="s">
        <v>274</v>
      </c>
      <c r="U215">
        <v>3.9188926801405337E-2</v>
      </c>
      <c r="V215" t="s">
        <v>166</v>
      </c>
    </row>
    <row r="216" spans="9:40" x14ac:dyDescent="0.45">
      <c r="I216" t="s">
        <v>178</v>
      </c>
      <c r="J216" t="s">
        <v>275</v>
      </c>
      <c r="K216">
        <v>3.0855228368778442E-3</v>
      </c>
      <c r="L216" t="s">
        <v>166</v>
      </c>
      <c r="N216" t="s">
        <v>201</v>
      </c>
      <c r="O216" t="s">
        <v>275</v>
      </c>
      <c r="P216">
        <v>4.965200058204864E-3</v>
      </c>
      <c r="Q216" t="s">
        <v>166</v>
      </c>
      <c r="S216" t="s">
        <v>223</v>
      </c>
      <c r="T216" t="s">
        <v>275</v>
      </c>
      <c r="U216">
        <v>4.9810778058807757E-3</v>
      </c>
      <c r="V216" t="s">
        <v>166</v>
      </c>
    </row>
    <row r="217" spans="9:40" x14ac:dyDescent="0.45">
      <c r="I217" t="s">
        <v>178</v>
      </c>
      <c r="J217" t="s">
        <v>276</v>
      </c>
      <c r="K217">
        <v>4.5644920803617747E-2</v>
      </c>
      <c r="L217" t="s">
        <v>166</v>
      </c>
      <c r="N217" t="s">
        <v>201</v>
      </c>
      <c r="O217" t="s">
        <v>276</v>
      </c>
      <c r="P217">
        <v>3.5644883759202259E-2</v>
      </c>
      <c r="Q217" t="s">
        <v>166</v>
      </c>
      <c r="S217" t="s">
        <v>223</v>
      </c>
      <c r="T217" t="s">
        <v>276</v>
      </c>
      <c r="U217">
        <v>3.6616267433771339E-2</v>
      </c>
      <c r="V217" t="s">
        <v>166</v>
      </c>
    </row>
    <row r="218" spans="9:40" x14ac:dyDescent="0.45">
      <c r="I218" t="s">
        <v>178</v>
      </c>
      <c r="J218" t="s">
        <v>277</v>
      </c>
      <c r="K218">
        <v>0</v>
      </c>
      <c r="L218" t="s">
        <v>166</v>
      </c>
      <c r="N218" t="s">
        <v>201</v>
      </c>
      <c r="O218" t="s">
        <v>277</v>
      </c>
      <c r="P218">
        <v>5.193164165688836E-3</v>
      </c>
      <c r="Q218" t="s">
        <v>166</v>
      </c>
      <c r="S218" t="s">
        <v>223</v>
      </c>
      <c r="T218" t="s">
        <v>277</v>
      </c>
      <c r="U218">
        <v>5.2834367153300347E-3</v>
      </c>
      <c r="V218" t="s">
        <v>166</v>
      </c>
    </row>
    <row r="219" spans="9:40" x14ac:dyDescent="0.45">
      <c r="I219" t="s">
        <v>178</v>
      </c>
      <c r="J219" t="s">
        <v>278</v>
      </c>
      <c r="K219">
        <v>0</v>
      </c>
      <c r="L219" t="s">
        <v>166</v>
      </c>
      <c r="N219" t="s">
        <v>201</v>
      </c>
      <c r="O219" t="s">
        <v>278</v>
      </c>
      <c r="P219">
        <v>5.1865259989825564E-3</v>
      </c>
      <c r="Q219" t="s">
        <v>166</v>
      </c>
      <c r="S219" t="s">
        <v>223</v>
      </c>
      <c r="T219" t="s">
        <v>278</v>
      </c>
      <c r="U219">
        <v>5.377086307620447E-3</v>
      </c>
      <c r="V219" t="s">
        <v>166</v>
      </c>
    </row>
    <row r="220" spans="9:40" x14ac:dyDescent="0.45">
      <c r="I220" t="s">
        <v>178</v>
      </c>
      <c r="J220" t="s">
        <v>279</v>
      </c>
      <c r="K220">
        <v>0</v>
      </c>
      <c r="L220" t="s">
        <v>166</v>
      </c>
      <c r="N220" t="s">
        <v>201</v>
      </c>
      <c r="O220" t="s">
        <v>279</v>
      </c>
      <c r="P220">
        <v>3.0593232157200171E-2</v>
      </c>
      <c r="Q220" t="s">
        <v>166</v>
      </c>
      <c r="S220" t="s">
        <v>223</v>
      </c>
      <c r="T220" t="s">
        <v>279</v>
      </c>
      <c r="U220">
        <v>3.1682159771378456E-2</v>
      </c>
      <c r="V220" t="s">
        <v>166</v>
      </c>
    </row>
    <row r="221" spans="9:40" x14ac:dyDescent="0.45">
      <c r="I221" t="s">
        <v>179</v>
      </c>
      <c r="J221" t="s">
        <v>165</v>
      </c>
      <c r="K221">
        <v>3.0628243700371463E-4</v>
      </c>
      <c r="L221" t="s">
        <v>166</v>
      </c>
      <c r="N221" t="s">
        <v>202</v>
      </c>
      <c r="O221" t="s">
        <v>165</v>
      </c>
      <c r="P221">
        <v>5.928952237680743E-2</v>
      </c>
      <c r="Q221" t="s">
        <v>166</v>
      </c>
      <c r="S221" t="s">
        <v>224</v>
      </c>
      <c r="T221" t="s">
        <v>165</v>
      </c>
      <c r="U221">
        <v>5.5076252592225615E-2</v>
      </c>
      <c r="V221" t="s">
        <v>166</v>
      </c>
    </row>
    <row r="222" spans="9:40" x14ac:dyDescent="0.45">
      <c r="I222" t="s">
        <v>179</v>
      </c>
      <c r="J222" t="s">
        <v>167</v>
      </c>
      <c r="K222">
        <v>3.9232505111986863E-3</v>
      </c>
      <c r="L222" t="s">
        <v>166</v>
      </c>
      <c r="N222" t="s">
        <v>202</v>
      </c>
      <c r="O222" t="s">
        <v>167</v>
      </c>
      <c r="P222">
        <v>7.4701242132056214E-3</v>
      </c>
      <c r="Q222" t="s">
        <v>166</v>
      </c>
      <c r="S222" t="s">
        <v>224</v>
      </c>
      <c r="T222" t="s">
        <v>167</v>
      </c>
      <c r="U222">
        <v>7.060510627809484E-3</v>
      </c>
      <c r="V222" t="s">
        <v>166</v>
      </c>
    </row>
    <row r="223" spans="9:40" x14ac:dyDescent="0.45">
      <c r="I223" t="s">
        <v>179</v>
      </c>
      <c r="J223" t="s">
        <v>168</v>
      </c>
      <c r="K223">
        <v>6.8773540804632202E-2</v>
      </c>
      <c r="L223" t="s">
        <v>166</v>
      </c>
      <c r="N223" t="s">
        <v>202</v>
      </c>
      <c r="O223" t="s">
        <v>168</v>
      </c>
      <c r="P223">
        <v>5.0617146089879959E-2</v>
      </c>
      <c r="Q223" t="s">
        <v>166</v>
      </c>
      <c r="S223" t="s">
        <v>224</v>
      </c>
      <c r="T223" t="s">
        <v>168</v>
      </c>
      <c r="U223">
        <v>4.9061914297054941E-2</v>
      </c>
      <c r="V223" t="s">
        <v>166</v>
      </c>
    </row>
    <row r="224" spans="9:40" x14ac:dyDescent="0.45">
      <c r="I224" t="s">
        <v>179</v>
      </c>
      <c r="J224" t="s">
        <v>247</v>
      </c>
      <c r="K224">
        <v>4.5140776075841349E-3</v>
      </c>
      <c r="L224" t="s">
        <v>166</v>
      </c>
      <c r="N224" t="s">
        <v>202</v>
      </c>
      <c r="O224" t="s">
        <v>247</v>
      </c>
      <c r="P224">
        <v>7.1657400119548107E-3</v>
      </c>
      <c r="Q224" t="s">
        <v>166</v>
      </c>
      <c r="S224" t="s">
        <v>224</v>
      </c>
      <c r="T224" t="s">
        <v>247</v>
      </c>
      <c r="U224">
        <v>7.0948078348488045E-3</v>
      </c>
      <c r="V224" t="s">
        <v>166</v>
      </c>
    </row>
    <row r="225" spans="9:22" x14ac:dyDescent="0.45">
      <c r="I225" t="s">
        <v>179</v>
      </c>
      <c r="J225" t="s">
        <v>248</v>
      </c>
      <c r="K225">
        <v>1.3585131470621023E-3</v>
      </c>
      <c r="L225" t="s">
        <v>166</v>
      </c>
      <c r="N225" t="s">
        <v>202</v>
      </c>
      <c r="O225" t="s">
        <v>248</v>
      </c>
      <c r="P225">
        <v>7.2897200095513037E-3</v>
      </c>
      <c r="Q225" t="s">
        <v>166</v>
      </c>
      <c r="S225" t="s">
        <v>224</v>
      </c>
      <c r="T225" t="s">
        <v>248</v>
      </c>
      <c r="U225">
        <v>7.1558829832272129E-3</v>
      </c>
      <c r="V225" t="s">
        <v>166</v>
      </c>
    </row>
    <row r="226" spans="9:22" x14ac:dyDescent="0.45">
      <c r="I226" t="s">
        <v>179</v>
      </c>
      <c r="J226" t="s">
        <v>249</v>
      </c>
      <c r="K226">
        <v>0</v>
      </c>
      <c r="L226" t="s">
        <v>166</v>
      </c>
      <c r="N226" t="s">
        <v>202</v>
      </c>
      <c r="O226" t="s">
        <v>249</v>
      </c>
      <c r="P226">
        <v>4.4418874211895984E-2</v>
      </c>
      <c r="Q226" t="s">
        <v>166</v>
      </c>
      <c r="S226" t="s">
        <v>224</v>
      </c>
      <c r="T226" t="s">
        <v>249</v>
      </c>
      <c r="U226">
        <v>4.3221802188708081E-2</v>
      </c>
      <c r="V226" t="s">
        <v>166</v>
      </c>
    </row>
    <row r="227" spans="9:22" x14ac:dyDescent="0.45">
      <c r="I227" t="s">
        <v>179</v>
      </c>
      <c r="J227" t="s">
        <v>169</v>
      </c>
      <c r="K227">
        <v>4.8319221914240873E-3</v>
      </c>
      <c r="L227" t="s">
        <v>166</v>
      </c>
      <c r="N227" t="s">
        <v>202</v>
      </c>
      <c r="O227" t="s">
        <v>169</v>
      </c>
      <c r="P227">
        <v>3.5185829971458069E-2</v>
      </c>
      <c r="Q227" t="s">
        <v>166</v>
      </c>
      <c r="S227" t="s">
        <v>224</v>
      </c>
      <c r="T227" t="s">
        <v>169</v>
      </c>
      <c r="U227">
        <v>3.1125867787225082E-2</v>
      </c>
      <c r="V227" t="s">
        <v>166</v>
      </c>
    </row>
    <row r="228" spans="9:22" x14ac:dyDescent="0.45">
      <c r="I228" t="s">
        <v>179</v>
      </c>
      <c r="J228" t="s">
        <v>170</v>
      </c>
      <c r="K228">
        <v>7.2331619090776327E-3</v>
      </c>
      <c r="L228" t="s">
        <v>166</v>
      </c>
      <c r="N228" t="s">
        <v>202</v>
      </c>
      <c r="O228" t="s">
        <v>170</v>
      </c>
      <c r="P228">
        <v>4.2284326422995927E-3</v>
      </c>
      <c r="Q228" t="s">
        <v>166</v>
      </c>
      <c r="S228" t="s">
        <v>224</v>
      </c>
      <c r="T228" t="s">
        <v>170</v>
      </c>
      <c r="U228">
        <v>3.5288612933382655E-3</v>
      </c>
      <c r="V228" t="s">
        <v>166</v>
      </c>
    </row>
    <row r="229" spans="9:22" x14ac:dyDescent="0.45">
      <c r="I229" t="s">
        <v>179</v>
      </c>
      <c r="J229" t="s">
        <v>171</v>
      </c>
      <c r="K229">
        <v>6.7736933981235356E-2</v>
      </c>
      <c r="L229" t="s">
        <v>166</v>
      </c>
      <c r="N229" t="s">
        <v>202</v>
      </c>
      <c r="O229" t="s">
        <v>171</v>
      </c>
      <c r="P229">
        <v>2.990096629896806E-2</v>
      </c>
      <c r="Q229" t="s">
        <v>166</v>
      </c>
      <c r="S229" t="s">
        <v>224</v>
      </c>
      <c r="T229" t="s">
        <v>171</v>
      </c>
      <c r="U229">
        <v>2.0733208397254736E-2</v>
      </c>
      <c r="V229" t="s">
        <v>166</v>
      </c>
    </row>
    <row r="230" spans="9:22" x14ac:dyDescent="0.45">
      <c r="I230" t="s">
        <v>179</v>
      </c>
      <c r="J230" t="s">
        <v>250</v>
      </c>
      <c r="K230">
        <v>6.2511038847400226E-3</v>
      </c>
      <c r="L230" t="s">
        <v>166</v>
      </c>
      <c r="N230" t="s">
        <v>202</v>
      </c>
      <c r="O230" t="s">
        <v>250</v>
      </c>
      <c r="P230">
        <v>4.4532982536617909E-3</v>
      </c>
      <c r="Q230" t="s">
        <v>166</v>
      </c>
      <c r="S230" t="s">
        <v>224</v>
      </c>
      <c r="T230" t="s">
        <v>250</v>
      </c>
      <c r="U230">
        <v>3.2602394461444936E-3</v>
      </c>
      <c r="V230" t="s">
        <v>166</v>
      </c>
    </row>
    <row r="231" spans="9:22" x14ac:dyDescent="0.45">
      <c r="I231" t="s">
        <v>179</v>
      </c>
      <c r="J231" t="s">
        <v>251</v>
      </c>
      <c r="K231">
        <v>3.7071681603416079E-3</v>
      </c>
      <c r="L231" t="s">
        <v>166</v>
      </c>
      <c r="N231" t="s">
        <v>202</v>
      </c>
      <c r="O231" t="s">
        <v>251</v>
      </c>
      <c r="P231">
        <v>4.5553912566917249E-3</v>
      </c>
      <c r="Q231" t="s">
        <v>166</v>
      </c>
      <c r="S231" t="s">
        <v>224</v>
      </c>
      <c r="T231" t="s">
        <v>251</v>
      </c>
      <c r="U231">
        <v>3.6681626314783622E-3</v>
      </c>
      <c r="V231" t="s">
        <v>166</v>
      </c>
    </row>
    <row r="232" spans="9:22" x14ac:dyDescent="0.45">
      <c r="I232" t="s">
        <v>179</v>
      </c>
      <c r="J232" t="s">
        <v>252</v>
      </c>
      <c r="K232">
        <v>5.9537611425711083E-4</v>
      </c>
      <c r="L232" t="s">
        <v>166</v>
      </c>
      <c r="N232" t="s">
        <v>202</v>
      </c>
      <c r="O232" t="s">
        <v>252</v>
      </c>
      <c r="P232">
        <v>2.8502797983658981E-2</v>
      </c>
      <c r="Q232" t="s">
        <v>166</v>
      </c>
      <c r="S232" t="s">
        <v>224</v>
      </c>
      <c r="T232" t="s">
        <v>252</v>
      </c>
      <c r="U232">
        <v>2.7161330839978525E-2</v>
      </c>
      <c r="V232" t="s">
        <v>166</v>
      </c>
    </row>
    <row r="233" spans="9:22" x14ac:dyDescent="0.45">
      <c r="I233" t="s">
        <v>179</v>
      </c>
      <c r="J233" t="s">
        <v>172</v>
      </c>
      <c r="K233">
        <v>1.0408535391054439E-2</v>
      </c>
      <c r="L233" t="s">
        <v>166</v>
      </c>
      <c r="N233" t="s">
        <v>202</v>
      </c>
      <c r="O233" t="s">
        <v>172</v>
      </c>
      <c r="P233">
        <v>2.5438839323573111E-2</v>
      </c>
      <c r="Q233" t="s">
        <v>166</v>
      </c>
      <c r="S233" t="s">
        <v>224</v>
      </c>
      <c r="T233" t="s">
        <v>172</v>
      </c>
      <c r="U233">
        <v>2.5728622047754945E-2</v>
      </c>
      <c r="V233" t="s">
        <v>166</v>
      </c>
    </row>
    <row r="234" spans="9:22" x14ac:dyDescent="0.45">
      <c r="I234" t="s">
        <v>179</v>
      </c>
      <c r="J234" t="s">
        <v>173</v>
      </c>
      <c r="K234">
        <v>8.4590917377718317E-3</v>
      </c>
      <c r="L234" t="s">
        <v>166</v>
      </c>
      <c r="N234" t="s">
        <v>202</v>
      </c>
      <c r="O234" t="s">
        <v>173</v>
      </c>
      <c r="P234">
        <v>2.9271010552672535E-3</v>
      </c>
      <c r="Q234" t="s">
        <v>166</v>
      </c>
      <c r="S234" t="s">
        <v>224</v>
      </c>
      <c r="T234" t="s">
        <v>173</v>
      </c>
      <c r="U234">
        <v>2.5147722148834493E-3</v>
      </c>
      <c r="V234" t="s">
        <v>166</v>
      </c>
    </row>
    <row r="235" spans="9:22" x14ac:dyDescent="0.45">
      <c r="I235" t="s">
        <v>179</v>
      </c>
      <c r="J235" t="s">
        <v>174</v>
      </c>
      <c r="K235">
        <v>6.8299479228338969E-2</v>
      </c>
      <c r="L235" t="s">
        <v>166</v>
      </c>
      <c r="N235" t="s">
        <v>202</v>
      </c>
      <c r="O235" t="s">
        <v>174</v>
      </c>
      <c r="P235">
        <v>2.2381307523114222E-2</v>
      </c>
      <c r="Q235" t="s">
        <v>166</v>
      </c>
      <c r="S235" t="s">
        <v>224</v>
      </c>
      <c r="T235" t="s">
        <v>174</v>
      </c>
      <c r="U235">
        <v>1.9272136851390041E-2</v>
      </c>
      <c r="V235" t="s">
        <v>166</v>
      </c>
    </row>
    <row r="236" spans="9:22" x14ac:dyDescent="0.45">
      <c r="I236" t="s">
        <v>179</v>
      </c>
      <c r="J236" t="s">
        <v>253</v>
      </c>
      <c r="K236">
        <v>6.4653563913361321E-3</v>
      </c>
      <c r="L236" t="s">
        <v>166</v>
      </c>
      <c r="N236" t="s">
        <v>202</v>
      </c>
      <c r="O236" t="s">
        <v>253</v>
      </c>
      <c r="P236">
        <v>3.1801838942801075E-3</v>
      </c>
      <c r="Q236" t="s">
        <v>166</v>
      </c>
      <c r="S236" t="s">
        <v>224</v>
      </c>
      <c r="T236" t="s">
        <v>253</v>
      </c>
      <c r="U236">
        <v>2.9623270165316244E-3</v>
      </c>
      <c r="V236" t="s">
        <v>166</v>
      </c>
    </row>
    <row r="237" spans="9:22" x14ac:dyDescent="0.45">
      <c r="I237" t="s">
        <v>179</v>
      </c>
      <c r="J237" t="s">
        <v>254</v>
      </c>
      <c r="K237">
        <v>4.6426004177164883E-3</v>
      </c>
      <c r="L237" t="s">
        <v>166</v>
      </c>
      <c r="N237" t="s">
        <v>202</v>
      </c>
      <c r="O237" t="s">
        <v>254</v>
      </c>
      <c r="P237">
        <v>3.0167042994202788E-3</v>
      </c>
      <c r="Q237" t="s">
        <v>166</v>
      </c>
      <c r="S237" t="s">
        <v>224</v>
      </c>
      <c r="T237" t="s">
        <v>254</v>
      </c>
      <c r="U237">
        <v>2.7497556867059595E-3</v>
      </c>
      <c r="V237" t="s">
        <v>166</v>
      </c>
    </row>
    <row r="238" spans="9:22" x14ac:dyDescent="0.45">
      <c r="I238" t="s">
        <v>179</v>
      </c>
      <c r="J238" t="s">
        <v>255</v>
      </c>
      <c r="K238">
        <v>2.7111887432548741E-3</v>
      </c>
      <c r="L238" t="s">
        <v>166</v>
      </c>
      <c r="N238" t="s">
        <v>202</v>
      </c>
      <c r="O238" t="s">
        <v>255</v>
      </c>
      <c r="P238">
        <v>1.9447052307887753E-2</v>
      </c>
      <c r="Q238" t="s">
        <v>166</v>
      </c>
      <c r="S238" t="s">
        <v>224</v>
      </c>
      <c r="T238" t="s">
        <v>255</v>
      </c>
      <c r="U238">
        <v>1.6438938232489337E-2</v>
      </c>
      <c r="V238" t="s">
        <v>166</v>
      </c>
    </row>
    <row r="239" spans="9:22" x14ac:dyDescent="0.45">
      <c r="I239" t="s">
        <v>179</v>
      </c>
      <c r="J239" t="s">
        <v>256</v>
      </c>
      <c r="K239">
        <v>1.1987296781463441E-2</v>
      </c>
      <c r="L239" t="s">
        <v>166</v>
      </c>
      <c r="N239" t="s">
        <v>202</v>
      </c>
      <c r="O239" t="s">
        <v>256</v>
      </c>
      <c r="P239">
        <v>2.0552507697897453E-2</v>
      </c>
      <c r="Q239" t="s">
        <v>166</v>
      </c>
      <c r="S239" t="s">
        <v>224</v>
      </c>
      <c r="T239" t="s">
        <v>256</v>
      </c>
      <c r="U239">
        <v>2.1669851664853752E-2</v>
      </c>
      <c r="V239" t="s">
        <v>166</v>
      </c>
    </row>
    <row r="240" spans="9:22" x14ac:dyDescent="0.45">
      <c r="I240" t="s">
        <v>179</v>
      </c>
      <c r="J240" t="s">
        <v>257</v>
      </c>
      <c r="K240">
        <v>7.9721471497258469E-3</v>
      </c>
      <c r="L240" t="s">
        <v>166</v>
      </c>
      <c r="N240" t="s">
        <v>202</v>
      </c>
      <c r="O240" t="s">
        <v>257</v>
      </c>
      <c r="P240">
        <v>2.3378696275113764E-3</v>
      </c>
      <c r="Q240" t="s">
        <v>166</v>
      </c>
      <c r="S240" t="s">
        <v>224</v>
      </c>
      <c r="T240" t="s">
        <v>257</v>
      </c>
      <c r="U240">
        <v>1.7687115821480566E-3</v>
      </c>
      <c r="V240" t="s">
        <v>166</v>
      </c>
    </row>
    <row r="241" spans="9:22" x14ac:dyDescent="0.45">
      <c r="I241" t="s">
        <v>179</v>
      </c>
      <c r="J241" t="s">
        <v>258</v>
      </c>
      <c r="K241">
        <v>6.7929042992341482E-2</v>
      </c>
      <c r="L241" t="s">
        <v>166</v>
      </c>
      <c r="N241" t="s">
        <v>202</v>
      </c>
      <c r="O241" t="s">
        <v>258</v>
      </c>
      <c r="P241">
        <v>1.635971374788539E-2</v>
      </c>
      <c r="Q241" t="s">
        <v>166</v>
      </c>
      <c r="S241" t="s">
        <v>224</v>
      </c>
      <c r="T241" t="s">
        <v>258</v>
      </c>
      <c r="U241">
        <v>1.5522149189186336E-2</v>
      </c>
      <c r="V241" t="s">
        <v>166</v>
      </c>
    </row>
    <row r="242" spans="9:22" x14ac:dyDescent="0.45">
      <c r="I242" t="s">
        <v>179</v>
      </c>
      <c r="J242" t="s">
        <v>259</v>
      </c>
      <c r="K242">
        <v>6.7585692594454164E-3</v>
      </c>
      <c r="L242" t="s">
        <v>166</v>
      </c>
      <c r="N242" t="s">
        <v>202</v>
      </c>
      <c r="O242" t="s">
        <v>259</v>
      </c>
      <c r="P242">
        <v>2.2900698485817917E-3</v>
      </c>
      <c r="Q242" t="s">
        <v>166</v>
      </c>
      <c r="S242" t="s">
        <v>224</v>
      </c>
      <c r="T242" t="s">
        <v>259</v>
      </c>
      <c r="U242">
        <v>2.5790685311744589E-3</v>
      </c>
      <c r="V242" t="s">
        <v>166</v>
      </c>
    </row>
    <row r="243" spans="9:22" x14ac:dyDescent="0.45">
      <c r="I243" t="s">
        <v>179</v>
      </c>
      <c r="J243" t="s">
        <v>260</v>
      </c>
      <c r="K243">
        <v>5.1998151419606585E-3</v>
      </c>
      <c r="L243" t="s">
        <v>166</v>
      </c>
      <c r="N243" t="s">
        <v>202</v>
      </c>
      <c r="O243" t="s">
        <v>260</v>
      </c>
      <c r="P243">
        <v>2.2282686551075345E-3</v>
      </c>
      <c r="Q243" t="s">
        <v>166</v>
      </c>
      <c r="S243" t="s">
        <v>224</v>
      </c>
      <c r="T243" t="s">
        <v>260</v>
      </c>
      <c r="U243">
        <v>2.6557818595987527E-3</v>
      </c>
      <c r="V243" t="s">
        <v>166</v>
      </c>
    </row>
    <row r="244" spans="9:22" x14ac:dyDescent="0.45">
      <c r="I244" t="s">
        <v>179</v>
      </c>
      <c r="J244" t="s">
        <v>261</v>
      </c>
      <c r="K244">
        <v>4.9137643446822022E-3</v>
      </c>
      <c r="L244" t="s">
        <v>166</v>
      </c>
      <c r="N244" t="s">
        <v>202</v>
      </c>
      <c r="O244" t="s">
        <v>261</v>
      </c>
      <c r="P244">
        <v>1.4934453652103245E-2</v>
      </c>
      <c r="Q244" t="s">
        <v>166</v>
      </c>
      <c r="S244" t="s">
        <v>224</v>
      </c>
      <c r="T244" t="s">
        <v>261</v>
      </c>
      <c r="U244">
        <v>1.9545292992207024E-2</v>
      </c>
      <c r="V244" t="s">
        <v>166</v>
      </c>
    </row>
    <row r="245" spans="9:22" x14ac:dyDescent="0.45">
      <c r="I245" t="s">
        <v>179</v>
      </c>
      <c r="J245" t="s">
        <v>262</v>
      </c>
      <c r="K245">
        <v>6.1134173933065666E-2</v>
      </c>
      <c r="L245" t="s">
        <v>166</v>
      </c>
      <c r="N245" t="s">
        <v>202</v>
      </c>
      <c r="O245" t="s">
        <v>262</v>
      </c>
      <c r="P245">
        <v>0.12074664157920466</v>
      </c>
      <c r="Q245" t="s">
        <v>166</v>
      </c>
      <c r="S245" t="s">
        <v>224</v>
      </c>
      <c r="T245" t="s">
        <v>262</v>
      </c>
      <c r="U245">
        <v>0.1162364386700299</v>
      </c>
      <c r="V245" t="s">
        <v>166</v>
      </c>
    </row>
    <row r="246" spans="9:22" x14ac:dyDescent="0.45">
      <c r="I246" t="s">
        <v>179</v>
      </c>
      <c r="J246" t="s">
        <v>263</v>
      </c>
      <c r="K246">
        <v>4.2221599126926974E-2</v>
      </c>
      <c r="L246" t="s">
        <v>166</v>
      </c>
      <c r="N246" t="s">
        <v>202</v>
      </c>
      <c r="O246" t="s">
        <v>263</v>
      </c>
      <c r="P246">
        <v>1.4739555784401583E-2</v>
      </c>
      <c r="Q246" t="s">
        <v>166</v>
      </c>
      <c r="S246" t="s">
        <v>224</v>
      </c>
      <c r="T246" t="s">
        <v>263</v>
      </c>
      <c r="U246">
        <v>1.3750536134961015E-2</v>
      </c>
      <c r="V246" t="s">
        <v>166</v>
      </c>
    </row>
    <row r="247" spans="9:22" x14ac:dyDescent="0.45">
      <c r="I247" t="s">
        <v>179</v>
      </c>
      <c r="J247" t="s">
        <v>264</v>
      </c>
      <c r="K247">
        <v>0.36073839989233247</v>
      </c>
      <c r="L247" t="s">
        <v>166</v>
      </c>
      <c r="N247" t="s">
        <v>202</v>
      </c>
      <c r="O247" t="s">
        <v>264</v>
      </c>
      <c r="P247">
        <v>0.10328246204831386</v>
      </c>
      <c r="Q247" t="s">
        <v>166</v>
      </c>
      <c r="S247" t="s">
        <v>224</v>
      </c>
      <c r="T247" t="s">
        <v>264</v>
      </c>
      <c r="U247">
        <v>9.753053218022209E-2</v>
      </c>
      <c r="V247" t="s">
        <v>166</v>
      </c>
    </row>
    <row r="248" spans="9:22" x14ac:dyDescent="0.45">
      <c r="I248" t="s">
        <v>179</v>
      </c>
      <c r="J248" t="s">
        <v>265</v>
      </c>
      <c r="K248">
        <v>3.9308718823489228E-2</v>
      </c>
      <c r="L248" t="s">
        <v>166</v>
      </c>
      <c r="N248" t="s">
        <v>202</v>
      </c>
      <c r="O248" t="s">
        <v>265</v>
      </c>
      <c r="P248">
        <v>1.5206898000844904E-2</v>
      </c>
      <c r="Q248" t="s">
        <v>166</v>
      </c>
      <c r="S248" t="s">
        <v>224</v>
      </c>
      <c r="T248" t="s">
        <v>265</v>
      </c>
      <c r="U248">
        <v>1.4385913884633887E-2</v>
      </c>
      <c r="V248" t="s">
        <v>166</v>
      </c>
    </row>
    <row r="249" spans="9:22" x14ac:dyDescent="0.45">
      <c r="I249" t="s">
        <v>179</v>
      </c>
      <c r="J249" t="s">
        <v>266</v>
      </c>
      <c r="K249">
        <v>2.8462287684628232E-2</v>
      </c>
      <c r="L249" t="s">
        <v>166</v>
      </c>
      <c r="N249" t="s">
        <v>202</v>
      </c>
      <c r="O249" t="s">
        <v>266</v>
      </c>
      <c r="P249">
        <v>1.5142751200532283E-2</v>
      </c>
      <c r="Q249" t="s">
        <v>166</v>
      </c>
      <c r="S249" t="s">
        <v>224</v>
      </c>
      <c r="T249" t="s">
        <v>266</v>
      </c>
      <c r="U249">
        <v>1.4016244683346814E-2</v>
      </c>
      <c r="V249" t="s">
        <v>166</v>
      </c>
    </row>
    <row r="250" spans="9:22" x14ac:dyDescent="0.45">
      <c r="I250" t="s">
        <v>179</v>
      </c>
      <c r="J250" t="s">
        <v>267</v>
      </c>
      <c r="K250">
        <v>2.448026122230125E-2</v>
      </c>
      <c r="L250" t="s">
        <v>166</v>
      </c>
      <c r="N250" t="s">
        <v>202</v>
      </c>
      <c r="O250" t="s">
        <v>267</v>
      </c>
      <c r="P250">
        <v>9.4784826971633859E-2</v>
      </c>
      <c r="Q250" t="s">
        <v>166</v>
      </c>
      <c r="S250" t="s">
        <v>224</v>
      </c>
      <c r="T250" t="s">
        <v>267</v>
      </c>
      <c r="U250">
        <v>9.3061781750154018E-2</v>
      </c>
      <c r="V250" t="s">
        <v>166</v>
      </c>
    </row>
    <row r="251" spans="9:22" x14ac:dyDescent="0.45">
      <c r="I251" t="s">
        <v>179</v>
      </c>
      <c r="J251" t="s">
        <v>268</v>
      </c>
      <c r="K251">
        <v>9.729208792467377E-5</v>
      </c>
      <c r="L251" t="s">
        <v>166</v>
      </c>
      <c r="N251" t="s">
        <v>202</v>
      </c>
      <c r="O251" t="s">
        <v>268</v>
      </c>
      <c r="P251">
        <v>3.106875666521813E-2</v>
      </c>
      <c r="Q251" t="s">
        <v>166</v>
      </c>
      <c r="S251" t="s">
        <v>224</v>
      </c>
      <c r="T251" t="s">
        <v>268</v>
      </c>
      <c r="U251">
        <v>3.1353725757820611E-2</v>
      </c>
      <c r="V251" t="s">
        <v>166</v>
      </c>
    </row>
    <row r="252" spans="9:22" x14ac:dyDescent="0.45">
      <c r="I252" t="s">
        <v>179</v>
      </c>
      <c r="J252" t="s">
        <v>269</v>
      </c>
      <c r="K252">
        <v>1.757964646606075E-3</v>
      </c>
      <c r="L252" t="s">
        <v>166</v>
      </c>
      <c r="N252" t="s">
        <v>202</v>
      </c>
      <c r="O252" t="s">
        <v>269</v>
      </c>
      <c r="P252">
        <v>3.8606495347885601E-3</v>
      </c>
      <c r="Q252" t="s">
        <v>166</v>
      </c>
      <c r="S252" t="s">
        <v>224</v>
      </c>
      <c r="T252" t="s">
        <v>269</v>
      </c>
      <c r="U252">
        <v>4.5557064832610081E-3</v>
      </c>
      <c r="V252" t="s">
        <v>166</v>
      </c>
    </row>
    <row r="253" spans="9:22" x14ac:dyDescent="0.45">
      <c r="I253" t="s">
        <v>179</v>
      </c>
      <c r="J253" t="s">
        <v>270</v>
      </c>
      <c r="K253">
        <v>2.6109362636827827E-2</v>
      </c>
      <c r="L253" t="s">
        <v>166</v>
      </c>
      <c r="N253" t="s">
        <v>202</v>
      </c>
      <c r="O253" t="s">
        <v>270</v>
      </c>
      <c r="P253">
        <v>2.572104036227384E-2</v>
      </c>
      <c r="Q253" t="s">
        <v>166</v>
      </c>
      <c r="S253" t="s">
        <v>224</v>
      </c>
      <c r="T253" t="s">
        <v>270</v>
      </c>
      <c r="U253">
        <v>3.1456689770362381E-2</v>
      </c>
      <c r="V253" t="s">
        <v>166</v>
      </c>
    </row>
    <row r="254" spans="9:22" x14ac:dyDescent="0.45">
      <c r="I254" t="s">
        <v>179</v>
      </c>
      <c r="J254" t="s">
        <v>271</v>
      </c>
      <c r="K254">
        <v>1.0911984300012811E-3</v>
      </c>
      <c r="L254" t="s">
        <v>166</v>
      </c>
      <c r="N254" t="s">
        <v>202</v>
      </c>
      <c r="O254" t="s">
        <v>271</v>
      </c>
      <c r="P254">
        <v>3.6059162451984495E-3</v>
      </c>
      <c r="Q254" t="s">
        <v>166</v>
      </c>
      <c r="S254" t="s">
        <v>224</v>
      </c>
      <c r="T254" t="s">
        <v>271</v>
      </c>
      <c r="U254">
        <v>4.6920285448005302E-3</v>
      </c>
      <c r="V254" t="s">
        <v>166</v>
      </c>
    </row>
    <row r="255" spans="9:22" x14ac:dyDescent="0.45">
      <c r="I255" t="s">
        <v>179</v>
      </c>
      <c r="J255" t="s">
        <v>272</v>
      </c>
      <c r="K255">
        <v>0</v>
      </c>
      <c r="L255" t="s">
        <v>166</v>
      </c>
      <c r="N255" t="s">
        <v>202</v>
      </c>
      <c r="O255" t="s">
        <v>272</v>
      </c>
      <c r="P255">
        <v>3.5983220137501466E-3</v>
      </c>
      <c r="Q255" t="s">
        <v>166</v>
      </c>
      <c r="S255" t="s">
        <v>224</v>
      </c>
      <c r="T255" t="s">
        <v>272</v>
      </c>
      <c r="U255">
        <v>4.6484930610298913E-3</v>
      </c>
      <c r="V255" t="s">
        <v>166</v>
      </c>
    </row>
    <row r="256" spans="9:22" x14ac:dyDescent="0.45">
      <c r="I256" t="s">
        <v>179</v>
      </c>
      <c r="J256" t="s">
        <v>273</v>
      </c>
      <c r="K256">
        <v>0</v>
      </c>
      <c r="L256" t="s">
        <v>166</v>
      </c>
      <c r="N256" t="s">
        <v>202</v>
      </c>
      <c r="O256" t="s">
        <v>273</v>
      </c>
      <c r="P256">
        <v>2.2215093151827806E-2</v>
      </c>
      <c r="Q256" t="s">
        <v>166</v>
      </c>
      <c r="S256" t="s">
        <v>224</v>
      </c>
      <c r="T256" t="s">
        <v>273</v>
      </c>
      <c r="U256">
        <v>2.5781605760866196E-2</v>
      </c>
      <c r="V256" t="s">
        <v>166</v>
      </c>
    </row>
    <row r="257" spans="9:22" x14ac:dyDescent="0.45">
      <c r="I257" t="s">
        <v>179</v>
      </c>
      <c r="J257" t="s">
        <v>274</v>
      </c>
      <c r="K257">
        <v>0</v>
      </c>
      <c r="L257" t="s">
        <v>166</v>
      </c>
      <c r="N257" t="s">
        <v>202</v>
      </c>
      <c r="O257" t="s">
        <v>274</v>
      </c>
      <c r="P257">
        <v>4.2273997553442882E-2</v>
      </c>
      <c r="Q257" t="s">
        <v>166</v>
      </c>
      <c r="S257" t="s">
        <v>224</v>
      </c>
      <c r="T257" t="s">
        <v>274</v>
      </c>
      <c r="U257">
        <v>5.221337102491129E-2</v>
      </c>
      <c r="V257" t="s">
        <v>166</v>
      </c>
    </row>
    <row r="258" spans="9:22" x14ac:dyDescent="0.45">
      <c r="I258" t="s">
        <v>179</v>
      </c>
      <c r="J258" t="s">
        <v>275</v>
      </c>
      <c r="K258">
        <v>2.0940108431140585E-3</v>
      </c>
      <c r="L258" t="s">
        <v>166</v>
      </c>
      <c r="N258" t="s">
        <v>202</v>
      </c>
      <c r="O258" t="s">
        <v>275</v>
      </c>
      <c r="P258">
        <v>5.5563550689756063E-3</v>
      </c>
      <c r="Q258" t="s">
        <v>166</v>
      </c>
      <c r="S258" t="s">
        <v>224</v>
      </c>
      <c r="T258" t="s">
        <v>275</v>
      </c>
      <c r="U258">
        <v>6.8182808325181182E-3</v>
      </c>
      <c r="V258" t="s">
        <v>166</v>
      </c>
    </row>
    <row r="259" spans="9:22" x14ac:dyDescent="0.45">
      <c r="I259" t="s">
        <v>179</v>
      </c>
      <c r="J259" t="s">
        <v>276</v>
      </c>
      <c r="K259">
        <v>3.7434385108845974E-2</v>
      </c>
      <c r="L259" t="s">
        <v>166</v>
      </c>
      <c r="N259" t="s">
        <v>202</v>
      </c>
      <c r="O259" t="s">
        <v>276</v>
      </c>
      <c r="P259">
        <v>3.7319588802661813E-2</v>
      </c>
      <c r="Q259" t="s">
        <v>166</v>
      </c>
      <c r="S259" t="s">
        <v>224</v>
      </c>
      <c r="T259" t="s">
        <v>276</v>
      </c>
      <c r="U259">
        <v>4.5344908274165693E-2</v>
      </c>
      <c r="V259" t="s">
        <v>166</v>
      </c>
    </row>
    <row r="260" spans="9:22" x14ac:dyDescent="0.45">
      <c r="I260" t="s">
        <v>179</v>
      </c>
      <c r="J260" t="s">
        <v>277</v>
      </c>
      <c r="K260">
        <v>9.2127236290284303E-5</v>
      </c>
      <c r="L260" t="s">
        <v>166</v>
      </c>
      <c r="N260" t="s">
        <v>202</v>
      </c>
      <c r="O260" t="s">
        <v>277</v>
      </c>
      <c r="P260">
        <v>5.360310456832054E-3</v>
      </c>
      <c r="Q260" t="s">
        <v>166</v>
      </c>
      <c r="S260" t="s">
        <v>224</v>
      </c>
      <c r="T260" t="s">
        <v>277</v>
      </c>
      <c r="U260">
        <v>6.4877678468857163E-3</v>
      </c>
      <c r="V260" t="s">
        <v>166</v>
      </c>
    </row>
    <row r="261" spans="9:22" x14ac:dyDescent="0.45">
      <c r="I261" t="s">
        <v>179</v>
      </c>
      <c r="J261" t="s">
        <v>278</v>
      </c>
      <c r="K261">
        <v>0</v>
      </c>
      <c r="L261" t="s">
        <v>166</v>
      </c>
      <c r="N261" t="s">
        <v>202</v>
      </c>
      <c r="O261" t="s">
        <v>278</v>
      </c>
      <c r="P261">
        <v>5.4262743510635029E-3</v>
      </c>
      <c r="Q261" t="s">
        <v>166</v>
      </c>
      <c r="S261" t="s">
        <v>224</v>
      </c>
      <c r="T261" t="s">
        <v>278</v>
      </c>
      <c r="U261">
        <v>6.6318772646118442E-3</v>
      </c>
      <c r="V261" t="s">
        <v>166</v>
      </c>
    </row>
    <row r="262" spans="9:22" x14ac:dyDescent="0.45">
      <c r="I262" t="s">
        <v>179</v>
      </c>
      <c r="J262" t="s">
        <v>279</v>
      </c>
      <c r="K262">
        <v>0</v>
      </c>
      <c r="L262" t="s">
        <v>166</v>
      </c>
      <c r="N262" t="s">
        <v>202</v>
      </c>
      <c r="O262" t="s">
        <v>279</v>
      </c>
      <c r="P262">
        <v>3.1918645256375992E-2</v>
      </c>
      <c r="Q262" t="s">
        <v>166</v>
      </c>
      <c r="S262" t="s">
        <v>224</v>
      </c>
      <c r="T262" t="s">
        <v>279</v>
      </c>
      <c r="U262">
        <v>3.9477849287199371E-2</v>
      </c>
      <c r="V262" t="s">
        <v>166</v>
      </c>
    </row>
    <row r="263" spans="9:22" x14ac:dyDescent="0.45">
      <c r="I263" t="s">
        <v>180</v>
      </c>
      <c r="J263" t="s">
        <v>165</v>
      </c>
      <c r="K263">
        <v>0</v>
      </c>
      <c r="L263" t="s">
        <v>166</v>
      </c>
      <c r="N263" t="s">
        <v>203</v>
      </c>
      <c r="O263" t="s">
        <v>165</v>
      </c>
      <c r="P263">
        <v>6.3371693587035927E-2</v>
      </c>
      <c r="Q263" t="s">
        <v>166</v>
      </c>
      <c r="S263" t="s">
        <v>225</v>
      </c>
      <c r="T263" t="s">
        <v>165</v>
      </c>
      <c r="U263">
        <v>6.1259602043241337E-2</v>
      </c>
      <c r="V263" t="s">
        <v>166</v>
      </c>
    </row>
    <row r="264" spans="9:22" x14ac:dyDescent="0.45">
      <c r="I264" t="s">
        <v>180</v>
      </c>
      <c r="J264" t="s">
        <v>167</v>
      </c>
      <c r="K264">
        <v>2.3620974371783577E-4</v>
      </c>
      <c r="L264" t="s">
        <v>166</v>
      </c>
      <c r="N264" t="s">
        <v>203</v>
      </c>
      <c r="O264" t="s">
        <v>167</v>
      </c>
      <c r="P264">
        <v>8.0313618520627978E-3</v>
      </c>
      <c r="Q264" t="s">
        <v>166</v>
      </c>
      <c r="S264" t="s">
        <v>225</v>
      </c>
      <c r="T264" t="s">
        <v>167</v>
      </c>
      <c r="U264">
        <v>7.1816581871975314E-3</v>
      </c>
      <c r="V264" t="s">
        <v>166</v>
      </c>
    </row>
    <row r="265" spans="9:22" x14ac:dyDescent="0.45">
      <c r="I265" t="s">
        <v>180</v>
      </c>
      <c r="J265" t="s">
        <v>168</v>
      </c>
      <c r="K265">
        <v>4.7760192519934193E-2</v>
      </c>
      <c r="L265" t="s">
        <v>166</v>
      </c>
      <c r="N265" t="s">
        <v>203</v>
      </c>
      <c r="O265" t="s">
        <v>168</v>
      </c>
      <c r="P265">
        <v>5.0986118190780229E-2</v>
      </c>
      <c r="Q265" t="s">
        <v>166</v>
      </c>
      <c r="S265" t="s">
        <v>225</v>
      </c>
      <c r="T265" t="s">
        <v>168</v>
      </c>
      <c r="U265">
        <v>5.115958158446883E-2</v>
      </c>
      <c r="V265" t="s">
        <v>166</v>
      </c>
    </row>
    <row r="266" spans="9:22" x14ac:dyDescent="0.45">
      <c r="I266" t="s">
        <v>180</v>
      </c>
      <c r="J266" t="s">
        <v>247</v>
      </c>
      <c r="K266">
        <v>4.7106175971652802E-3</v>
      </c>
      <c r="L266" t="s">
        <v>166</v>
      </c>
      <c r="N266" t="s">
        <v>203</v>
      </c>
      <c r="O266" t="s">
        <v>247</v>
      </c>
      <c r="P266">
        <v>7.1437740273294055E-3</v>
      </c>
      <c r="Q266" t="s">
        <v>166</v>
      </c>
      <c r="S266" t="s">
        <v>225</v>
      </c>
      <c r="T266" t="s">
        <v>247</v>
      </c>
      <c r="U266">
        <v>7.6278271614693806E-3</v>
      </c>
      <c r="V266" t="s">
        <v>166</v>
      </c>
    </row>
    <row r="267" spans="9:22" x14ac:dyDescent="0.45">
      <c r="I267" t="s">
        <v>180</v>
      </c>
      <c r="J267" t="s">
        <v>248</v>
      </c>
      <c r="K267">
        <v>2.4129293056466537E-3</v>
      </c>
      <c r="L267" t="s">
        <v>166</v>
      </c>
      <c r="N267" t="s">
        <v>203</v>
      </c>
      <c r="O267" t="s">
        <v>248</v>
      </c>
      <c r="P267">
        <v>7.3725802277282461E-3</v>
      </c>
      <c r="Q267" t="s">
        <v>166</v>
      </c>
      <c r="S267" t="s">
        <v>225</v>
      </c>
      <c r="T267" t="s">
        <v>248</v>
      </c>
      <c r="U267">
        <v>7.7126575562963531E-3</v>
      </c>
      <c r="V267" t="s">
        <v>166</v>
      </c>
    </row>
    <row r="268" spans="9:22" x14ac:dyDescent="0.45">
      <c r="I268" t="s">
        <v>180</v>
      </c>
      <c r="J268" t="s">
        <v>249</v>
      </c>
      <c r="K268">
        <v>2.2368989736748236E-4</v>
      </c>
      <c r="L268" t="s">
        <v>166</v>
      </c>
      <c r="N268" t="s">
        <v>203</v>
      </c>
      <c r="O268" t="s">
        <v>249</v>
      </c>
      <c r="P268">
        <v>4.64892142110453E-2</v>
      </c>
      <c r="Q268" t="s">
        <v>166</v>
      </c>
      <c r="S268" t="s">
        <v>225</v>
      </c>
      <c r="T268" t="s">
        <v>249</v>
      </c>
      <c r="U268">
        <v>4.5812479735534546E-2</v>
      </c>
      <c r="V268" t="s">
        <v>166</v>
      </c>
    </row>
    <row r="269" spans="9:22" x14ac:dyDescent="0.45">
      <c r="I269" t="s">
        <v>180</v>
      </c>
      <c r="J269" t="s">
        <v>169</v>
      </c>
      <c r="K269">
        <v>1.4303667473622135E-3</v>
      </c>
      <c r="L269" t="s">
        <v>166</v>
      </c>
      <c r="N269" t="s">
        <v>203</v>
      </c>
      <c r="O269" t="s">
        <v>169</v>
      </c>
      <c r="P269">
        <v>3.2972451143905672E-2</v>
      </c>
      <c r="Q269" t="s">
        <v>166</v>
      </c>
      <c r="S269" t="s">
        <v>225</v>
      </c>
      <c r="T269" t="s">
        <v>169</v>
      </c>
      <c r="U269">
        <v>3.7272285929244309E-2</v>
      </c>
      <c r="V269" t="s">
        <v>166</v>
      </c>
    </row>
    <row r="270" spans="9:22" x14ac:dyDescent="0.45">
      <c r="I270" t="s">
        <v>180</v>
      </c>
      <c r="J270" t="s">
        <v>170</v>
      </c>
      <c r="K270">
        <v>5.8279385396334555E-3</v>
      </c>
      <c r="L270" t="s">
        <v>166</v>
      </c>
      <c r="N270" t="s">
        <v>203</v>
      </c>
      <c r="O270" t="s">
        <v>170</v>
      </c>
      <c r="P270">
        <v>4.120530380468332E-3</v>
      </c>
      <c r="Q270" t="s">
        <v>166</v>
      </c>
      <c r="S270" t="s">
        <v>225</v>
      </c>
      <c r="T270" t="s">
        <v>170</v>
      </c>
      <c r="U270">
        <v>4.5142416057718229E-3</v>
      </c>
      <c r="V270" t="s">
        <v>166</v>
      </c>
    </row>
    <row r="271" spans="9:22" x14ac:dyDescent="0.45">
      <c r="I271" t="s">
        <v>180</v>
      </c>
      <c r="J271" t="s">
        <v>171</v>
      </c>
      <c r="K271">
        <v>7.5638981714002809E-2</v>
      </c>
      <c r="L271" t="s">
        <v>166</v>
      </c>
      <c r="N271" t="s">
        <v>203</v>
      </c>
      <c r="O271" t="s">
        <v>171</v>
      </c>
      <c r="P271">
        <v>2.5902826104214721E-2</v>
      </c>
      <c r="Q271" t="s">
        <v>166</v>
      </c>
      <c r="S271" t="s">
        <v>225</v>
      </c>
      <c r="T271" t="s">
        <v>171</v>
      </c>
      <c r="U271">
        <v>3.1689954832231061E-2</v>
      </c>
      <c r="V271" t="s">
        <v>166</v>
      </c>
    </row>
    <row r="272" spans="9:22" x14ac:dyDescent="0.45">
      <c r="I272" t="s">
        <v>180</v>
      </c>
      <c r="J272" t="s">
        <v>250</v>
      </c>
      <c r="K272">
        <v>9.1408614718270168E-3</v>
      </c>
      <c r="L272" t="s">
        <v>166</v>
      </c>
      <c r="N272" t="s">
        <v>203</v>
      </c>
      <c r="O272" t="s">
        <v>250</v>
      </c>
      <c r="P272">
        <v>3.9069149646158525E-3</v>
      </c>
      <c r="Q272" t="s">
        <v>166</v>
      </c>
      <c r="S272" t="s">
        <v>225</v>
      </c>
      <c r="T272" t="s">
        <v>250</v>
      </c>
      <c r="U272">
        <v>4.8021559335509464E-3</v>
      </c>
      <c r="V272" t="s">
        <v>166</v>
      </c>
    </row>
    <row r="273" spans="9:22" x14ac:dyDescent="0.45">
      <c r="I273" t="s">
        <v>180</v>
      </c>
      <c r="J273" t="s">
        <v>251</v>
      </c>
      <c r="K273">
        <v>6.856752387688265E-3</v>
      </c>
      <c r="L273" t="s">
        <v>166</v>
      </c>
      <c r="N273" t="s">
        <v>203</v>
      </c>
      <c r="O273" t="s">
        <v>251</v>
      </c>
      <c r="P273">
        <v>4.0745859377076471E-3</v>
      </c>
      <c r="Q273" t="s">
        <v>166</v>
      </c>
      <c r="S273" t="s">
        <v>225</v>
      </c>
      <c r="T273" t="s">
        <v>251</v>
      </c>
      <c r="U273">
        <v>4.9588150539395925E-3</v>
      </c>
      <c r="V273" t="s">
        <v>166</v>
      </c>
    </row>
    <row r="274" spans="9:22" x14ac:dyDescent="0.45">
      <c r="I274" t="s">
        <v>180</v>
      </c>
      <c r="J274" t="s">
        <v>252</v>
      </c>
      <c r="K274">
        <v>4.3306194269737593E-3</v>
      </c>
      <c r="L274" t="s">
        <v>166</v>
      </c>
      <c r="N274" t="s">
        <v>203</v>
      </c>
      <c r="O274" t="s">
        <v>252</v>
      </c>
      <c r="P274">
        <v>2.681166403122974E-2</v>
      </c>
      <c r="Q274" t="s">
        <v>166</v>
      </c>
      <c r="S274" t="s">
        <v>225</v>
      </c>
      <c r="T274" t="s">
        <v>252</v>
      </c>
      <c r="U274">
        <v>3.1230230863867878E-2</v>
      </c>
      <c r="V274" t="s">
        <v>166</v>
      </c>
    </row>
    <row r="275" spans="9:22" x14ac:dyDescent="0.45">
      <c r="I275" t="s">
        <v>180</v>
      </c>
      <c r="J275" t="s">
        <v>172</v>
      </c>
      <c r="K275">
        <v>7.2233665052917678E-3</v>
      </c>
      <c r="L275" t="s">
        <v>166</v>
      </c>
      <c r="N275" t="s">
        <v>203</v>
      </c>
      <c r="O275" t="s">
        <v>172</v>
      </c>
      <c r="P275">
        <v>2.5421863983440027E-2</v>
      </c>
      <c r="Q275" t="s">
        <v>166</v>
      </c>
      <c r="S275" t="s">
        <v>225</v>
      </c>
      <c r="T275" t="s">
        <v>172</v>
      </c>
      <c r="U275">
        <v>2.3087160087721059E-2</v>
      </c>
      <c r="V275" t="s">
        <v>166</v>
      </c>
    </row>
    <row r="276" spans="9:22" x14ac:dyDescent="0.45">
      <c r="I276" t="s">
        <v>180</v>
      </c>
      <c r="J276" t="s">
        <v>173</v>
      </c>
      <c r="K276">
        <v>8.1048650493430931E-3</v>
      </c>
      <c r="L276" t="s">
        <v>166</v>
      </c>
      <c r="N276" t="s">
        <v>203</v>
      </c>
      <c r="O276" t="s">
        <v>173</v>
      </c>
      <c r="P276">
        <v>2.7311810496908951E-3</v>
      </c>
      <c r="Q276" t="s">
        <v>166</v>
      </c>
      <c r="S276" t="s">
        <v>225</v>
      </c>
      <c r="T276" t="s">
        <v>173</v>
      </c>
      <c r="U276">
        <v>2.705537481623979E-3</v>
      </c>
      <c r="V276" t="s">
        <v>166</v>
      </c>
    </row>
    <row r="277" spans="9:22" x14ac:dyDescent="0.45">
      <c r="I277" t="s">
        <v>180</v>
      </c>
      <c r="J277" t="s">
        <v>174</v>
      </c>
      <c r="K277">
        <v>7.554984692486523E-2</v>
      </c>
      <c r="L277" t="s">
        <v>166</v>
      </c>
      <c r="N277" t="s">
        <v>203</v>
      </c>
      <c r="O277" t="s">
        <v>174</v>
      </c>
      <c r="P277">
        <v>1.9513601957354649E-2</v>
      </c>
      <c r="Q277" t="s">
        <v>166</v>
      </c>
      <c r="S277" t="s">
        <v>225</v>
      </c>
      <c r="T277" t="s">
        <v>174</v>
      </c>
      <c r="U277">
        <v>1.9522943529350224E-2</v>
      </c>
      <c r="V277" t="s">
        <v>166</v>
      </c>
    </row>
    <row r="278" spans="9:22" x14ac:dyDescent="0.45">
      <c r="I278" t="s">
        <v>180</v>
      </c>
      <c r="J278" t="s">
        <v>253</v>
      </c>
      <c r="K278">
        <v>7.6847957497612786E-3</v>
      </c>
      <c r="L278" t="s">
        <v>166</v>
      </c>
      <c r="N278" t="s">
        <v>203</v>
      </c>
      <c r="O278" t="s">
        <v>253</v>
      </c>
      <c r="P278">
        <v>3.0213961787153827E-3</v>
      </c>
      <c r="Q278" t="s">
        <v>166</v>
      </c>
      <c r="S278" t="s">
        <v>225</v>
      </c>
      <c r="T278" t="s">
        <v>253</v>
      </c>
      <c r="U278">
        <v>2.6058442343145139E-3</v>
      </c>
      <c r="V278" t="s">
        <v>166</v>
      </c>
    </row>
    <row r="279" spans="9:22" x14ac:dyDescent="0.45">
      <c r="I279" t="s">
        <v>180</v>
      </c>
      <c r="J279" t="s">
        <v>254</v>
      </c>
      <c r="K279">
        <v>6.3786057485026339E-3</v>
      </c>
      <c r="L279" t="s">
        <v>166</v>
      </c>
      <c r="N279" t="s">
        <v>203</v>
      </c>
      <c r="O279" t="s">
        <v>254</v>
      </c>
      <c r="P279">
        <v>2.7098716749420441E-3</v>
      </c>
      <c r="Q279" t="s">
        <v>166</v>
      </c>
      <c r="S279" t="s">
        <v>225</v>
      </c>
      <c r="T279" t="s">
        <v>254</v>
      </c>
      <c r="U279">
        <v>2.3947654180517292E-3</v>
      </c>
      <c r="V279" t="s">
        <v>166</v>
      </c>
    </row>
    <row r="280" spans="9:22" x14ac:dyDescent="0.45">
      <c r="I280" t="s">
        <v>180</v>
      </c>
      <c r="J280" t="s">
        <v>255</v>
      </c>
      <c r="K280">
        <v>8.0211914436692025E-3</v>
      </c>
      <c r="L280" t="s">
        <v>166</v>
      </c>
      <c r="N280" t="s">
        <v>203</v>
      </c>
      <c r="O280" t="s">
        <v>255</v>
      </c>
      <c r="P280">
        <v>1.9331061311666429E-2</v>
      </c>
      <c r="Q280" t="s">
        <v>166</v>
      </c>
      <c r="S280" t="s">
        <v>225</v>
      </c>
      <c r="T280" t="s">
        <v>255</v>
      </c>
      <c r="U280">
        <v>1.6725562360668442E-2</v>
      </c>
      <c r="V280" t="s">
        <v>166</v>
      </c>
    </row>
    <row r="281" spans="9:22" x14ac:dyDescent="0.45">
      <c r="I281" t="s">
        <v>180</v>
      </c>
      <c r="J281" t="s">
        <v>256</v>
      </c>
      <c r="K281">
        <v>1.1764749557632525E-2</v>
      </c>
      <c r="L281" t="s">
        <v>166</v>
      </c>
      <c r="N281" t="s">
        <v>203</v>
      </c>
      <c r="O281" t="s">
        <v>256</v>
      </c>
      <c r="P281">
        <v>2.1676003978105367E-2</v>
      </c>
      <c r="Q281" t="s">
        <v>166</v>
      </c>
      <c r="S281" t="s">
        <v>225</v>
      </c>
      <c r="T281" t="s">
        <v>256</v>
      </c>
      <c r="U281">
        <v>1.7729181259808907E-2</v>
      </c>
      <c r="V281" t="s">
        <v>166</v>
      </c>
    </row>
    <row r="282" spans="9:22" x14ac:dyDescent="0.45">
      <c r="I282" t="s">
        <v>180</v>
      </c>
      <c r="J282" t="s">
        <v>257</v>
      </c>
      <c r="K282">
        <v>8.6624714936677939E-3</v>
      </c>
      <c r="L282" t="s">
        <v>166</v>
      </c>
      <c r="N282" t="s">
        <v>203</v>
      </c>
      <c r="O282" t="s">
        <v>257</v>
      </c>
      <c r="P282">
        <v>2.497122775730731E-3</v>
      </c>
      <c r="Q282" t="s">
        <v>166</v>
      </c>
      <c r="S282" t="s">
        <v>225</v>
      </c>
      <c r="T282" t="s">
        <v>257</v>
      </c>
      <c r="U282">
        <v>2.1069725152866796E-3</v>
      </c>
      <c r="V282" t="s">
        <v>166</v>
      </c>
    </row>
    <row r="283" spans="9:22" x14ac:dyDescent="0.45">
      <c r="I283" t="s">
        <v>180</v>
      </c>
      <c r="J283" t="s">
        <v>258</v>
      </c>
      <c r="K283">
        <v>7.5060688979729298E-2</v>
      </c>
      <c r="L283" t="s">
        <v>166</v>
      </c>
      <c r="N283" t="s">
        <v>203</v>
      </c>
      <c r="O283" t="s">
        <v>258</v>
      </c>
      <c r="P283">
        <v>1.8398035431459236E-2</v>
      </c>
      <c r="Q283" t="s">
        <v>166</v>
      </c>
      <c r="S283" t="s">
        <v>225</v>
      </c>
      <c r="T283" t="s">
        <v>258</v>
      </c>
      <c r="U283">
        <v>1.5240843098678899E-2</v>
      </c>
      <c r="V283" t="s">
        <v>166</v>
      </c>
    </row>
    <row r="284" spans="9:22" x14ac:dyDescent="0.45">
      <c r="I284" t="s">
        <v>180</v>
      </c>
      <c r="J284" t="s">
        <v>259</v>
      </c>
      <c r="K284">
        <v>8.036937245928074E-3</v>
      </c>
      <c r="L284" t="s">
        <v>166</v>
      </c>
      <c r="N284" t="s">
        <v>203</v>
      </c>
      <c r="O284" t="s">
        <v>259</v>
      </c>
      <c r="P284">
        <v>2.4844565847353898E-3</v>
      </c>
      <c r="Q284" t="s">
        <v>166</v>
      </c>
      <c r="S284" t="s">
        <v>225</v>
      </c>
      <c r="T284" t="s">
        <v>259</v>
      </c>
      <c r="U284">
        <v>1.997416044259695E-3</v>
      </c>
      <c r="V284" t="s">
        <v>166</v>
      </c>
    </row>
    <row r="285" spans="9:22" x14ac:dyDescent="0.45">
      <c r="I285" t="s">
        <v>180</v>
      </c>
      <c r="J285" t="s">
        <v>260</v>
      </c>
      <c r="K285">
        <v>6.8988799739073698E-3</v>
      </c>
      <c r="L285" t="s">
        <v>166</v>
      </c>
      <c r="N285" t="s">
        <v>203</v>
      </c>
      <c r="O285" t="s">
        <v>260</v>
      </c>
      <c r="P285">
        <v>2.3553564247742972E-3</v>
      </c>
      <c r="Q285" t="s">
        <v>166</v>
      </c>
      <c r="S285" t="s">
        <v>225</v>
      </c>
      <c r="T285" t="s">
        <v>260</v>
      </c>
      <c r="U285">
        <v>1.8484309595765715E-3</v>
      </c>
      <c r="V285" t="s">
        <v>166</v>
      </c>
    </row>
    <row r="286" spans="9:22" x14ac:dyDescent="0.45">
      <c r="I286" t="s">
        <v>180</v>
      </c>
      <c r="J286" t="s">
        <v>261</v>
      </c>
      <c r="K286">
        <v>9.7121563289608512E-3</v>
      </c>
      <c r="L286" t="s">
        <v>166</v>
      </c>
      <c r="N286" t="s">
        <v>203</v>
      </c>
      <c r="O286" t="s">
        <v>261</v>
      </c>
      <c r="P286">
        <v>1.5175124327503514E-2</v>
      </c>
      <c r="Q286" t="s">
        <v>166</v>
      </c>
      <c r="S286" t="s">
        <v>225</v>
      </c>
      <c r="T286" t="s">
        <v>261</v>
      </c>
      <c r="U286">
        <v>1.1811402353918856E-2</v>
      </c>
      <c r="V286" t="s">
        <v>166</v>
      </c>
    </row>
    <row r="287" spans="9:22" x14ac:dyDescent="0.45">
      <c r="I287" t="s">
        <v>180</v>
      </c>
      <c r="J287" t="s">
        <v>262</v>
      </c>
      <c r="K287">
        <v>4.2558095466083412E-2</v>
      </c>
      <c r="L287" t="s">
        <v>166</v>
      </c>
      <c r="N287" t="s">
        <v>203</v>
      </c>
      <c r="O287" t="s">
        <v>262</v>
      </c>
      <c r="P287">
        <v>0.11829481553353377</v>
      </c>
      <c r="Q287" t="s">
        <v>166</v>
      </c>
      <c r="S287" t="s">
        <v>225</v>
      </c>
      <c r="T287" t="s">
        <v>262</v>
      </c>
      <c r="U287">
        <v>0.11406225819981275</v>
      </c>
      <c r="V287" t="s">
        <v>166</v>
      </c>
    </row>
    <row r="288" spans="9:22" x14ac:dyDescent="0.45">
      <c r="I288" t="s">
        <v>180</v>
      </c>
      <c r="J288" t="s">
        <v>263</v>
      </c>
      <c r="K288">
        <v>3.5250546482004451E-2</v>
      </c>
      <c r="L288" t="s">
        <v>166</v>
      </c>
      <c r="N288" t="s">
        <v>203</v>
      </c>
      <c r="O288" t="s">
        <v>263</v>
      </c>
      <c r="P288">
        <v>1.3347680436108397E-2</v>
      </c>
      <c r="Q288" t="s">
        <v>166</v>
      </c>
      <c r="S288" t="s">
        <v>225</v>
      </c>
      <c r="T288" t="s">
        <v>263</v>
      </c>
      <c r="U288">
        <v>1.4217431965622682E-2</v>
      </c>
      <c r="V288" t="s">
        <v>166</v>
      </c>
    </row>
    <row r="289" spans="9:22" x14ac:dyDescent="0.45">
      <c r="I289" t="s">
        <v>180</v>
      </c>
      <c r="J289" t="s">
        <v>264</v>
      </c>
      <c r="K289">
        <v>0.36260880311209659</v>
      </c>
      <c r="L289" t="s">
        <v>166</v>
      </c>
      <c r="N289" t="s">
        <v>203</v>
      </c>
      <c r="O289" t="s">
        <v>264</v>
      </c>
      <c r="P289">
        <v>9.8180037842619458E-2</v>
      </c>
      <c r="Q289" t="s">
        <v>166</v>
      </c>
      <c r="S289" t="s">
        <v>225</v>
      </c>
      <c r="T289" t="s">
        <v>264</v>
      </c>
      <c r="U289">
        <v>0.10257353049350283</v>
      </c>
      <c r="V289" t="s">
        <v>166</v>
      </c>
    </row>
    <row r="290" spans="9:22" x14ac:dyDescent="0.45">
      <c r="I290" t="s">
        <v>180</v>
      </c>
      <c r="J290" t="s">
        <v>265</v>
      </c>
      <c r="K290">
        <v>4.3916677861480645E-2</v>
      </c>
      <c r="L290" t="s">
        <v>166</v>
      </c>
      <c r="N290" t="s">
        <v>203</v>
      </c>
      <c r="O290" t="s">
        <v>265</v>
      </c>
      <c r="P290">
        <v>1.464340702483628E-2</v>
      </c>
      <c r="Q290" t="s">
        <v>166</v>
      </c>
      <c r="S290" t="s">
        <v>225</v>
      </c>
      <c r="T290" t="s">
        <v>265</v>
      </c>
      <c r="U290">
        <v>1.4854994476472752E-2</v>
      </c>
      <c r="V290" t="s">
        <v>166</v>
      </c>
    </row>
    <row r="291" spans="9:22" x14ac:dyDescent="0.45">
      <c r="I291" t="s">
        <v>180</v>
      </c>
      <c r="J291" t="s">
        <v>266</v>
      </c>
      <c r="K291">
        <v>3.5219723512819628E-2</v>
      </c>
      <c r="L291" t="s">
        <v>166</v>
      </c>
      <c r="N291" t="s">
        <v>203</v>
      </c>
      <c r="O291" t="s">
        <v>266</v>
      </c>
      <c r="P291">
        <v>1.416265716132822E-2</v>
      </c>
      <c r="Q291" t="s">
        <v>166</v>
      </c>
      <c r="S291" t="s">
        <v>225</v>
      </c>
      <c r="T291" t="s">
        <v>266</v>
      </c>
      <c r="U291">
        <v>1.466414942704615E-2</v>
      </c>
      <c r="V291" t="s">
        <v>166</v>
      </c>
    </row>
    <row r="292" spans="9:22" x14ac:dyDescent="0.45">
      <c r="I292" t="s">
        <v>180</v>
      </c>
      <c r="J292" t="s">
        <v>267</v>
      </c>
      <c r="K292">
        <v>4.7466030486209593E-2</v>
      </c>
      <c r="L292" t="s">
        <v>166</v>
      </c>
      <c r="N292" t="s">
        <v>203</v>
      </c>
      <c r="O292" t="s">
        <v>267</v>
      </c>
      <c r="P292">
        <v>9.4052459169240585E-2</v>
      </c>
      <c r="Q292" t="s">
        <v>166</v>
      </c>
      <c r="S292" t="s">
        <v>225</v>
      </c>
      <c r="T292" t="s">
        <v>267</v>
      </c>
      <c r="U292">
        <v>9.074637094030151E-2</v>
      </c>
      <c r="V292" t="s">
        <v>166</v>
      </c>
    </row>
    <row r="293" spans="9:22" x14ac:dyDescent="0.45">
      <c r="I293" t="s">
        <v>180</v>
      </c>
      <c r="J293" t="s">
        <v>268</v>
      </c>
      <c r="K293">
        <v>0</v>
      </c>
      <c r="L293" t="s">
        <v>166</v>
      </c>
      <c r="N293" t="s">
        <v>203</v>
      </c>
      <c r="O293" t="s">
        <v>268</v>
      </c>
      <c r="P293">
        <v>3.0841590972358342E-2</v>
      </c>
      <c r="Q293" t="s">
        <v>166</v>
      </c>
      <c r="S293" t="s">
        <v>225</v>
      </c>
      <c r="T293" t="s">
        <v>268</v>
      </c>
      <c r="U293">
        <v>2.9457730682966286E-2</v>
      </c>
      <c r="V293" t="s">
        <v>166</v>
      </c>
    </row>
    <row r="294" spans="9:22" x14ac:dyDescent="0.45">
      <c r="I294" t="s">
        <v>180</v>
      </c>
      <c r="J294" t="s">
        <v>269</v>
      </c>
      <c r="K294">
        <v>3.7757895398247989E-5</v>
      </c>
      <c r="L294" t="s">
        <v>166</v>
      </c>
      <c r="N294" t="s">
        <v>203</v>
      </c>
      <c r="O294" t="s">
        <v>269</v>
      </c>
      <c r="P294">
        <v>3.5480756614387292E-3</v>
      </c>
      <c r="Q294" t="s">
        <v>166</v>
      </c>
      <c r="S294" t="s">
        <v>225</v>
      </c>
      <c r="T294" t="s">
        <v>269</v>
      </c>
      <c r="U294">
        <v>3.8044972211302916E-3</v>
      </c>
      <c r="V294" t="s">
        <v>166</v>
      </c>
    </row>
    <row r="295" spans="9:22" x14ac:dyDescent="0.45">
      <c r="I295" t="s">
        <v>180</v>
      </c>
      <c r="J295" t="s">
        <v>270</v>
      </c>
      <c r="K295">
        <v>2.3238022268661764E-2</v>
      </c>
      <c r="L295" t="s">
        <v>166</v>
      </c>
      <c r="N295" t="s">
        <v>203</v>
      </c>
      <c r="O295" t="s">
        <v>270</v>
      </c>
      <c r="P295">
        <v>2.2777554157813303E-2</v>
      </c>
      <c r="Q295" t="s">
        <v>166</v>
      </c>
      <c r="S295" t="s">
        <v>225</v>
      </c>
      <c r="T295" t="s">
        <v>270</v>
      </c>
      <c r="U295">
        <v>2.3692183072044206E-2</v>
      </c>
      <c r="V295" t="s">
        <v>166</v>
      </c>
    </row>
    <row r="296" spans="9:22" x14ac:dyDescent="0.45">
      <c r="I296" t="s">
        <v>180</v>
      </c>
      <c r="J296" t="s">
        <v>271</v>
      </c>
      <c r="K296">
        <v>2.3441939978194018E-3</v>
      </c>
      <c r="L296" t="s">
        <v>166</v>
      </c>
      <c r="N296" t="s">
        <v>203</v>
      </c>
      <c r="O296" t="s">
        <v>271</v>
      </c>
      <c r="P296">
        <v>3.2385158167609505E-3</v>
      </c>
      <c r="Q296" t="s">
        <v>166</v>
      </c>
      <c r="S296" t="s">
        <v>225</v>
      </c>
      <c r="T296" t="s">
        <v>271</v>
      </c>
      <c r="U296">
        <v>3.4260928649497762E-3</v>
      </c>
      <c r="V296" t="s">
        <v>166</v>
      </c>
    </row>
    <row r="297" spans="9:22" x14ac:dyDescent="0.45">
      <c r="I297" t="s">
        <v>180</v>
      </c>
      <c r="J297" t="s">
        <v>272</v>
      </c>
      <c r="K297">
        <v>2.238760345441391E-7</v>
      </c>
      <c r="L297" t="s">
        <v>166</v>
      </c>
      <c r="N297" t="s">
        <v>203</v>
      </c>
      <c r="O297" t="s">
        <v>272</v>
      </c>
      <c r="P297">
        <v>3.3589560569905678E-3</v>
      </c>
      <c r="Q297" t="s">
        <v>166</v>
      </c>
      <c r="S297" t="s">
        <v>225</v>
      </c>
      <c r="T297" t="s">
        <v>272</v>
      </c>
      <c r="U297">
        <v>3.4737924329930154E-3</v>
      </c>
      <c r="V297" t="s">
        <v>166</v>
      </c>
    </row>
    <row r="298" spans="9:22" x14ac:dyDescent="0.45">
      <c r="I298" t="s">
        <v>180</v>
      </c>
      <c r="J298" t="s">
        <v>273</v>
      </c>
      <c r="K298">
        <v>0</v>
      </c>
      <c r="L298" t="s">
        <v>166</v>
      </c>
      <c r="N298" t="s">
        <v>203</v>
      </c>
      <c r="O298" t="s">
        <v>273</v>
      </c>
      <c r="P298">
        <v>2.2714914964419988E-2</v>
      </c>
      <c r="Q298" t="s">
        <v>166</v>
      </c>
      <c r="S298" t="s">
        <v>225</v>
      </c>
      <c r="T298" t="s">
        <v>273</v>
      </c>
      <c r="U298">
        <v>1.9573412095410088E-2</v>
      </c>
      <c r="V298" t="s">
        <v>166</v>
      </c>
    </row>
    <row r="299" spans="9:22" x14ac:dyDescent="0.45">
      <c r="I299" t="s">
        <v>180</v>
      </c>
      <c r="J299" t="s">
        <v>274</v>
      </c>
      <c r="K299">
        <v>0</v>
      </c>
      <c r="L299" t="s">
        <v>166</v>
      </c>
      <c r="N299" t="s">
        <v>203</v>
      </c>
      <c r="O299" t="s">
        <v>274</v>
      </c>
      <c r="P299">
        <v>4.9186906044931734E-2</v>
      </c>
      <c r="Q299" t="s">
        <v>166</v>
      </c>
      <c r="S299" t="s">
        <v>225</v>
      </c>
      <c r="T299" t="s">
        <v>274</v>
      </c>
      <c r="U299">
        <v>5.1056283437803766E-2</v>
      </c>
      <c r="V299" t="s">
        <v>166</v>
      </c>
    </row>
    <row r="300" spans="9:22" x14ac:dyDescent="0.45">
      <c r="I300" t="s">
        <v>180</v>
      </c>
      <c r="J300" t="s">
        <v>275</v>
      </c>
      <c r="K300">
        <v>0</v>
      </c>
      <c r="L300" t="s">
        <v>166</v>
      </c>
      <c r="N300" t="s">
        <v>203</v>
      </c>
      <c r="O300" t="s">
        <v>275</v>
      </c>
      <c r="P300">
        <v>6.3175798539610844E-3</v>
      </c>
      <c r="Q300" t="s">
        <v>166</v>
      </c>
      <c r="S300" t="s">
        <v>225</v>
      </c>
      <c r="T300" t="s">
        <v>275</v>
      </c>
      <c r="U300">
        <v>6.9626274903178851E-3</v>
      </c>
      <c r="V300" t="s">
        <v>166</v>
      </c>
    </row>
    <row r="301" spans="9:22" x14ac:dyDescent="0.45">
      <c r="I301" t="s">
        <v>180</v>
      </c>
      <c r="J301" t="s">
        <v>276</v>
      </c>
      <c r="K301">
        <v>1.4806436720667454E-2</v>
      </c>
      <c r="L301" t="s">
        <v>166</v>
      </c>
      <c r="N301" t="s">
        <v>203</v>
      </c>
      <c r="O301" t="s">
        <v>276</v>
      </c>
      <c r="P301">
        <v>4.0163991861869745E-2</v>
      </c>
      <c r="Q301" t="s">
        <v>166</v>
      </c>
      <c r="S301" t="s">
        <v>225</v>
      </c>
      <c r="T301" t="s">
        <v>276</v>
      </c>
      <c r="U301">
        <v>4.3500065916710969E-2</v>
      </c>
      <c r="V301" t="s">
        <v>166</v>
      </c>
    </row>
    <row r="302" spans="9:22" x14ac:dyDescent="0.45">
      <c r="I302" t="s">
        <v>180</v>
      </c>
      <c r="J302" t="s">
        <v>277</v>
      </c>
      <c r="K302">
        <v>8.8577396814855196E-4</v>
      </c>
      <c r="L302" t="s">
        <v>166</v>
      </c>
      <c r="N302" t="s">
        <v>203</v>
      </c>
      <c r="O302" t="s">
        <v>277</v>
      </c>
      <c r="P302">
        <v>5.7181690443138429E-3</v>
      </c>
      <c r="Q302" t="s">
        <v>166</v>
      </c>
      <c r="S302" t="s">
        <v>225</v>
      </c>
      <c r="T302" t="s">
        <v>277</v>
      </c>
      <c r="U302">
        <v>6.3636617252840122E-3</v>
      </c>
      <c r="V302" t="s">
        <v>166</v>
      </c>
    </row>
    <row r="303" spans="9:22" x14ac:dyDescent="0.45">
      <c r="I303" t="s">
        <v>180</v>
      </c>
      <c r="J303" t="s">
        <v>278</v>
      </c>
      <c r="K303">
        <v>0</v>
      </c>
      <c r="L303" t="s">
        <v>166</v>
      </c>
      <c r="N303" t="s">
        <v>203</v>
      </c>
      <c r="O303" t="s">
        <v>278</v>
      </c>
      <c r="P303">
        <v>5.8880979726304529E-3</v>
      </c>
      <c r="Q303" t="s">
        <v>166</v>
      </c>
      <c r="S303" t="s">
        <v>225</v>
      </c>
      <c r="T303" t="s">
        <v>278</v>
      </c>
      <c r="U303">
        <v>6.5180224562280979E-3</v>
      </c>
      <c r="V303" t="s">
        <v>166</v>
      </c>
    </row>
    <row r="304" spans="9:22" x14ac:dyDescent="0.45">
      <c r="I304" t="s">
        <v>180</v>
      </c>
      <c r="J304" t="s">
        <v>279</v>
      </c>
      <c r="K304">
        <v>0</v>
      </c>
      <c r="L304" t="s">
        <v>166</v>
      </c>
      <c r="N304" t="s">
        <v>203</v>
      </c>
      <c r="O304" t="s">
        <v>279</v>
      </c>
      <c r="P304">
        <v>3.7065800088599998E-2</v>
      </c>
      <c r="Q304" t="s">
        <v>166</v>
      </c>
      <c r="S304" t="s">
        <v>225</v>
      </c>
      <c r="T304" t="s">
        <v>279</v>
      </c>
      <c r="U304">
        <v>3.8055345271331677E-2</v>
      </c>
      <c r="V304" t="s">
        <v>166</v>
      </c>
    </row>
    <row r="305" spans="9:22" x14ac:dyDescent="0.45">
      <c r="I305" t="s">
        <v>181</v>
      </c>
      <c r="J305" t="s">
        <v>165</v>
      </c>
      <c r="K305">
        <v>0</v>
      </c>
      <c r="L305" t="s">
        <v>166</v>
      </c>
      <c r="N305" t="s">
        <v>204</v>
      </c>
      <c r="O305" t="s">
        <v>165</v>
      </c>
      <c r="P305">
        <v>6.4557414478549166E-2</v>
      </c>
      <c r="Q305" t="s">
        <v>166</v>
      </c>
      <c r="S305" t="s">
        <v>226</v>
      </c>
      <c r="T305" t="s">
        <v>165</v>
      </c>
      <c r="U305">
        <v>6.0604809217058624E-2</v>
      </c>
      <c r="V305" t="s">
        <v>166</v>
      </c>
    </row>
    <row r="306" spans="9:22" x14ac:dyDescent="0.45">
      <c r="I306" t="s">
        <v>181</v>
      </c>
      <c r="J306" t="s">
        <v>167</v>
      </c>
      <c r="K306">
        <v>4.4148533308271845E-4</v>
      </c>
      <c r="L306" t="s">
        <v>166</v>
      </c>
      <c r="N306" t="s">
        <v>204</v>
      </c>
      <c r="O306" t="s">
        <v>167</v>
      </c>
      <c r="P306">
        <v>8.0000540752635432E-3</v>
      </c>
      <c r="Q306" t="s">
        <v>166</v>
      </c>
      <c r="S306" t="s">
        <v>226</v>
      </c>
      <c r="T306" t="s">
        <v>167</v>
      </c>
      <c r="U306">
        <v>7.3605177035550931E-3</v>
      </c>
      <c r="V306" t="s">
        <v>166</v>
      </c>
    </row>
    <row r="307" spans="9:22" x14ac:dyDescent="0.45">
      <c r="I307" t="s">
        <v>181</v>
      </c>
      <c r="J307" t="s">
        <v>168</v>
      </c>
      <c r="K307">
        <v>4.5651059133945036E-2</v>
      </c>
      <c r="L307" t="s">
        <v>166</v>
      </c>
      <c r="N307" t="s">
        <v>204</v>
      </c>
      <c r="O307" t="s">
        <v>168</v>
      </c>
      <c r="P307">
        <v>4.9659125198116078E-2</v>
      </c>
      <c r="Q307" t="s">
        <v>166</v>
      </c>
      <c r="S307" t="s">
        <v>226</v>
      </c>
      <c r="T307" t="s">
        <v>168</v>
      </c>
      <c r="U307">
        <v>5.0989285339686226E-2</v>
      </c>
      <c r="V307" t="s">
        <v>166</v>
      </c>
    </row>
    <row r="308" spans="9:22" x14ac:dyDescent="0.45">
      <c r="I308" t="s">
        <v>181</v>
      </c>
      <c r="J308" t="s">
        <v>247</v>
      </c>
      <c r="K308">
        <v>4.592205046617409E-3</v>
      </c>
      <c r="L308" t="s">
        <v>166</v>
      </c>
      <c r="N308" t="s">
        <v>204</v>
      </c>
      <c r="O308" t="s">
        <v>247</v>
      </c>
      <c r="P308">
        <v>7.3111361426610516E-3</v>
      </c>
      <c r="Q308" t="s">
        <v>166</v>
      </c>
      <c r="S308" t="s">
        <v>226</v>
      </c>
      <c r="T308" t="s">
        <v>247</v>
      </c>
      <c r="U308">
        <v>7.3268268588623162E-3</v>
      </c>
      <c r="V308" t="s">
        <v>166</v>
      </c>
    </row>
    <row r="309" spans="9:22" x14ac:dyDescent="0.45">
      <c r="I309" t="s">
        <v>181</v>
      </c>
      <c r="J309" t="s">
        <v>248</v>
      </c>
      <c r="K309">
        <v>1.9576540210724685E-3</v>
      </c>
      <c r="L309" t="s">
        <v>166</v>
      </c>
      <c r="N309" t="s">
        <v>204</v>
      </c>
      <c r="O309" t="s">
        <v>248</v>
      </c>
      <c r="P309">
        <v>7.4898958533493008E-3</v>
      </c>
      <c r="Q309" t="s">
        <v>166</v>
      </c>
      <c r="S309" t="s">
        <v>226</v>
      </c>
      <c r="T309" t="s">
        <v>248</v>
      </c>
      <c r="U309">
        <v>7.4834293825720693E-3</v>
      </c>
      <c r="V309" t="s">
        <v>166</v>
      </c>
    </row>
    <row r="310" spans="9:22" x14ac:dyDescent="0.45">
      <c r="I310" t="s">
        <v>181</v>
      </c>
      <c r="J310" t="s">
        <v>249</v>
      </c>
      <c r="K310">
        <v>4.660298864299516E-5</v>
      </c>
      <c r="L310" t="s">
        <v>166</v>
      </c>
      <c r="N310" t="s">
        <v>204</v>
      </c>
      <c r="O310" t="s">
        <v>249</v>
      </c>
      <c r="P310">
        <v>4.6374240368194389E-2</v>
      </c>
      <c r="Q310" t="s">
        <v>166</v>
      </c>
      <c r="S310" t="s">
        <v>226</v>
      </c>
      <c r="T310" t="s">
        <v>249</v>
      </c>
      <c r="U310">
        <v>4.5524255265433182E-2</v>
      </c>
      <c r="V310" t="s">
        <v>166</v>
      </c>
    </row>
    <row r="311" spans="9:22" x14ac:dyDescent="0.45">
      <c r="I311" t="s">
        <v>181</v>
      </c>
      <c r="J311" t="s">
        <v>169</v>
      </c>
      <c r="K311">
        <v>1.7025786090130604E-3</v>
      </c>
      <c r="L311" t="s">
        <v>166</v>
      </c>
      <c r="N311" t="s">
        <v>204</v>
      </c>
      <c r="O311" t="s">
        <v>169</v>
      </c>
      <c r="P311">
        <v>3.0130130867177165E-2</v>
      </c>
      <c r="Q311" t="s">
        <v>166</v>
      </c>
      <c r="S311" t="s">
        <v>226</v>
      </c>
      <c r="T311" t="s">
        <v>169</v>
      </c>
      <c r="U311">
        <v>3.7297103557716586E-2</v>
      </c>
      <c r="V311" t="s">
        <v>166</v>
      </c>
    </row>
    <row r="312" spans="9:22" x14ac:dyDescent="0.45">
      <c r="I312" t="s">
        <v>181</v>
      </c>
      <c r="J312" t="s">
        <v>170</v>
      </c>
      <c r="K312">
        <v>6.3305166669351516E-3</v>
      </c>
      <c r="L312" t="s">
        <v>166</v>
      </c>
      <c r="N312" t="s">
        <v>204</v>
      </c>
      <c r="O312" t="s">
        <v>170</v>
      </c>
      <c r="P312">
        <v>3.5803395615153196E-3</v>
      </c>
      <c r="Q312" t="s">
        <v>166</v>
      </c>
      <c r="S312" t="s">
        <v>226</v>
      </c>
      <c r="T312" t="s">
        <v>170</v>
      </c>
      <c r="U312">
        <v>4.5780580704516318E-3</v>
      </c>
      <c r="V312" t="s">
        <v>166</v>
      </c>
    </row>
    <row r="313" spans="9:22" x14ac:dyDescent="0.45">
      <c r="I313" t="s">
        <v>181</v>
      </c>
      <c r="J313" t="s">
        <v>171</v>
      </c>
      <c r="K313">
        <v>7.6317956984791213E-2</v>
      </c>
      <c r="L313" t="s">
        <v>166</v>
      </c>
      <c r="N313" t="s">
        <v>204</v>
      </c>
      <c r="O313" t="s">
        <v>171</v>
      </c>
      <c r="P313">
        <v>2.1834988886688691E-2</v>
      </c>
      <c r="Q313" t="s">
        <v>166</v>
      </c>
      <c r="S313" t="s">
        <v>226</v>
      </c>
      <c r="T313" t="s">
        <v>171</v>
      </c>
      <c r="U313">
        <v>3.3319715873978688E-2</v>
      </c>
      <c r="V313" t="s">
        <v>166</v>
      </c>
    </row>
    <row r="314" spans="9:22" x14ac:dyDescent="0.45">
      <c r="I314" t="s">
        <v>181</v>
      </c>
      <c r="J314" t="s">
        <v>250</v>
      </c>
      <c r="K314">
        <v>9.0233545830195813E-3</v>
      </c>
      <c r="L314" t="s">
        <v>166</v>
      </c>
      <c r="N314" t="s">
        <v>204</v>
      </c>
      <c r="O314" t="s">
        <v>250</v>
      </c>
      <c r="P314">
        <v>3.611829095521575E-3</v>
      </c>
      <c r="Q314" t="s">
        <v>166</v>
      </c>
      <c r="S314" t="s">
        <v>226</v>
      </c>
      <c r="T314" t="s">
        <v>250</v>
      </c>
      <c r="U314">
        <v>4.9782243267241146E-3</v>
      </c>
      <c r="V314" t="s">
        <v>166</v>
      </c>
    </row>
    <row r="315" spans="9:22" x14ac:dyDescent="0.45">
      <c r="I315" t="s">
        <v>181</v>
      </c>
      <c r="J315" t="s">
        <v>251</v>
      </c>
      <c r="K315">
        <v>6.2949175205063252E-3</v>
      </c>
      <c r="L315" t="s">
        <v>166</v>
      </c>
      <c r="N315" t="s">
        <v>204</v>
      </c>
      <c r="O315" t="s">
        <v>251</v>
      </c>
      <c r="P315">
        <v>3.9037828311347255E-3</v>
      </c>
      <c r="Q315" t="s">
        <v>166</v>
      </c>
      <c r="S315" t="s">
        <v>226</v>
      </c>
      <c r="T315" t="s">
        <v>251</v>
      </c>
      <c r="U315">
        <v>5.0744678676072621E-3</v>
      </c>
      <c r="V315" t="s">
        <v>166</v>
      </c>
    </row>
    <row r="316" spans="9:22" x14ac:dyDescent="0.45">
      <c r="I316" t="s">
        <v>181</v>
      </c>
      <c r="J316" t="s">
        <v>252</v>
      </c>
      <c r="K316">
        <v>3.5415808534415114E-3</v>
      </c>
      <c r="L316" t="s">
        <v>166</v>
      </c>
      <c r="N316" t="s">
        <v>204</v>
      </c>
      <c r="O316" t="s">
        <v>252</v>
      </c>
      <c r="P316">
        <v>2.5408044474233036E-2</v>
      </c>
      <c r="Q316" t="s">
        <v>166</v>
      </c>
      <c r="S316" t="s">
        <v>226</v>
      </c>
      <c r="T316" t="s">
        <v>252</v>
      </c>
      <c r="U316">
        <v>3.1325452116743667E-2</v>
      </c>
      <c r="V316" t="s">
        <v>166</v>
      </c>
    </row>
    <row r="317" spans="9:22" x14ac:dyDescent="0.45">
      <c r="I317" t="s">
        <v>181</v>
      </c>
      <c r="J317" t="s">
        <v>172</v>
      </c>
      <c r="K317">
        <v>7.8783238477643427E-3</v>
      </c>
      <c r="L317" t="s">
        <v>166</v>
      </c>
      <c r="N317" t="s">
        <v>204</v>
      </c>
      <c r="O317" t="s">
        <v>172</v>
      </c>
      <c r="P317">
        <v>2.476787762482242E-2</v>
      </c>
      <c r="Q317" t="s">
        <v>166</v>
      </c>
      <c r="S317" t="s">
        <v>226</v>
      </c>
      <c r="T317" t="s">
        <v>172</v>
      </c>
      <c r="U317">
        <v>2.4073711351354467E-2</v>
      </c>
      <c r="V317" t="s">
        <v>166</v>
      </c>
    </row>
    <row r="318" spans="9:22" x14ac:dyDescent="0.45">
      <c r="I318" t="s">
        <v>181</v>
      </c>
      <c r="J318" t="s">
        <v>173</v>
      </c>
      <c r="K318">
        <v>8.6087861024097059E-3</v>
      </c>
      <c r="L318" t="s">
        <v>166</v>
      </c>
      <c r="N318" t="s">
        <v>204</v>
      </c>
      <c r="O318" t="s">
        <v>173</v>
      </c>
      <c r="P318">
        <v>2.990716851554831E-3</v>
      </c>
      <c r="Q318" t="s">
        <v>166</v>
      </c>
      <c r="S318" t="s">
        <v>226</v>
      </c>
      <c r="T318" t="s">
        <v>173</v>
      </c>
      <c r="U318">
        <v>2.884097071345469E-3</v>
      </c>
      <c r="V318" t="s">
        <v>166</v>
      </c>
    </row>
    <row r="319" spans="9:22" x14ac:dyDescent="0.45">
      <c r="I319" t="s">
        <v>181</v>
      </c>
      <c r="J319" t="s">
        <v>174</v>
      </c>
      <c r="K319">
        <v>7.6771971142280668E-2</v>
      </c>
      <c r="L319" t="s">
        <v>166</v>
      </c>
      <c r="N319" t="s">
        <v>204</v>
      </c>
      <c r="O319" t="s">
        <v>174</v>
      </c>
      <c r="P319">
        <v>2.0692428399585613E-2</v>
      </c>
      <c r="Q319" t="s">
        <v>166</v>
      </c>
      <c r="S319" t="s">
        <v>226</v>
      </c>
      <c r="T319" t="s">
        <v>174</v>
      </c>
      <c r="U319">
        <v>2.2345503785292081E-2</v>
      </c>
      <c r="V319" t="s">
        <v>166</v>
      </c>
    </row>
    <row r="320" spans="9:22" x14ac:dyDescent="0.45">
      <c r="I320" t="s">
        <v>181</v>
      </c>
      <c r="J320" t="s">
        <v>253</v>
      </c>
      <c r="K320">
        <v>8.9230963582110721E-3</v>
      </c>
      <c r="L320" t="s">
        <v>166</v>
      </c>
      <c r="N320" t="s">
        <v>204</v>
      </c>
      <c r="O320" t="s">
        <v>253</v>
      </c>
      <c r="P320">
        <v>3.1493899138714272E-3</v>
      </c>
      <c r="Q320" t="s">
        <v>166</v>
      </c>
      <c r="S320" t="s">
        <v>226</v>
      </c>
      <c r="T320" t="s">
        <v>253</v>
      </c>
      <c r="U320">
        <v>3.1603829519530795E-3</v>
      </c>
      <c r="V320" t="s">
        <v>166</v>
      </c>
    </row>
    <row r="321" spans="9:22" x14ac:dyDescent="0.45">
      <c r="I321" t="s">
        <v>181</v>
      </c>
      <c r="J321" t="s">
        <v>254</v>
      </c>
      <c r="K321">
        <v>7.2569324175926165E-3</v>
      </c>
      <c r="L321" t="s">
        <v>166</v>
      </c>
      <c r="N321" t="s">
        <v>204</v>
      </c>
      <c r="O321" t="s">
        <v>254</v>
      </c>
      <c r="P321">
        <v>2.830235871566503E-3</v>
      </c>
      <c r="Q321" t="s">
        <v>166</v>
      </c>
      <c r="S321" t="s">
        <v>226</v>
      </c>
      <c r="T321" t="s">
        <v>254</v>
      </c>
      <c r="U321">
        <v>2.9542200783875192E-3</v>
      </c>
      <c r="V321" t="s">
        <v>166</v>
      </c>
    </row>
    <row r="322" spans="9:22" x14ac:dyDescent="0.45">
      <c r="I322" t="s">
        <v>181</v>
      </c>
      <c r="J322" t="s">
        <v>255</v>
      </c>
      <c r="K322">
        <v>7.6864041374744094E-3</v>
      </c>
      <c r="L322" t="s">
        <v>166</v>
      </c>
      <c r="N322" t="s">
        <v>204</v>
      </c>
      <c r="O322" t="s">
        <v>255</v>
      </c>
      <c r="P322">
        <v>1.8990026650842588E-2</v>
      </c>
      <c r="Q322" t="s">
        <v>166</v>
      </c>
      <c r="S322" t="s">
        <v>226</v>
      </c>
      <c r="T322" t="s">
        <v>255</v>
      </c>
      <c r="U322">
        <v>1.8023563133483966E-2</v>
      </c>
      <c r="V322" t="s">
        <v>166</v>
      </c>
    </row>
    <row r="323" spans="9:22" x14ac:dyDescent="0.45">
      <c r="I323" t="s">
        <v>181</v>
      </c>
      <c r="J323" t="s">
        <v>256</v>
      </c>
      <c r="K323">
        <v>1.296221626674028E-2</v>
      </c>
      <c r="L323" t="s">
        <v>166</v>
      </c>
      <c r="N323" t="s">
        <v>204</v>
      </c>
      <c r="O323" t="s">
        <v>256</v>
      </c>
      <c r="P323">
        <v>2.392246823418865E-2</v>
      </c>
      <c r="Q323" t="s">
        <v>166</v>
      </c>
      <c r="S323" t="s">
        <v>226</v>
      </c>
      <c r="T323" t="s">
        <v>256</v>
      </c>
      <c r="U323">
        <v>1.8352159088950375E-2</v>
      </c>
      <c r="V323" t="s">
        <v>166</v>
      </c>
    </row>
    <row r="324" spans="9:22" x14ac:dyDescent="0.45">
      <c r="I324" t="s">
        <v>181</v>
      </c>
      <c r="J324" t="s">
        <v>257</v>
      </c>
      <c r="K324">
        <v>9.869796557389697E-3</v>
      </c>
      <c r="L324" t="s">
        <v>166</v>
      </c>
      <c r="N324" t="s">
        <v>204</v>
      </c>
      <c r="O324" t="s">
        <v>257</v>
      </c>
      <c r="P324">
        <v>2.9911103140067416E-3</v>
      </c>
      <c r="Q324" t="s">
        <v>166</v>
      </c>
      <c r="S324" t="s">
        <v>226</v>
      </c>
      <c r="T324" t="s">
        <v>257</v>
      </c>
      <c r="U324">
        <v>2.2086249813269331E-3</v>
      </c>
      <c r="V324" t="s">
        <v>166</v>
      </c>
    </row>
    <row r="325" spans="9:22" x14ac:dyDescent="0.45">
      <c r="I325" t="s">
        <v>181</v>
      </c>
      <c r="J325" t="s">
        <v>258</v>
      </c>
      <c r="K325">
        <v>8.3428639477771072E-2</v>
      </c>
      <c r="L325" t="s">
        <v>166</v>
      </c>
      <c r="N325" t="s">
        <v>204</v>
      </c>
      <c r="O325" t="s">
        <v>258</v>
      </c>
      <c r="P325">
        <v>1.9170855010535903E-2</v>
      </c>
      <c r="Q325" t="s">
        <v>166</v>
      </c>
      <c r="S325" t="s">
        <v>226</v>
      </c>
      <c r="T325" t="s">
        <v>258</v>
      </c>
      <c r="U325">
        <v>1.5756961566459234E-2</v>
      </c>
      <c r="V325" t="s">
        <v>166</v>
      </c>
    </row>
    <row r="326" spans="9:22" x14ac:dyDescent="0.45">
      <c r="I326" t="s">
        <v>181</v>
      </c>
      <c r="J326" t="s">
        <v>259</v>
      </c>
      <c r="K326">
        <v>1.0184300219388317E-2</v>
      </c>
      <c r="L326" t="s">
        <v>166</v>
      </c>
      <c r="N326" t="s">
        <v>204</v>
      </c>
      <c r="O326" t="s">
        <v>259</v>
      </c>
      <c r="P326">
        <v>2.7634176931761885E-3</v>
      </c>
      <c r="Q326" t="s">
        <v>166</v>
      </c>
      <c r="S326" t="s">
        <v>226</v>
      </c>
      <c r="T326" t="s">
        <v>259</v>
      </c>
      <c r="U326">
        <v>2.1356336112933355E-3</v>
      </c>
      <c r="V326" t="s">
        <v>166</v>
      </c>
    </row>
    <row r="327" spans="9:22" x14ac:dyDescent="0.45">
      <c r="I327" t="s">
        <v>181</v>
      </c>
      <c r="J327" t="s">
        <v>260</v>
      </c>
      <c r="K327">
        <v>7.9712339759152352E-3</v>
      </c>
      <c r="L327" t="s">
        <v>166</v>
      </c>
      <c r="N327" t="s">
        <v>204</v>
      </c>
      <c r="O327" t="s">
        <v>260</v>
      </c>
      <c r="P327">
        <v>2.6934098956788253E-3</v>
      </c>
      <c r="Q327" t="s">
        <v>166</v>
      </c>
      <c r="S327" t="s">
        <v>226</v>
      </c>
      <c r="T327" t="s">
        <v>260</v>
      </c>
      <c r="U327">
        <v>2.135897917302895E-3</v>
      </c>
      <c r="V327" t="s">
        <v>166</v>
      </c>
    </row>
    <row r="328" spans="9:22" x14ac:dyDescent="0.45">
      <c r="I328" t="s">
        <v>181</v>
      </c>
      <c r="J328" t="s">
        <v>261</v>
      </c>
      <c r="K328">
        <v>1.0289713431278293E-2</v>
      </c>
      <c r="L328" t="s">
        <v>166</v>
      </c>
      <c r="N328" t="s">
        <v>204</v>
      </c>
      <c r="O328" t="s">
        <v>261</v>
      </c>
      <c r="P328">
        <v>1.6986376227431606E-2</v>
      </c>
      <c r="Q328" t="s">
        <v>166</v>
      </c>
      <c r="S328" t="s">
        <v>226</v>
      </c>
      <c r="T328" t="s">
        <v>261</v>
      </c>
      <c r="U328">
        <v>1.3748659784092111E-2</v>
      </c>
      <c r="V328" t="s">
        <v>166</v>
      </c>
    </row>
    <row r="329" spans="9:22" x14ac:dyDescent="0.45">
      <c r="I329" t="s">
        <v>181</v>
      </c>
      <c r="J329" t="s">
        <v>262</v>
      </c>
      <c r="K329">
        <v>4.337983363368271E-2</v>
      </c>
      <c r="L329" t="s">
        <v>166</v>
      </c>
      <c r="N329" t="s">
        <v>204</v>
      </c>
      <c r="O329" t="s">
        <v>262</v>
      </c>
      <c r="P329">
        <v>0.11821393873495852</v>
      </c>
      <c r="Q329" t="s">
        <v>166</v>
      </c>
      <c r="S329" t="s">
        <v>226</v>
      </c>
      <c r="T329" t="s">
        <v>262</v>
      </c>
      <c r="U329">
        <v>0.11345552914489494</v>
      </c>
      <c r="V329" t="s">
        <v>166</v>
      </c>
    </row>
    <row r="330" spans="9:22" x14ac:dyDescent="0.45">
      <c r="I330" t="s">
        <v>181</v>
      </c>
      <c r="J330" t="s">
        <v>263</v>
      </c>
      <c r="K330">
        <v>3.5192044266149553E-2</v>
      </c>
      <c r="L330" t="s">
        <v>166</v>
      </c>
      <c r="N330" t="s">
        <v>204</v>
      </c>
      <c r="O330" t="s">
        <v>263</v>
      </c>
      <c r="P330">
        <v>1.3763447427541233E-2</v>
      </c>
      <c r="Q330" t="s">
        <v>166</v>
      </c>
      <c r="S330" t="s">
        <v>226</v>
      </c>
      <c r="T330" t="s">
        <v>263</v>
      </c>
      <c r="U330">
        <v>1.4303591102462652E-2</v>
      </c>
      <c r="V330" t="s">
        <v>166</v>
      </c>
    </row>
    <row r="331" spans="9:22" x14ac:dyDescent="0.45">
      <c r="I331" t="s">
        <v>181</v>
      </c>
      <c r="J331" t="s">
        <v>264</v>
      </c>
      <c r="K331">
        <v>0.35365911097755798</v>
      </c>
      <c r="L331" t="s">
        <v>166</v>
      </c>
      <c r="N331" t="s">
        <v>204</v>
      </c>
      <c r="O331" t="s">
        <v>264</v>
      </c>
      <c r="P331">
        <v>9.0667836899373161E-2</v>
      </c>
      <c r="Q331" t="s">
        <v>166</v>
      </c>
      <c r="S331" t="s">
        <v>226</v>
      </c>
      <c r="T331" t="s">
        <v>264</v>
      </c>
      <c r="U331">
        <v>0.10082424141882416</v>
      </c>
      <c r="V331" t="s">
        <v>166</v>
      </c>
    </row>
    <row r="332" spans="9:22" x14ac:dyDescent="0.45">
      <c r="I332" t="s">
        <v>181</v>
      </c>
      <c r="J332" t="s">
        <v>265</v>
      </c>
      <c r="K332">
        <v>4.3109268141954905E-2</v>
      </c>
      <c r="L332" t="s">
        <v>166</v>
      </c>
      <c r="N332" t="s">
        <v>204</v>
      </c>
      <c r="O332" t="s">
        <v>265</v>
      </c>
      <c r="P332">
        <v>1.3708778266345392E-2</v>
      </c>
      <c r="Q332" t="s">
        <v>166</v>
      </c>
      <c r="S332" t="s">
        <v>226</v>
      </c>
      <c r="T332" t="s">
        <v>265</v>
      </c>
      <c r="U332">
        <v>1.5021983179548315E-2</v>
      </c>
      <c r="V332" t="s">
        <v>166</v>
      </c>
    </row>
    <row r="333" spans="9:22" x14ac:dyDescent="0.45">
      <c r="I333" t="s">
        <v>181</v>
      </c>
      <c r="J333" t="s">
        <v>266</v>
      </c>
      <c r="K333">
        <v>3.4081791979028914E-2</v>
      </c>
      <c r="L333" t="s">
        <v>166</v>
      </c>
      <c r="N333" t="s">
        <v>204</v>
      </c>
      <c r="O333" t="s">
        <v>266</v>
      </c>
      <c r="P333">
        <v>1.3413369779105126E-2</v>
      </c>
      <c r="Q333" t="s">
        <v>166</v>
      </c>
      <c r="S333" t="s">
        <v>226</v>
      </c>
      <c r="T333" t="s">
        <v>266</v>
      </c>
      <c r="U333">
        <v>1.494608855328688E-2</v>
      </c>
      <c r="V333" t="s">
        <v>166</v>
      </c>
    </row>
    <row r="334" spans="9:22" x14ac:dyDescent="0.45">
      <c r="I334" t="s">
        <v>181</v>
      </c>
      <c r="J334" t="s">
        <v>267</v>
      </c>
      <c r="K334">
        <v>4.4519848031800605E-2</v>
      </c>
      <c r="L334" t="s">
        <v>166</v>
      </c>
      <c r="N334" t="s">
        <v>204</v>
      </c>
      <c r="O334" t="s">
        <v>267</v>
      </c>
      <c r="P334">
        <v>9.252725325688016E-2</v>
      </c>
      <c r="Q334" t="s">
        <v>166</v>
      </c>
      <c r="S334" t="s">
        <v>226</v>
      </c>
      <c r="T334" t="s">
        <v>267</v>
      </c>
      <c r="U334">
        <v>9.1148006025003586E-2</v>
      </c>
      <c r="V334" t="s">
        <v>166</v>
      </c>
    </row>
    <row r="335" spans="9:22" x14ac:dyDescent="0.45">
      <c r="I335" t="s">
        <v>181</v>
      </c>
      <c r="J335" t="s">
        <v>268</v>
      </c>
      <c r="K335">
        <v>0</v>
      </c>
      <c r="L335" t="s">
        <v>166</v>
      </c>
      <c r="N335" t="s">
        <v>204</v>
      </c>
      <c r="O335" t="s">
        <v>268</v>
      </c>
      <c r="P335">
        <v>3.3454242977068414E-2</v>
      </c>
      <c r="Q335" t="s">
        <v>166</v>
      </c>
      <c r="S335" t="s">
        <v>226</v>
      </c>
      <c r="T335" t="s">
        <v>268</v>
      </c>
      <c r="U335">
        <v>2.9346601470061864E-2</v>
      </c>
      <c r="V335" t="s">
        <v>166</v>
      </c>
    </row>
    <row r="336" spans="9:22" x14ac:dyDescent="0.45">
      <c r="I336" t="s">
        <v>181</v>
      </c>
      <c r="J336" t="s">
        <v>269</v>
      </c>
      <c r="K336">
        <v>8.9858445508957815E-5</v>
      </c>
      <c r="L336" t="s">
        <v>166</v>
      </c>
      <c r="N336" t="s">
        <v>204</v>
      </c>
      <c r="O336" t="s">
        <v>269</v>
      </c>
      <c r="P336">
        <v>3.7725035251079636E-3</v>
      </c>
      <c r="Q336" t="s">
        <v>166</v>
      </c>
      <c r="S336" t="s">
        <v>226</v>
      </c>
      <c r="T336" t="s">
        <v>269</v>
      </c>
      <c r="U336">
        <v>3.6738574357185771E-3</v>
      </c>
      <c r="V336" t="s">
        <v>166</v>
      </c>
    </row>
    <row r="337" spans="9:22" x14ac:dyDescent="0.45">
      <c r="I337" t="s">
        <v>181</v>
      </c>
      <c r="J337" t="s">
        <v>270</v>
      </c>
      <c r="K337">
        <v>2.1058081007342123E-2</v>
      </c>
      <c r="L337" t="s">
        <v>166</v>
      </c>
      <c r="N337" t="s">
        <v>204</v>
      </c>
      <c r="O337" t="s">
        <v>270</v>
      </c>
      <c r="P337">
        <v>2.5134424177506234E-2</v>
      </c>
      <c r="Q337" t="s">
        <v>166</v>
      </c>
      <c r="S337" t="s">
        <v>226</v>
      </c>
      <c r="T337" t="s">
        <v>270</v>
      </c>
      <c r="U337">
        <v>2.5353507278341052E-2</v>
      </c>
      <c r="V337" t="s">
        <v>166</v>
      </c>
    </row>
    <row r="338" spans="9:22" x14ac:dyDescent="0.45">
      <c r="I338" t="s">
        <v>181</v>
      </c>
      <c r="J338" t="s">
        <v>271</v>
      </c>
      <c r="K338">
        <v>1.7758906038793426E-3</v>
      </c>
      <c r="L338" t="s">
        <v>166</v>
      </c>
      <c r="N338" t="s">
        <v>204</v>
      </c>
      <c r="O338" t="s">
        <v>271</v>
      </c>
      <c r="P338">
        <v>4.0079480752556766E-3</v>
      </c>
      <c r="Q338" t="s">
        <v>166</v>
      </c>
      <c r="S338" t="s">
        <v>226</v>
      </c>
      <c r="T338" t="s">
        <v>271</v>
      </c>
      <c r="U338">
        <v>3.5519423038343047E-3</v>
      </c>
      <c r="V338" t="s">
        <v>166</v>
      </c>
    </row>
    <row r="339" spans="9:22" x14ac:dyDescent="0.45">
      <c r="I339" t="s">
        <v>181</v>
      </c>
      <c r="J339" t="s">
        <v>272</v>
      </c>
      <c r="K339">
        <v>0</v>
      </c>
      <c r="L339" t="s">
        <v>166</v>
      </c>
      <c r="N339" t="s">
        <v>204</v>
      </c>
      <c r="O339" t="s">
        <v>272</v>
      </c>
      <c r="P339">
        <v>4.0848345530066048E-3</v>
      </c>
      <c r="Q339" t="s">
        <v>166</v>
      </c>
      <c r="S339" t="s">
        <v>226</v>
      </c>
      <c r="T339" t="s">
        <v>272</v>
      </c>
      <c r="U339">
        <v>3.4846915643464418E-3</v>
      </c>
      <c r="V339" t="s">
        <v>166</v>
      </c>
    </row>
    <row r="340" spans="9:22" x14ac:dyDescent="0.45">
      <c r="I340" t="s">
        <v>181</v>
      </c>
      <c r="J340" t="s">
        <v>273</v>
      </c>
      <c r="K340">
        <v>0</v>
      </c>
      <c r="L340" t="s">
        <v>166</v>
      </c>
      <c r="N340" t="s">
        <v>204</v>
      </c>
      <c r="O340" t="s">
        <v>273</v>
      </c>
      <c r="P340">
        <v>2.6351598584862787E-2</v>
      </c>
      <c r="Q340" t="s">
        <v>166</v>
      </c>
      <c r="S340" t="s">
        <v>226</v>
      </c>
      <c r="T340" t="s">
        <v>273</v>
      </c>
      <c r="U340">
        <v>2.09852002462745E-2</v>
      </c>
      <c r="V340" t="s">
        <v>166</v>
      </c>
    </row>
    <row r="341" spans="9:22" x14ac:dyDescent="0.45">
      <c r="I341" t="s">
        <v>181</v>
      </c>
      <c r="J341" t="s">
        <v>274</v>
      </c>
      <c r="K341">
        <v>0</v>
      </c>
      <c r="L341" t="s">
        <v>166</v>
      </c>
      <c r="N341" t="s">
        <v>204</v>
      </c>
      <c r="O341" t="s">
        <v>274</v>
      </c>
      <c r="P341">
        <v>5.1223909241636674E-2</v>
      </c>
      <c r="Q341" t="s">
        <v>166</v>
      </c>
      <c r="S341" t="s">
        <v>226</v>
      </c>
      <c r="T341" t="s">
        <v>274</v>
      </c>
      <c r="U341">
        <v>4.6235690222177987E-2</v>
      </c>
      <c r="V341" t="s">
        <v>166</v>
      </c>
    </row>
    <row r="342" spans="9:22" x14ac:dyDescent="0.45">
      <c r="I342" t="s">
        <v>181</v>
      </c>
      <c r="J342" t="s">
        <v>275</v>
      </c>
      <c r="K342">
        <v>0</v>
      </c>
      <c r="L342" t="s">
        <v>166</v>
      </c>
      <c r="N342" t="s">
        <v>204</v>
      </c>
      <c r="O342" t="s">
        <v>275</v>
      </c>
      <c r="P342">
        <v>6.3745202906029348E-3</v>
      </c>
      <c r="Q342" t="s">
        <v>166</v>
      </c>
      <c r="S342" t="s">
        <v>226</v>
      </c>
      <c r="T342" t="s">
        <v>275</v>
      </c>
      <c r="U342">
        <v>6.1602219164625382E-3</v>
      </c>
      <c r="V342" t="s">
        <v>166</v>
      </c>
    </row>
    <row r="343" spans="9:22" x14ac:dyDescent="0.45">
      <c r="I343" t="s">
        <v>181</v>
      </c>
      <c r="J343" t="s">
        <v>276</v>
      </c>
      <c r="K343">
        <v>1.488046877373889E-2</v>
      </c>
      <c r="L343" t="s">
        <v>166</v>
      </c>
      <c r="N343" t="s">
        <v>204</v>
      </c>
      <c r="O343" t="s">
        <v>276</v>
      </c>
      <c r="P343">
        <v>3.8710120196420623E-2</v>
      </c>
      <c r="Q343" t="s">
        <v>166</v>
      </c>
      <c r="S343" t="s">
        <v>226</v>
      </c>
      <c r="T343" t="s">
        <v>276</v>
      </c>
      <c r="U343">
        <v>4.1014645011212415E-2</v>
      </c>
      <c r="V343" t="s">
        <v>166</v>
      </c>
    </row>
    <row r="344" spans="9:22" x14ac:dyDescent="0.45">
      <c r="I344" t="s">
        <v>181</v>
      </c>
      <c r="J344" t="s">
        <v>277</v>
      </c>
      <c r="K344">
        <v>5.2247846407126204E-4</v>
      </c>
      <c r="L344" t="s">
        <v>166</v>
      </c>
      <c r="N344" t="s">
        <v>204</v>
      </c>
      <c r="O344" t="s">
        <v>277</v>
      </c>
      <c r="P344">
        <v>5.9093161498415484E-3</v>
      </c>
      <c r="Q344" t="s">
        <v>166</v>
      </c>
      <c r="S344" t="s">
        <v>226</v>
      </c>
      <c r="T344" t="s">
        <v>277</v>
      </c>
      <c r="U344">
        <v>5.9081229936894684E-3</v>
      </c>
      <c r="V344" t="s">
        <v>166</v>
      </c>
    </row>
    <row r="345" spans="9:22" x14ac:dyDescent="0.45">
      <c r="I345" t="s">
        <v>181</v>
      </c>
      <c r="J345" t="s">
        <v>278</v>
      </c>
      <c r="K345">
        <v>0</v>
      </c>
      <c r="L345" t="s">
        <v>166</v>
      </c>
      <c r="N345" t="s">
        <v>204</v>
      </c>
      <c r="O345" t="s">
        <v>278</v>
      </c>
      <c r="P345">
        <v>6.1652639549921971E-3</v>
      </c>
      <c r="Q345" t="s">
        <v>166</v>
      </c>
      <c r="S345" t="s">
        <v>226</v>
      </c>
      <c r="T345" t="s">
        <v>278</v>
      </c>
      <c r="U345">
        <v>6.0084558248480321E-3</v>
      </c>
      <c r="V345" t="s">
        <v>166</v>
      </c>
    </row>
    <row r="346" spans="9:22" x14ac:dyDescent="0.45">
      <c r="I346" t="s">
        <v>181</v>
      </c>
      <c r="J346" t="s">
        <v>279</v>
      </c>
      <c r="K346">
        <v>0</v>
      </c>
      <c r="L346" t="s">
        <v>166</v>
      </c>
      <c r="N346" t="s">
        <v>204</v>
      </c>
      <c r="O346" t="s">
        <v>279</v>
      </c>
      <c r="P346">
        <v>3.8707399389830512E-2</v>
      </c>
      <c r="Q346" t="s">
        <v>166</v>
      </c>
      <c r="S346" t="s">
        <v>226</v>
      </c>
      <c r="T346" t="s">
        <v>279</v>
      </c>
      <c r="U346">
        <v>3.4936063407383679E-2</v>
      </c>
      <c r="V346" t="s">
        <v>166</v>
      </c>
    </row>
    <row r="347" spans="9:22" x14ac:dyDescent="0.45">
      <c r="I347" t="s">
        <v>182</v>
      </c>
      <c r="J347" t="s">
        <v>165</v>
      </c>
      <c r="K347">
        <v>0</v>
      </c>
      <c r="L347" t="s">
        <v>166</v>
      </c>
      <c r="N347" t="s">
        <v>205</v>
      </c>
      <c r="O347" t="s">
        <v>165</v>
      </c>
      <c r="P347">
        <v>6.1246649724500259E-2</v>
      </c>
      <c r="Q347" t="s">
        <v>166</v>
      </c>
      <c r="S347" t="s">
        <v>227</v>
      </c>
      <c r="T347" t="s">
        <v>165</v>
      </c>
      <c r="U347">
        <v>6.0279109873753831E-2</v>
      </c>
      <c r="V347" t="s">
        <v>166</v>
      </c>
    </row>
    <row r="348" spans="9:22" x14ac:dyDescent="0.45">
      <c r="I348" t="s">
        <v>182</v>
      </c>
      <c r="J348" t="s">
        <v>167</v>
      </c>
      <c r="K348">
        <v>3.454794985126379E-4</v>
      </c>
      <c r="L348" t="s">
        <v>166</v>
      </c>
      <c r="N348" t="s">
        <v>205</v>
      </c>
      <c r="O348" t="s">
        <v>167</v>
      </c>
      <c r="P348">
        <v>7.6729294962794735E-3</v>
      </c>
      <c r="Q348" t="s">
        <v>166</v>
      </c>
      <c r="S348" t="s">
        <v>227</v>
      </c>
      <c r="T348" t="s">
        <v>167</v>
      </c>
      <c r="U348">
        <v>7.8676314689579783E-3</v>
      </c>
      <c r="V348" t="s">
        <v>166</v>
      </c>
    </row>
    <row r="349" spans="9:22" x14ac:dyDescent="0.45">
      <c r="I349" t="s">
        <v>182</v>
      </c>
      <c r="J349" t="s">
        <v>168</v>
      </c>
      <c r="K349">
        <v>4.6282339718313449E-2</v>
      </c>
      <c r="L349" t="s">
        <v>166</v>
      </c>
      <c r="N349" t="s">
        <v>205</v>
      </c>
      <c r="O349" t="s">
        <v>168</v>
      </c>
      <c r="P349">
        <v>5.1475682160277862E-2</v>
      </c>
      <c r="Q349" t="s">
        <v>166</v>
      </c>
      <c r="S349" t="s">
        <v>227</v>
      </c>
      <c r="T349" t="s">
        <v>168</v>
      </c>
      <c r="U349">
        <v>5.1503496148311609E-2</v>
      </c>
      <c r="V349" t="s">
        <v>166</v>
      </c>
    </row>
    <row r="350" spans="9:22" x14ac:dyDescent="0.45">
      <c r="I350" t="s">
        <v>182</v>
      </c>
      <c r="J350" t="s">
        <v>247</v>
      </c>
      <c r="K350">
        <v>5.4346054491979014E-3</v>
      </c>
      <c r="L350" t="s">
        <v>166</v>
      </c>
      <c r="N350" t="s">
        <v>205</v>
      </c>
      <c r="O350" t="s">
        <v>247</v>
      </c>
      <c r="P350">
        <v>7.2418300576423981E-3</v>
      </c>
      <c r="Q350" t="s">
        <v>166</v>
      </c>
      <c r="S350" t="s">
        <v>227</v>
      </c>
      <c r="T350" t="s">
        <v>247</v>
      </c>
      <c r="U350">
        <v>7.0573362839620544E-3</v>
      </c>
      <c r="V350" t="s">
        <v>166</v>
      </c>
    </row>
    <row r="351" spans="9:22" x14ac:dyDescent="0.45">
      <c r="I351" t="s">
        <v>182</v>
      </c>
      <c r="J351" t="s">
        <v>248</v>
      </c>
      <c r="K351">
        <v>2.3191123072534227E-3</v>
      </c>
      <c r="L351" t="s">
        <v>166</v>
      </c>
      <c r="N351" t="s">
        <v>205</v>
      </c>
      <c r="O351" t="s">
        <v>248</v>
      </c>
      <c r="P351">
        <v>7.3610372397271764E-3</v>
      </c>
      <c r="Q351" t="s">
        <v>166</v>
      </c>
      <c r="S351" t="s">
        <v>227</v>
      </c>
      <c r="T351" t="s">
        <v>248</v>
      </c>
      <c r="U351">
        <v>7.2276429225955202E-3</v>
      </c>
      <c r="V351" t="s">
        <v>166</v>
      </c>
    </row>
    <row r="352" spans="9:22" x14ac:dyDescent="0.45">
      <c r="I352" t="s">
        <v>182</v>
      </c>
      <c r="J352" t="s">
        <v>249</v>
      </c>
      <c r="K352">
        <v>7.9485554775211043E-5</v>
      </c>
      <c r="L352" t="s">
        <v>166</v>
      </c>
      <c r="N352" t="s">
        <v>205</v>
      </c>
      <c r="O352" t="s">
        <v>249</v>
      </c>
      <c r="P352">
        <v>4.4282602612662113E-2</v>
      </c>
      <c r="Q352" t="s">
        <v>166</v>
      </c>
      <c r="S352" t="s">
        <v>227</v>
      </c>
      <c r="T352" t="s">
        <v>249</v>
      </c>
      <c r="U352">
        <v>4.4692880027869149E-2</v>
      </c>
      <c r="V352" t="s">
        <v>166</v>
      </c>
    </row>
    <row r="353" spans="9:22" x14ac:dyDescent="0.45">
      <c r="I353" t="s">
        <v>182</v>
      </c>
      <c r="J353" t="s">
        <v>169</v>
      </c>
      <c r="K353">
        <v>1.2750634532056886E-3</v>
      </c>
      <c r="L353" t="s">
        <v>166</v>
      </c>
      <c r="N353" t="s">
        <v>205</v>
      </c>
      <c r="O353" t="s">
        <v>169</v>
      </c>
      <c r="P353">
        <v>3.402510987460617E-2</v>
      </c>
      <c r="Q353" t="s">
        <v>166</v>
      </c>
      <c r="S353" t="s">
        <v>227</v>
      </c>
      <c r="T353" t="s">
        <v>169</v>
      </c>
      <c r="U353">
        <v>3.3783370202216015E-2</v>
      </c>
      <c r="V353" t="s">
        <v>166</v>
      </c>
    </row>
    <row r="354" spans="9:22" x14ac:dyDescent="0.45">
      <c r="I354" t="s">
        <v>182</v>
      </c>
      <c r="J354" t="s">
        <v>170</v>
      </c>
      <c r="K354">
        <v>5.3386802316775566E-3</v>
      </c>
      <c r="L354" t="s">
        <v>166</v>
      </c>
      <c r="N354" t="s">
        <v>205</v>
      </c>
      <c r="O354" t="s">
        <v>170</v>
      </c>
      <c r="P354">
        <v>3.810346949391264E-3</v>
      </c>
      <c r="Q354" t="s">
        <v>166</v>
      </c>
      <c r="S354" t="s">
        <v>227</v>
      </c>
      <c r="T354" t="s">
        <v>170</v>
      </c>
      <c r="U354">
        <v>4.1044177503498031E-3</v>
      </c>
      <c r="V354" t="s">
        <v>166</v>
      </c>
    </row>
    <row r="355" spans="9:22" x14ac:dyDescent="0.45">
      <c r="I355" t="s">
        <v>182</v>
      </c>
      <c r="J355" t="s">
        <v>171</v>
      </c>
      <c r="K355">
        <v>6.9017484293285414E-2</v>
      </c>
      <c r="L355" t="s">
        <v>166</v>
      </c>
      <c r="N355" t="s">
        <v>205</v>
      </c>
      <c r="O355" t="s">
        <v>171</v>
      </c>
      <c r="P355">
        <v>2.742963182184175E-2</v>
      </c>
      <c r="Q355" t="s">
        <v>166</v>
      </c>
      <c r="S355" t="s">
        <v>227</v>
      </c>
      <c r="T355" t="s">
        <v>171</v>
      </c>
      <c r="U355">
        <v>2.9665748954243825E-2</v>
      </c>
      <c r="V355" t="s">
        <v>166</v>
      </c>
    </row>
    <row r="356" spans="9:22" x14ac:dyDescent="0.45">
      <c r="I356" t="s">
        <v>182</v>
      </c>
      <c r="J356" t="s">
        <v>250</v>
      </c>
      <c r="K356">
        <v>8.5397814688868909E-3</v>
      </c>
      <c r="L356" t="s">
        <v>166</v>
      </c>
      <c r="N356" t="s">
        <v>205</v>
      </c>
      <c r="O356" t="s">
        <v>250</v>
      </c>
      <c r="P356">
        <v>4.3017198208747699E-3</v>
      </c>
      <c r="Q356" t="s">
        <v>166</v>
      </c>
      <c r="S356" t="s">
        <v>227</v>
      </c>
      <c r="T356" t="s">
        <v>250</v>
      </c>
      <c r="U356">
        <v>4.6607597033550326E-3</v>
      </c>
      <c r="V356" t="s">
        <v>166</v>
      </c>
    </row>
    <row r="357" spans="9:22" x14ac:dyDescent="0.45">
      <c r="I357" t="s">
        <v>182</v>
      </c>
      <c r="J357" t="s">
        <v>251</v>
      </c>
      <c r="K357">
        <v>6.04759629896451E-3</v>
      </c>
      <c r="L357" t="s">
        <v>166</v>
      </c>
      <c r="N357" t="s">
        <v>205</v>
      </c>
      <c r="O357" t="s">
        <v>251</v>
      </c>
      <c r="P357">
        <v>4.4353519698657421E-3</v>
      </c>
      <c r="Q357" t="s">
        <v>166</v>
      </c>
      <c r="S357" t="s">
        <v>227</v>
      </c>
      <c r="T357" t="s">
        <v>251</v>
      </c>
      <c r="U357">
        <v>4.6696413537321187E-3</v>
      </c>
      <c r="V357" t="s">
        <v>166</v>
      </c>
    </row>
    <row r="358" spans="9:22" x14ac:dyDescent="0.45">
      <c r="I358" t="s">
        <v>182</v>
      </c>
      <c r="J358" t="s">
        <v>252</v>
      </c>
      <c r="K358">
        <v>3.598810437413202E-3</v>
      </c>
      <c r="L358" t="s">
        <v>166</v>
      </c>
      <c r="N358" t="s">
        <v>205</v>
      </c>
      <c r="O358" t="s">
        <v>252</v>
      </c>
      <c r="P358">
        <v>2.8677356350407461E-2</v>
      </c>
      <c r="Q358" t="s">
        <v>166</v>
      </c>
      <c r="S358" t="s">
        <v>227</v>
      </c>
      <c r="T358" t="s">
        <v>252</v>
      </c>
      <c r="U358">
        <v>2.8690415645862971E-2</v>
      </c>
      <c r="V358" t="s">
        <v>166</v>
      </c>
    </row>
    <row r="359" spans="9:22" x14ac:dyDescent="0.45">
      <c r="I359" t="s">
        <v>182</v>
      </c>
      <c r="J359" t="s">
        <v>172</v>
      </c>
      <c r="K359">
        <v>7.8946890460066584E-3</v>
      </c>
      <c r="L359" t="s">
        <v>166</v>
      </c>
      <c r="N359" t="s">
        <v>205</v>
      </c>
      <c r="O359" t="s">
        <v>172</v>
      </c>
      <c r="P359">
        <v>2.3684152956117928E-2</v>
      </c>
      <c r="Q359" t="s">
        <v>166</v>
      </c>
      <c r="S359" t="s">
        <v>227</v>
      </c>
      <c r="T359" t="s">
        <v>172</v>
      </c>
      <c r="U359">
        <v>2.6112684870677753E-2</v>
      </c>
      <c r="V359" t="s">
        <v>166</v>
      </c>
    </row>
    <row r="360" spans="9:22" x14ac:dyDescent="0.45">
      <c r="I360" t="s">
        <v>182</v>
      </c>
      <c r="J360" t="s">
        <v>173</v>
      </c>
      <c r="K360">
        <v>8.2847875631423314E-3</v>
      </c>
      <c r="L360" t="s">
        <v>166</v>
      </c>
      <c r="N360" t="s">
        <v>205</v>
      </c>
      <c r="O360" t="s">
        <v>173</v>
      </c>
      <c r="P360">
        <v>2.575535296114533E-3</v>
      </c>
      <c r="Q360" t="s">
        <v>166</v>
      </c>
      <c r="S360" t="s">
        <v>227</v>
      </c>
      <c r="T360" t="s">
        <v>173</v>
      </c>
      <c r="U360">
        <v>3.0235731680871691E-3</v>
      </c>
      <c r="V360" t="s">
        <v>166</v>
      </c>
    </row>
    <row r="361" spans="9:22" x14ac:dyDescent="0.45">
      <c r="I361" t="s">
        <v>182</v>
      </c>
      <c r="J361" t="s">
        <v>174</v>
      </c>
      <c r="K361">
        <v>7.9351519019723593E-2</v>
      </c>
      <c r="L361" t="s">
        <v>166</v>
      </c>
      <c r="N361" t="s">
        <v>205</v>
      </c>
      <c r="O361" t="s">
        <v>174</v>
      </c>
      <c r="P361">
        <v>1.878322810199862E-2</v>
      </c>
      <c r="Q361" t="s">
        <v>166</v>
      </c>
      <c r="S361" t="s">
        <v>227</v>
      </c>
      <c r="T361" t="s">
        <v>174</v>
      </c>
      <c r="U361">
        <v>2.1712153714737593E-2</v>
      </c>
      <c r="V361" t="s">
        <v>166</v>
      </c>
    </row>
    <row r="362" spans="9:22" x14ac:dyDescent="0.45">
      <c r="I362" t="s">
        <v>182</v>
      </c>
      <c r="J362" t="s">
        <v>253</v>
      </c>
      <c r="K362">
        <v>1.025111147105646E-2</v>
      </c>
      <c r="L362" t="s">
        <v>166</v>
      </c>
      <c r="N362" t="s">
        <v>205</v>
      </c>
      <c r="O362" t="s">
        <v>253</v>
      </c>
      <c r="P362">
        <v>2.5497749701239689E-3</v>
      </c>
      <c r="Q362" t="s">
        <v>166</v>
      </c>
      <c r="S362" t="s">
        <v>227</v>
      </c>
      <c r="T362" t="s">
        <v>253</v>
      </c>
      <c r="U362">
        <v>3.0451876370076532E-3</v>
      </c>
      <c r="V362" t="s">
        <v>166</v>
      </c>
    </row>
    <row r="363" spans="9:22" x14ac:dyDescent="0.45">
      <c r="I363" t="s">
        <v>182</v>
      </c>
      <c r="J363" t="s">
        <v>254</v>
      </c>
      <c r="K363">
        <v>8.6370211240718708E-3</v>
      </c>
      <c r="L363" t="s">
        <v>166</v>
      </c>
      <c r="N363" t="s">
        <v>205</v>
      </c>
      <c r="O363" t="s">
        <v>254</v>
      </c>
      <c r="P363">
        <v>2.394980691090366E-3</v>
      </c>
      <c r="Q363" t="s">
        <v>166</v>
      </c>
      <c r="S363" t="s">
        <v>227</v>
      </c>
      <c r="T363" t="s">
        <v>254</v>
      </c>
      <c r="U363">
        <v>2.8150275775318655E-3</v>
      </c>
      <c r="V363" t="s">
        <v>166</v>
      </c>
    </row>
    <row r="364" spans="9:22" x14ac:dyDescent="0.45">
      <c r="I364" t="s">
        <v>182</v>
      </c>
      <c r="J364" t="s">
        <v>255</v>
      </c>
      <c r="K364">
        <v>9.8720174979633531E-3</v>
      </c>
      <c r="L364" t="s">
        <v>166</v>
      </c>
      <c r="N364" t="s">
        <v>205</v>
      </c>
      <c r="O364" t="s">
        <v>255</v>
      </c>
      <c r="P364">
        <v>1.8174087680402962E-2</v>
      </c>
      <c r="Q364" t="s">
        <v>166</v>
      </c>
      <c r="S364" t="s">
        <v>227</v>
      </c>
      <c r="T364" t="s">
        <v>255</v>
      </c>
      <c r="U364">
        <v>1.8239530619702814E-2</v>
      </c>
      <c r="V364" t="s">
        <v>166</v>
      </c>
    </row>
    <row r="365" spans="9:22" x14ac:dyDescent="0.45">
      <c r="I365" t="s">
        <v>182</v>
      </c>
      <c r="J365" t="s">
        <v>256</v>
      </c>
      <c r="K365">
        <v>1.2168310178907005E-2</v>
      </c>
      <c r="L365" t="s">
        <v>166</v>
      </c>
      <c r="N365" t="s">
        <v>205</v>
      </c>
      <c r="O365" t="s">
        <v>256</v>
      </c>
      <c r="P365">
        <v>1.924420557183042E-2</v>
      </c>
      <c r="Q365" t="s">
        <v>166</v>
      </c>
      <c r="S365" t="s">
        <v>227</v>
      </c>
      <c r="T365" t="s">
        <v>256</v>
      </c>
      <c r="U365">
        <v>2.0102617781280776E-2</v>
      </c>
      <c r="V365" t="s">
        <v>166</v>
      </c>
    </row>
    <row r="366" spans="9:22" x14ac:dyDescent="0.45">
      <c r="I366" t="s">
        <v>182</v>
      </c>
      <c r="J366" t="s">
        <v>257</v>
      </c>
      <c r="K366">
        <v>9.0620254417449302E-3</v>
      </c>
      <c r="L366" t="s">
        <v>166</v>
      </c>
      <c r="N366" t="s">
        <v>205</v>
      </c>
      <c r="O366" t="s">
        <v>257</v>
      </c>
      <c r="P366">
        <v>2.1264697589266205E-3</v>
      </c>
      <c r="Q366" t="s">
        <v>166</v>
      </c>
      <c r="S366" t="s">
        <v>227</v>
      </c>
      <c r="T366" t="s">
        <v>257</v>
      </c>
      <c r="U366">
        <v>2.1646160908938257E-3</v>
      </c>
      <c r="V366" t="s">
        <v>166</v>
      </c>
    </row>
    <row r="367" spans="9:22" x14ac:dyDescent="0.45">
      <c r="I367" t="s">
        <v>182</v>
      </c>
      <c r="J367" t="s">
        <v>258</v>
      </c>
      <c r="K367">
        <v>8.224536351742659E-2</v>
      </c>
      <c r="L367" t="s">
        <v>166</v>
      </c>
      <c r="N367" t="s">
        <v>205</v>
      </c>
      <c r="O367" t="s">
        <v>258</v>
      </c>
      <c r="P367">
        <v>1.6897257822469387E-2</v>
      </c>
      <c r="Q367" t="s">
        <v>166</v>
      </c>
      <c r="S367" t="s">
        <v>227</v>
      </c>
      <c r="T367" t="s">
        <v>258</v>
      </c>
      <c r="U367">
        <v>1.4693548715144155E-2</v>
      </c>
      <c r="V367" t="s">
        <v>166</v>
      </c>
    </row>
    <row r="368" spans="9:22" x14ac:dyDescent="0.45">
      <c r="I368" t="s">
        <v>182</v>
      </c>
      <c r="J368" t="s">
        <v>259</v>
      </c>
      <c r="K368">
        <v>1.0623125700394077E-2</v>
      </c>
      <c r="L368" t="s">
        <v>166</v>
      </c>
      <c r="N368" t="s">
        <v>205</v>
      </c>
      <c r="O368" t="s">
        <v>259</v>
      </c>
      <c r="P368">
        <v>2.4332190921476631E-3</v>
      </c>
      <c r="Q368" t="s">
        <v>166</v>
      </c>
      <c r="S368" t="s">
        <v>227</v>
      </c>
      <c r="T368" t="s">
        <v>259</v>
      </c>
      <c r="U368">
        <v>2.3726835871994531E-3</v>
      </c>
      <c r="V368" t="s">
        <v>166</v>
      </c>
    </row>
    <row r="369" spans="9:22" x14ac:dyDescent="0.45">
      <c r="I369" t="s">
        <v>182</v>
      </c>
      <c r="J369" t="s">
        <v>260</v>
      </c>
      <c r="K369">
        <v>8.9907860750258906E-3</v>
      </c>
      <c r="L369" t="s">
        <v>166</v>
      </c>
      <c r="N369" t="s">
        <v>205</v>
      </c>
      <c r="O369" t="s">
        <v>260</v>
      </c>
      <c r="P369">
        <v>2.1685887960557547E-3</v>
      </c>
      <c r="Q369" t="s">
        <v>166</v>
      </c>
      <c r="S369" t="s">
        <v>227</v>
      </c>
      <c r="T369" t="s">
        <v>260</v>
      </c>
      <c r="U369">
        <v>2.3070615249718126E-3</v>
      </c>
      <c r="V369" t="s">
        <v>166</v>
      </c>
    </row>
    <row r="370" spans="9:22" x14ac:dyDescent="0.45">
      <c r="I370" t="s">
        <v>182</v>
      </c>
      <c r="J370" t="s">
        <v>261</v>
      </c>
      <c r="K370">
        <v>1.2908216470361984E-2</v>
      </c>
      <c r="L370" t="s">
        <v>166</v>
      </c>
      <c r="N370" t="s">
        <v>205</v>
      </c>
      <c r="O370" t="s">
        <v>261</v>
      </c>
      <c r="P370">
        <v>1.36643201848408E-2</v>
      </c>
      <c r="Q370" t="s">
        <v>166</v>
      </c>
      <c r="S370" t="s">
        <v>227</v>
      </c>
      <c r="T370" t="s">
        <v>261</v>
      </c>
      <c r="U370">
        <v>1.6286464800630094E-2</v>
      </c>
      <c r="V370" t="s">
        <v>166</v>
      </c>
    </row>
    <row r="371" spans="9:22" x14ac:dyDescent="0.45">
      <c r="I371" t="s">
        <v>182</v>
      </c>
      <c r="J371" t="s">
        <v>262</v>
      </c>
      <c r="K371">
        <v>4.1207477512863466E-2</v>
      </c>
      <c r="L371" t="s">
        <v>166</v>
      </c>
      <c r="N371" t="s">
        <v>205</v>
      </c>
      <c r="O371" t="s">
        <v>262</v>
      </c>
      <c r="P371">
        <v>0.12148955877883079</v>
      </c>
      <c r="Q371" t="s">
        <v>166</v>
      </c>
      <c r="S371" t="s">
        <v>227</v>
      </c>
      <c r="T371" t="s">
        <v>262</v>
      </c>
      <c r="U371">
        <v>0.11747681748906993</v>
      </c>
      <c r="V371" t="s">
        <v>166</v>
      </c>
    </row>
    <row r="372" spans="9:22" x14ac:dyDescent="0.45">
      <c r="I372" t="s">
        <v>182</v>
      </c>
      <c r="J372" t="s">
        <v>263</v>
      </c>
      <c r="K372">
        <v>3.3934286161279047E-2</v>
      </c>
      <c r="L372" t="s">
        <v>166</v>
      </c>
      <c r="N372" t="s">
        <v>205</v>
      </c>
      <c r="O372" t="s">
        <v>263</v>
      </c>
      <c r="P372">
        <v>1.4359344801248577E-2</v>
      </c>
      <c r="Q372" t="s">
        <v>166</v>
      </c>
      <c r="S372" t="s">
        <v>227</v>
      </c>
      <c r="T372" t="s">
        <v>263</v>
      </c>
      <c r="U372">
        <v>1.4451118627085778E-2</v>
      </c>
      <c r="V372" t="s">
        <v>166</v>
      </c>
    </row>
    <row r="373" spans="9:22" x14ac:dyDescent="0.45">
      <c r="I373" t="s">
        <v>182</v>
      </c>
      <c r="J373" t="s">
        <v>264</v>
      </c>
      <c r="K373">
        <v>0.34969048089436516</v>
      </c>
      <c r="L373" t="s">
        <v>166</v>
      </c>
      <c r="N373" t="s">
        <v>205</v>
      </c>
      <c r="O373" t="s">
        <v>264</v>
      </c>
      <c r="P373">
        <v>0.10154018345569542</v>
      </c>
      <c r="Q373" t="s">
        <v>166</v>
      </c>
      <c r="S373" t="s">
        <v>227</v>
      </c>
      <c r="T373" t="s">
        <v>264</v>
      </c>
      <c r="U373">
        <v>9.8265453274211864E-2</v>
      </c>
      <c r="V373" t="s">
        <v>166</v>
      </c>
    </row>
    <row r="374" spans="9:22" x14ac:dyDescent="0.45">
      <c r="I374" t="s">
        <v>182</v>
      </c>
      <c r="J374" t="s">
        <v>265</v>
      </c>
      <c r="K374">
        <v>4.5052439968689531E-2</v>
      </c>
      <c r="L374" t="s">
        <v>166</v>
      </c>
      <c r="N374" t="s">
        <v>205</v>
      </c>
      <c r="O374" t="s">
        <v>265</v>
      </c>
      <c r="P374">
        <v>1.4421174888639202E-2</v>
      </c>
      <c r="Q374" t="s">
        <v>166</v>
      </c>
      <c r="S374" t="s">
        <v>227</v>
      </c>
      <c r="T374" t="s">
        <v>265</v>
      </c>
      <c r="U374">
        <v>1.4566768841985626E-2</v>
      </c>
      <c r="V374" t="s">
        <v>166</v>
      </c>
    </row>
    <row r="375" spans="9:22" x14ac:dyDescent="0.45">
      <c r="I375" t="s">
        <v>182</v>
      </c>
      <c r="J375" t="s">
        <v>266</v>
      </c>
      <c r="K375">
        <v>3.6547366920619585E-2</v>
      </c>
      <c r="L375" t="s">
        <v>166</v>
      </c>
      <c r="N375" t="s">
        <v>205</v>
      </c>
      <c r="O375" t="s">
        <v>266</v>
      </c>
      <c r="P375">
        <v>1.4087803023997484E-2</v>
      </c>
      <c r="Q375" t="s">
        <v>166</v>
      </c>
      <c r="S375" t="s">
        <v>227</v>
      </c>
      <c r="T375" t="s">
        <v>266</v>
      </c>
      <c r="U375">
        <v>1.447525825533896E-2</v>
      </c>
      <c r="V375" t="s">
        <v>166</v>
      </c>
    </row>
    <row r="376" spans="9:22" x14ac:dyDescent="0.45">
      <c r="I376" t="s">
        <v>182</v>
      </c>
      <c r="J376" t="s">
        <v>267</v>
      </c>
      <c r="K376">
        <v>4.9188555065939978E-2</v>
      </c>
      <c r="L376" t="s">
        <v>166</v>
      </c>
      <c r="N376" t="s">
        <v>205</v>
      </c>
      <c r="O376" t="s">
        <v>267</v>
      </c>
      <c r="P376">
        <v>9.5304628606940903E-2</v>
      </c>
      <c r="Q376" t="s">
        <v>166</v>
      </c>
      <c r="S376" t="s">
        <v>227</v>
      </c>
      <c r="T376" t="s">
        <v>267</v>
      </c>
      <c r="U376">
        <v>9.1580197382867587E-2</v>
      </c>
      <c r="V376" t="s">
        <v>166</v>
      </c>
    </row>
    <row r="377" spans="9:22" x14ac:dyDescent="0.45">
      <c r="I377" t="s">
        <v>182</v>
      </c>
      <c r="J377" t="s">
        <v>268</v>
      </c>
      <c r="K377">
        <v>0</v>
      </c>
      <c r="L377" t="s">
        <v>166</v>
      </c>
      <c r="N377" t="s">
        <v>205</v>
      </c>
      <c r="O377" t="s">
        <v>268</v>
      </c>
      <c r="P377">
        <v>3.2367894170504577E-2</v>
      </c>
      <c r="Q377" t="s">
        <v>166</v>
      </c>
      <c r="S377" t="s">
        <v>227</v>
      </c>
      <c r="T377" t="s">
        <v>268</v>
      </c>
      <c r="U377">
        <v>3.2125982168743746E-2</v>
      </c>
      <c r="V377" t="s">
        <v>166</v>
      </c>
    </row>
    <row r="378" spans="9:22" x14ac:dyDescent="0.45">
      <c r="I378" t="s">
        <v>182</v>
      </c>
      <c r="J378" t="s">
        <v>269</v>
      </c>
      <c r="K378">
        <v>1.7384373776916477E-5</v>
      </c>
      <c r="L378" t="s">
        <v>166</v>
      </c>
      <c r="N378" t="s">
        <v>205</v>
      </c>
      <c r="O378" t="s">
        <v>269</v>
      </c>
      <c r="P378">
        <v>4.0226160186735615E-3</v>
      </c>
      <c r="Q378" t="s">
        <v>166</v>
      </c>
      <c r="S378" t="s">
        <v>227</v>
      </c>
      <c r="T378" t="s">
        <v>269</v>
      </c>
      <c r="U378">
        <v>4.1302864517510415E-3</v>
      </c>
      <c r="V378" t="s">
        <v>166</v>
      </c>
    </row>
    <row r="379" spans="9:22" x14ac:dyDescent="0.45">
      <c r="I379" t="s">
        <v>182</v>
      </c>
      <c r="J379" t="s">
        <v>270</v>
      </c>
      <c r="K379">
        <v>2.2222753256024463E-2</v>
      </c>
      <c r="L379" t="s">
        <v>166</v>
      </c>
      <c r="N379" t="s">
        <v>205</v>
      </c>
      <c r="O379" t="s">
        <v>270</v>
      </c>
      <c r="P379">
        <v>2.4593904665023938E-2</v>
      </c>
      <c r="Q379" t="s">
        <v>166</v>
      </c>
      <c r="S379" t="s">
        <v>227</v>
      </c>
      <c r="T379" t="s">
        <v>270</v>
      </c>
      <c r="U379">
        <v>2.9106323999341613E-2</v>
      </c>
      <c r="V379" t="s">
        <v>166</v>
      </c>
    </row>
    <row r="380" spans="9:22" x14ac:dyDescent="0.45">
      <c r="I380" t="s">
        <v>182</v>
      </c>
      <c r="J380" t="s">
        <v>271</v>
      </c>
      <c r="K380">
        <v>1.8704881423207418E-3</v>
      </c>
      <c r="L380" t="s">
        <v>166</v>
      </c>
      <c r="N380" t="s">
        <v>205</v>
      </c>
      <c r="O380" t="s">
        <v>271</v>
      </c>
      <c r="P380">
        <v>3.3942134538919697E-3</v>
      </c>
      <c r="Q380" t="s">
        <v>166</v>
      </c>
      <c r="S380" t="s">
        <v>227</v>
      </c>
      <c r="T380" t="s">
        <v>271</v>
      </c>
      <c r="U380">
        <v>4.0455053493477586E-3</v>
      </c>
      <c r="V380" t="s">
        <v>166</v>
      </c>
    </row>
    <row r="381" spans="9:22" x14ac:dyDescent="0.45">
      <c r="I381" t="s">
        <v>182</v>
      </c>
      <c r="J381" t="s">
        <v>272</v>
      </c>
      <c r="K381">
        <v>0</v>
      </c>
      <c r="L381" t="s">
        <v>166</v>
      </c>
      <c r="N381" t="s">
        <v>205</v>
      </c>
      <c r="O381" t="s">
        <v>272</v>
      </c>
      <c r="P381">
        <v>3.4428064068849841E-3</v>
      </c>
      <c r="Q381" t="s">
        <v>166</v>
      </c>
      <c r="S381" t="s">
        <v>227</v>
      </c>
      <c r="T381" t="s">
        <v>272</v>
      </c>
      <c r="U381">
        <v>3.9997291822317536E-3</v>
      </c>
      <c r="V381" t="s">
        <v>166</v>
      </c>
    </row>
    <row r="382" spans="9:22" x14ac:dyDescent="0.45">
      <c r="I382" t="s">
        <v>182</v>
      </c>
      <c r="J382" t="s">
        <v>273</v>
      </c>
      <c r="K382">
        <v>0</v>
      </c>
      <c r="L382" t="s">
        <v>166</v>
      </c>
      <c r="N382" t="s">
        <v>205</v>
      </c>
      <c r="O382" t="s">
        <v>273</v>
      </c>
      <c r="P382">
        <v>2.1213842370398559E-2</v>
      </c>
      <c r="Q382" t="s">
        <v>166</v>
      </c>
      <c r="S382" t="s">
        <v>227</v>
      </c>
      <c r="T382" t="s">
        <v>273</v>
      </c>
      <c r="U382">
        <v>2.2853018229996813E-2</v>
      </c>
      <c r="V382" t="s">
        <v>166</v>
      </c>
    </row>
    <row r="383" spans="9:22" x14ac:dyDescent="0.45">
      <c r="I383" t="s">
        <v>182</v>
      </c>
      <c r="J383" t="s">
        <v>274</v>
      </c>
      <c r="K383">
        <v>0</v>
      </c>
      <c r="L383" t="s">
        <v>166</v>
      </c>
      <c r="N383" t="s">
        <v>205</v>
      </c>
      <c r="O383" t="s">
        <v>274</v>
      </c>
      <c r="P383">
        <v>4.9212239758780252E-2</v>
      </c>
      <c r="Q383" t="s">
        <v>166</v>
      </c>
      <c r="S383" t="s">
        <v>227</v>
      </c>
      <c r="T383" t="s">
        <v>274</v>
      </c>
      <c r="U383">
        <v>4.4207919742753572E-2</v>
      </c>
      <c r="V383" t="s">
        <v>166</v>
      </c>
    </row>
    <row r="384" spans="9:22" x14ac:dyDescent="0.45">
      <c r="I384" t="s">
        <v>182</v>
      </c>
      <c r="J384" t="s">
        <v>275</v>
      </c>
      <c r="K384">
        <v>0</v>
      </c>
      <c r="L384" t="s">
        <v>166</v>
      </c>
      <c r="N384" t="s">
        <v>205</v>
      </c>
      <c r="O384" t="s">
        <v>275</v>
      </c>
      <c r="P384">
        <v>6.5782039501819864E-3</v>
      </c>
      <c r="Q384" t="s">
        <v>166</v>
      </c>
      <c r="S384" t="s">
        <v>227</v>
      </c>
      <c r="T384" t="s">
        <v>275</v>
      </c>
      <c r="U384">
        <v>5.9480387582592229E-3</v>
      </c>
      <c r="V384" t="s">
        <v>166</v>
      </c>
    </row>
    <row r="385" spans="9:22" x14ac:dyDescent="0.45">
      <c r="I385" t="s">
        <v>182</v>
      </c>
      <c r="J385" t="s">
        <v>276</v>
      </c>
      <c r="K385">
        <v>1.1273933948029228E-2</v>
      </c>
      <c r="L385" t="s">
        <v>166</v>
      </c>
      <c r="N385" t="s">
        <v>205</v>
      </c>
      <c r="O385" t="s">
        <v>276</v>
      </c>
      <c r="P385">
        <v>4.06984762016947E-2</v>
      </c>
      <c r="Q385" t="s">
        <v>166</v>
      </c>
      <c r="S385" t="s">
        <v>227</v>
      </c>
      <c r="T385" t="s">
        <v>276</v>
      </c>
      <c r="U385">
        <v>4.0219959009577276E-2</v>
      </c>
      <c r="V385" t="s">
        <v>166</v>
      </c>
    </row>
    <row r="386" spans="9:22" x14ac:dyDescent="0.45">
      <c r="I386" t="s">
        <v>182</v>
      </c>
      <c r="J386" t="s">
        <v>277</v>
      </c>
      <c r="K386">
        <v>4.2742193877718813E-4</v>
      </c>
      <c r="L386" t="s">
        <v>166</v>
      </c>
      <c r="N386" t="s">
        <v>205</v>
      </c>
      <c r="O386" t="s">
        <v>277</v>
      </c>
      <c r="P386">
        <v>5.7475114820809544E-3</v>
      </c>
      <c r="Q386" t="s">
        <v>166</v>
      </c>
      <c r="S386" t="s">
        <v>227</v>
      </c>
      <c r="T386" t="s">
        <v>277</v>
      </c>
      <c r="U386">
        <v>5.5450736542427392E-3</v>
      </c>
      <c r="V386" t="s">
        <v>166</v>
      </c>
    </row>
    <row r="387" spans="9:22" x14ac:dyDescent="0.45">
      <c r="I387" t="s">
        <v>182</v>
      </c>
      <c r="J387" t="s">
        <v>278</v>
      </c>
      <c r="K387">
        <v>0</v>
      </c>
      <c r="L387" t="s">
        <v>166</v>
      </c>
      <c r="N387" t="s">
        <v>205</v>
      </c>
      <c r="O387" t="s">
        <v>278</v>
      </c>
      <c r="P387">
        <v>5.7960170618106006E-3</v>
      </c>
      <c r="Q387" t="s">
        <v>166</v>
      </c>
      <c r="S387" t="s">
        <v>227</v>
      </c>
      <c r="T387" t="s">
        <v>278</v>
      </c>
      <c r="U387">
        <v>5.7172116871427783E-3</v>
      </c>
      <c r="V387" t="s">
        <v>166</v>
      </c>
    </row>
    <row r="388" spans="9:22" x14ac:dyDescent="0.45">
      <c r="I388" t="s">
        <v>182</v>
      </c>
      <c r="J388" t="s">
        <v>279</v>
      </c>
      <c r="K388">
        <v>0</v>
      </c>
      <c r="L388" t="s">
        <v>166</v>
      </c>
      <c r="N388" t="s">
        <v>205</v>
      </c>
      <c r="O388" t="s">
        <v>279</v>
      </c>
      <c r="P388">
        <v>3.5073511904521196E-2</v>
      </c>
      <c r="Q388" t="s">
        <v>166</v>
      </c>
      <c r="S388" t="s">
        <v>227</v>
      </c>
      <c r="T388" t="s">
        <v>279</v>
      </c>
      <c r="U388">
        <v>3.4207737472974814E-2</v>
      </c>
      <c r="V388" t="s">
        <v>166</v>
      </c>
    </row>
    <row r="389" spans="9:22" x14ac:dyDescent="0.45">
      <c r="I389" t="s">
        <v>183</v>
      </c>
      <c r="J389" t="s">
        <v>165</v>
      </c>
      <c r="K389">
        <v>0</v>
      </c>
      <c r="L389" t="s">
        <v>166</v>
      </c>
      <c r="N389" t="s">
        <v>206</v>
      </c>
      <c r="O389" t="s">
        <v>165</v>
      </c>
      <c r="P389">
        <v>6.3453094038516178E-2</v>
      </c>
      <c r="Q389" t="s">
        <v>166</v>
      </c>
      <c r="S389" t="s">
        <v>228</v>
      </c>
      <c r="T389" t="s">
        <v>165</v>
      </c>
      <c r="U389">
        <v>6.2098357977604692E-2</v>
      </c>
      <c r="V389" t="s">
        <v>166</v>
      </c>
    </row>
    <row r="390" spans="9:22" x14ac:dyDescent="0.45">
      <c r="I390" t="s">
        <v>183</v>
      </c>
      <c r="J390" t="s">
        <v>167</v>
      </c>
      <c r="K390">
        <v>2.0857265641179313E-4</v>
      </c>
      <c r="L390" t="s">
        <v>166</v>
      </c>
      <c r="N390" t="s">
        <v>206</v>
      </c>
      <c r="O390" t="s">
        <v>167</v>
      </c>
      <c r="P390">
        <v>7.9229868477833261E-3</v>
      </c>
      <c r="Q390" t="s">
        <v>166</v>
      </c>
      <c r="S390" t="s">
        <v>228</v>
      </c>
      <c r="T390" t="s">
        <v>167</v>
      </c>
      <c r="U390">
        <v>7.6336086755995408E-3</v>
      </c>
      <c r="V390" t="s">
        <v>166</v>
      </c>
    </row>
    <row r="391" spans="9:22" x14ac:dyDescent="0.45">
      <c r="I391" t="s">
        <v>183</v>
      </c>
      <c r="J391" t="s">
        <v>168</v>
      </c>
      <c r="K391">
        <v>5.5351318394365912E-2</v>
      </c>
      <c r="L391" t="s">
        <v>166</v>
      </c>
      <c r="N391" t="s">
        <v>206</v>
      </c>
      <c r="O391" t="s">
        <v>168</v>
      </c>
      <c r="P391">
        <v>5.5848262252810275E-2</v>
      </c>
      <c r="Q391" t="s">
        <v>166</v>
      </c>
      <c r="S391" t="s">
        <v>228</v>
      </c>
      <c r="T391" t="s">
        <v>168</v>
      </c>
      <c r="U391">
        <v>4.9968900994825621E-2</v>
      </c>
      <c r="V391" t="s">
        <v>166</v>
      </c>
    </row>
    <row r="392" spans="9:22" x14ac:dyDescent="0.45">
      <c r="I392" t="s">
        <v>183</v>
      </c>
      <c r="J392" t="s">
        <v>247</v>
      </c>
      <c r="K392">
        <v>5.4294002764658893E-3</v>
      </c>
      <c r="L392" t="s">
        <v>166</v>
      </c>
      <c r="N392" t="s">
        <v>206</v>
      </c>
      <c r="O392" t="s">
        <v>247</v>
      </c>
      <c r="P392">
        <v>7.5368258111818713E-3</v>
      </c>
      <c r="Q392" t="s">
        <v>166</v>
      </c>
      <c r="S392" t="s">
        <v>228</v>
      </c>
      <c r="T392" t="s">
        <v>247</v>
      </c>
      <c r="U392">
        <v>7.1412407379638368E-3</v>
      </c>
      <c r="V392" t="s">
        <v>166</v>
      </c>
    </row>
    <row r="393" spans="9:22" x14ac:dyDescent="0.45">
      <c r="I393" t="s">
        <v>183</v>
      </c>
      <c r="J393" t="s">
        <v>248</v>
      </c>
      <c r="K393">
        <v>2.3790455592861259E-3</v>
      </c>
      <c r="L393" t="s">
        <v>166</v>
      </c>
      <c r="N393" t="s">
        <v>206</v>
      </c>
      <c r="O393" t="s">
        <v>248</v>
      </c>
      <c r="P393">
        <v>7.7119558075712741E-3</v>
      </c>
      <c r="Q393" t="s">
        <v>166</v>
      </c>
      <c r="S393" t="s">
        <v>228</v>
      </c>
      <c r="T393" t="s">
        <v>248</v>
      </c>
      <c r="U393">
        <v>7.2783351103321951E-3</v>
      </c>
      <c r="V393" t="s">
        <v>166</v>
      </c>
    </row>
    <row r="394" spans="9:22" x14ac:dyDescent="0.45">
      <c r="I394" t="s">
        <v>183</v>
      </c>
      <c r="J394" t="s">
        <v>249</v>
      </c>
      <c r="K394">
        <v>7.6748325010273893E-5</v>
      </c>
      <c r="L394" t="s">
        <v>166</v>
      </c>
      <c r="N394" t="s">
        <v>206</v>
      </c>
      <c r="O394" t="s">
        <v>249</v>
      </c>
      <c r="P394">
        <v>4.5760014217165454E-2</v>
      </c>
      <c r="Q394" t="s">
        <v>166</v>
      </c>
      <c r="S394" t="s">
        <v>228</v>
      </c>
      <c r="T394" t="s">
        <v>249</v>
      </c>
      <c r="U394">
        <v>4.4061920068263434E-2</v>
      </c>
      <c r="V394" t="s">
        <v>166</v>
      </c>
    </row>
    <row r="395" spans="9:22" x14ac:dyDescent="0.45">
      <c r="I395" t="s">
        <v>183</v>
      </c>
      <c r="J395" t="s">
        <v>169</v>
      </c>
      <c r="K395">
        <v>1.0946408972844813E-3</v>
      </c>
      <c r="L395" t="s">
        <v>166</v>
      </c>
      <c r="N395" t="s">
        <v>206</v>
      </c>
      <c r="O395" t="s">
        <v>169</v>
      </c>
      <c r="P395">
        <v>2.8129094428837483E-2</v>
      </c>
      <c r="Q395" t="s">
        <v>166</v>
      </c>
      <c r="S395" t="s">
        <v>228</v>
      </c>
      <c r="T395" t="s">
        <v>169</v>
      </c>
      <c r="U395">
        <v>3.4860603441006902E-2</v>
      </c>
      <c r="V395" t="s">
        <v>166</v>
      </c>
    </row>
    <row r="396" spans="9:22" x14ac:dyDescent="0.45">
      <c r="I396" t="s">
        <v>183</v>
      </c>
      <c r="J396" t="s">
        <v>170</v>
      </c>
      <c r="K396">
        <v>4.2362215317940663E-3</v>
      </c>
      <c r="L396" t="s">
        <v>166</v>
      </c>
      <c r="N396" t="s">
        <v>206</v>
      </c>
      <c r="O396" t="s">
        <v>170</v>
      </c>
      <c r="P396">
        <v>3.2997109863769428E-3</v>
      </c>
      <c r="Q396" t="s">
        <v>166</v>
      </c>
      <c r="S396" t="s">
        <v>228</v>
      </c>
      <c r="T396" t="s">
        <v>170</v>
      </c>
      <c r="U396">
        <v>3.9661612227048955E-3</v>
      </c>
      <c r="V396" t="s">
        <v>166</v>
      </c>
    </row>
    <row r="397" spans="9:22" x14ac:dyDescent="0.45">
      <c r="I397" t="s">
        <v>183</v>
      </c>
      <c r="J397" t="s">
        <v>171</v>
      </c>
      <c r="K397">
        <v>6.7213491922356816E-2</v>
      </c>
      <c r="L397" t="s">
        <v>166</v>
      </c>
      <c r="N397" t="s">
        <v>206</v>
      </c>
      <c r="O397" t="s">
        <v>171</v>
      </c>
      <c r="P397">
        <v>2.2859083009723113E-2</v>
      </c>
      <c r="Q397" t="s">
        <v>166</v>
      </c>
      <c r="S397" t="s">
        <v>228</v>
      </c>
      <c r="T397" t="s">
        <v>171</v>
      </c>
      <c r="U397">
        <v>2.8800735985325648E-2</v>
      </c>
      <c r="V397" t="s">
        <v>166</v>
      </c>
    </row>
    <row r="398" spans="9:22" x14ac:dyDescent="0.45">
      <c r="I398" t="s">
        <v>183</v>
      </c>
      <c r="J398" t="s">
        <v>250</v>
      </c>
      <c r="K398">
        <v>7.9225227947341409E-3</v>
      </c>
      <c r="L398" t="s">
        <v>166</v>
      </c>
      <c r="N398" t="s">
        <v>206</v>
      </c>
      <c r="O398" t="s">
        <v>250</v>
      </c>
      <c r="P398">
        <v>3.7808376279074422E-3</v>
      </c>
      <c r="Q398" t="s">
        <v>166</v>
      </c>
      <c r="S398" t="s">
        <v>228</v>
      </c>
      <c r="T398" t="s">
        <v>250</v>
      </c>
      <c r="U398">
        <v>4.5432877895210857E-3</v>
      </c>
      <c r="V398" t="s">
        <v>166</v>
      </c>
    </row>
    <row r="399" spans="9:22" x14ac:dyDescent="0.45">
      <c r="I399" t="s">
        <v>183</v>
      </c>
      <c r="J399" t="s">
        <v>251</v>
      </c>
      <c r="K399">
        <v>5.7763105563894135E-3</v>
      </c>
      <c r="L399" t="s">
        <v>166</v>
      </c>
      <c r="N399" t="s">
        <v>206</v>
      </c>
      <c r="O399" t="s">
        <v>251</v>
      </c>
      <c r="P399">
        <v>3.8353513104728391E-3</v>
      </c>
      <c r="Q399" t="s">
        <v>166</v>
      </c>
      <c r="S399" t="s">
        <v>228</v>
      </c>
      <c r="T399" t="s">
        <v>251</v>
      </c>
      <c r="U399">
        <v>4.5956845068206549E-3</v>
      </c>
      <c r="V399" t="s">
        <v>166</v>
      </c>
    </row>
    <row r="400" spans="9:22" x14ac:dyDescent="0.45">
      <c r="I400" t="s">
        <v>183</v>
      </c>
      <c r="J400" t="s">
        <v>252</v>
      </c>
      <c r="K400">
        <v>3.3116117153478984E-3</v>
      </c>
      <c r="L400" t="s">
        <v>166</v>
      </c>
      <c r="N400" t="s">
        <v>206</v>
      </c>
      <c r="O400" t="s">
        <v>252</v>
      </c>
      <c r="P400">
        <v>2.3997049416360269E-2</v>
      </c>
      <c r="Q400" t="s">
        <v>166</v>
      </c>
      <c r="S400" t="s">
        <v>228</v>
      </c>
      <c r="T400" t="s">
        <v>252</v>
      </c>
      <c r="U400">
        <v>3.0100942372348002E-2</v>
      </c>
      <c r="V400" t="s">
        <v>166</v>
      </c>
    </row>
    <row r="401" spans="9:22" x14ac:dyDescent="0.45">
      <c r="I401" t="s">
        <v>183</v>
      </c>
      <c r="J401" t="s">
        <v>172</v>
      </c>
      <c r="K401">
        <v>5.8907640946850972E-3</v>
      </c>
      <c r="L401" t="s">
        <v>166</v>
      </c>
      <c r="N401" t="s">
        <v>206</v>
      </c>
      <c r="O401" t="s">
        <v>172</v>
      </c>
      <c r="P401">
        <v>2.0327253231154873E-2</v>
      </c>
      <c r="Q401" t="s">
        <v>166</v>
      </c>
      <c r="S401" t="s">
        <v>228</v>
      </c>
      <c r="T401" t="s">
        <v>172</v>
      </c>
      <c r="U401">
        <v>2.4825035100777746E-2</v>
      </c>
      <c r="V401" t="s">
        <v>166</v>
      </c>
    </row>
    <row r="402" spans="9:22" x14ac:dyDescent="0.45">
      <c r="I402" t="s">
        <v>183</v>
      </c>
      <c r="J402" t="s">
        <v>173</v>
      </c>
      <c r="K402">
        <v>6.8014295415802896E-3</v>
      </c>
      <c r="L402" t="s">
        <v>166</v>
      </c>
      <c r="N402" t="s">
        <v>206</v>
      </c>
      <c r="O402" t="s">
        <v>173</v>
      </c>
      <c r="P402">
        <v>2.3190496234657895E-3</v>
      </c>
      <c r="Q402" t="s">
        <v>166</v>
      </c>
      <c r="S402" t="s">
        <v>228</v>
      </c>
      <c r="T402" t="s">
        <v>173</v>
      </c>
      <c r="U402">
        <v>2.7516687583457552E-3</v>
      </c>
      <c r="V402" t="s">
        <v>166</v>
      </c>
    </row>
    <row r="403" spans="9:22" x14ac:dyDescent="0.45">
      <c r="I403" t="s">
        <v>183</v>
      </c>
      <c r="J403" t="s">
        <v>174</v>
      </c>
      <c r="K403">
        <v>7.0547533984877078E-2</v>
      </c>
      <c r="L403" t="s">
        <v>166</v>
      </c>
      <c r="N403" t="s">
        <v>206</v>
      </c>
      <c r="O403" t="s">
        <v>174</v>
      </c>
      <c r="P403">
        <v>1.6170442105330255E-2</v>
      </c>
      <c r="Q403" t="s">
        <v>166</v>
      </c>
      <c r="S403" t="s">
        <v>228</v>
      </c>
      <c r="T403" t="s">
        <v>174</v>
      </c>
      <c r="U403">
        <v>2.1215568410883956E-2</v>
      </c>
      <c r="V403" t="s">
        <v>166</v>
      </c>
    </row>
    <row r="404" spans="9:22" x14ac:dyDescent="0.45">
      <c r="I404" t="s">
        <v>183</v>
      </c>
      <c r="J404" t="s">
        <v>253</v>
      </c>
      <c r="K404">
        <v>7.8859354253014522E-3</v>
      </c>
      <c r="L404" t="s">
        <v>166</v>
      </c>
      <c r="N404" t="s">
        <v>206</v>
      </c>
      <c r="O404" t="s">
        <v>253</v>
      </c>
      <c r="P404">
        <v>2.2492168881581894E-3</v>
      </c>
      <c r="Q404" t="s">
        <v>166</v>
      </c>
      <c r="S404" t="s">
        <v>228</v>
      </c>
      <c r="T404" t="s">
        <v>253</v>
      </c>
      <c r="U404">
        <v>2.8833072883892408E-3</v>
      </c>
      <c r="V404" t="s">
        <v>166</v>
      </c>
    </row>
    <row r="405" spans="9:22" x14ac:dyDescent="0.45">
      <c r="I405" t="s">
        <v>183</v>
      </c>
      <c r="J405" t="s">
        <v>254</v>
      </c>
      <c r="K405">
        <v>6.0101827028327288E-3</v>
      </c>
      <c r="L405" t="s">
        <v>166</v>
      </c>
      <c r="N405" t="s">
        <v>206</v>
      </c>
      <c r="O405" t="s">
        <v>254</v>
      </c>
      <c r="P405">
        <v>2.1918185656301828E-3</v>
      </c>
      <c r="Q405" t="s">
        <v>166</v>
      </c>
      <c r="S405" t="s">
        <v>228</v>
      </c>
      <c r="T405" t="s">
        <v>254</v>
      </c>
      <c r="U405">
        <v>2.4825894776272796E-3</v>
      </c>
      <c r="V405" t="s">
        <v>166</v>
      </c>
    </row>
    <row r="406" spans="9:22" x14ac:dyDescent="0.45">
      <c r="I406" t="s">
        <v>183</v>
      </c>
      <c r="J406" t="s">
        <v>255</v>
      </c>
      <c r="K406">
        <v>6.0636950740413443E-3</v>
      </c>
      <c r="L406" t="s">
        <v>166</v>
      </c>
      <c r="N406" t="s">
        <v>206</v>
      </c>
      <c r="O406" t="s">
        <v>255</v>
      </c>
      <c r="P406">
        <v>1.5413951600964475E-2</v>
      </c>
      <c r="Q406" t="s">
        <v>166</v>
      </c>
      <c r="S406" t="s">
        <v>228</v>
      </c>
      <c r="T406" t="s">
        <v>255</v>
      </c>
      <c r="U406">
        <v>1.6478458182097335E-2</v>
      </c>
      <c r="V406" t="s">
        <v>166</v>
      </c>
    </row>
    <row r="407" spans="9:22" x14ac:dyDescent="0.45">
      <c r="I407" t="s">
        <v>183</v>
      </c>
      <c r="J407" t="s">
        <v>256</v>
      </c>
      <c r="K407">
        <v>1.0297215948547012E-2</v>
      </c>
      <c r="L407" t="s">
        <v>166</v>
      </c>
      <c r="N407" t="s">
        <v>206</v>
      </c>
      <c r="O407" t="s">
        <v>256</v>
      </c>
      <c r="P407">
        <v>2.0575087017132856E-2</v>
      </c>
      <c r="Q407" t="s">
        <v>166</v>
      </c>
      <c r="S407" t="s">
        <v>228</v>
      </c>
      <c r="T407" t="s">
        <v>256</v>
      </c>
      <c r="U407">
        <v>1.8287424380554525E-2</v>
      </c>
      <c r="V407" t="s">
        <v>166</v>
      </c>
    </row>
    <row r="408" spans="9:22" x14ac:dyDescent="0.45">
      <c r="I408" t="s">
        <v>183</v>
      </c>
      <c r="J408" t="s">
        <v>257</v>
      </c>
      <c r="K408">
        <v>8.2042145121608082E-3</v>
      </c>
      <c r="L408" t="s">
        <v>166</v>
      </c>
      <c r="N408" t="s">
        <v>206</v>
      </c>
      <c r="O408" t="s">
        <v>257</v>
      </c>
      <c r="P408">
        <v>2.5603234236552422E-3</v>
      </c>
      <c r="Q408" t="s">
        <v>166</v>
      </c>
      <c r="S408" t="s">
        <v>228</v>
      </c>
      <c r="T408" t="s">
        <v>257</v>
      </c>
      <c r="U408">
        <v>1.9716701230999083E-3</v>
      </c>
      <c r="V408" t="s">
        <v>166</v>
      </c>
    </row>
    <row r="409" spans="9:22" x14ac:dyDescent="0.45">
      <c r="I409" t="s">
        <v>183</v>
      </c>
      <c r="J409" t="s">
        <v>258</v>
      </c>
      <c r="K409">
        <v>7.0665238619684323E-2</v>
      </c>
      <c r="L409" t="s">
        <v>166</v>
      </c>
      <c r="N409" t="s">
        <v>206</v>
      </c>
      <c r="O409" t="s">
        <v>258</v>
      </c>
      <c r="P409">
        <v>1.9601530664855385E-2</v>
      </c>
      <c r="Q409" t="s">
        <v>166</v>
      </c>
      <c r="S409" t="s">
        <v>228</v>
      </c>
      <c r="T409" t="s">
        <v>258</v>
      </c>
      <c r="U409">
        <v>1.5278064341355655E-2</v>
      </c>
      <c r="V409" t="s">
        <v>166</v>
      </c>
    </row>
    <row r="410" spans="9:22" x14ac:dyDescent="0.45">
      <c r="I410" t="s">
        <v>183</v>
      </c>
      <c r="J410" t="s">
        <v>259</v>
      </c>
      <c r="K410">
        <v>7.9074661272453863E-3</v>
      </c>
      <c r="L410" t="s">
        <v>166</v>
      </c>
      <c r="N410" t="s">
        <v>206</v>
      </c>
      <c r="O410" t="s">
        <v>259</v>
      </c>
      <c r="P410">
        <v>2.7369774137181776E-3</v>
      </c>
      <c r="Q410" t="s">
        <v>166</v>
      </c>
      <c r="S410" t="s">
        <v>228</v>
      </c>
      <c r="T410" t="s">
        <v>259</v>
      </c>
      <c r="U410">
        <v>2.5395968858792821E-3</v>
      </c>
      <c r="V410" t="s">
        <v>166</v>
      </c>
    </row>
    <row r="411" spans="9:22" x14ac:dyDescent="0.45">
      <c r="I411" t="s">
        <v>183</v>
      </c>
      <c r="J411" t="s">
        <v>260</v>
      </c>
      <c r="K411">
        <v>6.1944217345249481E-3</v>
      </c>
      <c r="L411" t="s">
        <v>166</v>
      </c>
      <c r="N411" t="s">
        <v>206</v>
      </c>
      <c r="O411" t="s">
        <v>260</v>
      </c>
      <c r="P411">
        <v>2.3855640163490499E-3</v>
      </c>
      <c r="Q411" t="s">
        <v>166</v>
      </c>
      <c r="S411" t="s">
        <v>228</v>
      </c>
      <c r="T411" t="s">
        <v>260</v>
      </c>
      <c r="U411">
        <v>2.3946510091428373E-3</v>
      </c>
      <c r="V411" t="s">
        <v>166</v>
      </c>
    </row>
    <row r="412" spans="9:22" x14ac:dyDescent="0.45">
      <c r="I412" t="s">
        <v>183</v>
      </c>
      <c r="J412" t="s">
        <v>261</v>
      </c>
      <c r="K412">
        <v>7.8876994084561818E-3</v>
      </c>
      <c r="L412" t="s">
        <v>166</v>
      </c>
      <c r="N412" t="s">
        <v>206</v>
      </c>
      <c r="O412" t="s">
        <v>261</v>
      </c>
      <c r="P412">
        <v>1.5080215629828402E-2</v>
      </c>
      <c r="Q412" t="s">
        <v>166</v>
      </c>
      <c r="S412" t="s">
        <v>228</v>
      </c>
      <c r="T412" t="s">
        <v>261</v>
      </c>
      <c r="U412">
        <v>1.5159543894490039E-2</v>
      </c>
      <c r="V412" t="s">
        <v>166</v>
      </c>
    </row>
    <row r="413" spans="9:22" x14ac:dyDescent="0.45">
      <c r="I413" t="s">
        <v>183</v>
      </c>
      <c r="J413" t="s">
        <v>262</v>
      </c>
      <c r="K413">
        <v>4.2045406993997843E-2</v>
      </c>
      <c r="L413" t="s">
        <v>166</v>
      </c>
      <c r="N413" t="s">
        <v>206</v>
      </c>
      <c r="O413" t="s">
        <v>262</v>
      </c>
      <c r="P413">
        <v>0.11680563801522598</v>
      </c>
      <c r="Q413" t="s">
        <v>166</v>
      </c>
      <c r="S413" t="s">
        <v>228</v>
      </c>
      <c r="T413" t="s">
        <v>262</v>
      </c>
      <c r="U413">
        <v>0.1158150427352099</v>
      </c>
      <c r="V413" t="s">
        <v>166</v>
      </c>
    </row>
    <row r="414" spans="9:22" x14ac:dyDescent="0.45">
      <c r="I414" t="s">
        <v>183</v>
      </c>
      <c r="J414" t="s">
        <v>263</v>
      </c>
      <c r="K414">
        <v>3.8618386405492679E-2</v>
      </c>
      <c r="L414" t="s">
        <v>166</v>
      </c>
      <c r="N414" t="s">
        <v>206</v>
      </c>
      <c r="O414" t="s">
        <v>263</v>
      </c>
      <c r="P414">
        <v>1.4179374265637376E-2</v>
      </c>
      <c r="Q414" t="s">
        <v>166</v>
      </c>
      <c r="S414" t="s">
        <v>228</v>
      </c>
      <c r="T414" t="s">
        <v>263</v>
      </c>
      <c r="U414">
        <v>1.4391032961250882E-2</v>
      </c>
      <c r="V414" t="s">
        <v>166</v>
      </c>
    </row>
    <row r="415" spans="9:22" x14ac:dyDescent="0.45">
      <c r="I415" t="s">
        <v>183</v>
      </c>
      <c r="J415" t="s">
        <v>264</v>
      </c>
      <c r="K415">
        <v>0.37864061724200904</v>
      </c>
      <c r="L415" t="s">
        <v>166</v>
      </c>
      <c r="N415" t="s">
        <v>206</v>
      </c>
      <c r="O415" t="s">
        <v>264</v>
      </c>
      <c r="P415">
        <v>0.10106268129758203</v>
      </c>
      <c r="Q415" t="s">
        <v>166</v>
      </c>
      <c r="S415" t="s">
        <v>228</v>
      </c>
      <c r="T415" t="s">
        <v>264</v>
      </c>
      <c r="U415">
        <v>9.7722670599509287E-2</v>
      </c>
      <c r="V415" t="s">
        <v>166</v>
      </c>
    </row>
    <row r="416" spans="9:22" x14ac:dyDescent="0.45">
      <c r="I416" t="s">
        <v>183</v>
      </c>
      <c r="J416" t="s">
        <v>265</v>
      </c>
      <c r="K416">
        <v>4.3521162881849214E-2</v>
      </c>
      <c r="L416" t="s">
        <v>166</v>
      </c>
      <c r="N416" t="s">
        <v>206</v>
      </c>
      <c r="O416" t="s">
        <v>265</v>
      </c>
      <c r="P416">
        <v>1.4630088652254344E-2</v>
      </c>
      <c r="Q416" t="s">
        <v>166</v>
      </c>
      <c r="S416" t="s">
        <v>228</v>
      </c>
      <c r="T416" t="s">
        <v>265</v>
      </c>
      <c r="U416">
        <v>1.4145545932742946E-2</v>
      </c>
      <c r="V416" t="s">
        <v>166</v>
      </c>
    </row>
    <row r="417" spans="9:22" x14ac:dyDescent="0.45">
      <c r="I417" t="s">
        <v>183</v>
      </c>
      <c r="J417" t="s">
        <v>266</v>
      </c>
      <c r="K417">
        <v>3.4937180423679694E-2</v>
      </c>
      <c r="L417" t="s">
        <v>166</v>
      </c>
      <c r="N417" t="s">
        <v>206</v>
      </c>
      <c r="O417" t="s">
        <v>266</v>
      </c>
      <c r="P417">
        <v>1.4013301963787193E-2</v>
      </c>
      <c r="Q417" t="s">
        <v>166</v>
      </c>
      <c r="S417" t="s">
        <v>228</v>
      </c>
      <c r="T417" t="s">
        <v>266</v>
      </c>
      <c r="U417">
        <v>1.4004654884587193E-2</v>
      </c>
      <c r="V417" t="s">
        <v>166</v>
      </c>
    </row>
    <row r="418" spans="9:22" x14ac:dyDescent="0.45">
      <c r="I418" t="s">
        <v>183</v>
      </c>
      <c r="J418" t="s">
        <v>267</v>
      </c>
      <c r="K418">
        <v>4.399278575696923E-2</v>
      </c>
      <c r="L418" t="s">
        <v>166</v>
      </c>
      <c r="N418" t="s">
        <v>206</v>
      </c>
      <c r="O418" t="s">
        <v>267</v>
      </c>
      <c r="P418">
        <v>9.0227315331215516E-2</v>
      </c>
      <c r="Q418" t="s">
        <v>166</v>
      </c>
      <c r="S418" t="s">
        <v>228</v>
      </c>
      <c r="T418" t="s">
        <v>267</v>
      </c>
      <c r="U418">
        <v>9.2398133600855067E-2</v>
      </c>
      <c r="V418" t="s">
        <v>166</v>
      </c>
    </row>
    <row r="419" spans="9:22" x14ac:dyDescent="0.45">
      <c r="I419" t="s">
        <v>183</v>
      </c>
      <c r="J419" t="s">
        <v>268</v>
      </c>
      <c r="K419">
        <v>0</v>
      </c>
      <c r="L419" t="s">
        <v>166</v>
      </c>
      <c r="N419" t="s">
        <v>206</v>
      </c>
      <c r="O419" t="s">
        <v>268</v>
      </c>
      <c r="P419">
        <v>3.558377201834504E-2</v>
      </c>
      <c r="Q419" t="s">
        <v>166</v>
      </c>
      <c r="S419" t="s">
        <v>228</v>
      </c>
      <c r="T419" t="s">
        <v>268</v>
      </c>
      <c r="U419">
        <v>3.0898623216708596E-2</v>
      </c>
      <c r="V419" t="s">
        <v>166</v>
      </c>
    </row>
    <row r="420" spans="9:22" x14ac:dyDescent="0.45">
      <c r="I420" t="s">
        <v>183</v>
      </c>
      <c r="J420" t="s">
        <v>269</v>
      </c>
      <c r="K420">
        <v>1.4561478695963317E-4</v>
      </c>
      <c r="L420" t="s">
        <v>166</v>
      </c>
      <c r="N420" t="s">
        <v>206</v>
      </c>
      <c r="O420" t="s">
        <v>269</v>
      </c>
      <c r="P420">
        <v>4.2364399226703904E-3</v>
      </c>
      <c r="Q420" t="s">
        <v>166</v>
      </c>
      <c r="S420" t="s">
        <v>228</v>
      </c>
      <c r="T420" t="s">
        <v>269</v>
      </c>
      <c r="U420">
        <v>4.0629066300047105E-3</v>
      </c>
      <c r="V420" t="s">
        <v>166</v>
      </c>
    </row>
    <row r="421" spans="9:22" x14ac:dyDescent="0.45">
      <c r="I421" t="s">
        <v>183</v>
      </c>
      <c r="J421" t="s">
        <v>270</v>
      </c>
      <c r="K421">
        <v>2.2036383675172574E-2</v>
      </c>
      <c r="L421" t="s">
        <v>166</v>
      </c>
      <c r="N421" t="s">
        <v>206</v>
      </c>
      <c r="O421" t="s">
        <v>270</v>
      </c>
      <c r="P421">
        <v>2.5643155608122779E-2</v>
      </c>
      <c r="Q421" t="s">
        <v>166</v>
      </c>
      <c r="S421" t="s">
        <v>228</v>
      </c>
      <c r="T421" t="s">
        <v>270</v>
      </c>
      <c r="U421">
        <v>2.8362939676025992E-2</v>
      </c>
      <c r="V421" t="s">
        <v>166</v>
      </c>
    </row>
    <row r="422" spans="9:22" x14ac:dyDescent="0.45">
      <c r="I422" t="s">
        <v>183</v>
      </c>
      <c r="J422" t="s">
        <v>271</v>
      </c>
      <c r="K422">
        <v>2.0153415374608917E-3</v>
      </c>
      <c r="L422" t="s">
        <v>166</v>
      </c>
      <c r="N422" t="s">
        <v>206</v>
      </c>
      <c r="O422" t="s">
        <v>271</v>
      </c>
      <c r="P422">
        <v>3.520446613948344E-3</v>
      </c>
      <c r="Q422" t="s">
        <v>166</v>
      </c>
      <c r="S422" t="s">
        <v>228</v>
      </c>
      <c r="T422" t="s">
        <v>271</v>
      </c>
      <c r="U422">
        <v>3.9130578033600835E-3</v>
      </c>
      <c r="V422" t="s">
        <v>166</v>
      </c>
    </row>
    <row r="423" spans="9:22" x14ac:dyDescent="0.45">
      <c r="I423" t="s">
        <v>183</v>
      </c>
      <c r="J423" t="s">
        <v>272</v>
      </c>
      <c r="K423">
        <v>1.9527590598198718E-5</v>
      </c>
      <c r="L423" t="s">
        <v>166</v>
      </c>
      <c r="N423" t="s">
        <v>206</v>
      </c>
      <c r="O423" t="s">
        <v>272</v>
      </c>
      <c r="P423">
        <v>3.6559276559283704E-3</v>
      </c>
      <c r="Q423" t="s">
        <v>166</v>
      </c>
      <c r="S423" t="s">
        <v>228</v>
      </c>
      <c r="T423" t="s">
        <v>272</v>
      </c>
      <c r="U423">
        <v>3.8142316708111796E-3</v>
      </c>
      <c r="V423" t="s">
        <v>166</v>
      </c>
    </row>
    <row r="424" spans="9:22" x14ac:dyDescent="0.45">
      <c r="I424" t="s">
        <v>183</v>
      </c>
      <c r="J424" t="s">
        <v>273</v>
      </c>
      <c r="K424">
        <v>0</v>
      </c>
      <c r="L424" t="s">
        <v>166</v>
      </c>
      <c r="N424" t="s">
        <v>206</v>
      </c>
      <c r="O424" t="s">
        <v>273</v>
      </c>
      <c r="P424">
        <v>2.3358112642800938E-2</v>
      </c>
      <c r="Q424" t="s">
        <v>166</v>
      </c>
      <c r="S424" t="s">
        <v>228</v>
      </c>
      <c r="T424" t="s">
        <v>273</v>
      </c>
      <c r="U424">
        <v>2.1710939951421725E-2</v>
      </c>
      <c r="V424" t="s">
        <v>166</v>
      </c>
    </row>
    <row r="425" spans="9:22" x14ac:dyDescent="0.45">
      <c r="I425" t="s">
        <v>183</v>
      </c>
      <c r="J425" t="s">
        <v>274</v>
      </c>
      <c r="K425">
        <v>0</v>
      </c>
      <c r="L425" t="s">
        <v>166</v>
      </c>
      <c r="N425" t="s">
        <v>206</v>
      </c>
      <c r="O425" t="s">
        <v>274</v>
      </c>
      <c r="P425">
        <v>5.391928814609763E-2</v>
      </c>
      <c r="Q425" t="s">
        <v>166</v>
      </c>
      <c r="S425" t="s">
        <v>228</v>
      </c>
      <c r="T425" t="s">
        <v>274</v>
      </c>
      <c r="U425">
        <v>4.9409889972455552E-2</v>
      </c>
      <c r="V425" t="s">
        <v>166</v>
      </c>
    </row>
    <row r="426" spans="9:22" x14ac:dyDescent="0.45">
      <c r="I426" t="s">
        <v>183</v>
      </c>
      <c r="J426" t="s">
        <v>275</v>
      </c>
      <c r="K426">
        <v>0</v>
      </c>
      <c r="L426" t="s">
        <v>166</v>
      </c>
      <c r="N426" t="s">
        <v>206</v>
      </c>
      <c r="O426" t="s">
        <v>275</v>
      </c>
      <c r="P426">
        <v>7.1930501116023258E-3</v>
      </c>
      <c r="Q426" t="s">
        <v>166</v>
      </c>
      <c r="S426" t="s">
        <v>228</v>
      </c>
      <c r="T426" t="s">
        <v>275</v>
      </c>
      <c r="U426">
        <v>6.647393091839769E-3</v>
      </c>
      <c r="V426" t="s">
        <v>166</v>
      </c>
    </row>
    <row r="427" spans="9:22" x14ac:dyDescent="0.45">
      <c r="I427" t="s">
        <v>183</v>
      </c>
      <c r="J427" t="s">
        <v>276</v>
      </c>
      <c r="K427">
        <v>2.4868177019584523E-2</v>
      </c>
      <c r="L427" t="s">
        <v>166</v>
      </c>
      <c r="N427" t="s">
        <v>206</v>
      </c>
      <c r="O427" t="s">
        <v>276</v>
      </c>
      <c r="P427">
        <v>4.4620263954981386E-2</v>
      </c>
      <c r="Q427" t="s">
        <v>166</v>
      </c>
      <c r="S427" t="s">
        <v>228</v>
      </c>
      <c r="T427" t="s">
        <v>276</v>
      </c>
      <c r="U427">
        <v>4.2802668268634533E-2</v>
      </c>
      <c r="V427" t="s">
        <v>166</v>
      </c>
    </row>
    <row r="428" spans="9:22" x14ac:dyDescent="0.45">
      <c r="I428" t="s">
        <v>183</v>
      </c>
      <c r="J428" t="s">
        <v>277</v>
      </c>
      <c r="K428">
        <v>1.8037338828421853E-3</v>
      </c>
      <c r="L428" t="s">
        <v>166</v>
      </c>
      <c r="N428" t="s">
        <v>206</v>
      </c>
      <c r="O428" t="s">
        <v>277</v>
      </c>
      <c r="P428">
        <v>6.2913163119684493E-3</v>
      </c>
      <c r="Q428" t="s">
        <v>166</v>
      </c>
      <c r="S428" t="s">
        <v>228</v>
      </c>
      <c r="T428" t="s">
        <v>277</v>
      </c>
      <c r="U428">
        <v>5.9855798953804048E-3</v>
      </c>
      <c r="V428" t="s">
        <v>166</v>
      </c>
    </row>
    <row r="429" spans="9:22" x14ac:dyDescent="0.45">
      <c r="I429" t="s">
        <v>183</v>
      </c>
      <c r="J429" t="s">
        <v>278</v>
      </c>
      <c r="K429">
        <v>0</v>
      </c>
      <c r="L429" t="s">
        <v>166</v>
      </c>
      <c r="N429" t="s">
        <v>206</v>
      </c>
      <c r="O429" t="s">
        <v>278</v>
      </c>
      <c r="P429">
        <v>6.3542592584069574E-3</v>
      </c>
      <c r="Q429" t="s">
        <v>166</v>
      </c>
      <c r="S429" t="s">
        <v>228</v>
      </c>
      <c r="T429" t="s">
        <v>278</v>
      </c>
      <c r="U429">
        <v>6.1201247325351118E-3</v>
      </c>
      <c r="V429" t="s">
        <v>166</v>
      </c>
    </row>
    <row r="430" spans="9:22" x14ac:dyDescent="0.45">
      <c r="I430" t="s">
        <v>183</v>
      </c>
      <c r="J430" t="s">
        <v>279</v>
      </c>
      <c r="K430">
        <v>0</v>
      </c>
      <c r="L430" t="s">
        <v>166</v>
      </c>
      <c r="N430" t="s">
        <v>206</v>
      </c>
      <c r="O430" t="s">
        <v>279</v>
      </c>
      <c r="P430">
        <v>3.8959872294474999E-2</v>
      </c>
      <c r="Q430" t="s">
        <v>166</v>
      </c>
      <c r="S430" t="s">
        <v>228</v>
      </c>
      <c r="T430" t="s">
        <v>279</v>
      </c>
      <c r="U430">
        <v>3.6477207641703709E-2</v>
      </c>
      <c r="V430" t="s">
        <v>166</v>
      </c>
    </row>
    <row r="431" spans="9:22" x14ac:dyDescent="0.45">
      <c r="I431" t="s">
        <v>184</v>
      </c>
      <c r="J431" t="s">
        <v>165</v>
      </c>
      <c r="K431">
        <v>0</v>
      </c>
      <c r="L431" t="s">
        <v>166</v>
      </c>
      <c r="N431" t="s">
        <v>207</v>
      </c>
      <c r="O431" t="s">
        <v>165</v>
      </c>
      <c r="P431">
        <v>8.0304385613237661E-2</v>
      </c>
      <c r="Q431" t="s">
        <v>166</v>
      </c>
    </row>
    <row r="432" spans="9:22" x14ac:dyDescent="0.45">
      <c r="I432" t="s">
        <v>184</v>
      </c>
      <c r="J432" t="s">
        <v>167</v>
      </c>
      <c r="K432">
        <v>1.9981303763970547E-4</v>
      </c>
      <c r="L432" t="s">
        <v>166</v>
      </c>
      <c r="N432" t="s">
        <v>207</v>
      </c>
      <c r="O432" t="s">
        <v>167</v>
      </c>
      <c r="P432">
        <v>9.4996187989557588E-3</v>
      </c>
      <c r="Q432" t="s">
        <v>166</v>
      </c>
    </row>
    <row r="433" spans="9:17" x14ac:dyDescent="0.45">
      <c r="I433" t="s">
        <v>184</v>
      </c>
      <c r="J433" t="s">
        <v>168</v>
      </c>
      <c r="K433">
        <v>4.7316487952083208E-2</v>
      </c>
      <c r="L433" t="s">
        <v>166</v>
      </c>
      <c r="N433" t="s">
        <v>207</v>
      </c>
      <c r="O433" t="s">
        <v>168</v>
      </c>
      <c r="P433">
        <v>6.172442189788576E-2</v>
      </c>
      <c r="Q433" t="s">
        <v>166</v>
      </c>
    </row>
    <row r="434" spans="9:17" x14ac:dyDescent="0.45">
      <c r="I434" t="s">
        <v>184</v>
      </c>
      <c r="J434" t="s">
        <v>247</v>
      </c>
      <c r="K434">
        <v>4.8805817628416268E-3</v>
      </c>
      <c r="L434" t="s">
        <v>166</v>
      </c>
      <c r="N434" t="s">
        <v>207</v>
      </c>
      <c r="O434" t="s">
        <v>247</v>
      </c>
      <c r="P434">
        <v>1.0184104338017025E-2</v>
      </c>
      <c r="Q434" t="s">
        <v>166</v>
      </c>
    </row>
    <row r="435" spans="9:17" x14ac:dyDescent="0.45">
      <c r="I435" t="s">
        <v>184</v>
      </c>
      <c r="J435" t="s">
        <v>248</v>
      </c>
      <c r="K435">
        <v>2.4112633635259505E-3</v>
      </c>
      <c r="L435" t="s">
        <v>166</v>
      </c>
      <c r="N435" t="s">
        <v>207</v>
      </c>
      <c r="O435" t="s">
        <v>248</v>
      </c>
      <c r="P435">
        <v>1.0520475125828172E-2</v>
      </c>
      <c r="Q435" t="s">
        <v>166</v>
      </c>
    </row>
    <row r="436" spans="9:17" x14ac:dyDescent="0.45">
      <c r="I436" t="s">
        <v>184</v>
      </c>
      <c r="J436" t="s">
        <v>249</v>
      </c>
      <c r="K436">
        <v>1.1044335618455936E-4</v>
      </c>
      <c r="L436" t="s">
        <v>166</v>
      </c>
      <c r="N436" t="s">
        <v>207</v>
      </c>
      <c r="O436" t="s">
        <v>249</v>
      </c>
      <c r="P436">
        <v>6.3631783206084216E-2</v>
      </c>
      <c r="Q436" t="s">
        <v>166</v>
      </c>
    </row>
    <row r="437" spans="9:17" x14ac:dyDescent="0.45">
      <c r="I437" t="s">
        <v>184</v>
      </c>
      <c r="J437" t="s">
        <v>169</v>
      </c>
      <c r="K437">
        <v>1.2779193702253837E-3</v>
      </c>
      <c r="L437" t="s">
        <v>166</v>
      </c>
      <c r="N437" t="s">
        <v>207</v>
      </c>
      <c r="O437" t="s">
        <v>169</v>
      </c>
      <c r="P437">
        <v>2.7699445193620106E-2</v>
      </c>
      <c r="Q437" t="s">
        <v>166</v>
      </c>
    </row>
    <row r="438" spans="9:17" x14ac:dyDescent="0.45">
      <c r="I438" t="s">
        <v>184</v>
      </c>
      <c r="J438" t="s">
        <v>170</v>
      </c>
      <c r="K438">
        <v>4.5807126079477727E-3</v>
      </c>
      <c r="L438" t="s">
        <v>166</v>
      </c>
      <c r="N438" t="s">
        <v>207</v>
      </c>
      <c r="O438" t="s">
        <v>170</v>
      </c>
      <c r="P438">
        <v>3.2715922539625331E-3</v>
      </c>
      <c r="Q438" t="s">
        <v>166</v>
      </c>
    </row>
    <row r="439" spans="9:17" x14ac:dyDescent="0.45">
      <c r="I439" t="s">
        <v>184</v>
      </c>
      <c r="J439" t="s">
        <v>171</v>
      </c>
      <c r="K439">
        <v>6.7966755518604385E-2</v>
      </c>
      <c r="L439" t="s">
        <v>166</v>
      </c>
      <c r="N439" t="s">
        <v>207</v>
      </c>
      <c r="O439" t="s">
        <v>171</v>
      </c>
      <c r="P439">
        <v>1.8713642880893982E-2</v>
      </c>
      <c r="Q439" t="s">
        <v>166</v>
      </c>
    </row>
    <row r="440" spans="9:17" x14ac:dyDescent="0.45">
      <c r="I440" t="s">
        <v>184</v>
      </c>
      <c r="J440" t="s">
        <v>250</v>
      </c>
      <c r="K440">
        <v>8.1721890690004233E-3</v>
      </c>
      <c r="L440" t="s">
        <v>166</v>
      </c>
      <c r="N440" t="s">
        <v>207</v>
      </c>
      <c r="O440" t="s">
        <v>250</v>
      </c>
      <c r="P440">
        <v>3.6887098950544647E-3</v>
      </c>
      <c r="Q440" t="s">
        <v>166</v>
      </c>
    </row>
    <row r="441" spans="9:17" x14ac:dyDescent="0.45">
      <c r="I441" t="s">
        <v>184</v>
      </c>
      <c r="J441" t="s">
        <v>251</v>
      </c>
      <c r="K441">
        <v>6.2260603862229662E-3</v>
      </c>
      <c r="L441" t="s">
        <v>166</v>
      </c>
      <c r="N441" t="s">
        <v>207</v>
      </c>
      <c r="O441" t="s">
        <v>251</v>
      </c>
      <c r="P441">
        <v>3.8892556259641801E-3</v>
      </c>
      <c r="Q441" t="s">
        <v>166</v>
      </c>
    </row>
    <row r="442" spans="9:17" x14ac:dyDescent="0.45">
      <c r="I442" t="s">
        <v>184</v>
      </c>
      <c r="J442" t="s">
        <v>252</v>
      </c>
      <c r="K442">
        <v>3.7452467992421458E-3</v>
      </c>
      <c r="L442" t="s">
        <v>166</v>
      </c>
      <c r="N442" t="s">
        <v>207</v>
      </c>
      <c r="O442" t="s">
        <v>252</v>
      </c>
      <c r="P442">
        <v>2.392302251341032E-2</v>
      </c>
      <c r="Q442" t="s">
        <v>166</v>
      </c>
    </row>
    <row r="443" spans="9:17" x14ac:dyDescent="0.45">
      <c r="I443" t="s">
        <v>184</v>
      </c>
      <c r="J443" t="s">
        <v>172</v>
      </c>
      <c r="K443">
        <v>6.1085537646151204E-3</v>
      </c>
      <c r="L443" t="s">
        <v>166</v>
      </c>
      <c r="N443" t="s">
        <v>207</v>
      </c>
      <c r="O443" t="s">
        <v>172</v>
      </c>
      <c r="P443">
        <v>1.8060372644129272E-2</v>
      </c>
      <c r="Q443" t="s">
        <v>166</v>
      </c>
    </row>
    <row r="444" spans="9:17" x14ac:dyDescent="0.45">
      <c r="I444" t="s">
        <v>184</v>
      </c>
      <c r="J444" t="s">
        <v>173</v>
      </c>
      <c r="K444">
        <v>7.2553421083130856E-3</v>
      </c>
      <c r="L444" t="s">
        <v>166</v>
      </c>
      <c r="N444" t="s">
        <v>207</v>
      </c>
      <c r="O444" t="s">
        <v>173</v>
      </c>
      <c r="P444">
        <v>1.9981557486936537E-3</v>
      </c>
      <c r="Q444" t="s">
        <v>166</v>
      </c>
    </row>
    <row r="445" spans="9:17" x14ac:dyDescent="0.45">
      <c r="I445" t="s">
        <v>184</v>
      </c>
      <c r="J445" t="s">
        <v>174</v>
      </c>
      <c r="K445">
        <v>7.4942049736770946E-2</v>
      </c>
      <c r="L445" t="s">
        <v>166</v>
      </c>
      <c r="N445" t="s">
        <v>207</v>
      </c>
      <c r="O445" t="s">
        <v>174</v>
      </c>
      <c r="P445">
        <v>1.7814978763654756E-2</v>
      </c>
      <c r="Q445" t="s">
        <v>166</v>
      </c>
    </row>
    <row r="446" spans="9:17" x14ac:dyDescent="0.45">
      <c r="I446" t="s">
        <v>184</v>
      </c>
      <c r="J446" t="s">
        <v>253</v>
      </c>
      <c r="K446">
        <v>8.0012204294340524E-3</v>
      </c>
      <c r="L446" t="s">
        <v>166</v>
      </c>
      <c r="N446" t="s">
        <v>207</v>
      </c>
      <c r="O446" t="s">
        <v>253</v>
      </c>
      <c r="P446">
        <v>2.43757158269253E-3</v>
      </c>
      <c r="Q446" t="s">
        <v>166</v>
      </c>
    </row>
    <row r="447" spans="9:17" x14ac:dyDescent="0.45">
      <c r="I447" t="s">
        <v>184</v>
      </c>
      <c r="J447" t="s">
        <v>254</v>
      </c>
      <c r="K447">
        <v>6.3070237303776387E-3</v>
      </c>
      <c r="L447" t="s">
        <v>166</v>
      </c>
      <c r="N447" t="s">
        <v>207</v>
      </c>
      <c r="O447" t="s">
        <v>254</v>
      </c>
      <c r="P447">
        <v>2.2988361438723202E-3</v>
      </c>
      <c r="Q447" t="s">
        <v>166</v>
      </c>
    </row>
    <row r="448" spans="9:17" x14ac:dyDescent="0.45">
      <c r="I448" t="s">
        <v>184</v>
      </c>
      <c r="J448" t="s">
        <v>255</v>
      </c>
      <c r="K448">
        <v>6.5244681237940933E-3</v>
      </c>
      <c r="L448" t="s">
        <v>166</v>
      </c>
      <c r="N448" t="s">
        <v>207</v>
      </c>
      <c r="O448" t="s">
        <v>255</v>
      </c>
      <c r="P448">
        <v>1.4388257257491018E-2</v>
      </c>
      <c r="Q448" t="s">
        <v>166</v>
      </c>
    </row>
    <row r="449" spans="9:17" x14ac:dyDescent="0.45">
      <c r="I449" t="s">
        <v>184</v>
      </c>
      <c r="J449" t="s">
        <v>256</v>
      </c>
      <c r="K449">
        <v>1.1536347601673401E-2</v>
      </c>
      <c r="L449" t="s">
        <v>166</v>
      </c>
      <c r="N449" t="s">
        <v>207</v>
      </c>
      <c r="O449" t="s">
        <v>256</v>
      </c>
      <c r="P449">
        <v>3.4048148731883374E-2</v>
      </c>
      <c r="Q449" t="s">
        <v>166</v>
      </c>
    </row>
    <row r="450" spans="9:17" x14ac:dyDescent="0.45">
      <c r="I450" t="s">
        <v>184</v>
      </c>
      <c r="J450" t="s">
        <v>257</v>
      </c>
      <c r="K450">
        <v>8.2273525636548227E-3</v>
      </c>
      <c r="L450" t="s">
        <v>166</v>
      </c>
      <c r="N450" t="s">
        <v>207</v>
      </c>
      <c r="O450" t="s">
        <v>257</v>
      </c>
      <c r="P450">
        <v>3.6358903193015597E-3</v>
      </c>
      <c r="Q450" t="s">
        <v>166</v>
      </c>
    </row>
    <row r="451" spans="9:17" x14ac:dyDescent="0.45">
      <c r="I451" t="s">
        <v>184</v>
      </c>
      <c r="J451" t="s">
        <v>258</v>
      </c>
      <c r="K451">
        <v>7.3310887025369156E-2</v>
      </c>
      <c r="L451" t="s">
        <v>166</v>
      </c>
      <c r="N451" t="s">
        <v>207</v>
      </c>
      <c r="O451" t="s">
        <v>258</v>
      </c>
      <c r="P451">
        <v>3.1212699779154817E-2</v>
      </c>
      <c r="Q451" t="s">
        <v>166</v>
      </c>
    </row>
    <row r="452" spans="9:17" x14ac:dyDescent="0.45">
      <c r="I452" t="s">
        <v>184</v>
      </c>
      <c r="J452" t="s">
        <v>259</v>
      </c>
      <c r="K452">
        <v>7.9320304908954212E-3</v>
      </c>
      <c r="L452" t="s">
        <v>166</v>
      </c>
      <c r="N452" t="s">
        <v>207</v>
      </c>
      <c r="O452" t="s">
        <v>259</v>
      </c>
      <c r="P452">
        <v>5.5384644442723419E-3</v>
      </c>
      <c r="Q452" t="s">
        <v>166</v>
      </c>
    </row>
    <row r="453" spans="9:17" x14ac:dyDescent="0.45">
      <c r="I453" t="s">
        <v>184</v>
      </c>
      <c r="J453" t="s">
        <v>260</v>
      </c>
      <c r="K453">
        <v>6.4764479850208164E-3</v>
      </c>
      <c r="L453" t="s">
        <v>166</v>
      </c>
      <c r="N453" t="s">
        <v>207</v>
      </c>
      <c r="O453" t="s">
        <v>260</v>
      </c>
      <c r="P453">
        <v>5.1054966350991245E-3</v>
      </c>
      <c r="Q453" t="s">
        <v>166</v>
      </c>
    </row>
    <row r="454" spans="9:17" x14ac:dyDescent="0.45">
      <c r="I454" t="s">
        <v>184</v>
      </c>
      <c r="J454" t="s">
        <v>261</v>
      </c>
      <c r="K454">
        <v>8.3873216181353828E-3</v>
      </c>
      <c r="L454" t="s">
        <v>166</v>
      </c>
      <c r="N454" t="s">
        <v>207</v>
      </c>
      <c r="O454" t="s">
        <v>261</v>
      </c>
      <c r="P454">
        <v>3.0128219791811319E-2</v>
      </c>
      <c r="Q454" t="s">
        <v>166</v>
      </c>
    </row>
    <row r="455" spans="9:17" x14ac:dyDescent="0.45">
      <c r="I455" t="s">
        <v>184</v>
      </c>
      <c r="J455" t="s">
        <v>262</v>
      </c>
      <c r="K455">
        <v>4.1972631992043825E-2</v>
      </c>
      <c r="L455" t="s">
        <v>166</v>
      </c>
      <c r="N455" t="s">
        <v>207</v>
      </c>
      <c r="O455" t="s">
        <v>262</v>
      </c>
      <c r="P455">
        <v>0.11064897492997436</v>
      </c>
      <c r="Q455" t="s">
        <v>166</v>
      </c>
    </row>
    <row r="456" spans="9:17" x14ac:dyDescent="0.45">
      <c r="I456" t="s">
        <v>184</v>
      </c>
      <c r="J456" t="s">
        <v>263</v>
      </c>
      <c r="K456">
        <v>3.7344334513871986E-2</v>
      </c>
      <c r="L456" t="s">
        <v>166</v>
      </c>
      <c r="N456" t="s">
        <v>207</v>
      </c>
      <c r="O456" t="s">
        <v>263</v>
      </c>
      <c r="P456">
        <v>1.0899160850246201E-2</v>
      </c>
      <c r="Q456" t="s">
        <v>166</v>
      </c>
    </row>
    <row r="457" spans="9:17" x14ac:dyDescent="0.45">
      <c r="I457" t="s">
        <v>184</v>
      </c>
      <c r="J457" t="s">
        <v>264</v>
      </c>
      <c r="K457">
        <v>0.3753683681900159</v>
      </c>
      <c r="L457" t="s">
        <v>166</v>
      </c>
      <c r="N457" t="s">
        <v>207</v>
      </c>
      <c r="O457" t="s">
        <v>264</v>
      </c>
      <c r="P457">
        <v>8.0535097351264046E-2</v>
      </c>
      <c r="Q457" t="s">
        <v>166</v>
      </c>
    </row>
    <row r="458" spans="9:17" x14ac:dyDescent="0.45">
      <c r="I458" t="s">
        <v>184</v>
      </c>
      <c r="J458" t="s">
        <v>265</v>
      </c>
      <c r="K458">
        <v>4.453251903014098E-2</v>
      </c>
      <c r="L458" t="s">
        <v>166</v>
      </c>
      <c r="N458" t="s">
        <v>207</v>
      </c>
      <c r="O458" t="s">
        <v>265</v>
      </c>
      <c r="P458">
        <v>1.4370891760874671E-2</v>
      </c>
      <c r="Q458" t="s">
        <v>166</v>
      </c>
    </row>
    <row r="459" spans="9:17" x14ac:dyDescent="0.45">
      <c r="I459" t="s">
        <v>184</v>
      </c>
      <c r="J459" t="s">
        <v>266</v>
      </c>
      <c r="K459">
        <v>3.6224048818453244E-2</v>
      </c>
      <c r="L459" t="s">
        <v>166</v>
      </c>
      <c r="N459" t="s">
        <v>207</v>
      </c>
      <c r="O459" t="s">
        <v>266</v>
      </c>
      <c r="P459">
        <v>1.444916796786907E-2</v>
      </c>
      <c r="Q459" t="s">
        <v>166</v>
      </c>
    </row>
    <row r="460" spans="9:17" x14ac:dyDescent="0.45">
      <c r="I460" t="s">
        <v>184</v>
      </c>
      <c r="J460" t="s">
        <v>267</v>
      </c>
      <c r="K460">
        <v>4.6457633722184997E-2</v>
      </c>
      <c r="L460" t="s">
        <v>166</v>
      </c>
      <c r="N460" t="s">
        <v>207</v>
      </c>
      <c r="O460" t="s">
        <v>267</v>
      </c>
      <c r="P460">
        <v>8.9564745688603106E-2</v>
      </c>
      <c r="Q460" t="s">
        <v>166</v>
      </c>
    </row>
    <row r="461" spans="9:17" x14ac:dyDescent="0.45">
      <c r="I461" t="s">
        <v>184</v>
      </c>
      <c r="J461" t="s">
        <v>268</v>
      </c>
      <c r="K461">
        <v>0</v>
      </c>
      <c r="L461" t="s">
        <v>166</v>
      </c>
      <c r="N461" t="s">
        <v>207</v>
      </c>
      <c r="O461" t="s">
        <v>268</v>
      </c>
      <c r="P461">
        <v>3.3529501565520724E-2</v>
      </c>
      <c r="Q461" t="s">
        <v>166</v>
      </c>
    </row>
    <row r="462" spans="9:17" x14ac:dyDescent="0.45">
      <c r="I462" t="s">
        <v>184</v>
      </c>
      <c r="J462" t="s">
        <v>269</v>
      </c>
      <c r="K462">
        <v>1.1909035326049594E-4</v>
      </c>
      <c r="L462" t="s">
        <v>166</v>
      </c>
      <c r="N462" t="s">
        <v>207</v>
      </c>
      <c r="O462" t="s">
        <v>269</v>
      </c>
      <c r="P462">
        <v>3.177423789309259E-3</v>
      </c>
      <c r="Q462" t="s">
        <v>166</v>
      </c>
    </row>
    <row r="463" spans="9:17" x14ac:dyDescent="0.45">
      <c r="I463" t="s">
        <v>184</v>
      </c>
      <c r="J463" t="s">
        <v>270</v>
      </c>
      <c r="K463">
        <v>2.2479691556476073E-2</v>
      </c>
      <c r="L463" t="s">
        <v>166</v>
      </c>
      <c r="N463" t="s">
        <v>207</v>
      </c>
      <c r="O463" t="s">
        <v>270</v>
      </c>
      <c r="P463">
        <v>1.9191893434950879E-2</v>
      </c>
      <c r="Q463" t="s">
        <v>166</v>
      </c>
    </row>
    <row r="464" spans="9:17" x14ac:dyDescent="0.45">
      <c r="I464" t="s">
        <v>184</v>
      </c>
      <c r="J464" t="s">
        <v>271</v>
      </c>
      <c r="K464">
        <v>2.0300349912930867E-3</v>
      </c>
      <c r="L464" t="s">
        <v>166</v>
      </c>
      <c r="N464" t="s">
        <v>207</v>
      </c>
      <c r="O464" t="s">
        <v>271</v>
      </c>
      <c r="P464">
        <v>2.6885200479477714E-3</v>
      </c>
      <c r="Q464" t="s">
        <v>166</v>
      </c>
    </row>
    <row r="465" spans="9:17" x14ac:dyDescent="0.45">
      <c r="I465" t="s">
        <v>184</v>
      </c>
      <c r="J465" t="s">
        <v>272</v>
      </c>
      <c r="K465">
        <v>1.689400517075875E-5</v>
      </c>
      <c r="L465" t="s">
        <v>166</v>
      </c>
      <c r="N465" t="s">
        <v>207</v>
      </c>
      <c r="O465" t="s">
        <v>272</v>
      </c>
      <c r="P465">
        <v>2.8362946680866481E-3</v>
      </c>
      <c r="Q465" t="s">
        <v>166</v>
      </c>
    </row>
    <row r="466" spans="9:17" x14ac:dyDescent="0.45">
      <c r="I466" t="s">
        <v>184</v>
      </c>
      <c r="J466" t="s">
        <v>273</v>
      </c>
      <c r="K466">
        <v>0</v>
      </c>
      <c r="L466" t="s">
        <v>166</v>
      </c>
      <c r="N466" t="s">
        <v>207</v>
      </c>
      <c r="O466" t="s">
        <v>273</v>
      </c>
      <c r="P466">
        <v>2.1536900961963382E-2</v>
      </c>
      <c r="Q466" t="s">
        <v>166</v>
      </c>
    </row>
    <row r="467" spans="9:17" x14ac:dyDescent="0.45">
      <c r="I467" t="s">
        <v>184</v>
      </c>
      <c r="J467" t="s">
        <v>274</v>
      </c>
      <c r="K467">
        <v>0</v>
      </c>
      <c r="L467" t="s">
        <v>166</v>
      </c>
      <c r="N467" t="s">
        <v>207</v>
      </c>
      <c r="O467" t="s">
        <v>274</v>
      </c>
      <c r="P467">
        <v>4.3225349636201532E-2</v>
      </c>
      <c r="Q467" t="s">
        <v>166</v>
      </c>
    </row>
    <row r="468" spans="9:17" x14ac:dyDescent="0.45">
      <c r="I468" t="s">
        <v>184</v>
      </c>
      <c r="J468" t="s">
        <v>275</v>
      </c>
      <c r="K468">
        <v>0</v>
      </c>
      <c r="L468" t="s">
        <v>166</v>
      </c>
      <c r="N468" t="s">
        <v>207</v>
      </c>
      <c r="O468" t="s">
        <v>275</v>
      </c>
      <c r="P468">
        <v>4.4735707362095617E-3</v>
      </c>
      <c r="Q468" t="s">
        <v>166</v>
      </c>
    </row>
    <row r="469" spans="9:17" x14ac:dyDescent="0.45">
      <c r="I469" t="s">
        <v>184</v>
      </c>
      <c r="J469" t="s">
        <v>276</v>
      </c>
      <c r="K469">
        <v>2.0080031998763445E-2</v>
      </c>
      <c r="L469" t="s">
        <v>166</v>
      </c>
      <c r="N469" t="s">
        <v>207</v>
      </c>
      <c r="O469" t="s">
        <v>276</v>
      </c>
      <c r="P469">
        <v>2.4486690053159593E-2</v>
      </c>
      <c r="Q469" t="s">
        <v>166</v>
      </c>
    </row>
    <row r="470" spans="9:17" x14ac:dyDescent="0.45">
      <c r="I470" t="s">
        <v>184</v>
      </c>
      <c r="J470" t="s">
        <v>277</v>
      </c>
      <c r="K470">
        <v>1.478202426755697E-3</v>
      </c>
      <c r="L470" t="s">
        <v>166</v>
      </c>
      <c r="N470" t="s">
        <v>207</v>
      </c>
      <c r="O470" t="s">
        <v>277</v>
      </c>
      <c r="P470">
        <v>4.4741025140052765E-3</v>
      </c>
      <c r="Q470" t="s">
        <v>166</v>
      </c>
    </row>
    <row r="471" spans="9:17" x14ac:dyDescent="0.45">
      <c r="I471" t="s">
        <v>184</v>
      </c>
      <c r="J471" t="s">
        <v>278</v>
      </c>
      <c r="K471">
        <v>0</v>
      </c>
      <c r="L471" t="s">
        <v>166</v>
      </c>
      <c r="N471" t="s">
        <v>207</v>
      </c>
      <c r="O471" t="s">
        <v>278</v>
      </c>
      <c r="P471">
        <v>4.9230028946191376E-3</v>
      </c>
      <c r="Q471" t="s">
        <v>166</v>
      </c>
    </row>
    <row r="472" spans="9:17" x14ac:dyDescent="0.45">
      <c r="I472" t="s">
        <v>184</v>
      </c>
      <c r="J472" t="s">
        <v>279</v>
      </c>
      <c r="K472">
        <v>0</v>
      </c>
      <c r="L472" t="s">
        <v>166</v>
      </c>
      <c r="N472" t="s">
        <v>207</v>
      </c>
      <c r="O472" t="s">
        <v>279</v>
      </c>
      <c r="P472">
        <v>3.1271161964222506E-2</v>
      </c>
      <c r="Q472" t="s">
        <v>166</v>
      </c>
    </row>
    <row r="473" spans="9:17" x14ac:dyDescent="0.45">
      <c r="I473" t="s">
        <v>185</v>
      </c>
      <c r="J473" t="s">
        <v>165</v>
      </c>
      <c r="K473">
        <v>0</v>
      </c>
      <c r="L473" t="s">
        <v>166</v>
      </c>
      <c r="N473" t="s">
        <v>208</v>
      </c>
      <c r="O473" t="s">
        <v>165</v>
      </c>
      <c r="P473">
        <v>6.8642943068223869E-2</v>
      </c>
      <c r="Q473" t="s">
        <v>166</v>
      </c>
    </row>
    <row r="474" spans="9:17" x14ac:dyDescent="0.45">
      <c r="I474" t="s">
        <v>185</v>
      </c>
      <c r="J474" t="s">
        <v>167</v>
      </c>
      <c r="K474">
        <v>3.3848687425741975E-4</v>
      </c>
      <c r="L474" t="s">
        <v>166</v>
      </c>
      <c r="N474" t="s">
        <v>208</v>
      </c>
      <c r="O474" t="s">
        <v>167</v>
      </c>
      <c r="P474">
        <v>8.5897851521370642E-3</v>
      </c>
      <c r="Q474" t="s">
        <v>166</v>
      </c>
    </row>
    <row r="475" spans="9:17" x14ac:dyDescent="0.45">
      <c r="I475" t="s">
        <v>185</v>
      </c>
      <c r="J475" t="s">
        <v>168</v>
      </c>
      <c r="K475">
        <v>4.5745617520706751E-2</v>
      </c>
      <c r="L475" t="s">
        <v>166</v>
      </c>
      <c r="N475" t="s">
        <v>208</v>
      </c>
      <c r="O475" t="s">
        <v>168</v>
      </c>
      <c r="P475">
        <v>5.7679481608633579E-2</v>
      </c>
      <c r="Q475" t="s">
        <v>166</v>
      </c>
    </row>
    <row r="476" spans="9:17" x14ac:dyDescent="0.45">
      <c r="I476" t="s">
        <v>185</v>
      </c>
      <c r="J476" t="s">
        <v>247</v>
      </c>
      <c r="K476">
        <v>3.7409160867166343E-3</v>
      </c>
      <c r="L476" t="s">
        <v>166</v>
      </c>
      <c r="N476" t="s">
        <v>208</v>
      </c>
      <c r="O476" t="s">
        <v>247</v>
      </c>
      <c r="P476">
        <v>8.0134656879885437E-3</v>
      </c>
      <c r="Q476" t="s">
        <v>166</v>
      </c>
    </row>
    <row r="477" spans="9:17" x14ac:dyDescent="0.45">
      <c r="I477" t="s">
        <v>185</v>
      </c>
      <c r="J477" t="s">
        <v>248</v>
      </c>
      <c r="K477">
        <v>1.5886071474292488E-3</v>
      </c>
      <c r="L477" t="s">
        <v>166</v>
      </c>
      <c r="N477" t="s">
        <v>208</v>
      </c>
      <c r="O477" t="s">
        <v>248</v>
      </c>
      <c r="P477">
        <v>8.3009594125454007E-3</v>
      </c>
      <c r="Q477" t="s">
        <v>166</v>
      </c>
    </row>
    <row r="478" spans="9:17" x14ac:dyDescent="0.45">
      <c r="I478" t="s">
        <v>185</v>
      </c>
      <c r="J478" t="s">
        <v>249</v>
      </c>
      <c r="K478">
        <v>5.8689780971660436E-5</v>
      </c>
      <c r="L478" t="s">
        <v>166</v>
      </c>
      <c r="N478" t="s">
        <v>208</v>
      </c>
      <c r="O478" t="s">
        <v>249</v>
      </c>
      <c r="P478">
        <v>5.1225987953413814E-2</v>
      </c>
      <c r="Q478" t="s">
        <v>166</v>
      </c>
    </row>
    <row r="479" spans="9:17" x14ac:dyDescent="0.45">
      <c r="I479" t="s">
        <v>185</v>
      </c>
      <c r="J479" t="s">
        <v>169</v>
      </c>
      <c r="K479">
        <v>1.713949255774411E-3</v>
      </c>
      <c r="L479" t="s">
        <v>166</v>
      </c>
      <c r="N479" t="s">
        <v>208</v>
      </c>
      <c r="O479" t="s">
        <v>169</v>
      </c>
      <c r="P479">
        <v>2.8026738077141684E-2</v>
      </c>
      <c r="Q479" t="s">
        <v>166</v>
      </c>
    </row>
    <row r="480" spans="9:17" x14ac:dyDescent="0.45">
      <c r="I480" t="s">
        <v>185</v>
      </c>
      <c r="J480" t="s">
        <v>170</v>
      </c>
      <c r="K480">
        <v>5.3518507476639273E-3</v>
      </c>
      <c r="L480" t="s">
        <v>166</v>
      </c>
      <c r="N480" t="s">
        <v>208</v>
      </c>
      <c r="O480" t="s">
        <v>170</v>
      </c>
      <c r="P480">
        <v>3.7324249320486703E-3</v>
      </c>
      <c r="Q480" t="s">
        <v>166</v>
      </c>
    </row>
    <row r="481" spans="9:17" x14ac:dyDescent="0.45">
      <c r="I481" t="s">
        <v>185</v>
      </c>
      <c r="J481" t="s">
        <v>171</v>
      </c>
      <c r="K481">
        <v>7.3482711466201139E-2</v>
      </c>
      <c r="L481" t="s">
        <v>166</v>
      </c>
      <c r="N481" t="s">
        <v>208</v>
      </c>
      <c r="O481" t="s">
        <v>171</v>
      </c>
      <c r="P481">
        <v>2.4111478019800747E-2</v>
      </c>
      <c r="Q481" t="s">
        <v>166</v>
      </c>
    </row>
    <row r="482" spans="9:17" x14ac:dyDescent="0.45">
      <c r="I482" t="s">
        <v>185</v>
      </c>
      <c r="J482" t="s">
        <v>250</v>
      </c>
      <c r="K482">
        <v>8.7071537303642886E-3</v>
      </c>
      <c r="L482" t="s">
        <v>166</v>
      </c>
      <c r="N482" t="s">
        <v>208</v>
      </c>
      <c r="O482" t="s">
        <v>250</v>
      </c>
      <c r="P482">
        <v>3.7692595445849519E-3</v>
      </c>
      <c r="Q482" t="s">
        <v>166</v>
      </c>
    </row>
    <row r="483" spans="9:17" x14ac:dyDescent="0.45">
      <c r="I483" t="s">
        <v>185</v>
      </c>
      <c r="J483" t="s">
        <v>251</v>
      </c>
      <c r="K483">
        <v>6.3051031601604572E-3</v>
      </c>
      <c r="L483" t="s">
        <v>166</v>
      </c>
      <c r="N483" t="s">
        <v>208</v>
      </c>
      <c r="O483" t="s">
        <v>251</v>
      </c>
      <c r="P483">
        <v>4.0203450452566394E-3</v>
      </c>
      <c r="Q483" t="s">
        <v>166</v>
      </c>
    </row>
    <row r="484" spans="9:17" x14ac:dyDescent="0.45">
      <c r="I484" t="s">
        <v>185</v>
      </c>
      <c r="J484" t="s">
        <v>252</v>
      </c>
      <c r="K484">
        <v>3.5449421836581266E-3</v>
      </c>
      <c r="L484" t="s">
        <v>166</v>
      </c>
      <c r="N484" t="s">
        <v>208</v>
      </c>
      <c r="O484" t="s">
        <v>252</v>
      </c>
      <c r="P484">
        <v>2.5989619299441311E-2</v>
      </c>
      <c r="Q484" t="s">
        <v>166</v>
      </c>
    </row>
    <row r="485" spans="9:17" x14ac:dyDescent="0.45">
      <c r="I485" t="s">
        <v>185</v>
      </c>
      <c r="J485" t="s">
        <v>172</v>
      </c>
      <c r="K485">
        <v>7.0225494822657624E-3</v>
      </c>
      <c r="L485" t="s">
        <v>166</v>
      </c>
      <c r="N485" t="s">
        <v>208</v>
      </c>
      <c r="O485" t="s">
        <v>172</v>
      </c>
      <c r="P485">
        <v>2.4545811453188585E-2</v>
      </c>
      <c r="Q485" t="s">
        <v>166</v>
      </c>
    </row>
    <row r="486" spans="9:17" x14ac:dyDescent="0.45">
      <c r="I486" t="s">
        <v>185</v>
      </c>
      <c r="J486" t="s">
        <v>173</v>
      </c>
      <c r="K486">
        <v>8.011626586977157E-3</v>
      </c>
      <c r="L486" t="s">
        <v>166</v>
      </c>
      <c r="N486" t="s">
        <v>208</v>
      </c>
      <c r="O486" t="s">
        <v>173</v>
      </c>
      <c r="P486">
        <v>3.2084835292487783E-3</v>
      </c>
      <c r="Q486" t="s">
        <v>166</v>
      </c>
    </row>
    <row r="487" spans="9:17" x14ac:dyDescent="0.45">
      <c r="I487" t="s">
        <v>185</v>
      </c>
      <c r="J487" t="s">
        <v>174</v>
      </c>
      <c r="K487">
        <v>7.5233786265751376E-2</v>
      </c>
      <c r="L487" t="s">
        <v>166</v>
      </c>
      <c r="N487" t="s">
        <v>208</v>
      </c>
      <c r="O487" t="s">
        <v>174</v>
      </c>
      <c r="P487">
        <v>1.970695800670496E-2</v>
      </c>
      <c r="Q487" t="s">
        <v>166</v>
      </c>
    </row>
    <row r="488" spans="9:17" x14ac:dyDescent="0.45">
      <c r="I488" t="s">
        <v>185</v>
      </c>
      <c r="J488" t="s">
        <v>253</v>
      </c>
      <c r="K488">
        <v>7.5003010683429997E-3</v>
      </c>
      <c r="L488" t="s">
        <v>166</v>
      </c>
      <c r="N488" t="s">
        <v>208</v>
      </c>
      <c r="O488" t="s">
        <v>253</v>
      </c>
      <c r="P488">
        <v>2.7041826709726935E-3</v>
      </c>
      <c r="Q488" t="s">
        <v>166</v>
      </c>
    </row>
    <row r="489" spans="9:17" x14ac:dyDescent="0.45">
      <c r="I489" t="s">
        <v>185</v>
      </c>
      <c r="J489" t="s">
        <v>254</v>
      </c>
      <c r="K489">
        <v>6.2779401150072495E-3</v>
      </c>
      <c r="L489" t="s">
        <v>166</v>
      </c>
      <c r="N489" t="s">
        <v>208</v>
      </c>
      <c r="O489" t="s">
        <v>254</v>
      </c>
      <c r="P489">
        <v>2.712440675664428E-3</v>
      </c>
      <c r="Q489" t="s">
        <v>166</v>
      </c>
    </row>
    <row r="490" spans="9:17" x14ac:dyDescent="0.45">
      <c r="I490" t="s">
        <v>185</v>
      </c>
      <c r="J490" t="s">
        <v>255</v>
      </c>
      <c r="K490">
        <v>6.6743936029735502E-3</v>
      </c>
      <c r="L490" t="s">
        <v>166</v>
      </c>
      <c r="N490" t="s">
        <v>208</v>
      </c>
      <c r="O490" t="s">
        <v>255</v>
      </c>
      <c r="P490">
        <v>1.8496057639489898E-2</v>
      </c>
      <c r="Q490" t="s">
        <v>166</v>
      </c>
    </row>
    <row r="491" spans="9:17" x14ac:dyDescent="0.45">
      <c r="I491" t="s">
        <v>185</v>
      </c>
      <c r="J491" t="s">
        <v>256</v>
      </c>
      <c r="K491">
        <v>1.3522062928250167E-2</v>
      </c>
      <c r="L491" t="s">
        <v>166</v>
      </c>
      <c r="N491" t="s">
        <v>208</v>
      </c>
      <c r="O491" t="s">
        <v>256</v>
      </c>
      <c r="P491">
        <v>2.6662017859381059E-2</v>
      </c>
      <c r="Q491" t="s">
        <v>166</v>
      </c>
    </row>
    <row r="492" spans="9:17" x14ac:dyDescent="0.45">
      <c r="I492" t="s">
        <v>185</v>
      </c>
      <c r="J492" t="s">
        <v>257</v>
      </c>
      <c r="K492">
        <v>9.7951587607454267E-3</v>
      </c>
      <c r="L492" t="s">
        <v>166</v>
      </c>
      <c r="N492" t="s">
        <v>208</v>
      </c>
      <c r="O492" t="s">
        <v>257</v>
      </c>
      <c r="P492">
        <v>3.1725613064368541E-3</v>
      </c>
      <c r="Q492" t="s">
        <v>166</v>
      </c>
    </row>
    <row r="493" spans="9:17" x14ac:dyDescent="0.45">
      <c r="I493" t="s">
        <v>185</v>
      </c>
      <c r="J493" t="s">
        <v>258</v>
      </c>
      <c r="K493">
        <v>7.9574320147893063E-2</v>
      </c>
      <c r="L493" t="s">
        <v>166</v>
      </c>
      <c r="N493" t="s">
        <v>208</v>
      </c>
      <c r="O493" t="s">
        <v>258</v>
      </c>
      <c r="P493">
        <v>2.0252645674708712E-2</v>
      </c>
      <c r="Q493" t="s">
        <v>166</v>
      </c>
    </row>
    <row r="494" spans="9:17" x14ac:dyDescent="0.45">
      <c r="I494" t="s">
        <v>185</v>
      </c>
      <c r="J494" t="s">
        <v>259</v>
      </c>
      <c r="K494">
        <v>8.6982832949440148E-3</v>
      </c>
      <c r="L494" t="s">
        <v>166</v>
      </c>
      <c r="N494" t="s">
        <v>208</v>
      </c>
      <c r="O494" t="s">
        <v>259</v>
      </c>
      <c r="P494">
        <v>3.2276994026775381E-3</v>
      </c>
      <c r="Q494" t="s">
        <v>166</v>
      </c>
    </row>
    <row r="495" spans="9:17" x14ac:dyDescent="0.45">
      <c r="I495" t="s">
        <v>185</v>
      </c>
      <c r="J495" t="s">
        <v>260</v>
      </c>
      <c r="K495">
        <v>6.8162735893898757E-3</v>
      </c>
      <c r="L495" t="s">
        <v>166</v>
      </c>
      <c r="N495" t="s">
        <v>208</v>
      </c>
      <c r="O495" t="s">
        <v>260</v>
      </c>
      <c r="P495">
        <v>3.3219485331918339E-3</v>
      </c>
      <c r="Q495" t="s">
        <v>166</v>
      </c>
    </row>
    <row r="496" spans="9:17" x14ac:dyDescent="0.45">
      <c r="I496" t="s">
        <v>185</v>
      </c>
      <c r="J496" t="s">
        <v>261</v>
      </c>
      <c r="K496">
        <v>8.0262909250544238E-3</v>
      </c>
      <c r="L496" t="s">
        <v>166</v>
      </c>
      <c r="N496" t="s">
        <v>208</v>
      </c>
      <c r="O496" t="s">
        <v>261</v>
      </c>
      <c r="P496">
        <v>2.0882855104231955E-2</v>
      </c>
      <c r="Q496" t="s">
        <v>166</v>
      </c>
    </row>
    <row r="497" spans="9:17" x14ac:dyDescent="0.45">
      <c r="I497" t="s">
        <v>185</v>
      </c>
      <c r="J497" t="s">
        <v>262</v>
      </c>
      <c r="K497">
        <v>4.34387743610209E-2</v>
      </c>
      <c r="L497" t="s">
        <v>166</v>
      </c>
      <c r="N497" t="s">
        <v>208</v>
      </c>
      <c r="O497" t="s">
        <v>262</v>
      </c>
      <c r="P497">
        <v>0.11269598134681716</v>
      </c>
      <c r="Q497" t="s">
        <v>166</v>
      </c>
    </row>
    <row r="498" spans="9:17" x14ac:dyDescent="0.45">
      <c r="I498" t="s">
        <v>185</v>
      </c>
      <c r="J498" t="s">
        <v>263</v>
      </c>
      <c r="K498">
        <v>3.734426025927514E-2</v>
      </c>
      <c r="L498" t="s">
        <v>166</v>
      </c>
      <c r="N498" t="s">
        <v>208</v>
      </c>
      <c r="O498" t="s">
        <v>263</v>
      </c>
      <c r="P498">
        <v>1.2646817314381133E-2</v>
      </c>
      <c r="Q498" t="s">
        <v>166</v>
      </c>
    </row>
    <row r="499" spans="9:17" x14ac:dyDescent="0.45">
      <c r="I499" t="s">
        <v>185</v>
      </c>
      <c r="J499" t="s">
        <v>264</v>
      </c>
      <c r="K499">
        <v>0.36774877045202675</v>
      </c>
      <c r="L499" t="s">
        <v>166</v>
      </c>
      <c r="N499" t="s">
        <v>208</v>
      </c>
      <c r="O499" t="s">
        <v>264</v>
      </c>
      <c r="P499">
        <v>8.2379936237326118E-2</v>
      </c>
      <c r="Q499" t="s">
        <v>166</v>
      </c>
    </row>
    <row r="500" spans="9:17" x14ac:dyDescent="0.45">
      <c r="I500" t="s">
        <v>185</v>
      </c>
      <c r="J500" t="s">
        <v>265</v>
      </c>
      <c r="K500">
        <v>4.3292161622736636E-2</v>
      </c>
      <c r="L500" t="s">
        <v>166</v>
      </c>
      <c r="N500" t="s">
        <v>208</v>
      </c>
      <c r="O500" t="s">
        <v>265</v>
      </c>
      <c r="P500">
        <v>1.2326658294945895E-2</v>
      </c>
      <c r="Q500" t="s">
        <v>166</v>
      </c>
    </row>
    <row r="501" spans="9:17" x14ac:dyDescent="0.45">
      <c r="I501" t="s">
        <v>185</v>
      </c>
      <c r="J501" t="s">
        <v>266</v>
      </c>
      <c r="K501">
        <v>3.4589435823562241E-2</v>
      </c>
      <c r="L501" t="s">
        <v>166</v>
      </c>
      <c r="N501" t="s">
        <v>208</v>
      </c>
      <c r="O501" t="s">
        <v>266</v>
      </c>
      <c r="P501">
        <v>1.2689229010753186E-2</v>
      </c>
      <c r="Q501" t="s">
        <v>166</v>
      </c>
    </row>
    <row r="502" spans="9:17" x14ac:dyDescent="0.45">
      <c r="I502" t="s">
        <v>185</v>
      </c>
      <c r="J502" t="s">
        <v>267</v>
      </c>
      <c r="K502">
        <v>4.3013976443890822E-2</v>
      </c>
      <c r="L502" t="s">
        <v>166</v>
      </c>
      <c r="N502" t="s">
        <v>208</v>
      </c>
      <c r="O502" t="s">
        <v>267</v>
      </c>
      <c r="P502">
        <v>8.8822155299267791E-2</v>
      </c>
      <c r="Q502" t="s">
        <v>166</v>
      </c>
    </row>
    <row r="503" spans="9:17" x14ac:dyDescent="0.45">
      <c r="I503" t="s">
        <v>185</v>
      </c>
      <c r="J503" t="s">
        <v>268</v>
      </c>
      <c r="K503">
        <v>0</v>
      </c>
      <c r="L503" t="s">
        <v>166</v>
      </c>
      <c r="N503" t="s">
        <v>208</v>
      </c>
      <c r="O503" t="s">
        <v>268</v>
      </c>
      <c r="P503">
        <v>3.8912484682150451E-2</v>
      </c>
      <c r="Q503" t="s">
        <v>166</v>
      </c>
    </row>
    <row r="504" spans="9:17" x14ac:dyDescent="0.45">
      <c r="I504" t="s">
        <v>185</v>
      </c>
      <c r="J504" t="s">
        <v>269</v>
      </c>
      <c r="K504">
        <v>9.0257816469968864E-5</v>
      </c>
      <c r="L504" t="s">
        <v>166</v>
      </c>
      <c r="N504" t="s">
        <v>208</v>
      </c>
      <c r="O504" t="s">
        <v>269</v>
      </c>
      <c r="P504">
        <v>5.5507694154774013E-3</v>
      </c>
      <c r="Q504" t="s">
        <v>166</v>
      </c>
    </row>
    <row r="505" spans="9:17" x14ac:dyDescent="0.45">
      <c r="I505" t="s">
        <v>185</v>
      </c>
      <c r="J505" t="s">
        <v>270</v>
      </c>
      <c r="K505">
        <v>1.9490194030785238E-2</v>
      </c>
      <c r="L505" t="s">
        <v>166</v>
      </c>
      <c r="N505" t="s">
        <v>208</v>
      </c>
      <c r="O505" t="s">
        <v>270</v>
      </c>
      <c r="P505">
        <v>3.3263919675032026E-2</v>
      </c>
      <c r="Q505" t="s">
        <v>166</v>
      </c>
    </row>
    <row r="506" spans="9:17" x14ac:dyDescent="0.45">
      <c r="I506" t="s">
        <v>185</v>
      </c>
      <c r="J506" t="s">
        <v>271</v>
      </c>
      <c r="K506">
        <v>1.4761486460855976E-3</v>
      </c>
      <c r="L506" t="s">
        <v>166</v>
      </c>
      <c r="N506" t="s">
        <v>208</v>
      </c>
      <c r="O506" t="s">
        <v>271</v>
      </c>
      <c r="P506">
        <v>4.2596909756297792E-3</v>
      </c>
      <c r="Q506" t="s">
        <v>166</v>
      </c>
    </row>
    <row r="507" spans="9:17" x14ac:dyDescent="0.45">
      <c r="I507" t="s">
        <v>185</v>
      </c>
      <c r="J507" t="s">
        <v>272</v>
      </c>
      <c r="K507">
        <v>0</v>
      </c>
      <c r="L507" t="s">
        <v>166</v>
      </c>
      <c r="N507" t="s">
        <v>208</v>
      </c>
      <c r="O507" t="s">
        <v>272</v>
      </c>
      <c r="P507">
        <v>4.3118441648260265E-3</v>
      </c>
      <c r="Q507" t="s">
        <v>166</v>
      </c>
    </row>
    <row r="508" spans="9:17" x14ac:dyDescent="0.45">
      <c r="I508" t="s">
        <v>185</v>
      </c>
      <c r="J508" t="s">
        <v>273</v>
      </c>
      <c r="K508">
        <v>0</v>
      </c>
      <c r="L508" t="s">
        <v>166</v>
      </c>
      <c r="N508" t="s">
        <v>208</v>
      </c>
      <c r="O508" t="s">
        <v>273</v>
      </c>
      <c r="P508">
        <v>2.7675653267812579E-2</v>
      </c>
      <c r="Q508" t="s">
        <v>166</v>
      </c>
    </row>
    <row r="509" spans="9:17" x14ac:dyDescent="0.45">
      <c r="I509" t="s">
        <v>185</v>
      </c>
      <c r="J509" t="s">
        <v>274</v>
      </c>
      <c r="K509">
        <v>0</v>
      </c>
      <c r="L509" t="s">
        <v>166</v>
      </c>
      <c r="N509" t="s">
        <v>208</v>
      </c>
      <c r="O509" t="s">
        <v>274</v>
      </c>
      <c r="P509">
        <v>4.364355068433249E-2</v>
      </c>
      <c r="Q509" t="s">
        <v>166</v>
      </c>
    </row>
    <row r="510" spans="9:17" x14ac:dyDescent="0.45">
      <c r="I510" t="s">
        <v>185</v>
      </c>
      <c r="J510" t="s">
        <v>275</v>
      </c>
      <c r="K510">
        <v>0</v>
      </c>
      <c r="L510" t="s">
        <v>166</v>
      </c>
      <c r="N510" t="s">
        <v>208</v>
      </c>
      <c r="O510" t="s">
        <v>275</v>
      </c>
      <c r="P510">
        <v>5.2467489357207299E-3</v>
      </c>
      <c r="Q510" t="s">
        <v>166</v>
      </c>
    </row>
    <row r="511" spans="9:17" x14ac:dyDescent="0.45">
      <c r="I511" t="s">
        <v>185</v>
      </c>
      <c r="J511" t="s">
        <v>276</v>
      </c>
      <c r="K511">
        <v>2.0558174965786862E-2</v>
      </c>
      <c r="L511" t="s">
        <v>166</v>
      </c>
      <c r="N511" t="s">
        <v>208</v>
      </c>
      <c r="O511" t="s">
        <v>276</v>
      </c>
      <c r="P511">
        <v>3.178016409088065E-2</v>
      </c>
      <c r="Q511" t="s">
        <v>166</v>
      </c>
    </row>
    <row r="512" spans="9:17" x14ac:dyDescent="0.45">
      <c r="I512" t="s">
        <v>185</v>
      </c>
      <c r="J512" t="s">
        <v>277</v>
      </c>
      <c r="K512">
        <v>1.2268308568604233E-3</v>
      </c>
      <c r="L512" t="s">
        <v>166</v>
      </c>
      <c r="N512" t="s">
        <v>208</v>
      </c>
      <c r="O512" t="s">
        <v>277</v>
      </c>
      <c r="P512">
        <v>4.6244817650703072E-3</v>
      </c>
      <c r="Q512" t="s">
        <v>166</v>
      </c>
    </row>
    <row r="513" spans="9:17" x14ac:dyDescent="0.45">
      <c r="I513" t="s">
        <v>185</v>
      </c>
      <c r="J513" t="s">
        <v>278</v>
      </c>
      <c r="K513">
        <v>0</v>
      </c>
      <c r="L513" t="s">
        <v>166</v>
      </c>
      <c r="N513" t="s">
        <v>208</v>
      </c>
      <c r="O513" t="s">
        <v>278</v>
      </c>
      <c r="P513">
        <v>5.0643502260858883E-3</v>
      </c>
      <c r="Q513" t="s">
        <v>166</v>
      </c>
    </row>
    <row r="514" spans="9:17" x14ac:dyDescent="0.45">
      <c r="I514" t="s">
        <v>185</v>
      </c>
      <c r="J514" t="s">
        <v>279</v>
      </c>
      <c r="K514">
        <v>0</v>
      </c>
      <c r="L514" t="s">
        <v>166</v>
      </c>
      <c r="N514" t="s">
        <v>208</v>
      </c>
      <c r="O514" t="s">
        <v>279</v>
      </c>
      <c r="P514">
        <v>3.3109414956372527E-2</v>
      </c>
      <c r="Q514" t="s">
        <v>166</v>
      </c>
    </row>
    <row r="515" spans="9:17" x14ac:dyDescent="0.45">
      <c r="I515" t="s">
        <v>186</v>
      </c>
      <c r="J515" t="s">
        <v>165</v>
      </c>
      <c r="K515">
        <v>0</v>
      </c>
      <c r="L515" t="s">
        <v>166</v>
      </c>
      <c r="N515" t="s">
        <v>209</v>
      </c>
      <c r="O515" t="s">
        <v>165</v>
      </c>
      <c r="P515">
        <v>7.5356452799125409E-2</v>
      </c>
      <c r="Q515" t="s">
        <v>166</v>
      </c>
    </row>
    <row r="516" spans="9:17" x14ac:dyDescent="0.45">
      <c r="I516" t="s">
        <v>186</v>
      </c>
      <c r="J516" t="s">
        <v>167</v>
      </c>
      <c r="K516">
        <v>1.9667279471434957E-3</v>
      </c>
      <c r="L516" t="s">
        <v>166</v>
      </c>
      <c r="N516" t="s">
        <v>209</v>
      </c>
      <c r="O516" t="s">
        <v>167</v>
      </c>
      <c r="P516">
        <v>9.2653097379434435E-3</v>
      </c>
      <c r="Q516" t="s">
        <v>166</v>
      </c>
    </row>
    <row r="517" spans="9:17" x14ac:dyDescent="0.45">
      <c r="I517" t="s">
        <v>186</v>
      </c>
      <c r="J517" t="s">
        <v>168</v>
      </c>
      <c r="K517">
        <v>5.5224499691225344E-2</v>
      </c>
      <c r="L517" t="s">
        <v>166</v>
      </c>
      <c r="N517" t="s">
        <v>209</v>
      </c>
      <c r="O517" t="s">
        <v>168</v>
      </c>
      <c r="P517">
        <v>5.6367087918776246E-2</v>
      </c>
      <c r="Q517" t="s">
        <v>166</v>
      </c>
    </row>
    <row r="518" spans="9:17" x14ac:dyDescent="0.45">
      <c r="I518" t="s">
        <v>186</v>
      </c>
      <c r="J518" t="s">
        <v>247</v>
      </c>
      <c r="K518">
        <v>3.4474143136779814E-3</v>
      </c>
      <c r="L518" t="s">
        <v>166</v>
      </c>
      <c r="N518" t="s">
        <v>209</v>
      </c>
      <c r="O518" t="s">
        <v>247</v>
      </c>
      <c r="P518">
        <v>7.9972872891048499E-3</v>
      </c>
      <c r="Q518" t="s">
        <v>166</v>
      </c>
    </row>
    <row r="519" spans="9:17" x14ac:dyDescent="0.45">
      <c r="I519" t="s">
        <v>186</v>
      </c>
      <c r="J519" t="s">
        <v>248</v>
      </c>
      <c r="K519">
        <v>4.6846406150522299E-4</v>
      </c>
      <c r="L519" t="s">
        <v>166</v>
      </c>
      <c r="N519" t="s">
        <v>209</v>
      </c>
      <c r="O519" t="s">
        <v>248</v>
      </c>
      <c r="P519">
        <v>8.167124712659006E-3</v>
      </c>
      <c r="Q519" t="s">
        <v>166</v>
      </c>
    </row>
    <row r="520" spans="9:17" x14ac:dyDescent="0.45">
      <c r="I520" t="s">
        <v>186</v>
      </c>
      <c r="J520" t="s">
        <v>249</v>
      </c>
      <c r="K520">
        <v>0</v>
      </c>
      <c r="L520" t="s">
        <v>166</v>
      </c>
      <c r="N520" t="s">
        <v>209</v>
      </c>
      <c r="O520" t="s">
        <v>249</v>
      </c>
      <c r="P520">
        <v>5.4413088554981906E-2</v>
      </c>
      <c r="Q520" t="s">
        <v>166</v>
      </c>
    </row>
    <row r="521" spans="9:17" x14ac:dyDescent="0.45">
      <c r="I521" t="s">
        <v>186</v>
      </c>
      <c r="J521" t="s">
        <v>169</v>
      </c>
      <c r="K521">
        <v>4.6147932483341907E-3</v>
      </c>
      <c r="L521" t="s">
        <v>166</v>
      </c>
      <c r="N521" t="s">
        <v>209</v>
      </c>
      <c r="O521" t="s">
        <v>169</v>
      </c>
      <c r="P521">
        <v>2.9497583449311908E-2</v>
      </c>
      <c r="Q521" t="s">
        <v>166</v>
      </c>
    </row>
    <row r="522" spans="9:17" x14ac:dyDescent="0.45">
      <c r="I522" t="s">
        <v>186</v>
      </c>
      <c r="J522" t="s">
        <v>170</v>
      </c>
      <c r="K522">
        <v>6.5616673120835241E-3</v>
      </c>
      <c r="L522" t="s">
        <v>166</v>
      </c>
      <c r="N522" t="s">
        <v>209</v>
      </c>
      <c r="O522" t="s">
        <v>170</v>
      </c>
      <c r="P522">
        <v>3.7183597717377012E-3</v>
      </c>
      <c r="Q522" t="s">
        <v>166</v>
      </c>
    </row>
    <row r="523" spans="9:17" x14ac:dyDescent="0.45">
      <c r="I523" t="s">
        <v>186</v>
      </c>
      <c r="J523" t="s">
        <v>171</v>
      </c>
      <c r="K523">
        <v>6.7929587450537718E-2</v>
      </c>
      <c r="L523" t="s">
        <v>166</v>
      </c>
      <c r="N523" t="s">
        <v>209</v>
      </c>
      <c r="O523" t="s">
        <v>171</v>
      </c>
      <c r="P523">
        <v>2.0227975241245023E-2</v>
      </c>
      <c r="Q523" t="s">
        <v>166</v>
      </c>
    </row>
    <row r="524" spans="9:17" x14ac:dyDescent="0.45">
      <c r="I524" t="s">
        <v>186</v>
      </c>
      <c r="J524" t="s">
        <v>250</v>
      </c>
      <c r="K524">
        <v>7.6209544576487697E-3</v>
      </c>
      <c r="L524" t="s">
        <v>166</v>
      </c>
      <c r="N524" t="s">
        <v>209</v>
      </c>
      <c r="O524" t="s">
        <v>250</v>
      </c>
      <c r="P524">
        <v>3.3835497065314774E-3</v>
      </c>
      <c r="Q524" t="s">
        <v>166</v>
      </c>
    </row>
    <row r="525" spans="9:17" x14ac:dyDescent="0.45">
      <c r="I525" t="s">
        <v>186</v>
      </c>
      <c r="J525" t="s">
        <v>251</v>
      </c>
      <c r="K525">
        <v>5.0076126083551022E-3</v>
      </c>
      <c r="L525" t="s">
        <v>166</v>
      </c>
      <c r="N525" t="s">
        <v>209</v>
      </c>
      <c r="O525" t="s">
        <v>251</v>
      </c>
      <c r="P525">
        <v>3.6006369839423433E-3</v>
      </c>
      <c r="Q525" t="s">
        <v>166</v>
      </c>
    </row>
    <row r="526" spans="9:17" x14ac:dyDescent="0.45">
      <c r="I526" t="s">
        <v>186</v>
      </c>
      <c r="J526" t="s">
        <v>252</v>
      </c>
      <c r="K526">
        <v>1.4298237909153827E-3</v>
      </c>
      <c r="L526" t="s">
        <v>166</v>
      </c>
      <c r="N526" t="s">
        <v>209</v>
      </c>
      <c r="O526" t="s">
        <v>252</v>
      </c>
      <c r="P526">
        <v>2.6918253830214355E-2</v>
      </c>
      <c r="Q526" t="s">
        <v>166</v>
      </c>
    </row>
    <row r="527" spans="9:17" x14ac:dyDescent="0.45">
      <c r="I527" t="s">
        <v>186</v>
      </c>
      <c r="J527" t="s">
        <v>172</v>
      </c>
      <c r="K527">
        <v>1.2214103411723512E-2</v>
      </c>
      <c r="L527" t="s">
        <v>166</v>
      </c>
      <c r="N527" t="s">
        <v>209</v>
      </c>
      <c r="O527" t="s">
        <v>172</v>
      </c>
      <c r="P527">
        <v>2.9280367669101484E-2</v>
      </c>
      <c r="Q527" t="s">
        <v>166</v>
      </c>
    </row>
    <row r="528" spans="9:17" x14ac:dyDescent="0.45">
      <c r="I528" t="s">
        <v>186</v>
      </c>
      <c r="J528" t="s">
        <v>173</v>
      </c>
      <c r="K528">
        <v>9.3572602418362395E-3</v>
      </c>
      <c r="L528" t="s">
        <v>166</v>
      </c>
      <c r="N528" t="s">
        <v>209</v>
      </c>
      <c r="O528" t="s">
        <v>173</v>
      </c>
      <c r="P528">
        <v>3.2891479427237733E-3</v>
      </c>
      <c r="Q528" t="s">
        <v>166</v>
      </c>
    </row>
    <row r="529" spans="9:17" x14ac:dyDescent="0.45">
      <c r="I529" t="s">
        <v>186</v>
      </c>
      <c r="J529" t="s">
        <v>174</v>
      </c>
      <c r="K529">
        <v>8.0582659767817894E-2</v>
      </c>
      <c r="L529" t="s">
        <v>166</v>
      </c>
      <c r="N529" t="s">
        <v>209</v>
      </c>
      <c r="O529" t="s">
        <v>174</v>
      </c>
      <c r="P529">
        <v>1.5387524569967006E-2</v>
      </c>
      <c r="Q529" t="s">
        <v>166</v>
      </c>
    </row>
    <row r="530" spans="9:17" x14ac:dyDescent="0.45">
      <c r="I530" t="s">
        <v>186</v>
      </c>
      <c r="J530" t="s">
        <v>253</v>
      </c>
      <c r="K530">
        <v>9.4047363410530056E-3</v>
      </c>
      <c r="L530" t="s">
        <v>166</v>
      </c>
      <c r="N530" t="s">
        <v>209</v>
      </c>
      <c r="O530" t="s">
        <v>253</v>
      </c>
      <c r="P530">
        <v>1.6286304164733715E-3</v>
      </c>
      <c r="Q530" t="s">
        <v>166</v>
      </c>
    </row>
    <row r="531" spans="9:17" x14ac:dyDescent="0.45">
      <c r="I531" t="s">
        <v>186</v>
      </c>
      <c r="J531" t="s">
        <v>254</v>
      </c>
      <c r="K531">
        <v>7.4329690753720777E-3</v>
      </c>
      <c r="L531" t="s">
        <v>166</v>
      </c>
      <c r="N531" t="s">
        <v>209</v>
      </c>
      <c r="O531" t="s">
        <v>254</v>
      </c>
      <c r="P531">
        <v>1.9135699721645283E-3</v>
      </c>
      <c r="Q531" t="s">
        <v>166</v>
      </c>
    </row>
    <row r="532" spans="9:17" x14ac:dyDescent="0.45">
      <c r="I532" t="s">
        <v>186</v>
      </c>
      <c r="J532" t="s">
        <v>255</v>
      </c>
      <c r="K532">
        <v>5.4037794301125576E-3</v>
      </c>
      <c r="L532" t="s">
        <v>166</v>
      </c>
      <c r="N532" t="s">
        <v>209</v>
      </c>
      <c r="O532" t="s">
        <v>255</v>
      </c>
      <c r="P532">
        <v>1.9060855353320794E-2</v>
      </c>
      <c r="Q532" t="s">
        <v>166</v>
      </c>
    </row>
    <row r="533" spans="9:17" x14ac:dyDescent="0.45">
      <c r="I533" t="s">
        <v>186</v>
      </c>
      <c r="J533" t="s">
        <v>256</v>
      </c>
      <c r="K533">
        <v>1.4356194102271668E-2</v>
      </c>
      <c r="L533" t="s">
        <v>166</v>
      </c>
      <c r="N533" t="s">
        <v>209</v>
      </c>
      <c r="O533" t="s">
        <v>256</v>
      </c>
      <c r="P533">
        <v>3.0005879887807927E-2</v>
      </c>
      <c r="Q533" t="s">
        <v>166</v>
      </c>
    </row>
    <row r="534" spans="9:17" x14ac:dyDescent="0.45">
      <c r="I534" t="s">
        <v>186</v>
      </c>
      <c r="J534" t="s">
        <v>257</v>
      </c>
      <c r="K534">
        <v>9.1110891509356591E-3</v>
      </c>
      <c r="L534" t="s">
        <v>166</v>
      </c>
      <c r="N534" t="s">
        <v>209</v>
      </c>
      <c r="O534" t="s">
        <v>257</v>
      </c>
      <c r="P534">
        <v>3.4078852463063354E-3</v>
      </c>
      <c r="Q534" t="s">
        <v>166</v>
      </c>
    </row>
    <row r="535" spans="9:17" x14ac:dyDescent="0.45">
      <c r="I535" t="s">
        <v>186</v>
      </c>
      <c r="J535" t="s">
        <v>258</v>
      </c>
      <c r="K535">
        <v>8.1915549168523671E-2</v>
      </c>
      <c r="L535" t="s">
        <v>166</v>
      </c>
      <c r="N535" t="s">
        <v>209</v>
      </c>
      <c r="O535" t="s">
        <v>258</v>
      </c>
      <c r="P535">
        <v>2.308735539657663E-2</v>
      </c>
      <c r="Q535" t="s">
        <v>166</v>
      </c>
    </row>
    <row r="536" spans="9:17" x14ac:dyDescent="0.45">
      <c r="I536" t="s">
        <v>186</v>
      </c>
      <c r="J536" t="s">
        <v>259</v>
      </c>
      <c r="K536">
        <v>9.1926039959318358E-3</v>
      </c>
      <c r="L536" t="s">
        <v>166</v>
      </c>
      <c r="N536" t="s">
        <v>209</v>
      </c>
      <c r="O536" t="s">
        <v>259</v>
      </c>
      <c r="P536">
        <v>4.035778845776476E-3</v>
      </c>
      <c r="Q536" t="s">
        <v>166</v>
      </c>
    </row>
    <row r="537" spans="9:17" x14ac:dyDescent="0.45">
      <c r="I537" t="s">
        <v>186</v>
      </c>
      <c r="J537" t="s">
        <v>260</v>
      </c>
      <c r="K537">
        <v>7.0930438072069378E-3</v>
      </c>
      <c r="L537" t="s">
        <v>166</v>
      </c>
      <c r="N537" t="s">
        <v>209</v>
      </c>
      <c r="O537" t="s">
        <v>260</v>
      </c>
      <c r="P537">
        <v>4.1742737282452784E-3</v>
      </c>
      <c r="Q537" t="s">
        <v>166</v>
      </c>
    </row>
    <row r="538" spans="9:17" x14ac:dyDescent="0.45">
      <c r="I538" t="s">
        <v>186</v>
      </c>
      <c r="J538" t="s">
        <v>261</v>
      </c>
      <c r="K538">
        <v>7.8521271436069774E-3</v>
      </c>
      <c r="L538" t="s">
        <v>166</v>
      </c>
      <c r="N538" t="s">
        <v>209</v>
      </c>
      <c r="O538" t="s">
        <v>261</v>
      </c>
      <c r="P538">
        <v>2.4310369541021878E-2</v>
      </c>
      <c r="Q538" t="s">
        <v>166</v>
      </c>
    </row>
    <row r="539" spans="9:17" x14ac:dyDescent="0.45">
      <c r="I539" t="s">
        <v>186</v>
      </c>
      <c r="J539" t="s">
        <v>262</v>
      </c>
      <c r="K539">
        <v>5.3953537660835368E-2</v>
      </c>
      <c r="L539" t="s">
        <v>166</v>
      </c>
      <c r="N539" t="s">
        <v>209</v>
      </c>
      <c r="O539" t="s">
        <v>262</v>
      </c>
      <c r="P539">
        <v>0.12516534751306579</v>
      </c>
      <c r="Q539" t="s">
        <v>166</v>
      </c>
    </row>
    <row r="540" spans="9:17" x14ac:dyDescent="0.45">
      <c r="I540" t="s">
        <v>186</v>
      </c>
      <c r="J540" t="s">
        <v>263</v>
      </c>
      <c r="K540">
        <v>3.7736322292061288E-2</v>
      </c>
      <c r="L540" t="s">
        <v>166</v>
      </c>
      <c r="N540" t="s">
        <v>209</v>
      </c>
      <c r="O540" t="s">
        <v>263</v>
      </c>
      <c r="P540">
        <v>1.1216759854134931E-2</v>
      </c>
      <c r="Q540" t="s">
        <v>166</v>
      </c>
    </row>
    <row r="541" spans="9:17" x14ac:dyDescent="0.45">
      <c r="I541" t="s">
        <v>186</v>
      </c>
      <c r="J541" t="s">
        <v>264</v>
      </c>
      <c r="K541">
        <v>0.35462637176909251</v>
      </c>
      <c r="L541" t="s">
        <v>166</v>
      </c>
      <c r="N541" t="s">
        <v>209</v>
      </c>
      <c r="O541" t="s">
        <v>264</v>
      </c>
      <c r="P541">
        <v>6.9187488288614901E-2</v>
      </c>
      <c r="Q541" t="s">
        <v>166</v>
      </c>
    </row>
    <row r="542" spans="9:17" x14ac:dyDescent="0.45">
      <c r="I542" t="s">
        <v>186</v>
      </c>
      <c r="J542" t="s">
        <v>265</v>
      </c>
      <c r="K542">
        <v>4.1409216681674604E-2</v>
      </c>
      <c r="L542" t="s">
        <v>166</v>
      </c>
      <c r="N542" t="s">
        <v>209</v>
      </c>
      <c r="O542" t="s">
        <v>265</v>
      </c>
      <c r="P542">
        <v>1.0918669446865616E-2</v>
      </c>
      <c r="Q542" t="s">
        <v>166</v>
      </c>
    </row>
    <row r="543" spans="9:17" x14ac:dyDescent="0.45">
      <c r="I543" t="s">
        <v>186</v>
      </c>
      <c r="J543" t="s">
        <v>266</v>
      </c>
      <c r="K543">
        <v>3.1088944578413553E-2</v>
      </c>
      <c r="L543" t="s">
        <v>166</v>
      </c>
      <c r="N543" t="s">
        <v>209</v>
      </c>
      <c r="O543" t="s">
        <v>266</v>
      </c>
      <c r="P543">
        <v>1.1542002863758789E-2</v>
      </c>
      <c r="Q543" t="s">
        <v>166</v>
      </c>
    </row>
    <row r="544" spans="9:17" x14ac:dyDescent="0.45">
      <c r="I544" t="s">
        <v>186</v>
      </c>
      <c r="J544" t="s">
        <v>267</v>
      </c>
      <c r="K544">
        <v>3.2044074299372692E-2</v>
      </c>
      <c r="L544" t="s">
        <v>166</v>
      </c>
      <c r="N544" t="s">
        <v>209</v>
      </c>
      <c r="O544" t="s">
        <v>267</v>
      </c>
      <c r="P544">
        <v>9.5426571903690791E-2</v>
      </c>
      <c r="Q544" t="s">
        <v>166</v>
      </c>
    </row>
    <row r="545" spans="9:17" x14ac:dyDescent="0.45">
      <c r="I545" t="s">
        <v>186</v>
      </c>
      <c r="J545" t="s">
        <v>268</v>
      </c>
      <c r="K545">
        <v>0</v>
      </c>
      <c r="L545" t="s">
        <v>166</v>
      </c>
      <c r="N545" t="s">
        <v>209</v>
      </c>
      <c r="O545" t="s">
        <v>268</v>
      </c>
      <c r="P545">
        <v>3.9399220406918421E-2</v>
      </c>
      <c r="Q545" t="s">
        <v>166</v>
      </c>
    </row>
    <row r="546" spans="9:17" x14ac:dyDescent="0.45">
      <c r="I546" t="s">
        <v>186</v>
      </c>
      <c r="J546" t="s">
        <v>269</v>
      </c>
      <c r="K546">
        <v>1.6646696192404806E-3</v>
      </c>
      <c r="L546" t="s">
        <v>166</v>
      </c>
      <c r="N546" t="s">
        <v>209</v>
      </c>
      <c r="O546" t="s">
        <v>269</v>
      </c>
      <c r="P546">
        <v>4.648615762384083E-3</v>
      </c>
      <c r="Q546" t="s">
        <v>166</v>
      </c>
    </row>
    <row r="547" spans="9:17" x14ac:dyDescent="0.45">
      <c r="I547" t="s">
        <v>186</v>
      </c>
      <c r="J547" t="s">
        <v>270</v>
      </c>
      <c r="K547">
        <v>2.4199239679887331E-2</v>
      </c>
      <c r="L547" t="s">
        <v>166</v>
      </c>
      <c r="N547" t="s">
        <v>209</v>
      </c>
      <c r="O547" t="s">
        <v>270</v>
      </c>
      <c r="P547">
        <v>2.5076013026851533E-2</v>
      </c>
      <c r="Q547" t="s">
        <v>166</v>
      </c>
    </row>
    <row r="548" spans="9:17" x14ac:dyDescent="0.45">
      <c r="I548" t="s">
        <v>186</v>
      </c>
      <c r="J548" t="s">
        <v>271</v>
      </c>
      <c r="K548">
        <v>3.2019335469805015E-4</v>
      </c>
      <c r="L548" t="s">
        <v>166</v>
      </c>
      <c r="N548" t="s">
        <v>209</v>
      </c>
      <c r="O548" t="s">
        <v>271</v>
      </c>
      <c r="P548">
        <v>3.3089631124472415E-3</v>
      </c>
      <c r="Q548" t="s">
        <v>166</v>
      </c>
    </row>
    <row r="549" spans="9:17" x14ac:dyDescent="0.45">
      <c r="I549" t="s">
        <v>186</v>
      </c>
      <c r="J549" t="s">
        <v>272</v>
      </c>
      <c r="K549">
        <v>0</v>
      </c>
      <c r="L549" t="s">
        <v>166</v>
      </c>
      <c r="N549" t="s">
        <v>209</v>
      </c>
      <c r="O549" t="s">
        <v>272</v>
      </c>
      <c r="P549">
        <v>3.5670704791125234E-3</v>
      </c>
      <c r="Q549" t="s">
        <v>166</v>
      </c>
    </row>
    <row r="550" spans="9:17" x14ac:dyDescent="0.45">
      <c r="I550" t="s">
        <v>186</v>
      </c>
      <c r="J550" t="s">
        <v>273</v>
      </c>
      <c r="K550">
        <v>0</v>
      </c>
      <c r="L550" t="s">
        <v>166</v>
      </c>
      <c r="N550" t="s">
        <v>209</v>
      </c>
      <c r="O550" t="s">
        <v>273</v>
      </c>
      <c r="P550">
        <v>2.7623330979581008E-2</v>
      </c>
      <c r="Q550" t="s">
        <v>166</v>
      </c>
    </row>
    <row r="551" spans="9:17" x14ac:dyDescent="0.45">
      <c r="I551" t="s">
        <v>186</v>
      </c>
      <c r="J551" t="s">
        <v>274</v>
      </c>
      <c r="K551">
        <v>0</v>
      </c>
      <c r="L551" t="s">
        <v>166</v>
      </c>
      <c r="N551" t="s">
        <v>209</v>
      </c>
      <c r="O551" t="s">
        <v>274</v>
      </c>
      <c r="P551">
        <v>4.3603586020343685E-2</v>
      </c>
      <c r="Q551" t="s">
        <v>166</v>
      </c>
    </row>
    <row r="552" spans="9:17" x14ac:dyDescent="0.45">
      <c r="I552" t="s">
        <v>186</v>
      </c>
      <c r="J552" t="s">
        <v>275</v>
      </c>
      <c r="K552">
        <v>0</v>
      </c>
      <c r="L552" t="s">
        <v>166</v>
      </c>
      <c r="N552" t="s">
        <v>209</v>
      </c>
      <c r="O552" t="s">
        <v>275</v>
      </c>
      <c r="P552">
        <v>4.4522915173627617E-3</v>
      </c>
      <c r="Q552" t="s">
        <v>166</v>
      </c>
    </row>
    <row r="553" spans="9:17" x14ac:dyDescent="0.45">
      <c r="I553" t="s">
        <v>186</v>
      </c>
      <c r="J553" t="s">
        <v>276</v>
      </c>
      <c r="K553">
        <v>1.4769769546904236E-2</v>
      </c>
      <c r="L553" t="s">
        <v>166</v>
      </c>
      <c r="N553" t="s">
        <v>209</v>
      </c>
      <c r="O553" t="s">
        <v>276</v>
      </c>
      <c r="P553">
        <v>2.3037180653445427E-2</v>
      </c>
      <c r="Q553" t="s">
        <v>166</v>
      </c>
    </row>
    <row r="554" spans="9:17" x14ac:dyDescent="0.45">
      <c r="I554" t="s">
        <v>186</v>
      </c>
      <c r="J554" t="s">
        <v>277</v>
      </c>
      <c r="K554">
        <v>0</v>
      </c>
      <c r="L554" t="s">
        <v>166</v>
      </c>
      <c r="N554" t="s">
        <v>209</v>
      </c>
      <c r="O554" t="s">
        <v>277</v>
      </c>
      <c r="P554">
        <v>4.0481442510865223E-3</v>
      </c>
      <c r="Q554" t="s">
        <v>166</v>
      </c>
    </row>
    <row r="555" spans="9:17" x14ac:dyDescent="0.45">
      <c r="I555" t="s">
        <v>186</v>
      </c>
      <c r="J555" t="s">
        <v>278</v>
      </c>
      <c r="K555">
        <v>0</v>
      </c>
      <c r="L555" t="s">
        <v>166</v>
      </c>
      <c r="N555" t="s">
        <v>209</v>
      </c>
      <c r="O555" t="s">
        <v>278</v>
      </c>
      <c r="P555">
        <v>4.85544673880022E-3</v>
      </c>
      <c r="Q555" t="s">
        <v>166</v>
      </c>
    </row>
    <row r="556" spans="9:17" x14ac:dyDescent="0.45">
      <c r="I556" t="s">
        <v>186</v>
      </c>
      <c r="J556" t="s">
        <v>279</v>
      </c>
      <c r="K556">
        <v>0</v>
      </c>
      <c r="L556" t="s">
        <v>166</v>
      </c>
      <c r="N556" t="s">
        <v>209</v>
      </c>
      <c r="O556" t="s">
        <v>279</v>
      </c>
      <c r="P556">
        <v>3.4428948616473262E-2</v>
      </c>
      <c r="Q556" t="s">
        <v>166</v>
      </c>
    </row>
    <row r="557" spans="9:17" x14ac:dyDescent="0.45">
      <c r="I557" t="s">
        <v>187</v>
      </c>
      <c r="J557" t="s">
        <v>165</v>
      </c>
      <c r="K557">
        <v>8.5705650814409329E-5</v>
      </c>
      <c r="L557" t="s">
        <v>166</v>
      </c>
      <c r="N557" t="s">
        <v>210</v>
      </c>
      <c r="O557" t="s">
        <v>165</v>
      </c>
      <c r="P557">
        <v>6.9893668098582246E-2</v>
      </c>
      <c r="Q557" t="s">
        <v>166</v>
      </c>
    </row>
    <row r="558" spans="9:17" x14ac:dyDescent="0.45">
      <c r="I558" t="s">
        <v>187</v>
      </c>
      <c r="J558" t="s">
        <v>167</v>
      </c>
      <c r="K558">
        <v>2.3707666907539157E-3</v>
      </c>
      <c r="L558" t="s">
        <v>166</v>
      </c>
      <c r="N558" t="s">
        <v>210</v>
      </c>
      <c r="O558" t="s">
        <v>167</v>
      </c>
      <c r="P558">
        <v>8.5074576876291962E-3</v>
      </c>
      <c r="Q558" t="s">
        <v>166</v>
      </c>
    </row>
    <row r="559" spans="9:17" x14ac:dyDescent="0.45">
      <c r="I559" t="s">
        <v>187</v>
      </c>
      <c r="J559" t="s">
        <v>168</v>
      </c>
      <c r="K559">
        <v>5.7405714096063244E-2</v>
      </c>
      <c r="L559" t="s">
        <v>166</v>
      </c>
      <c r="N559" t="s">
        <v>210</v>
      </c>
      <c r="O559" t="s">
        <v>168</v>
      </c>
      <c r="P559">
        <v>5.5547177581075559E-2</v>
      </c>
      <c r="Q559" t="s">
        <v>166</v>
      </c>
    </row>
    <row r="560" spans="9:17" x14ac:dyDescent="0.45">
      <c r="I560" t="s">
        <v>187</v>
      </c>
      <c r="J560" t="s">
        <v>247</v>
      </c>
      <c r="K560">
        <v>3.5499415159390701E-3</v>
      </c>
      <c r="L560" t="s">
        <v>166</v>
      </c>
      <c r="N560" t="s">
        <v>210</v>
      </c>
      <c r="O560" t="s">
        <v>247</v>
      </c>
      <c r="P560">
        <v>8.9052941364599174E-3</v>
      </c>
      <c r="Q560" t="s">
        <v>166</v>
      </c>
    </row>
    <row r="561" spans="9:17" x14ac:dyDescent="0.45">
      <c r="I561" t="s">
        <v>187</v>
      </c>
      <c r="J561" t="s">
        <v>248</v>
      </c>
      <c r="K561">
        <v>4.8855166179644896E-4</v>
      </c>
      <c r="L561" t="s">
        <v>166</v>
      </c>
      <c r="N561" t="s">
        <v>210</v>
      </c>
      <c r="O561" t="s">
        <v>248</v>
      </c>
      <c r="P561">
        <v>8.9174887236145358E-3</v>
      </c>
      <c r="Q561" t="s">
        <v>166</v>
      </c>
    </row>
    <row r="562" spans="9:17" x14ac:dyDescent="0.45">
      <c r="I562" t="s">
        <v>187</v>
      </c>
      <c r="J562" t="s">
        <v>249</v>
      </c>
      <c r="K562">
        <v>0</v>
      </c>
      <c r="L562" t="s">
        <v>166</v>
      </c>
      <c r="N562" t="s">
        <v>210</v>
      </c>
      <c r="O562" t="s">
        <v>249</v>
      </c>
      <c r="P562">
        <v>5.1559986407016624E-2</v>
      </c>
      <c r="Q562" t="s">
        <v>166</v>
      </c>
    </row>
    <row r="563" spans="9:17" x14ac:dyDescent="0.45">
      <c r="I563" t="s">
        <v>187</v>
      </c>
      <c r="J563" t="s">
        <v>169</v>
      </c>
      <c r="K563">
        <v>5.9373082011711358E-3</v>
      </c>
      <c r="L563" t="s">
        <v>166</v>
      </c>
      <c r="N563" t="s">
        <v>210</v>
      </c>
      <c r="O563" t="s">
        <v>169</v>
      </c>
      <c r="P563">
        <v>3.2229658016034862E-2</v>
      </c>
      <c r="Q563" t="s">
        <v>166</v>
      </c>
    </row>
    <row r="564" spans="9:17" x14ac:dyDescent="0.45">
      <c r="I564" t="s">
        <v>187</v>
      </c>
      <c r="J564" t="s">
        <v>170</v>
      </c>
      <c r="K564">
        <v>7.7589184124550528E-3</v>
      </c>
      <c r="L564" t="s">
        <v>166</v>
      </c>
      <c r="N564" t="s">
        <v>210</v>
      </c>
      <c r="O564" t="s">
        <v>170</v>
      </c>
      <c r="P564">
        <v>4.53107555073449E-3</v>
      </c>
      <c r="Q564" t="s">
        <v>166</v>
      </c>
    </row>
    <row r="565" spans="9:17" x14ac:dyDescent="0.45">
      <c r="I565" t="s">
        <v>187</v>
      </c>
      <c r="J565" t="s">
        <v>171</v>
      </c>
      <c r="K565">
        <v>7.0869935068473958E-2</v>
      </c>
      <c r="L565" t="s">
        <v>166</v>
      </c>
      <c r="N565" t="s">
        <v>210</v>
      </c>
      <c r="O565" t="s">
        <v>171</v>
      </c>
      <c r="P565">
        <v>2.8165041282300744E-2</v>
      </c>
      <c r="Q565" t="s">
        <v>166</v>
      </c>
    </row>
    <row r="566" spans="9:17" x14ac:dyDescent="0.45">
      <c r="I566" t="s">
        <v>187</v>
      </c>
      <c r="J566" t="s">
        <v>250</v>
      </c>
      <c r="K566">
        <v>7.276108173320266E-3</v>
      </c>
      <c r="L566" t="s">
        <v>166</v>
      </c>
      <c r="N566" t="s">
        <v>210</v>
      </c>
      <c r="O566" t="s">
        <v>250</v>
      </c>
      <c r="P566">
        <v>4.1873465250073776E-3</v>
      </c>
      <c r="Q566" t="s">
        <v>166</v>
      </c>
    </row>
    <row r="567" spans="9:17" x14ac:dyDescent="0.45">
      <c r="I567" t="s">
        <v>187</v>
      </c>
      <c r="J567" t="s">
        <v>251</v>
      </c>
      <c r="K567">
        <v>4.7637352878409844E-3</v>
      </c>
      <c r="L567" t="s">
        <v>166</v>
      </c>
      <c r="N567" t="s">
        <v>210</v>
      </c>
      <c r="O567" t="s">
        <v>251</v>
      </c>
      <c r="P567">
        <v>4.4722958755341212E-3</v>
      </c>
      <c r="Q567" t="s">
        <v>166</v>
      </c>
    </row>
    <row r="568" spans="9:17" x14ac:dyDescent="0.45">
      <c r="I568" t="s">
        <v>187</v>
      </c>
      <c r="J568" t="s">
        <v>252</v>
      </c>
      <c r="K568">
        <v>1.0968535027259428E-3</v>
      </c>
      <c r="L568" t="s">
        <v>166</v>
      </c>
      <c r="N568" t="s">
        <v>210</v>
      </c>
      <c r="O568" t="s">
        <v>252</v>
      </c>
      <c r="P568">
        <v>2.8711005445513797E-2</v>
      </c>
      <c r="Q568" t="s">
        <v>166</v>
      </c>
    </row>
    <row r="569" spans="9:17" x14ac:dyDescent="0.45">
      <c r="I569" t="s">
        <v>187</v>
      </c>
      <c r="J569" t="s">
        <v>172</v>
      </c>
      <c r="K569">
        <v>1.2101063292526091E-2</v>
      </c>
      <c r="L569" t="s">
        <v>166</v>
      </c>
      <c r="N569" t="s">
        <v>210</v>
      </c>
      <c r="O569" t="s">
        <v>172</v>
      </c>
      <c r="P569">
        <v>2.2175306689037343E-2</v>
      </c>
      <c r="Q569" t="s">
        <v>166</v>
      </c>
    </row>
    <row r="570" spans="9:17" x14ac:dyDescent="0.45">
      <c r="I570" t="s">
        <v>187</v>
      </c>
      <c r="J570" t="s">
        <v>173</v>
      </c>
      <c r="K570">
        <v>8.8247242165926752E-3</v>
      </c>
      <c r="L570" t="s">
        <v>166</v>
      </c>
      <c r="N570" t="s">
        <v>210</v>
      </c>
      <c r="O570" t="s">
        <v>173</v>
      </c>
      <c r="P570">
        <v>2.9408263893072779E-3</v>
      </c>
      <c r="Q570" t="s">
        <v>166</v>
      </c>
    </row>
    <row r="571" spans="9:17" x14ac:dyDescent="0.45">
      <c r="I571" t="s">
        <v>187</v>
      </c>
      <c r="J571" t="s">
        <v>174</v>
      </c>
      <c r="K571">
        <v>7.5182585099864391E-2</v>
      </c>
      <c r="L571" t="s">
        <v>166</v>
      </c>
      <c r="N571" t="s">
        <v>210</v>
      </c>
      <c r="O571" t="s">
        <v>174</v>
      </c>
      <c r="P571">
        <v>1.6906023927159206E-2</v>
      </c>
      <c r="Q571" t="s">
        <v>166</v>
      </c>
    </row>
    <row r="572" spans="9:17" x14ac:dyDescent="0.45">
      <c r="I572" t="s">
        <v>187</v>
      </c>
      <c r="J572" t="s">
        <v>253</v>
      </c>
      <c r="K572">
        <v>7.9661899859486528E-3</v>
      </c>
      <c r="L572" t="s">
        <v>166</v>
      </c>
      <c r="N572" t="s">
        <v>210</v>
      </c>
      <c r="O572" t="s">
        <v>253</v>
      </c>
      <c r="P572">
        <v>1.8548692790361007E-3</v>
      </c>
      <c r="Q572" t="s">
        <v>166</v>
      </c>
    </row>
    <row r="573" spans="9:17" x14ac:dyDescent="0.45">
      <c r="I573" t="s">
        <v>187</v>
      </c>
      <c r="J573" t="s">
        <v>254</v>
      </c>
      <c r="K573">
        <v>6.5098421479866395E-3</v>
      </c>
      <c r="L573" t="s">
        <v>166</v>
      </c>
      <c r="N573" t="s">
        <v>210</v>
      </c>
      <c r="O573" t="s">
        <v>254</v>
      </c>
      <c r="P573">
        <v>1.8416938490955774E-3</v>
      </c>
      <c r="Q573" t="s">
        <v>166</v>
      </c>
    </row>
    <row r="574" spans="9:17" x14ac:dyDescent="0.45">
      <c r="I574" t="s">
        <v>187</v>
      </c>
      <c r="J574" t="s">
        <v>255</v>
      </c>
      <c r="K574">
        <v>4.6342349453683315E-3</v>
      </c>
      <c r="L574" t="s">
        <v>166</v>
      </c>
      <c r="N574" t="s">
        <v>210</v>
      </c>
      <c r="O574" t="s">
        <v>255</v>
      </c>
      <c r="P574">
        <v>1.4487779925470703E-2</v>
      </c>
      <c r="Q574" t="s">
        <v>166</v>
      </c>
    </row>
    <row r="575" spans="9:17" x14ac:dyDescent="0.45">
      <c r="I575" t="s">
        <v>187</v>
      </c>
      <c r="J575" t="s">
        <v>256</v>
      </c>
      <c r="K575">
        <v>1.472128652942674E-2</v>
      </c>
      <c r="L575" t="s">
        <v>166</v>
      </c>
      <c r="N575" t="s">
        <v>210</v>
      </c>
      <c r="O575" t="s">
        <v>256</v>
      </c>
      <c r="P575">
        <v>2.9300168663620209E-2</v>
      </c>
      <c r="Q575" t="s">
        <v>166</v>
      </c>
    </row>
    <row r="576" spans="9:17" x14ac:dyDescent="0.45">
      <c r="I576" t="s">
        <v>187</v>
      </c>
      <c r="J576" t="s">
        <v>257</v>
      </c>
      <c r="K576">
        <v>9.1564521633142309E-3</v>
      </c>
      <c r="L576" t="s">
        <v>166</v>
      </c>
      <c r="N576" t="s">
        <v>210</v>
      </c>
      <c r="O576" t="s">
        <v>257</v>
      </c>
      <c r="P576">
        <v>3.3550430095760204E-3</v>
      </c>
      <c r="Q576" t="s">
        <v>166</v>
      </c>
    </row>
    <row r="577" spans="9:17" x14ac:dyDescent="0.45">
      <c r="I577" t="s">
        <v>187</v>
      </c>
      <c r="J577" t="s">
        <v>258</v>
      </c>
      <c r="K577">
        <v>7.5994764812681762E-2</v>
      </c>
      <c r="L577" t="s">
        <v>166</v>
      </c>
      <c r="N577" t="s">
        <v>210</v>
      </c>
      <c r="O577" t="s">
        <v>258</v>
      </c>
      <c r="P577">
        <v>2.61717760796953E-2</v>
      </c>
      <c r="Q577" t="s">
        <v>166</v>
      </c>
    </row>
    <row r="578" spans="9:17" x14ac:dyDescent="0.45">
      <c r="I578" t="s">
        <v>187</v>
      </c>
      <c r="J578" t="s">
        <v>259</v>
      </c>
      <c r="K578">
        <v>7.113297950204182E-3</v>
      </c>
      <c r="L578" t="s">
        <v>166</v>
      </c>
      <c r="N578" t="s">
        <v>210</v>
      </c>
      <c r="O578" t="s">
        <v>259</v>
      </c>
      <c r="P578">
        <v>4.6037988795271266E-3</v>
      </c>
      <c r="Q578" t="s">
        <v>166</v>
      </c>
    </row>
    <row r="579" spans="9:17" x14ac:dyDescent="0.45">
      <c r="I579" t="s">
        <v>187</v>
      </c>
      <c r="J579" t="s">
        <v>260</v>
      </c>
      <c r="K579">
        <v>5.5248127645856123E-3</v>
      </c>
      <c r="L579" t="s">
        <v>166</v>
      </c>
      <c r="N579" t="s">
        <v>210</v>
      </c>
      <c r="O579" t="s">
        <v>260</v>
      </c>
      <c r="P579">
        <v>4.44318451751303E-3</v>
      </c>
      <c r="Q579" t="s">
        <v>166</v>
      </c>
    </row>
    <row r="580" spans="9:17" x14ac:dyDescent="0.45">
      <c r="I580" t="s">
        <v>187</v>
      </c>
      <c r="J580" t="s">
        <v>261</v>
      </c>
      <c r="K580">
        <v>5.8509186757812514E-3</v>
      </c>
      <c r="L580" t="s">
        <v>166</v>
      </c>
      <c r="N580" t="s">
        <v>210</v>
      </c>
      <c r="O580" t="s">
        <v>261</v>
      </c>
      <c r="P580">
        <v>2.6171169413381844E-2</v>
      </c>
      <c r="Q580" t="s">
        <v>166</v>
      </c>
    </row>
    <row r="581" spans="9:17" x14ac:dyDescent="0.45">
      <c r="I581" t="s">
        <v>187</v>
      </c>
      <c r="J581" t="s">
        <v>262</v>
      </c>
      <c r="K581">
        <v>6.1834620848748981E-2</v>
      </c>
      <c r="L581" t="s">
        <v>166</v>
      </c>
      <c r="N581" t="s">
        <v>210</v>
      </c>
      <c r="O581" t="s">
        <v>262</v>
      </c>
      <c r="P581">
        <v>0.1119158250355229</v>
      </c>
      <c r="Q581" t="s">
        <v>166</v>
      </c>
    </row>
    <row r="582" spans="9:17" x14ac:dyDescent="0.45">
      <c r="I582" t="s">
        <v>187</v>
      </c>
      <c r="J582" t="s">
        <v>263</v>
      </c>
      <c r="K582">
        <v>4.1645808781411379E-2</v>
      </c>
      <c r="L582" t="s">
        <v>166</v>
      </c>
      <c r="N582" t="s">
        <v>210</v>
      </c>
      <c r="O582" t="s">
        <v>263</v>
      </c>
      <c r="P582">
        <v>1.1736848895281135E-2</v>
      </c>
      <c r="Q582" t="s">
        <v>166</v>
      </c>
    </row>
    <row r="583" spans="9:17" x14ac:dyDescent="0.45">
      <c r="I583" t="s">
        <v>187</v>
      </c>
      <c r="J583" t="s">
        <v>264</v>
      </c>
      <c r="K583">
        <v>0.36102799267705926</v>
      </c>
      <c r="L583" t="s">
        <v>166</v>
      </c>
      <c r="N583" t="s">
        <v>210</v>
      </c>
      <c r="O583" t="s">
        <v>264</v>
      </c>
      <c r="P583">
        <v>8.1283586094672566E-2</v>
      </c>
      <c r="Q583" t="s">
        <v>166</v>
      </c>
    </row>
    <row r="584" spans="9:17" x14ac:dyDescent="0.45">
      <c r="I584" t="s">
        <v>187</v>
      </c>
      <c r="J584" t="s">
        <v>265</v>
      </c>
      <c r="K584">
        <v>3.947450063685843E-2</v>
      </c>
      <c r="L584" t="s">
        <v>166</v>
      </c>
      <c r="N584" t="s">
        <v>210</v>
      </c>
      <c r="O584" t="s">
        <v>265</v>
      </c>
      <c r="P584">
        <v>1.2889742329828147E-2</v>
      </c>
      <c r="Q584" t="s">
        <v>166</v>
      </c>
    </row>
    <row r="585" spans="9:17" x14ac:dyDescent="0.45">
      <c r="I585" t="s">
        <v>187</v>
      </c>
      <c r="J585" t="s">
        <v>266</v>
      </c>
      <c r="K585">
        <v>2.8825166953203911E-2</v>
      </c>
      <c r="L585" t="s">
        <v>166</v>
      </c>
      <c r="N585" t="s">
        <v>210</v>
      </c>
      <c r="O585" t="s">
        <v>266</v>
      </c>
      <c r="P585">
        <v>1.3352133002319971E-2</v>
      </c>
      <c r="Q585" t="s">
        <v>166</v>
      </c>
    </row>
    <row r="586" spans="9:17" x14ac:dyDescent="0.45">
      <c r="I586" t="s">
        <v>187</v>
      </c>
      <c r="J586" t="s">
        <v>267</v>
      </c>
      <c r="K586">
        <v>2.9738631624033254E-2</v>
      </c>
      <c r="L586" t="s">
        <v>166</v>
      </c>
      <c r="N586" t="s">
        <v>210</v>
      </c>
      <c r="O586" t="s">
        <v>267</v>
      </c>
      <c r="P586">
        <v>9.0685014669374758E-2</v>
      </c>
      <c r="Q586" t="s">
        <v>166</v>
      </c>
    </row>
    <row r="587" spans="9:17" x14ac:dyDescent="0.45">
      <c r="I587" t="s">
        <v>187</v>
      </c>
      <c r="J587" t="s">
        <v>268</v>
      </c>
      <c r="K587">
        <v>0</v>
      </c>
      <c r="L587" t="s">
        <v>166</v>
      </c>
      <c r="N587" t="s">
        <v>210</v>
      </c>
      <c r="O587" t="s">
        <v>268</v>
      </c>
      <c r="P587">
        <v>3.7491644273829346E-2</v>
      </c>
      <c r="Q587" t="s">
        <v>166</v>
      </c>
    </row>
    <row r="588" spans="9:17" x14ac:dyDescent="0.45">
      <c r="I588" t="s">
        <v>187</v>
      </c>
      <c r="J588" t="s">
        <v>269</v>
      </c>
      <c r="K588">
        <v>2.024368651065896E-3</v>
      </c>
      <c r="L588" t="s">
        <v>166</v>
      </c>
      <c r="N588" t="s">
        <v>210</v>
      </c>
      <c r="O588" t="s">
        <v>269</v>
      </c>
      <c r="P588">
        <v>5.0267029156791671E-3</v>
      </c>
      <c r="Q588" t="s">
        <v>166</v>
      </c>
    </row>
    <row r="589" spans="9:17" x14ac:dyDescent="0.45">
      <c r="I589" t="s">
        <v>187</v>
      </c>
      <c r="J589" t="s">
        <v>270</v>
      </c>
      <c r="K589">
        <v>2.7165734407814012E-2</v>
      </c>
      <c r="L589" t="s">
        <v>166</v>
      </c>
      <c r="N589" t="s">
        <v>210</v>
      </c>
      <c r="O589" t="s">
        <v>270</v>
      </c>
      <c r="P589">
        <v>2.9992825656614205E-2</v>
      </c>
      <c r="Q589" t="s">
        <v>166</v>
      </c>
    </row>
    <row r="590" spans="9:17" x14ac:dyDescent="0.45">
      <c r="I590" t="s">
        <v>187</v>
      </c>
      <c r="J590" t="s">
        <v>271</v>
      </c>
      <c r="K590">
        <v>2.0184786709480978E-4</v>
      </c>
      <c r="L590" t="s">
        <v>166</v>
      </c>
      <c r="N590" t="s">
        <v>210</v>
      </c>
      <c r="O590" t="s">
        <v>271</v>
      </c>
      <c r="P590">
        <v>3.5593468402944648E-3</v>
      </c>
      <c r="Q590" t="s">
        <v>166</v>
      </c>
    </row>
    <row r="591" spans="9:17" x14ac:dyDescent="0.45">
      <c r="I591" t="s">
        <v>187</v>
      </c>
      <c r="J591" t="s">
        <v>272</v>
      </c>
      <c r="K591">
        <v>0</v>
      </c>
      <c r="L591" t="s">
        <v>166</v>
      </c>
      <c r="N591" t="s">
        <v>210</v>
      </c>
      <c r="O591" t="s">
        <v>272</v>
      </c>
      <c r="P591">
        <v>3.4459667503924695E-3</v>
      </c>
      <c r="Q591" t="s">
        <v>166</v>
      </c>
    </row>
    <row r="592" spans="9:17" x14ac:dyDescent="0.45">
      <c r="I592" t="s">
        <v>187</v>
      </c>
      <c r="J592" t="s">
        <v>273</v>
      </c>
      <c r="K592">
        <v>0</v>
      </c>
      <c r="L592" t="s">
        <v>166</v>
      </c>
      <c r="N592" t="s">
        <v>210</v>
      </c>
      <c r="O592" t="s">
        <v>273</v>
      </c>
      <c r="P592">
        <v>2.3820311583041726E-2</v>
      </c>
      <c r="Q592" t="s">
        <v>166</v>
      </c>
    </row>
    <row r="593" spans="9:17" x14ac:dyDescent="0.45">
      <c r="I593" t="s">
        <v>187</v>
      </c>
      <c r="J593" t="s">
        <v>274</v>
      </c>
      <c r="K593">
        <v>0</v>
      </c>
      <c r="L593" t="s">
        <v>166</v>
      </c>
      <c r="N593" t="s">
        <v>210</v>
      </c>
      <c r="O593" t="s">
        <v>274</v>
      </c>
      <c r="P593">
        <v>4.2137232695654517E-2</v>
      </c>
      <c r="Q593" t="s">
        <v>166</v>
      </c>
    </row>
    <row r="594" spans="9:17" x14ac:dyDescent="0.45">
      <c r="I594" t="s">
        <v>187</v>
      </c>
      <c r="J594" t="s">
        <v>275</v>
      </c>
      <c r="K594">
        <v>2.4177265161602631E-6</v>
      </c>
      <c r="L594" t="s">
        <v>166</v>
      </c>
      <c r="N594" t="s">
        <v>210</v>
      </c>
      <c r="O594" t="s">
        <v>275</v>
      </c>
      <c r="P594">
        <v>5.247168513853125E-3</v>
      </c>
      <c r="Q594" t="s">
        <v>166</v>
      </c>
    </row>
    <row r="595" spans="9:17" x14ac:dyDescent="0.45">
      <c r="I595" t="s">
        <v>187</v>
      </c>
      <c r="J595" t="s">
        <v>276</v>
      </c>
      <c r="K595">
        <v>1.2875198980558181E-2</v>
      </c>
      <c r="L595" t="s">
        <v>166</v>
      </c>
      <c r="N595" t="s">
        <v>210</v>
      </c>
      <c r="O595" t="s">
        <v>276</v>
      </c>
      <c r="P595">
        <v>2.7366884964510289E-2</v>
      </c>
      <c r="Q595" t="s">
        <v>166</v>
      </c>
    </row>
    <row r="596" spans="9:17" x14ac:dyDescent="0.45">
      <c r="I596" t="s">
        <v>187</v>
      </c>
      <c r="J596" t="s">
        <v>277</v>
      </c>
      <c r="K596">
        <v>0</v>
      </c>
      <c r="L596" t="s">
        <v>166</v>
      </c>
      <c r="N596" t="s">
        <v>210</v>
      </c>
      <c r="O596" t="s">
        <v>277</v>
      </c>
      <c r="P596">
        <v>4.2345864096937757E-3</v>
      </c>
      <c r="Q596" t="s">
        <v>166</v>
      </c>
    </row>
    <row r="597" spans="9:17" x14ac:dyDescent="0.45">
      <c r="I597" t="s">
        <v>187</v>
      </c>
      <c r="J597" t="s">
        <v>278</v>
      </c>
      <c r="K597">
        <v>0</v>
      </c>
      <c r="L597" t="s">
        <v>166</v>
      </c>
      <c r="N597" t="s">
        <v>210</v>
      </c>
      <c r="O597" t="s">
        <v>278</v>
      </c>
      <c r="P597">
        <v>4.6902494717375306E-3</v>
      </c>
      <c r="Q597" t="s">
        <v>166</v>
      </c>
    </row>
    <row r="598" spans="9:17" x14ac:dyDescent="0.45">
      <c r="I598" t="s">
        <v>187</v>
      </c>
      <c r="J598" t="s">
        <v>279</v>
      </c>
      <c r="K598">
        <v>0</v>
      </c>
      <c r="L598" t="s">
        <v>166</v>
      </c>
      <c r="N598" t="s">
        <v>210</v>
      </c>
      <c r="O598" t="s">
        <v>279</v>
      </c>
      <c r="P598">
        <v>3.1244793945777286E-2</v>
      </c>
      <c r="Q598" t="s">
        <v>166</v>
      </c>
    </row>
    <row r="599" spans="9:17" x14ac:dyDescent="0.45">
      <c r="I599" t="s">
        <v>188</v>
      </c>
      <c r="J599" t="s">
        <v>165</v>
      </c>
      <c r="K599">
        <v>1.721299153879121E-4</v>
      </c>
      <c r="L599" t="s">
        <v>166</v>
      </c>
      <c r="N599" t="s">
        <v>211</v>
      </c>
      <c r="O599" t="s">
        <v>165</v>
      </c>
      <c r="P599">
        <v>6.3753745439103462E-2</v>
      </c>
      <c r="Q599" t="s">
        <v>166</v>
      </c>
    </row>
    <row r="600" spans="9:17" x14ac:dyDescent="0.45">
      <c r="I600" t="s">
        <v>188</v>
      </c>
      <c r="J600" t="s">
        <v>167</v>
      </c>
      <c r="K600">
        <v>2.8806565354713089E-3</v>
      </c>
      <c r="L600" t="s">
        <v>166</v>
      </c>
      <c r="N600" t="s">
        <v>211</v>
      </c>
      <c r="O600" t="s">
        <v>167</v>
      </c>
      <c r="P600">
        <v>7.8390579259395299E-3</v>
      </c>
      <c r="Q600" t="s">
        <v>166</v>
      </c>
    </row>
    <row r="601" spans="9:17" x14ac:dyDescent="0.45">
      <c r="I601" t="s">
        <v>188</v>
      </c>
      <c r="J601" t="s">
        <v>168</v>
      </c>
      <c r="K601">
        <v>5.2811107453168776E-2</v>
      </c>
      <c r="L601" t="s">
        <v>166</v>
      </c>
      <c r="N601" t="s">
        <v>211</v>
      </c>
      <c r="O601" t="s">
        <v>168</v>
      </c>
      <c r="P601">
        <v>4.7248917638172537E-2</v>
      </c>
      <c r="Q601" t="s">
        <v>166</v>
      </c>
    </row>
    <row r="602" spans="9:17" x14ac:dyDescent="0.45">
      <c r="I602" t="s">
        <v>188</v>
      </c>
      <c r="J602" t="s">
        <v>247</v>
      </c>
      <c r="K602">
        <v>2.6840025683053112E-3</v>
      </c>
      <c r="L602" t="s">
        <v>166</v>
      </c>
      <c r="N602" t="s">
        <v>211</v>
      </c>
      <c r="O602" t="s">
        <v>247</v>
      </c>
      <c r="P602">
        <v>7.3611577459725772E-3</v>
      </c>
      <c r="Q602" t="s">
        <v>166</v>
      </c>
    </row>
    <row r="603" spans="9:17" x14ac:dyDescent="0.45">
      <c r="I603" t="s">
        <v>188</v>
      </c>
      <c r="J603" t="s">
        <v>248</v>
      </c>
      <c r="K603">
        <v>2.7244013544832745E-4</v>
      </c>
      <c r="L603" t="s">
        <v>166</v>
      </c>
      <c r="N603" t="s">
        <v>211</v>
      </c>
      <c r="O603" t="s">
        <v>248</v>
      </c>
      <c r="P603">
        <v>7.6776282290085332E-3</v>
      </c>
      <c r="Q603" t="s">
        <v>166</v>
      </c>
    </row>
    <row r="604" spans="9:17" x14ac:dyDescent="0.45">
      <c r="I604" t="s">
        <v>188</v>
      </c>
      <c r="J604" t="s">
        <v>249</v>
      </c>
      <c r="K604">
        <v>0</v>
      </c>
      <c r="L604" t="s">
        <v>166</v>
      </c>
      <c r="N604" t="s">
        <v>211</v>
      </c>
      <c r="O604" t="s">
        <v>249</v>
      </c>
      <c r="P604">
        <v>4.7152776025271355E-2</v>
      </c>
      <c r="Q604" t="s">
        <v>166</v>
      </c>
    </row>
    <row r="605" spans="9:17" x14ac:dyDescent="0.45">
      <c r="I605" t="s">
        <v>188</v>
      </c>
      <c r="J605" t="s">
        <v>169</v>
      </c>
      <c r="K605">
        <v>6.5737550101710278E-3</v>
      </c>
      <c r="L605" t="s">
        <v>166</v>
      </c>
      <c r="N605" t="s">
        <v>211</v>
      </c>
      <c r="O605" t="s">
        <v>169</v>
      </c>
      <c r="P605">
        <v>2.8729168247480914E-2</v>
      </c>
      <c r="Q605" t="s">
        <v>166</v>
      </c>
    </row>
    <row r="606" spans="9:17" x14ac:dyDescent="0.45">
      <c r="I606" t="s">
        <v>188</v>
      </c>
      <c r="J606" t="s">
        <v>170</v>
      </c>
      <c r="K606">
        <v>8.1552205257752804E-3</v>
      </c>
      <c r="L606" t="s">
        <v>166</v>
      </c>
      <c r="N606" t="s">
        <v>211</v>
      </c>
      <c r="O606" t="s">
        <v>170</v>
      </c>
      <c r="P606">
        <v>3.3882468067401774E-3</v>
      </c>
      <c r="Q606" t="s">
        <v>166</v>
      </c>
    </row>
    <row r="607" spans="9:17" x14ac:dyDescent="0.45">
      <c r="I607" t="s">
        <v>188</v>
      </c>
      <c r="J607" t="s">
        <v>171</v>
      </c>
      <c r="K607">
        <v>7.3341999795334609E-2</v>
      </c>
      <c r="L607" t="s">
        <v>166</v>
      </c>
      <c r="N607" t="s">
        <v>211</v>
      </c>
      <c r="O607" t="s">
        <v>171</v>
      </c>
      <c r="P607">
        <v>2.0200786260353158E-2</v>
      </c>
      <c r="Q607" t="s">
        <v>166</v>
      </c>
    </row>
    <row r="608" spans="9:17" x14ac:dyDescent="0.45">
      <c r="I608" t="s">
        <v>188</v>
      </c>
      <c r="J608" t="s">
        <v>250</v>
      </c>
      <c r="K608">
        <v>7.6481860119893335E-3</v>
      </c>
      <c r="L608" t="s">
        <v>166</v>
      </c>
      <c r="N608" t="s">
        <v>211</v>
      </c>
      <c r="O608" t="s">
        <v>250</v>
      </c>
      <c r="P608">
        <v>3.2627284371304888E-3</v>
      </c>
      <c r="Q608" t="s">
        <v>166</v>
      </c>
    </row>
    <row r="609" spans="9:17" x14ac:dyDescent="0.45">
      <c r="I609" t="s">
        <v>188</v>
      </c>
      <c r="J609" t="s">
        <v>251</v>
      </c>
      <c r="K609">
        <v>4.7843250071620443E-3</v>
      </c>
      <c r="L609" t="s">
        <v>166</v>
      </c>
      <c r="N609" t="s">
        <v>211</v>
      </c>
      <c r="O609" t="s">
        <v>251</v>
      </c>
      <c r="P609">
        <v>3.4656662529603016E-3</v>
      </c>
      <c r="Q609" t="s">
        <v>166</v>
      </c>
    </row>
    <row r="610" spans="9:17" x14ac:dyDescent="0.45">
      <c r="I610" t="s">
        <v>188</v>
      </c>
      <c r="J610" t="s">
        <v>252</v>
      </c>
      <c r="K610">
        <v>7.1008951033123616E-4</v>
      </c>
      <c r="L610" t="s">
        <v>166</v>
      </c>
      <c r="N610" t="s">
        <v>211</v>
      </c>
      <c r="O610" t="s">
        <v>252</v>
      </c>
      <c r="P610">
        <v>2.425530427313561E-2</v>
      </c>
      <c r="Q610" t="s">
        <v>166</v>
      </c>
    </row>
    <row r="611" spans="9:17" x14ac:dyDescent="0.45">
      <c r="I611" t="s">
        <v>188</v>
      </c>
      <c r="J611" t="s">
        <v>172</v>
      </c>
      <c r="K611">
        <v>1.4406500757785993E-2</v>
      </c>
      <c r="L611" t="s">
        <v>166</v>
      </c>
      <c r="N611" t="s">
        <v>211</v>
      </c>
      <c r="O611" t="s">
        <v>172</v>
      </c>
      <c r="P611">
        <v>3.3219961915332157E-2</v>
      </c>
      <c r="Q611" t="s">
        <v>166</v>
      </c>
    </row>
    <row r="612" spans="9:17" x14ac:dyDescent="0.45">
      <c r="I612" t="s">
        <v>188</v>
      </c>
      <c r="J612" t="s">
        <v>173</v>
      </c>
      <c r="K612">
        <v>9.3071683470274547E-3</v>
      </c>
      <c r="L612" t="s">
        <v>166</v>
      </c>
      <c r="N612" t="s">
        <v>211</v>
      </c>
      <c r="O612" t="s">
        <v>173</v>
      </c>
      <c r="P612">
        <v>3.8928064344073208E-3</v>
      </c>
      <c r="Q612" t="s">
        <v>166</v>
      </c>
    </row>
    <row r="613" spans="9:17" x14ac:dyDescent="0.45">
      <c r="I613" t="s">
        <v>188</v>
      </c>
      <c r="J613" t="s">
        <v>174</v>
      </c>
      <c r="K613">
        <v>7.4510315804059243E-2</v>
      </c>
      <c r="L613" t="s">
        <v>166</v>
      </c>
      <c r="N613" t="s">
        <v>211</v>
      </c>
      <c r="O613" t="s">
        <v>174</v>
      </c>
      <c r="P613">
        <v>2.3875348700155761E-2</v>
      </c>
      <c r="Q613" t="s">
        <v>166</v>
      </c>
    </row>
    <row r="614" spans="9:17" x14ac:dyDescent="0.45">
      <c r="I614" t="s">
        <v>188</v>
      </c>
      <c r="J614" t="s">
        <v>253</v>
      </c>
      <c r="K614">
        <v>7.5818483630277402E-3</v>
      </c>
      <c r="L614" t="s">
        <v>166</v>
      </c>
      <c r="N614" t="s">
        <v>211</v>
      </c>
      <c r="O614" t="s">
        <v>253</v>
      </c>
      <c r="P614">
        <v>3.6368289874163582E-3</v>
      </c>
      <c r="Q614" t="s">
        <v>166</v>
      </c>
    </row>
    <row r="615" spans="9:17" x14ac:dyDescent="0.45">
      <c r="I615" t="s">
        <v>188</v>
      </c>
      <c r="J615" t="s">
        <v>254</v>
      </c>
      <c r="K615">
        <v>6.130486444900482E-3</v>
      </c>
      <c r="L615" t="s">
        <v>166</v>
      </c>
      <c r="N615" t="s">
        <v>211</v>
      </c>
      <c r="O615" t="s">
        <v>254</v>
      </c>
      <c r="P615">
        <v>3.3497002625412606E-3</v>
      </c>
      <c r="Q615" t="s">
        <v>166</v>
      </c>
    </row>
    <row r="616" spans="9:17" x14ac:dyDescent="0.45">
      <c r="I616" t="s">
        <v>188</v>
      </c>
      <c r="J616" t="s">
        <v>255</v>
      </c>
      <c r="K616">
        <v>4.1763658608449453E-3</v>
      </c>
      <c r="L616" t="s">
        <v>166</v>
      </c>
      <c r="N616" t="s">
        <v>211</v>
      </c>
      <c r="O616" t="s">
        <v>255</v>
      </c>
      <c r="P616">
        <v>2.2565544737025552E-2</v>
      </c>
      <c r="Q616" t="s">
        <v>166</v>
      </c>
    </row>
    <row r="617" spans="9:17" x14ac:dyDescent="0.45">
      <c r="I617" t="s">
        <v>188</v>
      </c>
      <c r="J617" t="s">
        <v>256</v>
      </c>
      <c r="K617">
        <v>1.6212521683060602E-2</v>
      </c>
      <c r="L617" t="s">
        <v>166</v>
      </c>
      <c r="N617" t="s">
        <v>211</v>
      </c>
      <c r="O617" t="s">
        <v>256</v>
      </c>
      <c r="P617">
        <v>2.4437749801441783E-2</v>
      </c>
      <c r="Q617" t="s">
        <v>166</v>
      </c>
    </row>
    <row r="618" spans="9:17" x14ac:dyDescent="0.45">
      <c r="I618" t="s">
        <v>188</v>
      </c>
      <c r="J618" t="s">
        <v>257</v>
      </c>
      <c r="K618">
        <v>9.4279422537757156E-3</v>
      </c>
      <c r="L618" t="s">
        <v>166</v>
      </c>
      <c r="N618" t="s">
        <v>211</v>
      </c>
      <c r="O618" t="s">
        <v>257</v>
      </c>
      <c r="P618">
        <v>3.1595974883849662E-3</v>
      </c>
      <c r="Q618" t="s">
        <v>166</v>
      </c>
    </row>
    <row r="619" spans="9:17" x14ac:dyDescent="0.45">
      <c r="I619" t="s">
        <v>188</v>
      </c>
      <c r="J619" t="s">
        <v>258</v>
      </c>
      <c r="K619">
        <v>7.1436475227314389E-2</v>
      </c>
      <c r="L619" t="s">
        <v>166</v>
      </c>
      <c r="N619" t="s">
        <v>211</v>
      </c>
      <c r="O619" t="s">
        <v>258</v>
      </c>
      <c r="P619">
        <v>2.115807247203072E-2</v>
      </c>
      <c r="Q619" t="s">
        <v>166</v>
      </c>
    </row>
    <row r="620" spans="9:17" x14ac:dyDescent="0.45">
      <c r="I620" t="s">
        <v>188</v>
      </c>
      <c r="J620" t="s">
        <v>259</v>
      </c>
      <c r="K620">
        <v>7.0906975322295486E-3</v>
      </c>
      <c r="L620" t="s">
        <v>166</v>
      </c>
      <c r="N620" t="s">
        <v>211</v>
      </c>
      <c r="O620" t="s">
        <v>259</v>
      </c>
      <c r="P620">
        <v>3.1342782381918819E-3</v>
      </c>
      <c r="Q620" t="s">
        <v>166</v>
      </c>
    </row>
    <row r="621" spans="9:17" x14ac:dyDescent="0.45">
      <c r="I621" t="s">
        <v>188</v>
      </c>
      <c r="J621" t="s">
        <v>260</v>
      </c>
      <c r="K621">
        <v>5.3883673112723636E-3</v>
      </c>
      <c r="L621" t="s">
        <v>166</v>
      </c>
      <c r="N621" t="s">
        <v>211</v>
      </c>
      <c r="O621" t="s">
        <v>260</v>
      </c>
      <c r="P621">
        <v>2.8568214860080457E-3</v>
      </c>
      <c r="Q621" t="s">
        <v>166</v>
      </c>
    </row>
    <row r="622" spans="9:17" x14ac:dyDescent="0.45">
      <c r="I622" t="s">
        <v>188</v>
      </c>
      <c r="J622" t="s">
        <v>261</v>
      </c>
      <c r="K622">
        <v>5.2292738724302127E-3</v>
      </c>
      <c r="L622" t="s">
        <v>166</v>
      </c>
      <c r="N622" t="s">
        <v>211</v>
      </c>
      <c r="O622" t="s">
        <v>261</v>
      </c>
      <c r="P622">
        <v>1.7590675660984066E-2</v>
      </c>
      <c r="Q622" t="s">
        <v>166</v>
      </c>
    </row>
    <row r="623" spans="9:17" x14ac:dyDescent="0.45">
      <c r="I623" t="s">
        <v>188</v>
      </c>
      <c r="J623" t="s">
        <v>262</v>
      </c>
      <c r="K623">
        <v>7.1168645285436136E-2</v>
      </c>
      <c r="L623" t="s">
        <v>166</v>
      </c>
      <c r="N623" t="s">
        <v>211</v>
      </c>
      <c r="O623" t="s">
        <v>262</v>
      </c>
      <c r="P623">
        <v>0.11708722933890822</v>
      </c>
      <c r="Q623" t="s">
        <v>166</v>
      </c>
    </row>
    <row r="624" spans="9:17" x14ac:dyDescent="0.45">
      <c r="I624" t="s">
        <v>188</v>
      </c>
      <c r="J624" t="s">
        <v>263</v>
      </c>
      <c r="K624">
        <v>4.3693717282528403E-2</v>
      </c>
      <c r="L624" t="s">
        <v>166</v>
      </c>
      <c r="N624" t="s">
        <v>211</v>
      </c>
      <c r="O624" t="s">
        <v>263</v>
      </c>
      <c r="P624">
        <v>1.2155219339395826E-2</v>
      </c>
      <c r="Q624" t="s">
        <v>166</v>
      </c>
    </row>
    <row r="625" spans="9:17" x14ac:dyDescent="0.45">
      <c r="I625" t="s">
        <v>188</v>
      </c>
      <c r="J625" t="s">
        <v>264</v>
      </c>
      <c r="K625">
        <v>0.36048907715467776</v>
      </c>
      <c r="L625" t="s">
        <v>166</v>
      </c>
      <c r="N625" t="s">
        <v>211</v>
      </c>
      <c r="O625" t="s">
        <v>264</v>
      </c>
      <c r="P625">
        <v>7.9466632946552679E-2</v>
      </c>
      <c r="Q625" t="s">
        <v>166</v>
      </c>
    </row>
    <row r="626" spans="9:17" x14ac:dyDescent="0.45">
      <c r="I626" t="s">
        <v>188</v>
      </c>
      <c r="J626" t="s">
        <v>265</v>
      </c>
      <c r="K626">
        <v>3.7330297313402643E-2</v>
      </c>
      <c r="L626" t="s">
        <v>166</v>
      </c>
      <c r="N626" t="s">
        <v>211</v>
      </c>
      <c r="O626" t="s">
        <v>265</v>
      </c>
      <c r="P626">
        <v>1.234822475330394E-2</v>
      </c>
      <c r="Q626" t="s">
        <v>166</v>
      </c>
    </row>
    <row r="627" spans="9:17" x14ac:dyDescent="0.45">
      <c r="I627" t="s">
        <v>188</v>
      </c>
      <c r="J627" t="s">
        <v>266</v>
      </c>
      <c r="K627">
        <v>2.7676422928797947E-2</v>
      </c>
      <c r="L627" t="s">
        <v>166</v>
      </c>
      <c r="N627" t="s">
        <v>211</v>
      </c>
      <c r="O627" t="s">
        <v>266</v>
      </c>
      <c r="P627">
        <v>1.2493245341397972E-2</v>
      </c>
      <c r="Q627" t="s">
        <v>166</v>
      </c>
    </row>
    <row r="628" spans="9:17" x14ac:dyDescent="0.45">
      <c r="I628" t="s">
        <v>188</v>
      </c>
      <c r="J628" t="s">
        <v>267</v>
      </c>
      <c r="K628">
        <v>2.6717329708577261E-2</v>
      </c>
      <c r="L628" t="s">
        <v>166</v>
      </c>
      <c r="N628" t="s">
        <v>211</v>
      </c>
      <c r="O628" t="s">
        <v>267</v>
      </c>
      <c r="P628">
        <v>9.1874417350407106E-2</v>
      </c>
      <c r="Q628" t="s">
        <v>166</v>
      </c>
    </row>
    <row r="629" spans="9:17" x14ac:dyDescent="0.45">
      <c r="I629" t="s">
        <v>188</v>
      </c>
      <c r="J629" t="s">
        <v>268</v>
      </c>
      <c r="K629">
        <v>1.9295721253920993E-6</v>
      </c>
      <c r="L629" t="s">
        <v>166</v>
      </c>
      <c r="N629" t="s">
        <v>211</v>
      </c>
      <c r="O629" t="s">
        <v>268</v>
      </c>
      <c r="P629">
        <v>3.8832834891072449E-2</v>
      </c>
      <c r="Q629" t="s">
        <v>166</v>
      </c>
    </row>
    <row r="630" spans="9:17" x14ac:dyDescent="0.45">
      <c r="I630" t="s">
        <v>188</v>
      </c>
      <c r="J630" t="s">
        <v>269</v>
      </c>
      <c r="K630">
        <v>1.8833962960837919E-3</v>
      </c>
      <c r="L630" t="s">
        <v>166</v>
      </c>
      <c r="N630" t="s">
        <v>211</v>
      </c>
      <c r="O630" t="s">
        <v>269</v>
      </c>
      <c r="P630">
        <v>4.2989955641002716E-3</v>
      </c>
      <c r="Q630" t="s">
        <v>166</v>
      </c>
    </row>
    <row r="631" spans="9:17" x14ac:dyDescent="0.45">
      <c r="I631" t="s">
        <v>188</v>
      </c>
      <c r="J631" t="s">
        <v>270</v>
      </c>
      <c r="K631">
        <v>2.7746525733656383E-2</v>
      </c>
      <c r="L631" t="s">
        <v>166</v>
      </c>
      <c r="N631" t="s">
        <v>211</v>
      </c>
      <c r="O631" t="s">
        <v>270</v>
      </c>
      <c r="P631">
        <v>3.0180620376378187E-2</v>
      </c>
      <c r="Q631" t="s">
        <v>166</v>
      </c>
    </row>
    <row r="632" spans="9:17" x14ac:dyDescent="0.45">
      <c r="I632" t="s">
        <v>188</v>
      </c>
      <c r="J632" t="s">
        <v>271</v>
      </c>
      <c r="K632">
        <v>5.7960165884098471E-5</v>
      </c>
      <c r="L632" t="s">
        <v>166</v>
      </c>
      <c r="N632" t="s">
        <v>211</v>
      </c>
      <c r="O632" t="s">
        <v>271</v>
      </c>
      <c r="P632">
        <v>4.9538587912012029E-3</v>
      </c>
      <c r="Q632" t="s">
        <v>166</v>
      </c>
    </row>
    <row r="633" spans="9:17" x14ac:dyDescent="0.45">
      <c r="I633" t="s">
        <v>188</v>
      </c>
      <c r="J633" t="s">
        <v>272</v>
      </c>
      <c r="K633">
        <v>0</v>
      </c>
      <c r="L633" t="s">
        <v>166</v>
      </c>
      <c r="N633" t="s">
        <v>211</v>
      </c>
      <c r="O633" t="s">
        <v>272</v>
      </c>
      <c r="P633">
        <v>5.3029286826614588E-3</v>
      </c>
      <c r="Q633" t="s">
        <v>166</v>
      </c>
    </row>
    <row r="634" spans="9:17" x14ac:dyDescent="0.45">
      <c r="I634" t="s">
        <v>188</v>
      </c>
      <c r="J634" t="s">
        <v>273</v>
      </c>
      <c r="K634">
        <v>0</v>
      </c>
      <c r="L634" t="s">
        <v>166</v>
      </c>
      <c r="N634" t="s">
        <v>211</v>
      </c>
      <c r="O634" t="s">
        <v>273</v>
      </c>
      <c r="P634">
        <v>3.160003333831285E-2</v>
      </c>
      <c r="Q634" t="s">
        <v>166</v>
      </c>
    </row>
    <row r="635" spans="9:17" x14ac:dyDescent="0.45">
      <c r="I635" t="s">
        <v>188</v>
      </c>
      <c r="J635" t="s">
        <v>274</v>
      </c>
      <c r="K635">
        <v>0</v>
      </c>
      <c r="L635" t="s">
        <v>166</v>
      </c>
      <c r="N635" t="s">
        <v>211</v>
      </c>
      <c r="O635" t="s">
        <v>274</v>
      </c>
      <c r="P635">
        <v>4.6293579410086848E-2</v>
      </c>
      <c r="Q635" t="s">
        <v>166</v>
      </c>
    </row>
    <row r="636" spans="9:17" x14ac:dyDescent="0.45">
      <c r="I636" t="s">
        <v>188</v>
      </c>
      <c r="J636" t="s">
        <v>275</v>
      </c>
      <c r="K636">
        <v>9.0977913549924246E-5</v>
      </c>
      <c r="L636" t="s">
        <v>166</v>
      </c>
      <c r="N636" t="s">
        <v>211</v>
      </c>
      <c r="O636" t="s">
        <v>275</v>
      </c>
      <c r="P636">
        <v>5.6886631522121561E-3</v>
      </c>
      <c r="Q636" t="s">
        <v>166</v>
      </c>
    </row>
    <row r="637" spans="9:17" x14ac:dyDescent="0.45">
      <c r="I637" t="s">
        <v>188</v>
      </c>
      <c r="J637" t="s">
        <v>276</v>
      </c>
      <c r="K637">
        <v>1.2211844719004408E-2</v>
      </c>
      <c r="L637" t="s">
        <v>166</v>
      </c>
      <c r="N637" t="s">
        <v>211</v>
      </c>
      <c r="O637" t="s">
        <v>276</v>
      </c>
      <c r="P637">
        <v>3.3775779367770681E-2</v>
      </c>
      <c r="Q637" t="s">
        <v>166</v>
      </c>
    </row>
    <row r="638" spans="9:17" x14ac:dyDescent="0.45">
      <c r="I638" t="s">
        <v>188</v>
      </c>
      <c r="J638" t="s">
        <v>277</v>
      </c>
      <c r="K638">
        <v>0</v>
      </c>
      <c r="L638" t="s">
        <v>166</v>
      </c>
      <c r="N638" t="s">
        <v>211</v>
      </c>
      <c r="O638" t="s">
        <v>277</v>
      </c>
      <c r="P638">
        <v>5.5062357709976598E-3</v>
      </c>
      <c r="Q638" t="s">
        <v>166</v>
      </c>
    </row>
    <row r="639" spans="9:17" x14ac:dyDescent="0.45">
      <c r="I639" t="s">
        <v>188</v>
      </c>
      <c r="J639" t="s">
        <v>278</v>
      </c>
      <c r="K639">
        <v>0</v>
      </c>
      <c r="L639" t="s">
        <v>166</v>
      </c>
      <c r="N639" t="s">
        <v>211</v>
      </c>
      <c r="O639" t="s">
        <v>278</v>
      </c>
      <c r="P639">
        <v>5.6503961218272265E-3</v>
      </c>
      <c r="Q639" t="s">
        <v>166</v>
      </c>
    </row>
    <row r="640" spans="9:17" x14ac:dyDescent="0.45">
      <c r="I640" t="s">
        <v>188</v>
      </c>
      <c r="J640" t="s">
        <v>279</v>
      </c>
      <c r="K640">
        <v>0</v>
      </c>
      <c r="L640" t="s">
        <v>166</v>
      </c>
      <c r="N640" t="s">
        <v>211</v>
      </c>
      <c r="O640" t="s">
        <v>279</v>
      </c>
      <c r="P640">
        <v>3.5278535998226342E-2</v>
      </c>
      <c r="Q640" t="s">
        <v>166</v>
      </c>
    </row>
    <row r="641" spans="9:17" x14ac:dyDescent="0.45">
      <c r="I641" t="s">
        <v>189</v>
      </c>
      <c r="J641" t="s">
        <v>165</v>
      </c>
      <c r="K641">
        <v>1.6161562853638458E-4</v>
      </c>
      <c r="L641" t="s">
        <v>166</v>
      </c>
      <c r="N641" t="s">
        <v>212</v>
      </c>
      <c r="O641" t="s">
        <v>165</v>
      </c>
      <c r="P641">
        <v>6.8597378733570621E-2</v>
      </c>
      <c r="Q641" t="s">
        <v>166</v>
      </c>
    </row>
    <row r="642" spans="9:17" x14ac:dyDescent="0.45">
      <c r="I642" t="s">
        <v>189</v>
      </c>
      <c r="J642" t="s">
        <v>167</v>
      </c>
      <c r="K642">
        <v>2.4472362436591174E-3</v>
      </c>
      <c r="L642" t="s">
        <v>166</v>
      </c>
      <c r="N642" t="s">
        <v>212</v>
      </c>
      <c r="O642" t="s">
        <v>167</v>
      </c>
      <c r="P642">
        <v>8.4065272447043024E-3</v>
      </c>
      <c r="Q642" t="s">
        <v>166</v>
      </c>
    </row>
    <row r="643" spans="9:17" x14ac:dyDescent="0.45">
      <c r="I643" t="s">
        <v>189</v>
      </c>
      <c r="J643" t="s">
        <v>168</v>
      </c>
      <c r="K643">
        <v>5.2324872484285967E-2</v>
      </c>
      <c r="L643" t="s">
        <v>166</v>
      </c>
      <c r="N643" t="s">
        <v>212</v>
      </c>
      <c r="O643" t="s">
        <v>168</v>
      </c>
      <c r="P643">
        <v>5.3778837527835577E-2</v>
      </c>
      <c r="Q643" t="s">
        <v>166</v>
      </c>
    </row>
    <row r="644" spans="9:17" x14ac:dyDescent="0.45">
      <c r="I644" t="s">
        <v>189</v>
      </c>
      <c r="J644" t="s">
        <v>247</v>
      </c>
      <c r="K644">
        <v>2.5065242308005258E-3</v>
      </c>
      <c r="L644" t="s">
        <v>166</v>
      </c>
      <c r="N644" t="s">
        <v>212</v>
      </c>
      <c r="O644" t="s">
        <v>247</v>
      </c>
      <c r="P644">
        <v>8.0598140825138657E-3</v>
      </c>
      <c r="Q644" t="s">
        <v>166</v>
      </c>
    </row>
    <row r="645" spans="9:17" x14ac:dyDescent="0.45">
      <c r="I645" t="s">
        <v>189</v>
      </c>
      <c r="J645" t="s">
        <v>248</v>
      </c>
      <c r="K645">
        <v>3.2921595571831948E-4</v>
      </c>
      <c r="L645" t="s">
        <v>166</v>
      </c>
      <c r="N645" t="s">
        <v>212</v>
      </c>
      <c r="O645" t="s">
        <v>248</v>
      </c>
      <c r="P645">
        <v>8.4466616019846247E-3</v>
      </c>
      <c r="Q645" t="s">
        <v>166</v>
      </c>
    </row>
    <row r="646" spans="9:17" x14ac:dyDescent="0.45">
      <c r="I646" t="s">
        <v>189</v>
      </c>
      <c r="J646" t="s">
        <v>249</v>
      </c>
      <c r="K646">
        <v>0</v>
      </c>
      <c r="L646" t="s">
        <v>166</v>
      </c>
      <c r="N646" t="s">
        <v>212</v>
      </c>
      <c r="O646" t="s">
        <v>249</v>
      </c>
      <c r="P646">
        <v>4.9360851468445981E-2</v>
      </c>
      <c r="Q646" t="s">
        <v>166</v>
      </c>
    </row>
    <row r="647" spans="9:17" x14ac:dyDescent="0.45">
      <c r="I647" t="s">
        <v>189</v>
      </c>
      <c r="J647" t="s">
        <v>169</v>
      </c>
      <c r="K647">
        <v>6.0174225660667331E-3</v>
      </c>
      <c r="L647" t="s">
        <v>166</v>
      </c>
      <c r="N647" t="s">
        <v>212</v>
      </c>
      <c r="O647" t="s">
        <v>169</v>
      </c>
      <c r="P647">
        <v>2.6618912133307391E-2</v>
      </c>
      <c r="Q647" t="s">
        <v>166</v>
      </c>
    </row>
    <row r="648" spans="9:17" x14ac:dyDescent="0.45">
      <c r="I648" t="s">
        <v>189</v>
      </c>
      <c r="J648" t="s">
        <v>170</v>
      </c>
      <c r="K648">
        <v>7.8127427733168907E-3</v>
      </c>
      <c r="L648" t="s">
        <v>166</v>
      </c>
      <c r="N648" t="s">
        <v>212</v>
      </c>
      <c r="O648" t="s">
        <v>170</v>
      </c>
      <c r="P648">
        <v>3.180468105179812E-3</v>
      </c>
      <c r="Q648" t="s">
        <v>166</v>
      </c>
    </row>
    <row r="649" spans="9:17" x14ac:dyDescent="0.45">
      <c r="I649" t="s">
        <v>189</v>
      </c>
      <c r="J649" t="s">
        <v>171</v>
      </c>
      <c r="K649">
        <v>6.7733676355485314E-2</v>
      </c>
      <c r="L649" t="s">
        <v>166</v>
      </c>
      <c r="N649" t="s">
        <v>212</v>
      </c>
      <c r="O649" t="s">
        <v>171</v>
      </c>
      <c r="P649">
        <v>1.9980167892478702E-2</v>
      </c>
      <c r="Q649" t="s">
        <v>166</v>
      </c>
    </row>
    <row r="650" spans="9:17" x14ac:dyDescent="0.45">
      <c r="I650" t="s">
        <v>189</v>
      </c>
      <c r="J650" t="s">
        <v>250</v>
      </c>
      <c r="K650">
        <v>7.4695582784311152E-3</v>
      </c>
      <c r="L650" t="s">
        <v>166</v>
      </c>
      <c r="N650" t="s">
        <v>212</v>
      </c>
      <c r="O650" t="s">
        <v>250</v>
      </c>
      <c r="P650">
        <v>3.4235371852507669E-3</v>
      </c>
      <c r="Q650" t="s">
        <v>166</v>
      </c>
    </row>
    <row r="651" spans="9:17" x14ac:dyDescent="0.45">
      <c r="I651" t="s">
        <v>189</v>
      </c>
      <c r="J651" t="s">
        <v>251</v>
      </c>
      <c r="K651">
        <v>4.9530522079627116E-3</v>
      </c>
      <c r="L651" t="s">
        <v>166</v>
      </c>
      <c r="N651" t="s">
        <v>212</v>
      </c>
      <c r="O651" t="s">
        <v>251</v>
      </c>
      <c r="P651">
        <v>3.9098275073235099E-3</v>
      </c>
      <c r="Q651" t="s">
        <v>166</v>
      </c>
    </row>
    <row r="652" spans="9:17" x14ac:dyDescent="0.45">
      <c r="I652" t="s">
        <v>189</v>
      </c>
      <c r="J652" t="s">
        <v>252</v>
      </c>
      <c r="K652">
        <v>9.5876267825264528E-4</v>
      </c>
      <c r="L652" t="s">
        <v>166</v>
      </c>
      <c r="N652" t="s">
        <v>212</v>
      </c>
      <c r="O652" t="s">
        <v>252</v>
      </c>
      <c r="P652">
        <v>2.5792778540178318E-2</v>
      </c>
      <c r="Q652" t="s">
        <v>166</v>
      </c>
    </row>
    <row r="653" spans="9:17" x14ac:dyDescent="0.45">
      <c r="I653" t="s">
        <v>189</v>
      </c>
      <c r="J653" t="s">
        <v>172</v>
      </c>
      <c r="K653">
        <v>1.4427724209274807E-2</v>
      </c>
      <c r="L653" t="s">
        <v>166</v>
      </c>
      <c r="N653" t="s">
        <v>212</v>
      </c>
      <c r="O653" t="s">
        <v>172</v>
      </c>
      <c r="P653">
        <v>2.8688970742961936E-2</v>
      </c>
      <c r="Q653" t="s">
        <v>166</v>
      </c>
    </row>
    <row r="654" spans="9:17" x14ac:dyDescent="0.45">
      <c r="I654" t="s">
        <v>189</v>
      </c>
      <c r="J654" t="s">
        <v>173</v>
      </c>
      <c r="K654">
        <v>9.5141548600701249E-3</v>
      </c>
      <c r="L654" t="s">
        <v>166</v>
      </c>
      <c r="N654" t="s">
        <v>212</v>
      </c>
      <c r="O654" t="s">
        <v>173</v>
      </c>
      <c r="P654">
        <v>3.4926933312494869E-3</v>
      </c>
      <c r="Q654" t="s">
        <v>166</v>
      </c>
    </row>
    <row r="655" spans="9:17" x14ac:dyDescent="0.45">
      <c r="I655" t="s">
        <v>189</v>
      </c>
      <c r="J655" t="s">
        <v>174</v>
      </c>
      <c r="K655">
        <v>7.9994876269036966E-2</v>
      </c>
      <c r="L655" t="s">
        <v>166</v>
      </c>
      <c r="N655" t="s">
        <v>212</v>
      </c>
      <c r="O655" t="s">
        <v>174</v>
      </c>
      <c r="P655">
        <v>2.0430733720778291E-2</v>
      </c>
      <c r="Q655" t="s">
        <v>166</v>
      </c>
    </row>
    <row r="656" spans="9:17" x14ac:dyDescent="0.45">
      <c r="I656" t="s">
        <v>189</v>
      </c>
      <c r="J656" t="s">
        <v>253</v>
      </c>
      <c r="K656">
        <v>9.0015836105266003E-3</v>
      </c>
      <c r="L656" t="s">
        <v>166</v>
      </c>
      <c r="N656" t="s">
        <v>212</v>
      </c>
      <c r="O656" t="s">
        <v>253</v>
      </c>
      <c r="P656">
        <v>3.3489612957580306E-3</v>
      </c>
      <c r="Q656" t="s">
        <v>166</v>
      </c>
    </row>
    <row r="657" spans="9:17" x14ac:dyDescent="0.45">
      <c r="I657" t="s">
        <v>189</v>
      </c>
      <c r="J657" t="s">
        <v>254</v>
      </c>
      <c r="K657">
        <v>6.9674248800798578E-3</v>
      </c>
      <c r="L657" t="s">
        <v>166</v>
      </c>
      <c r="N657" t="s">
        <v>212</v>
      </c>
      <c r="O657" t="s">
        <v>254</v>
      </c>
      <c r="P657">
        <v>3.3056945913356177E-3</v>
      </c>
      <c r="Q657" t="s">
        <v>166</v>
      </c>
    </row>
    <row r="658" spans="9:17" x14ac:dyDescent="0.45">
      <c r="I658" t="s">
        <v>189</v>
      </c>
      <c r="J658" t="s">
        <v>255</v>
      </c>
      <c r="K658">
        <v>4.7058450384488285E-3</v>
      </c>
      <c r="L658" t="s">
        <v>166</v>
      </c>
      <c r="N658" t="s">
        <v>212</v>
      </c>
      <c r="O658" t="s">
        <v>255</v>
      </c>
      <c r="P658">
        <v>1.9922478385834112E-2</v>
      </c>
      <c r="Q658" t="s">
        <v>166</v>
      </c>
    </row>
    <row r="659" spans="9:17" x14ac:dyDescent="0.45">
      <c r="I659" t="s">
        <v>189</v>
      </c>
      <c r="J659" t="s">
        <v>256</v>
      </c>
      <c r="K659">
        <v>1.6625920272817354E-2</v>
      </c>
      <c r="L659" t="s">
        <v>166</v>
      </c>
      <c r="N659" t="s">
        <v>212</v>
      </c>
      <c r="O659" t="s">
        <v>256</v>
      </c>
      <c r="P659">
        <v>2.6678257179850007E-2</v>
      </c>
      <c r="Q659" t="s">
        <v>166</v>
      </c>
    </row>
    <row r="660" spans="9:17" x14ac:dyDescent="0.45">
      <c r="I660" t="s">
        <v>189</v>
      </c>
      <c r="J660" t="s">
        <v>257</v>
      </c>
      <c r="K660">
        <v>9.3421429679640955E-3</v>
      </c>
      <c r="L660" t="s">
        <v>166</v>
      </c>
      <c r="N660" t="s">
        <v>212</v>
      </c>
      <c r="O660" t="s">
        <v>257</v>
      </c>
      <c r="P660">
        <v>3.394259097701832E-3</v>
      </c>
      <c r="Q660" t="s">
        <v>166</v>
      </c>
    </row>
    <row r="661" spans="9:17" x14ac:dyDescent="0.45">
      <c r="I661" t="s">
        <v>189</v>
      </c>
      <c r="J661" t="s">
        <v>258</v>
      </c>
      <c r="K661">
        <v>7.879297721303799E-2</v>
      </c>
      <c r="L661" t="s">
        <v>166</v>
      </c>
      <c r="N661" t="s">
        <v>212</v>
      </c>
      <c r="O661" t="s">
        <v>258</v>
      </c>
      <c r="P661">
        <v>2.0893844470098632E-2</v>
      </c>
      <c r="Q661" t="s">
        <v>166</v>
      </c>
    </row>
    <row r="662" spans="9:17" x14ac:dyDescent="0.45">
      <c r="I662" t="s">
        <v>189</v>
      </c>
      <c r="J662" t="s">
        <v>259</v>
      </c>
      <c r="K662">
        <v>9.1691026026894436E-3</v>
      </c>
      <c r="L662" t="s">
        <v>166</v>
      </c>
      <c r="N662" t="s">
        <v>212</v>
      </c>
      <c r="O662" t="s">
        <v>259</v>
      </c>
      <c r="P662">
        <v>3.121581182495121E-3</v>
      </c>
      <c r="Q662" t="s">
        <v>166</v>
      </c>
    </row>
    <row r="663" spans="9:17" x14ac:dyDescent="0.45">
      <c r="I663" t="s">
        <v>189</v>
      </c>
      <c r="J663" t="s">
        <v>260</v>
      </c>
      <c r="K663">
        <v>7.4080100188912909E-3</v>
      </c>
      <c r="L663" t="s">
        <v>166</v>
      </c>
      <c r="N663" t="s">
        <v>212</v>
      </c>
      <c r="O663" t="s">
        <v>260</v>
      </c>
      <c r="P663">
        <v>3.0119387521191079E-3</v>
      </c>
      <c r="Q663" t="s">
        <v>166</v>
      </c>
    </row>
    <row r="664" spans="9:17" x14ac:dyDescent="0.45">
      <c r="I664" t="s">
        <v>189</v>
      </c>
      <c r="J664" t="s">
        <v>261</v>
      </c>
      <c r="K664">
        <v>7.1829078291995628E-3</v>
      </c>
      <c r="L664" t="s">
        <v>166</v>
      </c>
      <c r="N664" t="s">
        <v>212</v>
      </c>
      <c r="O664" t="s">
        <v>261</v>
      </c>
      <c r="P664">
        <v>1.943920878737386E-2</v>
      </c>
      <c r="Q664" t="s">
        <v>166</v>
      </c>
    </row>
    <row r="665" spans="9:17" x14ac:dyDescent="0.45">
      <c r="I665" t="s">
        <v>189</v>
      </c>
      <c r="J665" t="s">
        <v>262</v>
      </c>
      <c r="K665">
        <v>6.5958450801091015E-2</v>
      </c>
      <c r="L665" t="s">
        <v>166</v>
      </c>
      <c r="N665" t="s">
        <v>212</v>
      </c>
      <c r="O665" t="s">
        <v>262</v>
      </c>
      <c r="P665">
        <v>0.11384308746472942</v>
      </c>
      <c r="Q665" t="s">
        <v>166</v>
      </c>
    </row>
    <row r="666" spans="9:17" x14ac:dyDescent="0.45">
      <c r="I666" t="s">
        <v>189</v>
      </c>
      <c r="J666" t="s">
        <v>263</v>
      </c>
      <c r="K666">
        <v>4.0420887319631303E-2</v>
      </c>
      <c r="L666" t="s">
        <v>166</v>
      </c>
      <c r="N666" t="s">
        <v>212</v>
      </c>
      <c r="O666" t="s">
        <v>263</v>
      </c>
      <c r="P666">
        <v>1.203954551806205E-2</v>
      </c>
      <c r="Q666" t="s">
        <v>166</v>
      </c>
    </row>
    <row r="667" spans="9:17" x14ac:dyDescent="0.45">
      <c r="I667" t="s">
        <v>189</v>
      </c>
      <c r="J667" t="s">
        <v>264</v>
      </c>
      <c r="K667">
        <v>0.34854473616707443</v>
      </c>
      <c r="L667" t="s">
        <v>166</v>
      </c>
      <c r="N667" t="s">
        <v>212</v>
      </c>
      <c r="O667" t="s">
        <v>264</v>
      </c>
      <c r="P667">
        <v>7.5049092423795108E-2</v>
      </c>
      <c r="Q667" t="s">
        <v>166</v>
      </c>
    </row>
    <row r="668" spans="9:17" x14ac:dyDescent="0.45">
      <c r="I668" t="s">
        <v>189</v>
      </c>
      <c r="J668" t="s">
        <v>265</v>
      </c>
      <c r="K668">
        <v>3.9702799369780051E-2</v>
      </c>
      <c r="L668" t="s">
        <v>166</v>
      </c>
      <c r="N668" t="s">
        <v>212</v>
      </c>
      <c r="O668" t="s">
        <v>265</v>
      </c>
      <c r="P668">
        <v>1.1711289630261043E-2</v>
      </c>
      <c r="Q668" t="s">
        <v>166</v>
      </c>
    </row>
    <row r="669" spans="9:17" x14ac:dyDescent="0.45">
      <c r="I669" t="s">
        <v>189</v>
      </c>
      <c r="J669" t="s">
        <v>266</v>
      </c>
      <c r="K669">
        <v>2.9734197139153342E-2</v>
      </c>
      <c r="L669" t="s">
        <v>166</v>
      </c>
      <c r="N669" t="s">
        <v>212</v>
      </c>
      <c r="O669" t="s">
        <v>266</v>
      </c>
      <c r="P669">
        <v>1.2242964132984813E-2</v>
      </c>
      <c r="Q669" t="s">
        <v>166</v>
      </c>
    </row>
    <row r="670" spans="9:17" x14ac:dyDescent="0.45">
      <c r="I670" t="s">
        <v>189</v>
      </c>
      <c r="J670" t="s">
        <v>267</v>
      </c>
      <c r="K670">
        <v>3.0301327902083855E-2</v>
      </c>
      <c r="L670" t="s">
        <v>166</v>
      </c>
      <c r="N670" t="s">
        <v>212</v>
      </c>
      <c r="O670" t="s">
        <v>267</v>
      </c>
      <c r="P670">
        <v>9.3315060378820799E-2</v>
      </c>
      <c r="Q670" t="s">
        <v>166</v>
      </c>
    </row>
    <row r="671" spans="9:17" x14ac:dyDescent="0.45">
      <c r="I671" t="s">
        <v>189</v>
      </c>
      <c r="J671" t="s">
        <v>268</v>
      </c>
      <c r="K671">
        <v>6.188329909481999E-8</v>
      </c>
      <c r="L671" t="s">
        <v>166</v>
      </c>
      <c r="N671" t="s">
        <v>212</v>
      </c>
      <c r="O671" t="s">
        <v>268</v>
      </c>
      <c r="P671">
        <v>4.0670770711848082E-2</v>
      </c>
      <c r="Q671" t="s">
        <v>166</v>
      </c>
    </row>
    <row r="672" spans="9:17" x14ac:dyDescent="0.45">
      <c r="I672" t="s">
        <v>189</v>
      </c>
      <c r="J672" t="s">
        <v>269</v>
      </c>
      <c r="K672">
        <v>1.7056459885444334E-3</v>
      </c>
      <c r="L672" t="s">
        <v>166</v>
      </c>
      <c r="N672" t="s">
        <v>212</v>
      </c>
      <c r="O672" t="s">
        <v>269</v>
      </c>
      <c r="P672">
        <v>4.7608246681024174E-3</v>
      </c>
      <c r="Q672" t="s">
        <v>166</v>
      </c>
    </row>
    <row r="673" spans="9:17" x14ac:dyDescent="0.45">
      <c r="I673" t="s">
        <v>189</v>
      </c>
      <c r="J673" t="s">
        <v>270</v>
      </c>
      <c r="K673">
        <v>2.5852855150687495E-2</v>
      </c>
      <c r="L673" t="s">
        <v>166</v>
      </c>
      <c r="N673" t="s">
        <v>212</v>
      </c>
      <c r="O673" t="s">
        <v>270</v>
      </c>
      <c r="P673">
        <v>2.8992572129347981E-2</v>
      </c>
      <c r="Q673" t="s">
        <v>166</v>
      </c>
    </row>
    <row r="674" spans="9:17" x14ac:dyDescent="0.45">
      <c r="I674" t="s">
        <v>189</v>
      </c>
      <c r="J674" t="s">
        <v>271</v>
      </c>
      <c r="K674">
        <v>3.6280186912809345E-5</v>
      </c>
      <c r="L674" t="s">
        <v>166</v>
      </c>
      <c r="N674" t="s">
        <v>212</v>
      </c>
      <c r="O674" t="s">
        <v>271</v>
      </c>
      <c r="P674">
        <v>4.1258312967805454E-3</v>
      </c>
      <c r="Q674" t="s">
        <v>166</v>
      </c>
    </row>
    <row r="675" spans="9:17" x14ac:dyDescent="0.45">
      <c r="I675" t="s">
        <v>189</v>
      </c>
      <c r="J675" t="s">
        <v>272</v>
      </c>
      <c r="K675">
        <v>0</v>
      </c>
      <c r="L675" t="s">
        <v>166</v>
      </c>
      <c r="N675" t="s">
        <v>212</v>
      </c>
      <c r="O675" t="s">
        <v>272</v>
      </c>
      <c r="P675">
        <v>4.4184643818317732E-3</v>
      </c>
      <c r="Q675" t="s">
        <v>166</v>
      </c>
    </row>
    <row r="676" spans="9:17" x14ac:dyDescent="0.45">
      <c r="I676" t="s">
        <v>189</v>
      </c>
      <c r="J676" t="s">
        <v>273</v>
      </c>
      <c r="K676">
        <v>0</v>
      </c>
      <c r="L676" t="s">
        <v>166</v>
      </c>
      <c r="N676" t="s">
        <v>212</v>
      </c>
      <c r="O676" t="s">
        <v>273</v>
      </c>
      <c r="P676">
        <v>2.9265923094171354E-2</v>
      </c>
      <c r="Q676" t="s">
        <v>166</v>
      </c>
    </row>
    <row r="677" spans="9:17" x14ac:dyDescent="0.45">
      <c r="I677" t="s">
        <v>189</v>
      </c>
      <c r="J677" t="s">
        <v>274</v>
      </c>
      <c r="K677">
        <v>0</v>
      </c>
      <c r="L677" t="s">
        <v>166</v>
      </c>
      <c r="N677" t="s">
        <v>212</v>
      </c>
      <c r="O677" t="s">
        <v>274</v>
      </c>
      <c r="P677">
        <v>4.5388109852654984E-2</v>
      </c>
      <c r="Q677" t="s">
        <v>166</v>
      </c>
    </row>
    <row r="678" spans="9:17" x14ac:dyDescent="0.45">
      <c r="I678" t="s">
        <v>189</v>
      </c>
      <c r="J678" t="s">
        <v>275</v>
      </c>
      <c r="K678">
        <v>6.9580872385875927E-6</v>
      </c>
      <c r="L678" t="s">
        <v>166</v>
      </c>
      <c r="N678" t="s">
        <v>212</v>
      </c>
      <c r="O678" t="s">
        <v>275</v>
      </c>
      <c r="P678">
        <v>5.4675879873487127E-3</v>
      </c>
      <c r="Q678" t="s">
        <v>166</v>
      </c>
    </row>
    <row r="679" spans="9:17" x14ac:dyDescent="0.45">
      <c r="I679" t="s">
        <v>189</v>
      </c>
      <c r="J679" t="s">
        <v>276</v>
      </c>
      <c r="K679">
        <v>1.1888450829946733E-2</v>
      </c>
      <c r="L679" t="s">
        <v>166</v>
      </c>
      <c r="N679" t="s">
        <v>212</v>
      </c>
      <c r="O679" t="s">
        <v>276</v>
      </c>
      <c r="P679">
        <v>3.4545933046222679E-2</v>
      </c>
      <c r="Q679" t="s">
        <v>166</v>
      </c>
    </row>
    <row r="680" spans="9:17" x14ac:dyDescent="0.45">
      <c r="I680" t="s">
        <v>189</v>
      </c>
      <c r="J680" t="s">
        <v>277</v>
      </c>
      <c r="K680">
        <v>0</v>
      </c>
      <c r="L680" t="s">
        <v>166</v>
      </c>
      <c r="N680" t="s">
        <v>212</v>
      </c>
      <c r="O680" t="s">
        <v>277</v>
      </c>
      <c r="P680">
        <v>5.6982111214458533E-3</v>
      </c>
      <c r="Q680" t="s">
        <v>166</v>
      </c>
    </row>
    <row r="681" spans="9:17" x14ac:dyDescent="0.45">
      <c r="I681" t="s">
        <v>189</v>
      </c>
      <c r="J681" t="s">
        <v>278</v>
      </c>
      <c r="K681">
        <v>0</v>
      </c>
      <c r="L681" t="s">
        <v>166</v>
      </c>
      <c r="N681" t="s">
        <v>212</v>
      </c>
      <c r="O681" t="s">
        <v>278</v>
      </c>
      <c r="P681">
        <v>5.9383335719617085E-3</v>
      </c>
      <c r="Q681" t="s">
        <v>166</v>
      </c>
    </row>
    <row r="682" spans="9:17" x14ac:dyDescent="0.45">
      <c r="I682" t="s">
        <v>189</v>
      </c>
      <c r="J682" t="s">
        <v>279</v>
      </c>
      <c r="K682">
        <v>0</v>
      </c>
      <c r="L682" t="s">
        <v>166</v>
      </c>
      <c r="N682" t="s">
        <v>212</v>
      </c>
      <c r="O682" t="s">
        <v>279</v>
      </c>
      <c r="P682">
        <v>3.724201502929872E-2</v>
      </c>
      <c r="Q682" t="s">
        <v>166</v>
      </c>
    </row>
    <row r="683" spans="9:17" x14ac:dyDescent="0.45">
      <c r="I683" t="s">
        <v>190</v>
      </c>
      <c r="J683" t="s">
        <v>165</v>
      </c>
      <c r="K683">
        <v>7.0754730622577216E-5</v>
      </c>
      <c r="L683" t="s">
        <v>166</v>
      </c>
      <c r="N683" t="s">
        <v>213</v>
      </c>
      <c r="O683" t="s">
        <v>165</v>
      </c>
      <c r="P683">
        <v>6.4075907641743868E-2</v>
      </c>
      <c r="Q683" t="s">
        <v>166</v>
      </c>
    </row>
    <row r="684" spans="9:17" x14ac:dyDescent="0.45">
      <c r="I684" t="s">
        <v>190</v>
      </c>
      <c r="J684" t="s">
        <v>167</v>
      </c>
      <c r="K684">
        <v>2.4860396654817758E-3</v>
      </c>
      <c r="L684" t="s">
        <v>166</v>
      </c>
      <c r="N684" t="s">
        <v>213</v>
      </c>
      <c r="O684" t="s">
        <v>167</v>
      </c>
      <c r="P684">
        <v>7.9440551092180272E-3</v>
      </c>
      <c r="Q684" t="s">
        <v>166</v>
      </c>
    </row>
    <row r="685" spans="9:17" x14ac:dyDescent="0.45">
      <c r="I685" t="s">
        <v>190</v>
      </c>
      <c r="J685" t="s">
        <v>168</v>
      </c>
      <c r="K685">
        <v>6.0627058154311894E-2</v>
      </c>
      <c r="L685" t="s">
        <v>166</v>
      </c>
      <c r="N685" t="s">
        <v>213</v>
      </c>
      <c r="O685" t="s">
        <v>168</v>
      </c>
      <c r="P685">
        <v>5.4688780420870074E-2</v>
      </c>
      <c r="Q685" t="s">
        <v>166</v>
      </c>
    </row>
    <row r="686" spans="9:17" x14ac:dyDescent="0.45">
      <c r="I686" t="s">
        <v>190</v>
      </c>
      <c r="J686" t="s">
        <v>247</v>
      </c>
      <c r="K686">
        <v>4.0119837268761298E-3</v>
      </c>
      <c r="L686" t="s">
        <v>166</v>
      </c>
      <c r="N686" t="s">
        <v>213</v>
      </c>
      <c r="O686" t="s">
        <v>247</v>
      </c>
      <c r="P686">
        <v>7.8250417380586919E-3</v>
      </c>
      <c r="Q686" t="s">
        <v>166</v>
      </c>
    </row>
    <row r="687" spans="9:17" x14ac:dyDescent="0.45">
      <c r="I687" t="s">
        <v>190</v>
      </c>
      <c r="J687" t="s">
        <v>248</v>
      </c>
      <c r="K687">
        <v>8.5495176277766206E-4</v>
      </c>
      <c r="L687" t="s">
        <v>166</v>
      </c>
      <c r="N687" t="s">
        <v>213</v>
      </c>
      <c r="O687" t="s">
        <v>248</v>
      </c>
      <c r="P687">
        <v>7.9950445897427874E-3</v>
      </c>
      <c r="Q687" t="s">
        <v>166</v>
      </c>
    </row>
    <row r="688" spans="9:17" x14ac:dyDescent="0.45">
      <c r="I688" t="s">
        <v>190</v>
      </c>
      <c r="J688" t="s">
        <v>249</v>
      </c>
      <c r="K688">
        <v>0</v>
      </c>
      <c r="L688" t="s">
        <v>166</v>
      </c>
      <c r="N688" t="s">
        <v>213</v>
      </c>
      <c r="O688" t="s">
        <v>249</v>
      </c>
      <c r="P688">
        <v>4.5544817059124817E-2</v>
      </c>
      <c r="Q688" t="s">
        <v>166</v>
      </c>
    </row>
    <row r="689" spans="9:17" x14ac:dyDescent="0.45">
      <c r="I689" t="s">
        <v>190</v>
      </c>
      <c r="J689" t="s">
        <v>169</v>
      </c>
      <c r="K689">
        <v>4.9341235929163813E-3</v>
      </c>
      <c r="L689" t="s">
        <v>166</v>
      </c>
      <c r="N689" t="s">
        <v>213</v>
      </c>
      <c r="O689" t="s">
        <v>169</v>
      </c>
      <c r="P689">
        <v>2.6629455513369028E-2</v>
      </c>
      <c r="Q689" t="s">
        <v>166</v>
      </c>
    </row>
    <row r="690" spans="9:17" x14ac:dyDescent="0.45">
      <c r="I690" t="s">
        <v>190</v>
      </c>
      <c r="J690" t="s">
        <v>170</v>
      </c>
      <c r="K690">
        <v>7.2014676521888216E-3</v>
      </c>
      <c r="L690" t="s">
        <v>166</v>
      </c>
      <c r="N690" t="s">
        <v>213</v>
      </c>
      <c r="O690" t="s">
        <v>170</v>
      </c>
      <c r="P690">
        <v>3.2909495501422946E-3</v>
      </c>
      <c r="Q690" t="s">
        <v>166</v>
      </c>
    </row>
    <row r="691" spans="9:17" x14ac:dyDescent="0.45">
      <c r="I691" t="s">
        <v>190</v>
      </c>
      <c r="J691" t="s">
        <v>171</v>
      </c>
      <c r="K691">
        <v>7.3381206221265399E-2</v>
      </c>
      <c r="L691" t="s">
        <v>166</v>
      </c>
      <c r="N691" t="s">
        <v>213</v>
      </c>
      <c r="O691" t="s">
        <v>171</v>
      </c>
      <c r="P691">
        <v>2.1523619145666986E-2</v>
      </c>
      <c r="Q691" t="s">
        <v>166</v>
      </c>
    </row>
    <row r="692" spans="9:17" x14ac:dyDescent="0.45">
      <c r="I692" t="s">
        <v>190</v>
      </c>
      <c r="J692" t="s">
        <v>250</v>
      </c>
      <c r="K692">
        <v>7.0814971297206084E-3</v>
      </c>
      <c r="L692" t="s">
        <v>166</v>
      </c>
      <c r="N692" t="s">
        <v>213</v>
      </c>
      <c r="O692" t="s">
        <v>250</v>
      </c>
      <c r="P692">
        <v>3.6855454160498913E-3</v>
      </c>
      <c r="Q692" t="s">
        <v>166</v>
      </c>
    </row>
    <row r="693" spans="9:17" x14ac:dyDescent="0.45">
      <c r="I693" t="s">
        <v>190</v>
      </c>
      <c r="J693" t="s">
        <v>251</v>
      </c>
      <c r="K693">
        <v>4.3636736818120506E-3</v>
      </c>
      <c r="L693" t="s">
        <v>166</v>
      </c>
      <c r="N693" t="s">
        <v>213</v>
      </c>
      <c r="O693" t="s">
        <v>251</v>
      </c>
      <c r="P693">
        <v>3.9115550549781702E-3</v>
      </c>
      <c r="Q693" t="s">
        <v>166</v>
      </c>
    </row>
    <row r="694" spans="9:17" x14ac:dyDescent="0.45">
      <c r="I694" t="s">
        <v>190</v>
      </c>
      <c r="J694" t="s">
        <v>252</v>
      </c>
      <c r="K694">
        <v>1.0199943181441982E-3</v>
      </c>
      <c r="L694" t="s">
        <v>166</v>
      </c>
      <c r="N694" t="s">
        <v>213</v>
      </c>
      <c r="O694" t="s">
        <v>252</v>
      </c>
      <c r="P694">
        <v>2.4295378596496005E-2</v>
      </c>
      <c r="Q694" t="s">
        <v>166</v>
      </c>
    </row>
    <row r="695" spans="9:17" x14ac:dyDescent="0.45">
      <c r="I695" t="s">
        <v>190</v>
      </c>
      <c r="J695" t="s">
        <v>172</v>
      </c>
      <c r="K695">
        <v>1.0748992692322617E-2</v>
      </c>
      <c r="L695" t="s">
        <v>166</v>
      </c>
      <c r="N695" t="s">
        <v>213</v>
      </c>
      <c r="O695" t="s">
        <v>172</v>
      </c>
      <c r="P695">
        <v>2.2974320926166285E-2</v>
      </c>
      <c r="Q695" t="s">
        <v>166</v>
      </c>
    </row>
    <row r="696" spans="9:17" x14ac:dyDescent="0.45">
      <c r="I696" t="s">
        <v>190</v>
      </c>
      <c r="J696" t="s">
        <v>173</v>
      </c>
      <c r="K696">
        <v>9.3842308563214082E-3</v>
      </c>
      <c r="L696" t="s">
        <v>166</v>
      </c>
      <c r="N696" t="s">
        <v>213</v>
      </c>
      <c r="O696" t="s">
        <v>173</v>
      </c>
      <c r="P696">
        <v>2.8833638306611444E-3</v>
      </c>
      <c r="Q696" t="s">
        <v>166</v>
      </c>
    </row>
    <row r="697" spans="9:17" x14ac:dyDescent="0.45">
      <c r="I697" t="s">
        <v>190</v>
      </c>
      <c r="J697" t="s">
        <v>174</v>
      </c>
      <c r="K697">
        <v>7.547081052989206E-2</v>
      </c>
      <c r="L697" t="s">
        <v>166</v>
      </c>
      <c r="N697" t="s">
        <v>213</v>
      </c>
      <c r="O697" t="s">
        <v>174</v>
      </c>
      <c r="P697">
        <v>2.0306848380244439E-2</v>
      </c>
      <c r="Q697" t="s">
        <v>166</v>
      </c>
    </row>
    <row r="698" spans="9:17" x14ac:dyDescent="0.45">
      <c r="I698" t="s">
        <v>190</v>
      </c>
      <c r="J698" t="s">
        <v>253</v>
      </c>
      <c r="K698">
        <v>6.8675665352901892E-3</v>
      </c>
      <c r="L698" t="s">
        <v>166</v>
      </c>
      <c r="N698" t="s">
        <v>213</v>
      </c>
      <c r="O698" t="s">
        <v>253</v>
      </c>
      <c r="P698">
        <v>3.2289759668179853E-3</v>
      </c>
      <c r="Q698" t="s">
        <v>166</v>
      </c>
    </row>
    <row r="699" spans="9:17" x14ac:dyDescent="0.45">
      <c r="I699" t="s">
        <v>190</v>
      </c>
      <c r="J699" t="s">
        <v>254</v>
      </c>
      <c r="K699">
        <v>5.0028094926320675E-3</v>
      </c>
      <c r="L699" t="s">
        <v>166</v>
      </c>
      <c r="N699" t="s">
        <v>213</v>
      </c>
      <c r="O699" t="s">
        <v>254</v>
      </c>
      <c r="P699">
        <v>2.9434256147330383E-3</v>
      </c>
      <c r="Q699" t="s">
        <v>166</v>
      </c>
    </row>
    <row r="700" spans="9:17" x14ac:dyDescent="0.45">
      <c r="I700" t="s">
        <v>190</v>
      </c>
      <c r="J700" t="s">
        <v>255</v>
      </c>
      <c r="K700">
        <v>3.1743731553915567E-3</v>
      </c>
      <c r="L700" t="s">
        <v>166</v>
      </c>
      <c r="N700" t="s">
        <v>213</v>
      </c>
      <c r="O700" t="s">
        <v>255</v>
      </c>
      <c r="P700">
        <v>1.7760183988001724E-2</v>
      </c>
      <c r="Q700" t="s">
        <v>166</v>
      </c>
    </row>
    <row r="701" spans="9:17" x14ac:dyDescent="0.45">
      <c r="I701" t="s">
        <v>190</v>
      </c>
      <c r="J701" t="s">
        <v>256</v>
      </c>
      <c r="K701">
        <v>1.2397482361224097E-2</v>
      </c>
      <c r="L701" t="s">
        <v>166</v>
      </c>
      <c r="N701" t="s">
        <v>213</v>
      </c>
      <c r="O701" t="s">
        <v>256</v>
      </c>
      <c r="P701">
        <v>2.4400344822017396E-2</v>
      </c>
      <c r="Q701" t="s">
        <v>166</v>
      </c>
    </row>
    <row r="702" spans="9:17" x14ac:dyDescent="0.45">
      <c r="I702" t="s">
        <v>190</v>
      </c>
      <c r="J702" t="s">
        <v>257</v>
      </c>
      <c r="K702">
        <v>8.4077304108897358E-3</v>
      </c>
      <c r="L702" t="s">
        <v>166</v>
      </c>
      <c r="N702" t="s">
        <v>213</v>
      </c>
      <c r="O702" t="s">
        <v>257</v>
      </c>
      <c r="P702">
        <v>3.2319162391937929E-3</v>
      </c>
      <c r="Q702" t="s">
        <v>166</v>
      </c>
    </row>
    <row r="703" spans="9:17" x14ac:dyDescent="0.45">
      <c r="I703" t="s">
        <v>190</v>
      </c>
      <c r="J703" t="s">
        <v>258</v>
      </c>
      <c r="K703">
        <v>6.9661292949660406E-2</v>
      </c>
      <c r="L703" t="s">
        <v>166</v>
      </c>
      <c r="N703" t="s">
        <v>213</v>
      </c>
      <c r="O703" t="s">
        <v>258</v>
      </c>
      <c r="P703">
        <v>2.1801329919544591E-2</v>
      </c>
      <c r="Q703" t="s">
        <v>166</v>
      </c>
    </row>
    <row r="704" spans="9:17" x14ac:dyDescent="0.45">
      <c r="I704" t="s">
        <v>190</v>
      </c>
      <c r="J704" t="s">
        <v>259</v>
      </c>
      <c r="K704">
        <v>7.6429825756748008E-3</v>
      </c>
      <c r="L704" t="s">
        <v>166</v>
      </c>
      <c r="N704" t="s">
        <v>213</v>
      </c>
      <c r="O704" t="s">
        <v>259</v>
      </c>
      <c r="P704">
        <v>3.0321500698555917E-3</v>
      </c>
      <c r="Q704" t="s">
        <v>166</v>
      </c>
    </row>
    <row r="705" spans="9:17" x14ac:dyDescent="0.45">
      <c r="I705" t="s">
        <v>190</v>
      </c>
      <c r="J705" t="s">
        <v>260</v>
      </c>
      <c r="K705">
        <v>6.2213468561289065E-3</v>
      </c>
      <c r="L705" t="s">
        <v>166</v>
      </c>
      <c r="N705" t="s">
        <v>213</v>
      </c>
      <c r="O705" t="s">
        <v>260</v>
      </c>
      <c r="P705">
        <v>2.841763253837744E-3</v>
      </c>
      <c r="Q705" t="s">
        <v>166</v>
      </c>
    </row>
    <row r="706" spans="9:17" x14ac:dyDescent="0.45">
      <c r="I706" t="s">
        <v>190</v>
      </c>
      <c r="J706" t="s">
        <v>261</v>
      </c>
      <c r="K706">
        <v>6.2016060022262046E-3</v>
      </c>
      <c r="L706" t="s">
        <v>166</v>
      </c>
      <c r="N706" t="s">
        <v>213</v>
      </c>
      <c r="O706" t="s">
        <v>261</v>
      </c>
      <c r="P706">
        <v>1.7521327845452066E-2</v>
      </c>
      <c r="Q706" t="s">
        <v>166</v>
      </c>
    </row>
    <row r="707" spans="9:17" x14ac:dyDescent="0.45">
      <c r="I707" t="s">
        <v>190</v>
      </c>
      <c r="J707" t="s">
        <v>262</v>
      </c>
      <c r="K707">
        <v>6.0512681547734058E-2</v>
      </c>
      <c r="L707" t="s">
        <v>166</v>
      </c>
      <c r="N707" t="s">
        <v>213</v>
      </c>
      <c r="O707" t="s">
        <v>262</v>
      </c>
      <c r="P707">
        <v>0.1091592961296812</v>
      </c>
      <c r="Q707" t="s">
        <v>166</v>
      </c>
    </row>
    <row r="708" spans="9:17" x14ac:dyDescent="0.45">
      <c r="I708" t="s">
        <v>190</v>
      </c>
      <c r="J708" t="s">
        <v>263</v>
      </c>
      <c r="K708">
        <v>4.298621203495441E-2</v>
      </c>
      <c r="L708" t="s">
        <v>166</v>
      </c>
      <c r="N708" t="s">
        <v>213</v>
      </c>
      <c r="O708" t="s">
        <v>263</v>
      </c>
      <c r="P708">
        <v>1.3250588945941031E-2</v>
      </c>
      <c r="Q708" t="s">
        <v>166</v>
      </c>
    </row>
    <row r="709" spans="9:17" x14ac:dyDescent="0.45">
      <c r="I709" t="s">
        <v>190</v>
      </c>
      <c r="J709" t="s">
        <v>264</v>
      </c>
      <c r="K709">
        <v>0.36840061902755245</v>
      </c>
      <c r="L709" t="s">
        <v>166</v>
      </c>
      <c r="N709" t="s">
        <v>213</v>
      </c>
      <c r="O709" t="s">
        <v>264</v>
      </c>
      <c r="P709">
        <v>9.2425180836411255E-2</v>
      </c>
      <c r="Q709" t="s">
        <v>166</v>
      </c>
    </row>
    <row r="710" spans="9:17" x14ac:dyDescent="0.45">
      <c r="I710" t="s">
        <v>190</v>
      </c>
      <c r="J710" t="s">
        <v>265</v>
      </c>
      <c r="K710">
        <v>3.8379051121120798E-2</v>
      </c>
      <c r="L710" t="s">
        <v>166</v>
      </c>
      <c r="N710" t="s">
        <v>213</v>
      </c>
      <c r="O710" t="s">
        <v>265</v>
      </c>
      <c r="P710">
        <v>1.3742949433270873E-2</v>
      </c>
      <c r="Q710" t="s">
        <v>166</v>
      </c>
    </row>
    <row r="711" spans="9:17" x14ac:dyDescent="0.45">
      <c r="I711" t="s">
        <v>190</v>
      </c>
      <c r="J711" t="s">
        <v>266</v>
      </c>
      <c r="K711">
        <v>2.8026468682518197E-2</v>
      </c>
      <c r="L711" t="s">
        <v>166</v>
      </c>
      <c r="N711" t="s">
        <v>213</v>
      </c>
      <c r="O711" t="s">
        <v>266</v>
      </c>
      <c r="P711">
        <v>1.3500730077066028E-2</v>
      </c>
      <c r="Q711" t="s">
        <v>166</v>
      </c>
    </row>
    <row r="712" spans="9:17" x14ac:dyDescent="0.45">
      <c r="I712" t="s">
        <v>190</v>
      </c>
      <c r="J712" t="s">
        <v>267</v>
      </c>
      <c r="K712">
        <v>2.7084289341393085E-2</v>
      </c>
      <c r="L712" t="s">
        <v>166</v>
      </c>
      <c r="N712" t="s">
        <v>213</v>
      </c>
      <c r="O712" t="s">
        <v>267</v>
      </c>
      <c r="P712">
        <v>8.7562555861063471E-2</v>
      </c>
      <c r="Q712" t="s">
        <v>166</v>
      </c>
    </row>
    <row r="713" spans="9:17" x14ac:dyDescent="0.45">
      <c r="I713" t="s">
        <v>190</v>
      </c>
      <c r="J713" t="s">
        <v>268</v>
      </c>
      <c r="K713">
        <v>1.7886963159278618E-9</v>
      </c>
      <c r="L713" t="s">
        <v>166</v>
      </c>
      <c r="N713" t="s">
        <v>213</v>
      </c>
      <c r="O713" t="s">
        <v>268</v>
      </c>
      <c r="P713">
        <v>3.7643453151407436E-2</v>
      </c>
      <c r="Q713" t="s">
        <v>166</v>
      </c>
    </row>
    <row r="714" spans="9:17" x14ac:dyDescent="0.45">
      <c r="I714" t="s">
        <v>190</v>
      </c>
      <c r="J714" t="s">
        <v>269</v>
      </c>
      <c r="K714">
        <v>1.519326188358012E-3</v>
      </c>
      <c r="L714" t="s">
        <v>166</v>
      </c>
      <c r="N714" t="s">
        <v>213</v>
      </c>
      <c r="O714" t="s">
        <v>269</v>
      </c>
      <c r="P714">
        <v>4.2903287818148771E-3</v>
      </c>
      <c r="Q714" t="s">
        <v>166</v>
      </c>
    </row>
    <row r="715" spans="9:17" x14ac:dyDescent="0.45">
      <c r="I715" t="s">
        <v>190</v>
      </c>
      <c r="J715" t="s">
        <v>270</v>
      </c>
      <c r="K715">
        <v>2.2487429820502034E-2</v>
      </c>
      <c r="L715" t="s">
        <v>166</v>
      </c>
      <c r="N715" t="s">
        <v>213</v>
      </c>
      <c r="O715" t="s">
        <v>270</v>
      </c>
      <c r="P715">
        <v>2.7788218235311059E-2</v>
      </c>
      <c r="Q715" t="s">
        <v>166</v>
      </c>
    </row>
    <row r="716" spans="9:17" x14ac:dyDescent="0.45">
      <c r="I716" t="s">
        <v>190</v>
      </c>
      <c r="J716" t="s">
        <v>271</v>
      </c>
      <c r="K716">
        <v>7.5012826909290277E-4</v>
      </c>
      <c r="L716" t="s">
        <v>166</v>
      </c>
      <c r="N716" t="s">
        <v>213</v>
      </c>
      <c r="O716" t="s">
        <v>271</v>
      </c>
      <c r="P716">
        <v>4.3564528016568132E-3</v>
      </c>
      <c r="Q716" t="s">
        <v>166</v>
      </c>
    </row>
    <row r="717" spans="9:17" x14ac:dyDescent="0.45">
      <c r="I717" t="s">
        <v>190</v>
      </c>
      <c r="J717" t="s">
        <v>272</v>
      </c>
      <c r="K717">
        <v>0</v>
      </c>
      <c r="L717" t="s">
        <v>166</v>
      </c>
      <c r="N717" t="s">
        <v>213</v>
      </c>
      <c r="O717" t="s">
        <v>272</v>
      </c>
      <c r="P717">
        <v>4.5175394923897844E-3</v>
      </c>
      <c r="Q717" t="s">
        <v>166</v>
      </c>
    </row>
    <row r="718" spans="9:17" x14ac:dyDescent="0.45">
      <c r="I718" t="s">
        <v>190</v>
      </c>
      <c r="J718" t="s">
        <v>273</v>
      </c>
      <c r="K718">
        <v>0</v>
      </c>
      <c r="L718" t="s">
        <v>166</v>
      </c>
      <c r="N718" t="s">
        <v>213</v>
      </c>
      <c r="O718" t="s">
        <v>273</v>
      </c>
      <c r="P718">
        <v>2.7463710275050072E-2</v>
      </c>
      <c r="Q718" t="s">
        <v>166</v>
      </c>
    </row>
    <row r="719" spans="9:17" x14ac:dyDescent="0.45">
      <c r="I719" t="s">
        <v>190</v>
      </c>
      <c r="J719" t="s">
        <v>274</v>
      </c>
      <c r="K719">
        <v>0</v>
      </c>
      <c r="L719" t="s">
        <v>166</v>
      </c>
      <c r="N719" t="s">
        <v>213</v>
      </c>
      <c r="O719" t="s">
        <v>274</v>
      </c>
      <c r="P719">
        <v>5.0980498210088689E-2</v>
      </c>
      <c r="Q719" t="s">
        <v>166</v>
      </c>
    </row>
    <row r="720" spans="9:17" x14ac:dyDescent="0.45">
      <c r="I720" t="s">
        <v>190</v>
      </c>
      <c r="J720" t="s">
        <v>275</v>
      </c>
      <c r="K720">
        <v>3.1228352143149505E-4</v>
      </c>
      <c r="L720" t="s">
        <v>166</v>
      </c>
      <c r="N720" t="s">
        <v>213</v>
      </c>
      <c r="O720" t="s">
        <v>275</v>
      </c>
      <c r="P720">
        <v>6.5787904281300593E-3</v>
      </c>
      <c r="Q720" t="s">
        <v>166</v>
      </c>
    </row>
    <row r="721" spans="9:17" x14ac:dyDescent="0.45">
      <c r="I721" t="s">
        <v>190</v>
      </c>
      <c r="J721" t="s">
        <v>276</v>
      </c>
      <c r="K721">
        <v>2.2327533602874674E-2</v>
      </c>
      <c r="L721" t="s">
        <v>166</v>
      </c>
      <c r="N721" t="s">
        <v>213</v>
      </c>
      <c r="O721" t="s">
        <v>276</v>
      </c>
      <c r="P721">
        <v>4.1981913432913548E-2</v>
      </c>
      <c r="Q721" t="s">
        <v>166</v>
      </c>
    </row>
    <row r="722" spans="9:17" x14ac:dyDescent="0.45">
      <c r="I722" t="s">
        <v>190</v>
      </c>
      <c r="J722" t="s">
        <v>277</v>
      </c>
      <c r="K722">
        <v>0</v>
      </c>
      <c r="L722" t="s">
        <v>166</v>
      </c>
      <c r="N722" t="s">
        <v>213</v>
      </c>
      <c r="O722" t="s">
        <v>277</v>
      </c>
      <c r="P722">
        <v>5.9519151131856895E-3</v>
      </c>
      <c r="Q722" t="s">
        <v>166</v>
      </c>
    </row>
    <row r="723" spans="9:17" x14ac:dyDescent="0.45">
      <c r="I723" t="s">
        <v>190</v>
      </c>
      <c r="J723" t="s">
        <v>278</v>
      </c>
      <c r="K723">
        <v>0</v>
      </c>
      <c r="L723" t="s">
        <v>166</v>
      </c>
      <c r="N723" t="s">
        <v>213</v>
      </c>
      <c r="O723" t="s">
        <v>278</v>
      </c>
      <c r="P723">
        <v>6.1423460102541976E-3</v>
      </c>
      <c r="Q723" t="s">
        <v>166</v>
      </c>
    </row>
    <row r="724" spans="9:17" x14ac:dyDescent="0.45">
      <c r="I724" t="s">
        <v>190</v>
      </c>
      <c r="J724" t="s">
        <v>279</v>
      </c>
      <c r="K724">
        <v>0</v>
      </c>
      <c r="L724" t="s">
        <v>166</v>
      </c>
      <c r="N724" t="s">
        <v>213</v>
      </c>
      <c r="O724" t="s">
        <v>279</v>
      </c>
      <c r="P724">
        <v>3.8327432092377454E-2</v>
      </c>
      <c r="Q724" t="s">
        <v>166</v>
      </c>
    </row>
    <row r="725" spans="9:17" x14ac:dyDescent="0.45">
      <c r="I725" t="s">
        <v>191</v>
      </c>
      <c r="J725" t="s">
        <v>165</v>
      </c>
      <c r="K725">
        <v>7.6578271769788583E-5</v>
      </c>
      <c r="L725" t="s">
        <v>166</v>
      </c>
      <c r="N725" t="s">
        <v>214</v>
      </c>
      <c r="O725" t="s">
        <v>165</v>
      </c>
      <c r="P725">
        <v>7.5608744555389892E-2</v>
      </c>
      <c r="Q725" t="s">
        <v>166</v>
      </c>
    </row>
    <row r="726" spans="9:17" x14ac:dyDescent="0.45">
      <c r="I726" t="s">
        <v>191</v>
      </c>
      <c r="J726" t="s">
        <v>167</v>
      </c>
      <c r="K726">
        <v>3.157404070820144E-3</v>
      </c>
      <c r="L726" t="s">
        <v>166</v>
      </c>
      <c r="N726" t="s">
        <v>214</v>
      </c>
      <c r="O726" t="s">
        <v>167</v>
      </c>
      <c r="P726">
        <v>8.8944585285139401E-3</v>
      </c>
      <c r="Q726" t="s">
        <v>166</v>
      </c>
    </row>
    <row r="727" spans="9:17" x14ac:dyDescent="0.45">
      <c r="I727" t="s">
        <v>191</v>
      </c>
      <c r="J727" t="s">
        <v>168</v>
      </c>
      <c r="K727">
        <v>5.9886196086150062E-2</v>
      </c>
      <c r="L727" t="s">
        <v>166</v>
      </c>
      <c r="N727" t="s">
        <v>214</v>
      </c>
      <c r="O727" t="s">
        <v>168</v>
      </c>
      <c r="P727">
        <v>5.5735750804331671E-2</v>
      </c>
      <c r="Q727" t="s">
        <v>166</v>
      </c>
    </row>
    <row r="728" spans="9:17" x14ac:dyDescent="0.45">
      <c r="I728" t="s">
        <v>191</v>
      </c>
      <c r="J728" t="s">
        <v>247</v>
      </c>
      <c r="K728">
        <v>3.6240293205604271E-3</v>
      </c>
      <c r="L728" t="s">
        <v>166</v>
      </c>
      <c r="N728" t="s">
        <v>214</v>
      </c>
      <c r="O728" t="s">
        <v>247</v>
      </c>
      <c r="P728">
        <v>8.8797060498749126E-3</v>
      </c>
      <c r="Q728" t="s">
        <v>166</v>
      </c>
    </row>
    <row r="729" spans="9:17" x14ac:dyDescent="0.45">
      <c r="I729" t="s">
        <v>191</v>
      </c>
      <c r="J729" t="s">
        <v>248</v>
      </c>
      <c r="K729">
        <v>1.0777931996609077E-3</v>
      </c>
      <c r="L729" t="s">
        <v>166</v>
      </c>
      <c r="N729" t="s">
        <v>214</v>
      </c>
      <c r="O729" t="s">
        <v>248</v>
      </c>
      <c r="P729">
        <v>9.2806392201408242E-3</v>
      </c>
      <c r="Q729" t="s">
        <v>166</v>
      </c>
    </row>
    <row r="730" spans="9:17" x14ac:dyDescent="0.45">
      <c r="I730" t="s">
        <v>191</v>
      </c>
      <c r="J730" t="s">
        <v>249</v>
      </c>
      <c r="K730">
        <v>0</v>
      </c>
      <c r="L730" t="s">
        <v>166</v>
      </c>
      <c r="N730" t="s">
        <v>214</v>
      </c>
      <c r="O730" t="s">
        <v>249</v>
      </c>
      <c r="P730">
        <v>6.0913712997262816E-2</v>
      </c>
      <c r="Q730" t="s">
        <v>166</v>
      </c>
    </row>
    <row r="731" spans="9:17" x14ac:dyDescent="0.45">
      <c r="I731" t="s">
        <v>191</v>
      </c>
      <c r="J731" t="s">
        <v>169</v>
      </c>
      <c r="K731">
        <v>5.0008158161712309E-3</v>
      </c>
      <c r="L731" t="s">
        <v>166</v>
      </c>
      <c r="N731" t="s">
        <v>214</v>
      </c>
      <c r="O731" t="s">
        <v>169</v>
      </c>
      <c r="P731">
        <v>2.6101059172168352E-2</v>
      </c>
      <c r="Q731" t="s">
        <v>166</v>
      </c>
    </row>
    <row r="732" spans="9:17" x14ac:dyDescent="0.45">
      <c r="I732" t="s">
        <v>191</v>
      </c>
      <c r="J732" t="s">
        <v>170</v>
      </c>
      <c r="K732">
        <v>7.5088422491139083E-3</v>
      </c>
      <c r="L732" t="s">
        <v>166</v>
      </c>
      <c r="N732" t="s">
        <v>214</v>
      </c>
      <c r="O732" t="s">
        <v>170</v>
      </c>
      <c r="P732">
        <v>2.2553181819025929E-3</v>
      </c>
      <c r="Q732" t="s">
        <v>166</v>
      </c>
    </row>
    <row r="733" spans="9:17" x14ac:dyDescent="0.45">
      <c r="I733" t="s">
        <v>191</v>
      </c>
      <c r="J733" t="s">
        <v>171</v>
      </c>
      <c r="K733">
        <v>7.1326118650162904E-2</v>
      </c>
      <c r="L733" t="s">
        <v>166</v>
      </c>
      <c r="N733" t="s">
        <v>214</v>
      </c>
      <c r="O733" t="s">
        <v>171</v>
      </c>
      <c r="P733">
        <v>1.5267816711498272E-2</v>
      </c>
      <c r="Q733" t="s">
        <v>166</v>
      </c>
    </row>
    <row r="734" spans="9:17" x14ac:dyDescent="0.45">
      <c r="I734" t="s">
        <v>191</v>
      </c>
      <c r="J734" t="s">
        <v>250</v>
      </c>
      <c r="K734">
        <v>6.7500913704956374E-3</v>
      </c>
      <c r="L734" t="s">
        <v>166</v>
      </c>
      <c r="N734" t="s">
        <v>214</v>
      </c>
      <c r="O734" t="s">
        <v>250</v>
      </c>
      <c r="P734">
        <v>2.7442188767468111E-3</v>
      </c>
      <c r="Q734" t="s">
        <v>166</v>
      </c>
    </row>
    <row r="735" spans="9:17" x14ac:dyDescent="0.45">
      <c r="I735" t="s">
        <v>191</v>
      </c>
      <c r="J735" t="s">
        <v>251</v>
      </c>
      <c r="K735">
        <v>4.0807959144123235E-3</v>
      </c>
      <c r="L735" t="s">
        <v>166</v>
      </c>
      <c r="N735" t="s">
        <v>214</v>
      </c>
      <c r="O735" t="s">
        <v>251</v>
      </c>
      <c r="P735">
        <v>3.0911595114360645E-3</v>
      </c>
      <c r="Q735" t="s">
        <v>166</v>
      </c>
    </row>
    <row r="736" spans="9:17" x14ac:dyDescent="0.45">
      <c r="I736" t="s">
        <v>191</v>
      </c>
      <c r="J736" t="s">
        <v>252</v>
      </c>
      <c r="K736">
        <v>8.4759652638040947E-4</v>
      </c>
      <c r="L736" t="s">
        <v>166</v>
      </c>
      <c r="N736" t="s">
        <v>214</v>
      </c>
      <c r="O736" t="s">
        <v>252</v>
      </c>
      <c r="P736">
        <v>2.2114902958441214E-2</v>
      </c>
      <c r="Q736" t="s">
        <v>166</v>
      </c>
    </row>
    <row r="737" spans="9:17" x14ac:dyDescent="0.45">
      <c r="I737" t="s">
        <v>191</v>
      </c>
      <c r="J737" t="s">
        <v>172</v>
      </c>
      <c r="K737">
        <v>9.5204026126594968E-3</v>
      </c>
      <c r="L737" t="s">
        <v>166</v>
      </c>
      <c r="N737" t="s">
        <v>214</v>
      </c>
      <c r="O737" t="s">
        <v>172</v>
      </c>
      <c r="P737">
        <v>2.8055077999518591E-2</v>
      </c>
      <c r="Q737" t="s">
        <v>166</v>
      </c>
    </row>
    <row r="738" spans="9:17" x14ac:dyDescent="0.45">
      <c r="I738" t="s">
        <v>191</v>
      </c>
      <c r="J738" t="s">
        <v>173</v>
      </c>
      <c r="K738">
        <v>8.7205049546620773E-3</v>
      </c>
      <c r="L738" t="s">
        <v>166</v>
      </c>
      <c r="N738" t="s">
        <v>214</v>
      </c>
      <c r="O738" t="s">
        <v>173</v>
      </c>
      <c r="P738">
        <v>3.4849822782768219E-3</v>
      </c>
      <c r="Q738" t="s">
        <v>166</v>
      </c>
    </row>
    <row r="739" spans="9:17" x14ac:dyDescent="0.45">
      <c r="I739" t="s">
        <v>191</v>
      </c>
      <c r="J739" t="s">
        <v>174</v>
      </c>
      <c r="K739">
        <v>7.2931971537135681E-2</v>
      </c>
      <c r="L739" t="s">
        <v>166</v>
      </c>
      <c r="N739" t="s">
        <v>214</v>
      </c>
      <c r="O739" t="s">
        <v>174</v>
      </c>
      <c r="P739">
        <v>1.9775313187787313E-2</v>
      </c>
      <c r="Q739" t="s">
        <v>166</v>
      </c>
    </row>
    <row r="740" spans="9:17" x14ac:dyDescent="0.45">
      <c r="I740" t="s">
        <v>191</v>
      </c>
      <c r="J740" t="s">
        <v>253</v>
      </c>
      <c r="K740">
        <v>7.0016343667080221E-3</v>
      </c>
      <c r="L740" t="s">
        <v>166</v>
      </c>
      <c r="N740" t="s">
        <v>214</v>
      </c>
      <c r="O740" t="s">
        <v>253</v>
      </c>
      <c r="P740">
        <v>2.242103346662395E-3</v>
      </c>
      <c r="Q740" t="s">
        <v>166</v>
      </c>
    </row>
    <row r="741" spans="9:17" x14ac:dyDescent="0.45">
      <c r="I741" t="s">
        <v>191</v>
      </c>
      <c r="J741" t="s">
        <v>254</v>
      </c>
      <c r="K741">
        <v>5.0656483372056643E-3</v>
      </c>
      <c r="L741" t="s">
        <v>166</v>
      </c>
      <c r="N741" t="s">
        <v>214</v>
      </c>
      <c r="O741" t="s">
        <v>254</v>
      </c>
      <c r="P741">
        <v>2.3373294455728494E-3</v>
      </c>
      <c r="Q741" t="s">
        <v>166</v>
      </c>
    </row>
    <row r="742" spans="9:17" x14ac:dyDescent="0.45">
      <c r="I742" t="s">
        <v>191</v>
      </c>
      <c r="J742" t="s">
        <v>255</v>
      </c>
      <c r="K742">
        <v>2.9592911693950806E-3</v>
      </c>
      <c r="L742" t="s">
        <v>166</v>
      </c>
      <c r="N742" t="s">
        <v>214</v>
      </c>
      <c r="O742" t="s">
        <v>255</v>
      </c>
      <c r="P742">
        <v>1.8227553315877571E-2</v>
      </c>
      <c r="Q742" t="s">
        <v>166</v>
      </c>
    </row>
    <row r="743" spans="9:17" x14ac:dyDescent="0.45">
      <c r="I743" t="s">
        <v>191</v>
      </c>
      <c r="J743" t="s">
        <v>256</v>
      </c>
      <c r="K743">
        <v>1.1908664574159948E-2</v>
      </c>
      <c r="L743" t="s">
        <v>166</v>
      </c>
      <c r="N743" t="s">
        <v>214</v>
      </c>
      <c r="O743" t="s">
        <v>256</v>
      </c>
      <c r="P743">
        <v>3.1114354715161364E-2</v>
      </c>
      <c r="Q743" t="s">
        <v>166</v>
      </c>
    </row>
    <row r="744" spans="9:17" x14ac:dyDescent="0.45">
      <c r="I744" t="s">
        <v>191</v>
      </c>
      <c r="J744" t="s">
        <v>257</v>
      </c>
      <c r="K744">
        <v>7.8552953636531735E-3</v>
      </c>
      <c r="L744" t="s">
        <v>166</v>
      </c>
      <c r="N744" t="s">
        <v>214</v>
      </c>
      <c r="O744" t="s">
        <v>257</v>
      </c>
      <c r="P744">
        <v>4.1378621736933964E-3</v>
      </c>
      <c r="Q744" t="s">
        <v>166</v>
      </c>
    </row>
    <row r="745" spans="9:17" x14ac:dyDescent="0.45">
      <c r="I745" t="s">
        <v>191</v>
      </c>
      <c r="J745" t="s">
        <v>258</v>
      </c>
      <c r="K745">
        <v>6.8383476818485264E-2</v>
      </c>
      <c r="L745" t="s">
        <v>166</v>
      </c>
      <c r="N745" t="s">
        <v>214</v>
      </c>
      <c r="O745" t="s">
        <v>258</v>
      </c>
      <c r="P745">
        <v>2.8739605112671585E-2</v>
      </c>
      <c r="Q745" t="s">
        <v>166</v>
      </c>
    </row>
    <row r="746" spans="9:17" x14ac:dyDescent="0.45">
      <c r="I746" t="s">
        <v>191</v>
      </c>
      <c r="J746" t="s">
        <v>259</v>
      </c>
      <c r="K746">
        <v>7.3484811626070264E-3</v>
      </c>
      <c r="L746" t="s">
        <v>166</v>
      </c>
      <c r="N746" t="s">
        <v>214</v>
      </c>
      <c r="O746" t="s">
        <v>259</v>
      </c>
      <c r="P746">
        <v>3.503464814088328E-3</v>
      </c>
      <c r="Q746" t="s">
        <v>166</v>
      </c>
    </row>
    <row r="747" spans="9:17" x14ac:dyDescent="0.45">
      <c r="I747" t="s">
        <v>191</v>
      </c>
      <c r="J747" t="s">
        <v>260</v>
      </c>
      <c r="K747">
        <v>5.787079182946968E-3</v>
      </c>
      <c r="L747" t="s">
        <v>166</v>
      </c>
      <c r="N747" t="s">
        <v>214</v>
      </c>
      <c r="O747" t="s">
        <v>260</v>
      </c>
      <c r="P747">
        <v>3.2701456346366023E-3</v>
      </c>
      <c r="Q747" t="s">
        <v>166</v>
      </c>
    </row>
    <row r="748" spans="9:17" x14ac:dyDescent="0.45">
      <c r="I748" t="s">
        <v>191</v>
      </c>
      <c r="J748" t="s">
        <v>261</v>
      </c>
      <c r="K748">
        <v>5.6757143557096034E-3</v>
      </c>
      <c r="L748" t="s">
        <v>166</v>
      </c>
      <c r="N748" t="s">
        <v>214</v>
      </c>
      <c r="O748" t="s">
        <v>261</v>
      </c>
      <c r="P748">
        <v>2.2961694206825881E-2</v>
      </c>
      <c r="Q748" t="s">
        <v>166</v>
      </c>
    </row>
    <row r="749" spans="9:17" x14ac:dyDescent="0.45">
      <c r="I749" t="s">
        <v>191</v>
      </c>
      <c r="J749" t="s">
        <v>262</v>
      </c>
      <c r="K749">
        <v>6.142215518428356E-2</v>
      </c>
      <c r="L749" t="s">
        <v>166</v>
      </c>
      <c r="N749" t="s">
        <v>214</v>
      </c>
      <c r="O749" t="s">
        <v>262</v>
      </c>
      <c r="P749">
        <v>0.10933760186797206</v>
      </c>
      <c r="Q749" t="s">
        <v>166</v>
      </c>
    </row>
    <row r="750" spans="9:17" x14ac:dyDescent="0.45">
      <c r="I750" t="s">
        <v>191</v>
      </c>
      <c r="J750" t="s">
        <v>263</v>
      </c>
      <c r="K750">
        <v>4.3495878618255865E-2</v>
      </c>
      <c r="L750" t="s">
        <v>166</v>
      </c>
      <c r="N750" t="s">
        <v>214</v>
      </c>
      <c r="O750" t="s">
        <v>263</v>
      </c>
      <c r="P750">
        <v>1.0584194927853972E-2</v>
      </c>
      <c r="Q750" t="s">
        <v>166</v>
      </c>
    </row>
    <row r="751" spans="9:17" x14ac:dyDescent="0.45">
      <c r="I751" t="s">
        <v>191</v>
      </c>
      <c r="J751" t="s">
        <v>264</v>
      </c>
      <c r="K751">
        <v>0.36972528009640465</v>
      </c>
      <c r="L751" t="s">
        <v>166</v>
      </c>
      <c r="N751" t="s">
        <v>214</v>
      </c>
      <c r="O751" t="s">
        <v>264</v>
      </c>
      <c r="P751">
        <v>8.135007194693826E-2</v>
      </c>
      <c r="Q751" t="s">
        <v>166</v>
      </c>
    </row>
    <row r="752" spans="9:17" x14ac:dyDescent="0.45">
      <c r="I752" t="s">
        <v>191</v>
      </c>
      <c r="J752" t="s">
        <v>265</v>
      </c>
      <c r="K752">
        <v>4.019491482111881E-2</v>
      </c>
      <c r="L752" t="s">
        <v>166</v>
      </c>
      <c r="N752" t="s">
        <v>214</v>
      </c>
      <c r="O752" t="s">
        <v>265</v>
      </c>
      <c r="P752">
        <v>1.3316037234402098E-2</v>
      </c>
      <c r="Q752" t="s">
        <v>166</v>
      </c>
    </row>
    <row r="753" spans="9:17" x14ac:dyDescent="0.45">
      <c r="I753" t="s">
        <v>191</v>
      </c>
      <c r="J753" t="s">
        <v>266</v>
      </c>
      <c r="K753">
        <v>2.9249799150648504E-2</v>
      </c>
      <c r="L753" t="s">
        <v>166</v>
      </c>
      <c r="N753" t="s">
        <v>214</v>
      </c>
      <c r="O753" t="s">
        <v>266</v>
      </c>
      <c r="P753">
        <v>1.3251478967390838E-2</v>
      </c>
      <c r="Q753" t="s">
        <v>166</v>
      </c>
    </row>
    <row r="754" spans="9:17" x14ac:dyDescent="0.45">
      <c r="I754" t="s">
        <v>191</v>
      </c>
      <c r="J754" t="s">
        <v>267</v>
      </c>
      <c r="K754">
        <v>2.7647330512899766E-2</v>
      </c>
      <c r="L754" t="s">
        <v>166</v>
      </c>
      <c r="N754" t="s">
        <v>214</v>
      </c>
      <c r="O754" t="s">
        <v>267</v>
      </c>
      <c r="P754">
        <v>9.4016249652706427E-2</v>
      </c>
      <c r="Q754" t="s">
        <v>166</v>
      </c>
    </row>
    <row r="755" spans="9:17" x14ac:dyDescent="0.45">
      <c r="I755" t="s">
        <v>191</v>
      </c>
      <c r="J755" t="s">
        <v>268</v>
      </c>
      <c r="K755">
        <v>4.4604997127320667E-7</v>
      </c>
      <c r="L755" t="s">
        <v>166</v>
      </c>
      <c r="N755" t="s">
        <v>214</v>
      </c>
      <c r="O755" t="s">
        <v>268</v>
      </c>
      <c r="P755">
        <v>3.5300337829769289E-2</v>
      </c>
      <c r="Q755" t="s">
        <v>166</v>
      </c>
    </row>
    <row r="756" spans="9:17" x14ac:dyDescent="0.45">
      <c r="I756" t="s">
        <v>191</v>
      </c>
      <c r="J756" t="s">
        <v>269</v>
      </c>
      <c r="K756">
        <v>1.3746871446872228E-3</v>
      </c>
      <c r="L756" t="s">
        <v>166</v>
      </c>
      <c r="N756" t="s">
        <v>214</v>
      </c>
      <c r="O756" t="s">
        <v>269</v>
      </c>
      <c r="P756">
        <v>3.6580323991406765E-3</v>
      </c>
      <c r="Q756" t="s">
        <v>166</v>
      </c>
    </row>
    <row r="757" spans="9:17" x14ac:dyDescent="0.45">
      <c r="I757" t="s">
        <v>191</v>
      </c>
      <c r="J757" t="s">
        <v>270</v>
      </c>
      <c r="K757">
        <v>2.4112737767347056E-2</v>
      </c>
      <c r="L757" t="s">
        <v>166</v>
      </c>
      <c r="N757" t="s">
        <v>214</v>
      </c>
      <c r="O757" t="s">
        <v>270</v>
      </c>
      <c r="P757">
        <v>2.4138814275693376E-2</v>
      </c>
      <c r="Q757" t="s">
        <v>166</v>
      </c>
    </row>
    <row r="758" spans="9:17" x14ac:dyDescent="0.45">
      <c r="I758" t="s">
        <v>191</v>
      </c>
      <c r="J758" t="s">
        <v>271</v>
      </c>
      <c r="K758">
        <v>1.0424161969220945E-3</v>
      </c>
      <c r="L758" t="s">
        <v>166</v>
      </c>
      <c r="N758" t="s">
        <v>214</v>
      </c>
      <c r="O758" t="s">
        <v>271</v>
      </c>
      <c r="P758">
        <v>4.3127747094776313E-3</v>
      </c>
      <c r="Q758" t="s">
        <v>166</v>
      </c>
    </row>
    <row r="759" spans="9:17" x14ac:dyDescent="0.45">
      <c r="I759" t="s">
        <v>191</v>
      </c>
      <c r="J759" t="s">
        <v>272</v>
      </c>
      <c r="K759">
        <v>0</v>
      </c>
      <c r="L759" t="s">
        <v>166</v>
      </c>
      <c r="N759" t="s">
        <v>214</v>
      </c>
      <c r="O759" t="s">
        <v>272</v>
      </c>
      <c r="P759">
        <v>4.5269613362672548E-3</v>
      </c>
      <c r="Q759" t="s">
        <v>166</v>
      </c>
    </row>
    <row r="760" spans="9:17" x14ac:dyDescent="0.45">
      <c r="I760" t="s">
        <v>191</v>
      </c>
      <c r="J760" t="s">
        <v>273</v>
      </c>
      <c r="K760">
        <v>0</v>
      </c>
      <c r="L760" t="s">
        <v>166</v>
      </c>
      <c r="N760" t="s">
        <v>214</v>
      </c>
      <c r="O760" t="s">
        <v>273</v>
      </c>
      <c r="P760">
        <v>2.7660858306809338E-2</v>
      </c>
      <c r="Q760" t="s">
        <v>166</v>
      </c>
    </row>
    <row r="761" spans="9:17" x14ac:dyDescent="0.45">
      <c r="I761" t="s">
        <v>191</v>
      </c>
      <c r="J761" t="s">
        <v>274</v>
      </c>
      <c r="K761">
        <v>0</v>
      </c>
      <c r="L761" t="s">
        <v>166</v>
      </c>
      <c r="N761" t="s">
        <v>214</v>
      </c>
      <c r="O761" t="s">
        <v>274</v>
      </c>
      <c r="P761">
        <v>4.4487452054789302E-2</v>
      </c>
      <c r="Q761" t="s">
        <v>166</v>
      </c>
    </row>
    <row r="762" spans="9:17" x14ac:dyDescent="0.45">
      <c r="I762" t="s">
        <v>191</v>
      </c>
      <c r="J762" t="s">
        <v>275</v>
      </c>
      <c r="K762">
        <v>5.6547420074867794E-4</v>
      </c>
      <c r="L762" t="s">
        <v>166</v>
      </c>
      <c r="N762" t="s">
        <v>214</v>
      </c>
      <c r="O762" t="s">
        <v>275</v>
      </c>
      <c r="P762">
        <v>5.0952954141584893E-3</v>
      </c>
      <c r="Q762" t="s">
        <v>166</v>
      </c>
    </row>
    <row r="763" spans="9:17" x14ac:dyDescent="0.45">
      <c r="I763" t="s">
        <v>191</v>
      </c>
      <c r="J763" t="s">
        <v>276</v>
      </c>
      <c r="K763">
        <v>2.4663910745630402E-2</v>
      </c>
      <c r="L763" t="s">
        <v>166</v>
      </c>
      <c r="N763" t="s">
        <v>214</v>
      </c>
      <c r="O763" t="s">
        <v>276</v>
      </c>
      <c r="P763">
        <v>2.8154250316060885E-2</v>
      </c>
      <c r="Q763" t="s">
        <v>166</v>
      </c>
    </row>
    <row r="764" spans="9:17" x14ac:dyDescent="0.45">
      <c r="I764" t="s">
        <v>191</v>
      </c>
      <c r="J764" t="s">
        <v>277</v>
      </c>
      <c r="K764">
        <v>1.0543600051861918E-5</v>
      </c>
      <c r="L764" t="s">
        <v>166</v>
      </c>
      <c r="N764" t="s">
        <v>214</v>
      </c>
      <c r="O764" t="s">
        <v>277</v>
      </c>
      <c r="P764">
        <v>5.3752913592858198E-3</v>
      </c>
      <c r="Q764" t="s">
        <v>166</v>
      </c>
    </row>
    <row r="765" spans="9:17" x14ac:dyDescent="0.45">
      <c r="I765" t="s">
        <v>191</v>
      </c>
      <c r="J765" t="s">
        <v>278</v>
      </c>
      <c r="K765">
        <v>0</v>
      </c>
      <c r="L765" t="s">
        <v>166</v>
      </c>
      <c r="N765" t="s">
        <v>214</v>
      </c>
      <c r="O765" t="s">
        <v>278</v>
      </c>
      <c r="P765">
        <v>5.4435545529821217E-3</v>
      </c>
      <c r="Q765" t="s">
        <v>166</v>
      </c>
    </row>
    <row r="766" spans="9:17" x14ac:dyDescent="0.45">
      <c r="I766" t="s">
        <v>191</v>
      </c>
      <c r="J766" t="s">
        <v>279</v>
      </c>
      <c r="K766">
        <v>0</v>
      </c>
      <c r="L766" t="s">
        <v>166</v>
      </c>
      <c r="N766" t="s">
        <v>214</v>
      </c>
      <c r="O766" t="s">
        <v>279</v>
      </c>
      <c r="P766">
        <v>3.1253769049825145E-2</v>
      </c>
      <c r="Q766" t="s">
        <v>166</v>
      </c>
    </row>
    <row r="767" spans="9:17" x14ac:dyDescent="0.45">
      <c r="I767" t="s">
        <v>192</v>
      </c>
      <c r="J767" t="s">
        <v>165</v>
      </c>
      <c r="K767">
        <v>6.4887334831691728E-5</v>
      </c>
      <c r="L767" t="s">
        <v>166</v>
      </c>
      <c r="N767" t="s">
        <v>215</v>
      </c>
      <c r="O767" t="s">
        <v>165</v>
      </c>
      <c r="P767">
        <v>7.4000632027693053E-2</v>
      </c>
      <c r="Q767" t="s">
        <v>166</v>
      </c>
    </row>
    <row r="768" spans="9:17" x14ac:dyDescent="0.45">
      <c r="I768" t="s">
        <v>192</v>
      </c>
      <c r="J768" t="s">
        <v>167</v>
      </c>
      <c r="K768">
        <v>2.6326186324765119E-3</v>
      </c>
      <c r="L768" t="s">
        <v>166</v>
      </c>
      <c r="N768" t="s">
        <v>215</v>
      </c>
      <c r="O768" t="s">
        <v>167</v>
      </c>
      <c r="P768">
        <v>8.9571895931417084E-3</v>
      </c>
      <c r="Q768" t="s">
        <v>166</v>
      </c>
    </row>
    <row r="769" spans="9:17" x14ac:dyDescent="0.45">
      <c r="I769" t="s">
        <v>192</v>
      </c>
      <c r="J769" t="s">
        <v>168</v>
      </c>
      <c r="K769">
        <v>5.2372338547599005E-2</v>
      </c>
      <c r="L769" t="s">
        <v>166</v>
      </c>
      <c r="N769" t="s">
        <v>215</v>
      </c>
      <c r="O769" t="s">
        <v>168</v>
      </c>
      <c r="P769">
        <v>5.3657057678862592E-2</v>
      </c>
      <c r="Q769" t="s">
        <v>166</v>
      </c>
    </row>
    <row r="770" spans="9:17" x14ac:dyDescent="0.45">
      <c r="I770" t="s">
        <v>192</v>
      </c>
      <c r="J770" t="s">
        <v>247</v>
      </c>
      <c r="K770">
        <v>3.0413294812374324E-3</v>
      </c>
      <c r="L770" t="s">
        <v>166</v>
      </c>
      <c r="N770" t="s">
        <v>215</v>
      </c>
      <c r="O770" t="s">
        <v>247</v>
      </c>
      <c r="P770">
        <v>8.17371895372997E-3</v>
      </c>
      <c r="Q770" t="s">
        <v>166</v>
      </c>
    </row>
    <row r="771" spans="9:17" x14ac:dyDescent="0.45">
      <c r="I771" t="s">
        <v>192</v>
      </c>
      <c r="J771" t="s">
        <v>248</v>
      </c>
      <c r="K771">
        <v>4.1130030705840862E-4</v>
      </c>
      <c r="L771" t="s">
        <v>166</v>
      </c>
      <c r="N771" t="s">
        <v>215</v>
      </c>
      <c r="O771" t="s">
        <v>248</v>
      </c>
      <c r="P771">
        <v>8.7548441557822321E-3</v>
      </c>
      <c r="Q771" t="s">
        <v>166</v>
      </c>
    </row>
    <row r="772" spans="9:17" x14ac:dyDescent="0.45">
      <c r="I772" t="s">
        <v>192</v>
      </c>
      <c r="J772" t="s">
        <v>249</v>
      </c>
      <c r="K772">
        <v>0</v>
      </c>
      <c r="L772" t="s">
        <v>166</v>
      </c>
      <c r="N772" t="s">
        <v>215</v>
      </c>
      <c r="O772" t="s">
        <v>249</v>
      </c>
      <c r="P772">
        <v>5.5231020558587932E-2</v>
      </c>
      <c r="Q772" t="s">
        <v>166</v>
      </c>
    </row>
    <row r="773" spans="9:17" x14ac:dyDescent="0.45">
      <c r="I773" t="s">
        <v>192</v>
      </c>
      <c r="J773" t="s">
        <v>169</v>
      </c>
      <c r="K773">
        <v>5.727598686931702E-3</v>
      </c>
      <c r="L773" t="s">
        <v>166</v>
      </c>
      <c r="N773" t="s">
        <v>215</v>
      </c>
      <c r="O773" t="s">
        <v>169</v>
      </c>
      <c r="P773">
        <v>2.4096565599243745E-2</v>
      </c>
      <c r="Q773" t="s">
        <v>166</v>
      </c>
    </row>
    <row r="774" spans="9:17" x14ac:dyDescent="0.45">
      <c r="I774" t="s">
        <v>192</v>
      </c>
      <c r="J774" t="s">
        <v>170</v>
      </c>
      <c r="K774">
        <v>7.0971676338856017E-3</v>
      </c>
      <c r="L774" t="s">
        <v>166</v>
      </c>
      <c r="N774" t="s">
        <v>215</v>
      </c>
      <c r="O774" t="s">
        <v>170</v>
      </c>
      <c r="P774">
        <v>2.5416544495190018E-3</v>
      </c>
      <c r="Q774" t="s">
        <v>166</v>
      </c>
    </row>
    <row r="775" spans="9:17" x14ac:dyDescent="0.45">
      <c r="I775" t="s">
        <v>192</v>
      </c>
      <c r="J775" t="s">
        <v>171</v>
      </c>
      <c r="K775">
        <v>6.9728751430910701E-2</v>
      </c>
      <c r="L775" t="s">
        <v>166</v>
      </c>
      <c r="N775" t="s">
        <v>215</v>
      </c>
      <c r="O775" t="s">
        <v>171</v>
      </c>
      <c r="P775">
        <v>1.6666403835881513E-2</v>
      </c>
      <c r="Q775" t="s">
        <v>166</v>
      </c>
    </row>
    <row r="776" spans="9:17" x14ac:dyDescent="0.45">
      <c r="I776" t="s">
        <v>192</v>
      </c>
      <c r="J776" t="s">
        <v>250</v>
      </c>
      <c r="K776">
        <v>6.782059168083443E-3</v>
      </c>
      <c r="L776" t="s">
        <v>166</v>
      </c>
      <c r="N776" t="s">
        <v>215</v>
      </c>
      <c r="O776" t="s">
        <v>250</v>
      </c>
      <c r="P776">
        <v>2.9297486117380043E-3</v>
      </c>
      <c r="Q776" t="s">
        <v>166</v>
      </c>
    </row>
    <row r="777" spans="9:17" x14ac:dyDescent="0.45">
      <c r="I777" t="s">
        <v>192</v>
      </c>
      <c r="J777" t="s">
        <v>251</v>
      </c>
      <c r="K777">
        <v>4.0538264524668122E-3</v>
      </c>
      <c r="L777" t="s">
        <v>166</v>
      </c>
      <c r="N777" t="s">
        <v>215</v>
      </c>
      <c r="O777" t="s">
        <v>251</v>
      </c>
      <c r="P777">
        <v>3.4128987352150387E-3</v>
      </c>
      <c r="Q777" t="s">
        <v>166</v>
      </c>
    </row>
    <row r="778" spans="9:17" x14ac:dyDescent="0.45">
      <c r="I778" t="s">
        <v>192</v>
      </c>
      <c r="J778" t="s">
        <v>252</v>
      </c>
      <c r="K778">
        <v>4.3019937009146543E-4</v>
      </c>
      <c r="L778" t="s">
        <v>166</v>
      </c>
      <c r="N778" t="s">
        <v>215</v>
      </c>
      <c r="O778" t="s">
        <v>252</v>
      </c>
      <c r="P778">
        <v>2.3316195142173257E-2</v>
      </c>
      <c r="Q778" t="s">
        <v>166</v>
      </c>
    </row>
    <row r="779" spans="9:17" x14ac:dyDescent="0.45">
      <c r="I779" t="s">
        <v>192</v>
      </c>
      <c r="J779" t="s">
        <v>172</v>
      </c>
      <c r="K779">
        <v>1.2095484570437893E-2</v>
      </c>
      <c r="L779" t="s">
        <v>166</v>
      </c>
      <c r="N779" t="s">
        <v>215</v>
      </c>
      <c r="O779" t="s">
        <v>172</v>
      </c>
      <c r="P779">
        <v>3.2477855335853505E-2</v>
      </c>
      <c r="Q779" t="s">
        <v>166</v>
      </c>
    </row>
    <row r="780" spans="9:17" x14ac:dyDescent="0.45">
      <c r="I780" t="s">
        <v>192</v>
      </c>
      <c r="J780" t="s">
        <v>173</v>
      </c>
      <c r="K780">
        <v>9.3376851156627208E-3</v>
      </c>
      <c r="L780" t="s">
        <v>166</v>
      </c>
      <c r="N780" t="s">
        <v>215</v>
      </c>
      <c r="O780" t="s">
        <v>173</v>
      </c>
      <c r="P780">
        <v>3.605767180943509E-3</v>
      </c>
      <c r="Q780" t="s">
        <v>166</v>
      </c>
    </row>
    <row r="781" spans="9:17" x14ac:dyDescent="0.45">
      <c r="I781" t="s">
        <v>192</v>
      </c>
      <c r="J781" t="s">
        <v>174</v>
      </c>
      <c r="K781">
        <v>7.5410793854247898E-2</v>
      </c>
      <c r="L781" t="s">
        <v>166</v>
      </c>
      <c r="N781" t="s">
        <v>215</v>
      </c>
      <c r="O781" t="s">
        <v>174</v>
      </c>
      <c r="P781">
        <v>1.8203724194323003E-2</v>
      </c>
      <c r="Q781" t="s">
        <v>166</v>
      </c>
    </row>
    <row r="782" spans="9:17" x14ac:dyDescent="0.45">
      <c r="I782" t="s">
        <v>192</v>
      </c>
      <c r="J782" t="s">
        <v>253</v>
      </c>
      <c r="K782">
        <v>6.9232730293194772E-3</v>
      </c>
      <c r="L782" t="s">
        <v>166</v>
      </c>
      <c r="N782" t="s">
        <v>215</v>
      </c>
      <c r="O782" t="s">
        <v>253</v>
      </c>
      <c r="P782">
        <v>2.5760057091377916E-3</v>
      </c>
      <c r="Q782" t="s">
        <v>166</v>
      </c>
    </row>
    <row r="783" spans="9:17" x14ac:dyDescent="0.45">
      <c r="I783" t="s">
        <v>192</v>
      </c>
      <c r="J783" t="s">
        <v>254</v>
      </c>
      <c r="K783">
        <v>4.8138086249347057E-3</v>
      </c>
      <c r="L783" t="s">
        <v>166</v>
      </c>
      <c r="N783" t="s">
        <v>215</v>
      </c>
      <c r="O783" t="s">
        <v>254</v>
      </c>
      <c r="P783">
        <v>2.8062415273977844E-3</v>
      </c>
      <c r="Q783" t="s">
        <v>166</v>
      </c>
    </row>
    <row r="784" spans="9:17" x14ac:dyDescent="0.45">
      <c r="I784" t="s">
        <v>192</v>
      </c>
      <c r="J784" t="s">
        <v>255</v>
      </c>
      <c r="K784">
        <v>2.6251906337183268E-3</v>
      </c>
      <c r="L784" t="s">
        <v>166</v>
      </c>
      <c r="N784" t="s">
        <v>215</v>
      </c>
      <c r="O784" t="s">
        <v>255</v>
      </c>
      <c r="P784">
        <v>2.1006022604621779E-2</v>
      </c>
      <c r="Q784" t="s">
        <v>166</v>
      </c>
    </row>
    <row r="785" spans="9:17" x14ac:dyDescent="0.45">
      <c r="I785" t="s">
        <v>192</v>
      </c>
      <c r="J785" t="s">
        <v>256</v>
      </c>
      <c r="K785">
        <v>1.5604464403286548E-2</v>
      </c>
      <c r="L785" t="s">
        <v>166</v>
      </c>
      <c r="N785" t="s">
        <v>215</v>
      </c>
      <c r="O785" t="s">
        <v>256</v>
      </c>
      <c r="P785">
        <v>2.8014153711045528E-2</v>
      </c>
      <c r="Q785" t="s">
        <v>166</v>
      </c>
    </row>
    <row r="786" spans="9:17" x14ac:dyDescent="0.45">
      <c r="I786" t="s">
        <v>192</v>
      </c>
      <c r="J786" t="s">
        <v>257</v>
      </c>
      <c r="K786">
        <v>8.8213961683384044E-3</v>
      </c>
      <c r="L786" t="s">
        <v>166</v>
      </c>
      <c r="N786" t="s">
        <v>215</v>
      </c>
      <c r="O786" t="s">
        <v>257</v>
      </c>
      <c r="P786">
        <v>3.4079517084968118E-3</v>
      </c>
      <c r="Q786" t="s">
        <v>166</v>
      </c>
    </row>
    <row r="787" spans="9:17" x14ac:dyDescent="0.45">
      <c r="I787" t="s">
        <v>192</v>
      </c>
      <c r="J787" t="s">
        <v>258</v>
      </c>
      <c r="K787">
        <v>6.9830126453211822E-2</v>
      </c>
      <c r="L787" t="s">
        <v>166</v>
      </c>
      <c r="N787" t="s">
        <v>215</v>
      </c>
      <c r="O787" t="s">
        <v>258</v>
      </c>
      <c r="P787">
        <v>2.232791800729083E-2</v>
      </c>
      <c r="Q787" t="s">
        <v>166</v>
      </c>
    </row>
    <row r="788" spans="9:17" x14ac:dyDescent="0.45">
      <c r="I788" t="s">
        <v>192</v>
      </c>
      <c r="J788" t="s">
        <v>259</v>
      </c>
      <c r="K788">
        <v>6.2910826579971098E-3</v>
      </c>
      <c r="L788" t="s">
        <v>166</v>
      </c>
      <c r="N788" t="s">
        <v>215</v>
      </c>
      <c r="O788" t="s">
        <v>259</v>
      </c>
      <c r="P788">
        <v>3.1895062216382229E-3</v>
      </c>
      <c r="Q788" t="s">
        <v>166</v>
      </c>
    </row>
    <row r="789" spans="9:17" x14ac:dyDescent="0.45">
      <c r="I789" t="s">
        <v>192</v>
      </c>
      <c r="J789" t="s">
        <v>260</v>
      </c>
      <c r="K789">
        <v>4.5959482856039718E-3</v>
      </c>
      <c r="L789" t="s">
        <v>166</v>
      </c>
      <c r="N789" t="s">
        <v>215</v>
      </c>
      <c r="O789" t="s">
        <v>260</v>
      </c>
      <c r="P789">
        <v>3.1505848385223979E-3</v>
      </c>
      <c r="Q789" t="s">
        <v>166</v>
      </c>
    </row>
    <row r="790" spans="9:17" x14ac:dyDescent="0.45">
      <c r="I790" t="s">
        <v>192</v>
      </c>
      <c r="J790" t="s">
        <v>261</v>
      </c>
      <c r="K790">
        <v>4.2741181473586829E-3</v>
      </c>
      <c r="L790" t="s">
        <v>166</v>
      </c>
      <c r="N790" t="s">
        <v>215</v>
      </c>
      <c r="O790" t="s">
        <v>261</v>
      </c>
      <c r="P790">
        <v>2.1202916583850508E-2</v>
      </c>
      <c r="Q790" t="s">
        <v>166</v>
      </c>
    </row>
    <row r="791" spans="9:17" x14ac:dyDescent="0.45">
      <c r="I791" t="s">
        <v>192</v>
      </c>
      <c r="J791" t="s">
        <v>262</v>
      </c>
      <c r="K791">
        <v>7.3881789346810334E-2</v>
      </c>
      <c r="L791" t="s">
        <v>166</v>
      </c>
      <c r="N791" t="s">
        <v>215</v>
      </c>
      <c r="O791" t="s">
        <v>262</v>
      </c>
      <c r="P791">
        <v>0.11617879838998063</v>
      </c>
      <c r="Q791" t="s">
        <v>166</v>
      </c>
    </row>
    <row r="792" spans="9:17" x14ac:dyDescent="0.45">
      <c r="I792" t="s">
        <v>192</v>
      </c>
      <c r="J792" t="s">
        <v>263</v>
      </c>
      <c r="K792">
        <v>4.5434063094937686E-2</v>
      </c>
      <c r="L792" t="s">
        <v>166</v>
      </c>
      <c r="N792" t="s">
        <v>215</v>
      </c>
      <c r="O792" t="s">
        <v>263</v>
      </c>
      <c r="P792">
        <v>1.1438705354360324E-2</v>
      </c>
      <c r="Q792" t="s">
        <v>166</v>
      </c>
    </row>
    <row r="793" spans="9:17" x14ac:dyDescent="0.45">
      <c r="I793" t="s">
        <v>192</v>
      </c>
      <c r="J793" t="s">
        <v>264</v>
      </c>
      <c r="K793">
        <v>0.37441711158280483</v>
      </c>
      <c r="L793" t="s">
        <v>166</v>
      </c>
      <c r="N793" t="s">
        <v>215</v>
      </c>
      <c r="O793" t="s">
        <v>264</v>
      </c>
      <c r="P793">
        <v>7.2747328439913259E-2</v>
      </c>
      <c r="Q793" t="s">
        <v>166</v>
      </c>
    </row>
    <row r="794" spans="9:17" x14ac:dyDescent="0.45">
      <c r="I794" t="s">
        <v>192</v>
      </c>
      <c r="J794" t="s">
        <v>265</v>
      </c>
      <c r="K794">
        <v>3.7286573682484191E-2</v>
      </c>
      <c r="L794" t="s">
        <v>166</v>
      </c>
      <c r="N794" t="s">
        <v>215</v>
      </c>
      <c r="O794" t="s">
        <v>265</v>
      </c>
      <c r="P794">
        <v>1.1754650346803714E-2</v>
      </c>
      <c r="Q794" t="s">
        <v>166</v>
      </c>
    </row>
    <row r="795" spans="9:17" x14ac:dyDescent="0.45">
      <c r="I795" t="s">
        <v>192</v>
      </c>
      <c r="J795" t="s">
        <v>266</v>
      </c>
      <c r="K795">
        <v>2.6404310876266674E-2</v>
      </c>
      <c r="L795" t="s">
        <v>166</v>
      </c>
      <c r="N795" t="s">
        <v>215</v>
      </c>
      <c r="O795" t="s">
        <v>266</v>
      </c>
      <c r="P795">
        <v>1.2239936499970823E-2</v>
      </c>
      <c r="Q795" t="s">
        <v>166</v>
      </c>
    </row>
    <row r="796" spans="9:17" x14ac:dyDescent="0.45">
      <c r="I796" t="s">
        <v>192</v>
      </c>
      <c r="J796" t="s">
        <v>267</v>
      </c>
      <c r="K796">
        <v>2.402575217387528E-2</v>
      </c>
      <c r="L796" t="s">
        <v>166</v>
      </c>
      <c r="N796" t="s">
        <v>215</v>
      </c>
      <c r="O796" t="s">
        <v>267</v>
      </c>
      <c r="P796">
        <v>9.4832532389396304E-2</v>
      </c>
      <c r="Q796" t="s">
        <v>166</v>
      </c>
    </row>
    <row r="797" spans="9:17" x14ac:dyDescent="0.45">
      <c r="I797" t="s">
        <v>192</v>
      </c>
      <c r="J797" t="s">
        <v>268</v>
      </c>
      <c r="K797">
        <v>1.2854616090417853E-5</v>
      </c>
      <c r="L797" t="s">
        <v>166</v>
      </c>
      <c r="N797" t="s">
        <v>215</v>
      </c>
      <c r="O797" t="s">
        <v>268</v>
      </c>
      <c r="P797">
        <v>3.9100413616442078E-2</v>
      </c>
      <c r="Q797" t="s">
        <v>166</v>
      </c>
    </row>
    <row r="798" spans="9:17" x14ac:dyDescent="0.45">
      <c r="I798" t="s">
        <v>192</v>
      </c>
      <c r="J798" t="s">
        <v>269</v>
      </c>
      <c r="K798">
        <v>1.7232288805415197E-3</v>
      </c>
      <c r="L798" t="s">
        <v>166</v>
      </c>
      <c r="N798" t="s">
        <v>215</v>
      </c>
      <c r="O798" t="s">
        <v>269</v>
      </c>
      <c r="P798">
        <v>4.5651298208287377E-3</v>
      </c>
      <c r="Q798" t="s">
        <v>166</v>
      </c>
    </row>
    <row r="799" spans="9:17" x14ac:dyDescent="0.45">
      <c r="I799" t="s">
        <v>192</v>
      </c>
      <c r="J799" t="s">
        <v>270</v>
      </c>
      <c r="K799">
        <v>2.5014327882237612E-2</v>
      </c>
      <c r="L799" t="s">
        <v>166</v>
      </c>
      <c r="N799" t="s">
        <v>215</v>
      </c>
      <c r="O799" t="s">
        <v>270</v>
      </c>
      <c r="P799">
        <v>2.781980742129635E-2</v>
      </c>
      <c r="Q799" t="s">
        <v>166</v>
      </c>
    </row>
    <row r="800" spans="9:17" x14ac:dyDescent="0.45">
      <c r="I800" t="s">
        <v>192</v>
      </c>
      <c r="J800" t="s">
        <v>271</v>
      </c>
      <c r="K800">
        <v>2.0446450452924964E-4</v>
      </c>
      <c r="L800" t="s">
        <v>166</v>
      </c>
      <c r="N800" t="s">
        <v>215</v>
      </c>
      <c r="O800" t="s">
        <v>271</v>
      </c>
      <c r="P800">
        <v>4.5015261451503584E-3</v>
      </c>
      <c r="Q800" t="s">
        <v>166</v>
      </c>
    </row>
    <row r="801" spans="9:17" x14ac:dyDescent="0.45">
      <c r="I801" t="s">
        <v>192</v>
      </c>
      <c r="J801" t="s">
        <v>272</v>
      </c>
      <c r="K801">
        <v>0</v>
      </c>
      <c r="L801" t="s">
        <v>166</v>
      </c>
      <c r="N801" t="s">
        <v>215</v>
      </c>
      <c r="O801" t="s">
        <v>272</v>
      </c>
      <c r="P801">
        <v>4.8745748196405338E-3</v>
      </c>
      <c r="Q801" t="s">
        <v>166</v>
      </c>
    </row>
    <row r="802" spans="9:17" x14ac:dyDescent="0.45">
      <c r="I802" t="s">
        <v>192</v>
      </c>
      <c r="J802" t="s">
        <v>273</v>
      </c>
      <c r="K802">
        <v>0</v>
      </c>
      <c r="L802" t="s">
        <v>166</v>
      </c>
      <c r="N802" t="s">
        <v>215</v>
      </c>
      <c r="O802" t="s">
        <v>273</v>
      </c>
      <c r="P802">
        <v>3.0537578964584731E-2</v>
      </c>
      <c r="Q802" t="s">
        <v>166</v>
      </c>
    </row>
    <row r="803" spans="9:17" x14ac:dyDescent="0.45">
      <c r="I803" t="s">
        <v>192</v>
      </c>
      <c r="J803" t="s">
        <v>274</v>
      </c>
      <c r="K803">
        <v>0</v>
      </c>
      <c r="L803" t="s">
        <v>166</v>
      </c>
      <c r="N803" t="s">
        <v>215</v>
      </c>
      <c r="O803" t="s">
        <v>274</v>
      </c>
      <c r="P803">
        <v>4.401942467344333E-2</v>
      </c>
      <c r="Q803" t="s">
        <v>166</v>
      </c>
    </row>
    <row r="804" spans="9:17" x14ac:dyDescent="0.45">
      <c r="I804" t="s">
        <v>192</v>
      </c>
      <c r="J804" t="s">
        <v>275</v>
      </c>
      <c r="K804">
        <v>1.968421249253068E-4</v>
      </c>
      <c r="L804" t="s">
        <v>166</v>
      </c>
      <c r="N804" t="s">
        <v>215</v>
      </c>
      <c r="O804" t="s">
        <v>275</v>
      </c>
      <c r="P804">
        <v>4.9330422408622636E-3</v>
      </c>
      <c r="Q804" t="s">
        <v>166</v>
      </c>
    </row>
    <row r="805" spans="9:17" x14ac:dyDescent="0.45">
      <c r="I805" t="s">
        <v>192</v>
      </c>
      <c r="J805" t="s">
        <v>276</v>
      </c>
      <c r="K805">
        <v>1.8433232244808619E-2</v>
      </c>
      <c r="L805" t="s">
        <v>166</v>
      </c>
      <c r="N805" t="s">
        <v>215</v>
      </c>
      <c r="O805" t="s">
        <v>276</v>
      </c>
      <c r="P805">
        <v>2.9173864043186445E-2</v>
      </c>
      <c r="Q805" t="s">
        <v>166</v>
      </c>
    </row>
    <row r="806" spans="9:17" x14ac:dyDescent="0.45">
      <c r="I806" t="s">
        <v>192</v>
      </c>
      <c r="J806" t="s">
        <v>277</v>
      </c>
      <c r="K806">
        <v>0</v>
      </c>
      <c r="L806" t="s">
        <v>166</v>
      </c>
      <c r="N806" t="s">
        <v>215</v>
      </c>
      <c r="O806" t="s">
        <v>277</v>
      </c>
      <c r="P806">
        <v>5.5929657056234183E-3</v>
      </c>
      <c r="Q806" t="s">
        <v>166</v>
      </c>
    </row>
    <row r="807" spans="9:17" x14ac:dyDescent="0.45">
      <c r="I807" t="s">
        <v>192</v>
      </c>
      <c r="J807" t="s">
        <v>278</v>
      </c>
      <c r="K807">
        <v>0</v>
      </c>
      <c r="L807" t="s">
        <v>166</v>
      </c>
      <c r="N807" t="s">
        <v>215</v>
      </c>
      <c r="O807" t="s">
        <v>278</v>
      </c>
      <c r="P807">
        <v>5.9683896076972356E-3</v>
      </c>
      <c r="Q807" t="s">
        <v>166</v>
      </c>
    </row>
    <row r="808" spans="9:17" x14ac:dyDescent="0.45">
      <c r="I808" t="s">
        <v>192</v>
      </c>
      <c r="J808" t="s">
        <v>279</v>
      </c>
      <c r="K808">
        <v>0</v>
      </c>
      <c r="L808" t="s">
        <v>166</v>
      </c>
      <c r="N808" t="s">
        <v>215</v>
      </c>
      <c r="O808" t="s">
        <v>279</v>
      </c>
      <c r="P808">
        <v>3.60147545561261E-2</v>
      </c>
      <c r="Q808" t="s">
        <v>166</v>
      </c>
    </row>
    <row r="809" spans="9:17" x14ac:dyDescent="0.45">
      <c r="I809" t="s">
        <v>193</v>
      </c>
      <c r="J809" t="s">
        <v>165</v>
      </c>
      <c r="K809">
        <v>1.0147676506182731E-4</v>
      </c>
      <c r="L809" t="s">
        <v>166</v>
      </c>
      <c r="N809" t="s">
        <v>216</v>
      </c>
      <c r="O809" t="s">
        <v>165</v>
      </c>
      <c r="P809">
        <v>7.1878374135115289E-2</v>
      </c>
      <c r="Q809" t="s">
        <v>166</v>
      </c>
    </row>
    <row r="810" spans="9:17" x14ac:dyDescent="0.45">
      <c r="I810" t="s">
        <v>193</v>
      </c>
      <c r="J810" t="s">
        <v>167</v>
      </c>
      <c r="K810">
        <v>2.9625392521921649E-3</v>
      </c>
      <c r="L810" t="s">
        <v>166</v>
      </c>
      <c r="N810" t="s">
        <v>216</v>
      </c>
      <c r="O810" t="s">
        <v>167</v>
      </c>
      <c r="P810">
        <v>9.2370918474913525E-3</v>
      </c>
      <c r="Q810" t="s">
        <v>166</v>
      </c>
    </row>
    <row r="811" spans="9:17" x14ac:dyDescent="0.45">
      <c r="I811" t="s">
        <v>193</v>
      </c>
      <c r="J811" t="s">
        <v>168</v>
      </c>
      <c r="K811">
        <v>5.6567403749228751E-2</v>
      </c>
      <c r="L811" t="s">
        <v>166</v>
      </c>
      <c r="N811" t="s">
        <v>216</v>
      </c>
      <c r="O811" t="s">
        <v>168</v>
      </c>
      <c r="P811">
        <v>6.3708825576014316E-2</v>
      </c>
      <c r="Q811" t="s">
        <v>166</v>
      </c>
    </row>
    <row r="812" spans="9:17" x14ac:dyDescent="0.45">
      <c r="I812" t="s">
        <v>193</v>
      </c>
      <c r="J812" t="s">
        <v>247</v>
      </c>
      <c r="K812">
        <v>3.2206857936461445E-3</v>
      </c>
      <c r="L812" t="s">
        <v>166</v>
      </c>
      <c r="N812" t="s">
        <v>216</v>
      </c>
      <c r="O812" t="s">
        <v>247</v>
      </c>
      <c r="P812">
        <v>1.0059457054499775E-2</v>
      </c>
      <c r="Q812" t="s">
        <v>166</v>
      </c>
    </row>
    <row r="813" spans="9:17" x14ac:dyDescent="0.45">
      <c r="I813" t="s">
        <v>193</v>
      </c>
      <c r="J813" t="s">
        <v>248</v>
      </c>
      <c r="K813">
        <v>4.8467983832817967E-4</v>
      </c>
      <c r="L813" t="s">
        <v>166</v>
      </c>
      <c r="N813" t="s">
        <v>216</v>
      </c>
      <c r="O813" t="s">
        <v>248</v>
      </c>
      <c r="P813">
        <v>1.030872019708472E-2</v>
      </c>
      <c r="Q813" t="s">
        <v>166</v>
      </c>
    </row>
    <row r="814" spans="9:17" x14ac:dyDescent="0.45">
      <c r="I814" t="s">
        <v>193</v>
      </c>
      <c r="J814" t="s">
        <v>249</v>
      </c>
      <c r="K814">
        <v>0</v>
      </c>
      <c r="L814" t="s">
        <v>166</v>
      </c>
      <c r="N814" t="s">
        <v>216</v>
      </c>
      <c r="O814" t="s">
        <v>249</v>
      </c>
      <c r="P814">
        <v>6.5547163799725194E-2</v>
      </c>
      <c r="Q814" t="s">
        <v>166</v>
      </c>
    </row>
    <row r="815" spans="9:17" x14ac:dyDescent="0.45">
      <c r="I815" t="s">
        <v>193</v>
      </c>
      <c r="J815" t="s">
        <v>169</v>
      </c>
      <c r="K815">
        <v>4.8744445289236682E-3</v>
      </c>
      <c r="L815" t="s">
        <v>166</v>
      </c>
      <c r="N815" t="s">
        <v>216</v>
      </c>
      <c r="O815" t="s">
        <v>169</v>
      </c>
      <c r="P815">
        <v>1.6368159622702636E-2</v>
      </c>
      <c r="Q815" t="s">
        <v>166</v>
      </c>
    </row>
    <row r="816" spans="9:17" x14ac:dyDescent="0.45">
      <c r="I816" t="s">
        <v>193</v>
      </c>
      <c r="J816" t="s">
        <v>170</v>
      </c>
      <c r="K816">
        <v>6.7567858408192003E-3</v>
      </c>
      <c r="L816" t="s">
        <v>166</v>
      </c>
      <c r="N816" t="s">
        <v>216</v>
      </c>
      <c r="O816" t="s">
        <v>170</v>
      </c>
      <c r="P816">
        <v>1.1015259127401108E-3</v>
      </c>
      <c r="Q816" t="s">
        <v>166</v>
      </c>
    </row>
    <row r="817" spans="9:17" x14ac:dyDescent="0.45">
      <c r="I817" t="s">
        <v>193</v>
      </c>
      <c r="J817" t="s">
        <v>171</v>
      </c>
      <c r="K817">
        <v>7.0856982776918195E-2</v>
      </c>
      <c r="L817" t="s">
        <v>166</v>
      </c>
      <c r="N817" t="s">
        <v>216</v>
      </c>
      <c r="O817" t="s">
        <v>171</v>
      </c>
      <c r="P817">
        <v>1.0170100297443037E-2</v>
      </c>
      <c r="Q817" t="s">
        <v>166</v>
      </c>
    </row>
    <row r="818" spans="9:17" x14ac:dyDescent="0.45">
      <c r="I818" t="s">
        <v>193</v>
      </c>
      <c r="J818" t="s">
        <v>250</v>
      </c>
      <c r="K818">
        <v>6.9773753467948958E-3</v>
      </c>
      <c r="L818" t="s">
        <v>166</v>
      </c>
      <c r="N818" t="s">
        <v>216</v>
      </c>
      <c r="O818" t="s">
        <v>250</v>
      </c>
      <c r="P818">
        <v>2.1225752911533031E-3</v>
      </c>
      <c r="Q818" t="s">
        <v>166</v>
      </c>
    </row>
    <row r="819" spans="9:17" x14ac:dyDescent="0.45">
      <c r="I819" t="s">
        <v>193</v>
      </c>
      <c r="J819" t="s">
        <v>251</v>
      </c>
      <c r="K819">
        <v>4.3364523502311359E-3</v>
      </c>
      <c r="L819" t="s">
        <v>166</v>
      </c>
      <c r="N819" t="s">
        <v>216</v>
      </c>
      <c r="O819" t="s">
        <v>251</v>
      </c>
      <c r="P819">
        <v>2.4831654999251016E-3</v>
      </c>
      <c r="Q819" t="s">
        <v>166</v>
      </c>
    </row>
    <row r="820" spans="9:17" x14ac:dyDescent="0.45">
      <c r="I820" t="s">
        <v>193</v>
      </c>
      <c r="J820" t="s">
        <v>252</v>
      </c>
      <c r="K820">
        <v>5.5811052380983492E-4</v>
      </c>
      <c r="L820" t="s">
        <v>166</v>
      </c>
      <c r="N820" t="s">
        <v>216</v>
      </c>
      <c r="O820" t="s">
        <v>252</v>
      </c>
      <c r="P820">
        <v>1.8258448950012142E-2</v>
      </c>
      <c r="Q820" t="s">
        <v>166</v>
      </c>
    </row>
    <row r="821" spans="9:17" x14ac:dyDescent="0.45">
      <c r="I821" t="s">
        <v>193</v>
      </c>
      <c r="J821" t="s">
        <v>172</v>
      </c>
      <c r="K821">
        <v>1.0633907926251658E-2</v>
      </c>
      <c r="L821" t="s">
        <v>166</v>
      </c>
      <c r="N821" t="s">
        <v>216</v>
      </c>
      <c r="O821" t="s">
        <v>172</v>
      </c>
      <c r="P821">
        <v>3.2535568376932458E-2</v>
      </c>
      <c r="Q821" t="s">
        <v>166</v>
      </c>
    </row>
    <row r="822" spans="9:17" x14ac:dyDescent="0.45">
      <c r="I822" t="s">
        <v>193</v>
      </c>
      <c r="J822" t="s">
        <v>173</v>
      </c>
      <c r="K822">
        <v>8.5130704822760864E-3</v>
      </c>
      <c r="L822" t="s">
        <v>166</v>
      </c>
      <c r="N822" t="s">
        <v>216</v>
      </c>
      <c r="O822" t="s">
        <v>173</v>
      </c>
      <c r="P822">
        <v>3.5598178370122397E-3</v>
      </c>
      <c r="Q822" t="s">
        <v>166</v>
      </c>
    </row>
    <row r="823" spans="9:17" x14ac:dyDescent="0.45">
      <c r="I823" t="s">
        <v>193</v>
      </c>
      <c r="J823" t="s">
        <v>174</v>
      </c>
      <c r="K823">
        <v>7.3873662755052125E-2</v>
      </c>
      <c r="L823" t="s">
        <v>166</v>
      </c>
      <c r="N823" t="s">
        <v>216</v>
      </c>
      <c r="O823" t="s">
        <v>174</v>
      </c>
      <c r="P823">
        <v>2.245156047905629E-2</v>
      </c>
      <c r="Q823" t="s">
        <v>166</v>
      </c>
    </row>
    <row r="824" spans="9:17" x14ac:dyDescent="0.45">
      <c r="I824" t="s">
        <v>193</v>
      </c>
      <c r="J824" t="s">
        <v>253</v>
      </c>
      <c r="K824">
        <v>6.4021008483306089E-3</v>
      </c>
      <c r="L824" t="s">
        <v>166</v>
      </c>
      <c r="N824" t="s">
        <v>216</v>
      </c>
      <c r="O824" t="s">
        <v>253</v>
      </c>
      <c r="P824">
        <v>3.9430658770087858E-3</v>
      </c>
      <c r="Q824" t="s">
        <v>166</v>
      </c>
    </row>
    <row r="825" spans="9:17" x14ac:dyDescent="0.45">
      <c r="I825" t="s">
        <v>193</v>
      </c>
      <c r="J825" t="s">
        <v>254</v>
      </c>
      <c r="K825">
        <v>4.5724006742465777E-3</v>
      </c>
      <c r="L825" t="s">
        <v>166</v>
      </c>
      <c r="N825" t="s">
        <v>216</v>
      </c>
      <c r="O825" t="s">
        <v>254</v>
      </c>
      <c r="P825">
        <v>4.0881734959037162E-3</v>
      </c>
      <c r="Q825" t="s">
        <v>166</v>
      </c>
    </row>
    <row r="826" spans="9:17" x14ac:dyDescent="0.45">
      <c r="I826" t="s">
        <v>193</v>
      </c>
      <c r="J826" t="s">
        <v>255</v>
      </c>
      <c r="K826">
        <v>2.5046313941780355E-3</v>
      </c>
      <c r="L826" t="s">
        <v>166</v>
      </c>
      <c r="N826" t="s">
        <v>216</v>
      </c>
      <c r="O826" t="s">
        <v>255</v>
      </c>
      <c r="P826">
        <v>2.5557247012929159E-2</v>
      </c>
      <c r="Q826" t="s">
        <v>166</v>
      </c>
    </row>
    <row r="827" spans="9:17" x14ac:dyDescent="0.45">
      <c r="I827" t="s">
        <v>193</v>
      </c>
      <c r="J827" t="s">
        <v>256</v>
      </c>
      <c r="K827">
        <v>1.3640128915306039E-2</v>
      </c>
      <c r="L827" t="s">
        <v>166</v>
      </c>
      <c r="N827" t="s">
        <v>216</v>
      </c>
      <c r="O827" t="s">
        <v>256</v>
      </c>
      <c r="P827">
        <v>2.3895169801531422E-2</v>
      </c>
      <c r="Q827" t="s">
        <v>166</v>
      </c>
    </row>
    <row r="828" spans="9:17" x14ac:dyDescent="0.45">
      <c r="I828" t="s">
        <v>193</v>
      </c>
      <c r="J828" t="s">
        <v>257</v>
      </c>
      <c r="K828">
        <v>8.2587217437127079E-3</v>
      </c>
      <c r="L828" t="s">
        <v>166</v>
      </c>
      <c r="N828" t="s">
        <v>216</v>
      </c>
      <c r="O828" t="s">
        <v>257</v>
      </c>
      <c r="P828">
        <v>4.134777374983814E-3</v>
      </c>
      <c r="Q828" t="s">
        <v>166</v>
      </c>
    </row>
    <row r="829" spans="9:17" x14ac:dyDescent="0.45">
      <c r="I829" t="s">
        <v>193</v>
      </c>
      <c r="J829" t="s">
        <v>258</v>
      </c>
      <c r="K829">
        <v>7.0045450176630025E-2</v>
      </c>
      <c r="L829" t="s">
        <v>166</v>
      </c>
      <c r="N829" t="s">
        <v>216</v>
      </c>
      <c r="O829" t="s">
        <v>258</v>
      </c>
      <c r="P829">
        <v>3.3591551023365689E-2</v>
      </c>
      <c r="Q829" t="s">
        <v>166</v>
      </c>
    </row>
    <row r="830" spans="9:17" x14ac:dyDescent="0.45">
      <c r="I830" t="s">
        <v>193</v>
      </c>
      <c r="J830" t="s">
        <v>259</v>
      </c>
      <c r="K830">
        <v>6.5231613307380181E-3</v>
      </c>
      <c r="L830" t="s">
        <v>166</v>
      </c>
      <c r="N830" t="s">
        <v>216</v>
      </c>
      <c r="O830" t="s">
        <v>259</v>
      </c>
      <c r="P830">
        <v>5.1315939100887061E-3</v>
      </c>
      <c r="Q830" t="s">
        <v>166</v>
      </c>
    </row>
    <row r="831" spans="9:17" x14ac:dyDescent="0.45">
      <c r="I831" t="s">
        <v>193</v>
      </c>
      <c r="J831" t="s">
        <v>260</v>
      </c>
      <c r="K831">
        <v>4.8497124468811501E-3</v>
      </c>
      <c r="L831" t="s">
        <v>166</v>
      </c>
      <c r="N831" t="s">
        <v>216</v>
      </c>
      <c r="O831" t="s">
        <v>260</v>
      </c>
      <c r="P831">
        <v>4.4092822837266659E-3</v>
      </c>
      <c r="Q831" t="s">
        <v>166</v>
      </c>
    </row>
    <row r="832" spans="9:17" x14ac:dyDescent="0.45">
      <c r="I832" t="s">
        <v>193</v>
      </c>
      <c r="J832" t="s">
        <v>261</v>
      </c>
      <c r="K832">
        <v>4.8939573614270176E-3</v>
      </c>
      <c r="L832" t="s">
        <v>166</v>
      </c>
      <c r="N832" t="s">
        <v>216</v>
      </c>
      <c r="O832" t="s">
        <v>261</v>
      </c>
      <c r="P832">
        <v>2.0835525109647972E-2</v>
      </c>
      <c r="Q832" t="s">
        <v>166</v>
      </c>
    </row>
    <row r="833" spans="9:17" x14ac:dyDescent="0.45">
      <c r="I833" t="s">
        <v>193</v>
      </c>
      <c r="J833" t="s">
        <v>262</v>
      </c>
      <c r="K833">
        <v>7.250565905249072E-2</v>
      </c>
      <c r="L833" t="s">
        <v>166</v>
      </c>
      <c r="N833" t="s">
        <v>216</v>
      </c>
      <c r="O833" t="s">
        <v>262</v>
      </c>
      <c r="P833">
        <v>9.21197266411692E-2</v>
      </c>
      <c r="Q833" t="s">
        <v>166</v>
      </c>
    </row>
    <row r="834" spans="9:17" x14ac:dyDescent="0.45">
      <c r="I834" t="s">
        <v>193</v>
      </c>
      <c r="J834" t="s">
        <v>263</v>
      </c>
      <c r="K834">
        <v>4.5666757919402542E-2</v>
      </c>
      <c r="L834" t="s">
        <v>166</v>
      </c>
      <c r="N834" t="s">
        <v>216</v>
      </c>
      <c r="O834" t="s">
        <v>263</v>
      </c>
      <c r="P834">
        <v>9.3331536592863446E-3</v>
      </c>
      <c r="Q834" t="s">
        <v>166</v>
      </c>
    </row>
    <row r="835" spans="9:17" x14ac:dyDescent="0.45">
      <c r="I835" t="s">
        <v>193</v>
      </c>
      <c r="J835" t="s">
        <v>264</v>
      </c>
      <c r="K835">
        <v>0.37414694156933326</v>
      </c>
      <c r="L835" t="s">
        <v>166</v>
      </c>
      <c r="N835" t="s">
        <v>216</v>
      </c>
      <c r="O835" t="s">
        <v>264</v>
      </c>
      <c r="P835">
        <v>8.6041857201064262E-2</v>
      </c>
      <c r="Q835" t="s">
        <v>166</v>
      </c>
    </row>
    <row r="836" spans="9:17" x14ac:dyDescent="0.45">
      <c r="I836" t="s">
        <v>193</v>
      </c>
      <c r="J836" t="s">
        <v>265</v>
      </c>
      <c r="K836">
        <v>3.7656423465755949E-2</v>
      </c>
      <c r="L836" t="s">
        <v>166</v>
      </c>
      <c r="N836" t="s">
        <v>216</v>
      </c>
      <c r="O836" t="s">
        <v>265</v>
      </c>
      <c r="P836">
        <v>1.4739348261077308E-2</v>
      </c>
      <c r="Q836" t="s">
        <v>166</v>
      </c>
    </row>
    <row r="837" spans="9:17" x14ac:dyDescent="0.45">
      <c r="I837" t="s">
        <v>193</v>
      </c>
      <c r="J837" t="s">
        <v>266</v>
      </c>
      <c r="K837">
        <v>2.6477101813389272E-2</v>
      </c>
      <c r="L837" t="s">
        <v>166</v>
      </c>
      <c r="N837" t="s">
        <v>216</v>
      </c>
      <c r="O837" t="s">
        <v>266</v>
      </c>
      <c r="P837">
        <v>1.3500717425767968E-2</v>
      </c>
      <c r="Q837" t="s">
        <v>166</v>
      </c>
    </row>
    <row r="838" spans="9:17" x14ac:dyDescent="0.45">
      <c r="I838" t="s">
        <v>193</v>
      </c>
      <c r="J838" t="s">
        <v>267</v>
      </c>
      <c r="K838">
        <v>2.3918511583165707E-2</v>
      </c>
      <c r="L838" t="s">
        <v>166</v>
      </c>
      <c r="N838" t="s">
        <v>216</v>
      </c>
      <c r="O838" t="s">
        <v>267</v>
      </c>
      <c r="P838">
        <v>8.3507487727563667E-2</v>
      </c>
      <c r="Q838" t="s">
        <v>166</v>
      </c>
    </row>
    <row r="839" spans="9:17" x14ac:dyDescent="0.45">
      <c r="I839" t="s">
        <v>193</v>
      </c>
      <c r="J839" t="s">
        <v>268</v>
      </c>
      <c r="K839">
        <v>1.6414150272883363E-5</v>
      </c>
      <c r="L839" t="s">
        <v>166</v>
      </c>
      <c r="N839" t="s">
        <v>216</v>
      </c>
      <c r="O839" t="s">
        <v>268</v>
      </c>
      <c r="P839">
        <v>4.4734256116486293E-2</v>
      </c>
      <c r="Q839" t="s">
        <v>166</v>
      </c>
    </row>
    <row r="840" spans="9:17" x14ac:dyDescent="0.45">
      <c r="I840" t="s">
        <v>193</v>
      </c>
      <c r="J840" t="s">
        <v>269</v>
      </c>
      <c r="K840">
        <v>1.4290313413556355E-3</v>
      </c>
      <c r="L840" t="s">
        <v>166</v>
      </c>
      <c r="N840" t="s">
        <v>216</v>
      </c>
      <c r="O840" t="s">
        <v>269</v>
      </c>
      <c r="P840">
        <v>5.5383511816280706E-3</v>
      </c>
      <c r="Q840" t="s">
        <v>166</v>
      </c>
    </row>
    <row r="841" spans="9:17" x14ac:dyDescent="0.45">
      <c r="I841" t="s">
        <v>193</v>
      </c>
      <c r="J841" t="s">
        <v>270</v>
      </c>
      <c r="K841">
        <v>2.333165088899437E-2</v>
      </c>
      <c r="L841" t="s">
        <v>166</v>
      </c>
      <c r="N841" t="s">
        <v>216</v>
      </c>
      <c r="O841" t="s">
        <v>270</v>
      </c>
      <c r="P841">
        <v>4.8716688202336739E-2</v>
      </c>
      <c r="Q841" t="s">
        <v>166</v>
      </c>
    </row>
    <row r="842" spans="9:17" x14ac:dyDescent="0.45">
      <c r="I842" t="s">
        <v>193</v>
      </c>
      <c r="J842" t="s">
        <v>271</v>
      </c>
      <c r="K842">
        <v>3.0740520874436724E-4</v>
      </c>
      <c r="L842" t="s">
        <v>166</v>
      </c>
      <c r="N842" t="s">
        <v>216</v>
      </c>
      <c r="O842" t="s">
        <v>271</v>
      </c>
      <c r="P842">
        <v>6.7643163294683938E-3</v>
      </c>
      <c r="Q842" t="s">
        <v>166</v>
      </c>
    </row>
    <row r="843" spans="9:17" x14ac:dyDescent="0.45">
      <c r="I843" t="s">
        <v>193</v>
      </c>
      <c r="J843" t="s">
        <v>272</v>
      </c>
      <c r="K843">
        <v>0</v>
      </c>
      <c r="L843" t="s">
        <v>166</v>
      </c>
      <c r="N843" t="s">
        <v>216</v>
      </c>
      <c r="O843" t="s">
        <v>272</v>
      </c>
      <c r="P843">
        <v>6.8823484981919139E-3</v>
      </c>
      <c r="Q843" t="s">
        <v>166</v>
      </c>
    </row>
    <row r="844" spans="9:17" x14ac:dyDescent="0.45">
      <c r="I844" t="s">
        <v>193</v>
      </c>
      <c r="J844" t="s">
        <v>273</v>
      </c>
      <c r="K844">
        <v>0</v>
      </c>
      <c r="L844" t="s">
        <v>166</v>
      </c>
      <c r="N844" t="s">
        <v>216</v>
      </c>
      <c r="O844" t="s">
        <v>273</v>
      </c>
      <c r="P844">
        <v>3.6551048526729829E-2</v>
      </c>
      <c r="Q844" t="s">
        <v>166</v>
      </c>
    </row>
    <row r="845" spans="9:17" x14ac:dyDescent="0.45">
      <c r="I845" t="s">
        <v>193</v>
      </c>
      <c r="J845" t="s">
        <v>274</v>
      </c>
      <c r="K845">
        <v>0</v>
      </c>
      <c r="L845" t="s">
        <v>166</v>
      </c>
      <c r="N845" t="s">
        <v>216</v>
      </c>
      <c r="O845" t="s">
        <v>274</v>
      </c>
      <c r="P845">
        <v>3.0331746297602383E-2</v>
      </c>
      <c r="Q845" t="s">
        <v>166</v>
      </c>
    </row>
    <row r="846" spans="9:17" x14ac:dyDescent="0.45">
      <c r="I846" t="s">
        <v>193</v>
      </c>
      <c r="J846" t="s">
        <v>275</v>
      </c>
      <c r="K846">
        <v>4.5567854418664594E-4</v>
      </c>
      <c r="L846" t="s">
        <v>166</v>
      </c>
      <c r="N846" t="s">
        <v>216</v>
      </c>
      <c r="O846" t="s">
        <v>275</v>
      </c>
      <c r="P846">
        <v>3.4304553752980502E-3</v>
      </c>
      <c r="Q846" t="s">
        <v>166</v>
      </c>
    </row>
    <row r="847" spans="9:17" x14ac:dyDescent="0.45">
      <c r="I847" t="s">
        <v>193</v>
      </c>
      <c r="J847" t="s">
        <v>276</v>
      </c>
      <c r="K847">
        <v>2.1680581641920237E-2</v>
      </c>
      <c r="L847" t="s">
        <v>166</v>
      </c>
      <c r="N847" t="s">
        <v>216</v>
      </c>
      <c r="O847" t="s">
        <v>276</v>
      </c>
      <c r="P847">
        <v>1.9845701703965133E-2</v>
      </c>
      <c r="Q847" t="s">
        <v>166</v>
      </c>
    </row>
    <row r="848" spans="9:17" x14ac:dyDescent="0.45">
      <c r="I848" t="s">
        <v>193</v>
      </c>
      <c r="J848" t="s">
        <v>277</v>
      </c>
      <c r="K848">
        <v>0</v>
      </c>
      <c r="L848" t="s">
        <v>166</v>
      </c>
      <c r="N848" t="s">
        <v>216</v>
      </c>
      <c r="O848" t="s">
        <v>277</v>
      </c>
      <c r="P848">
        <v>3.3275055867577701E-3</v>
      </c>
      <c r="Q848" t="s">
        <v>166</v>
      </c>
    </row>
    <row r="849" spans="9:17" x14ac:dyDescent="0.45">
      <c r="I849" t="s">
        <v>193</v>
      </c>
      <c r="J849" t="s">
        <v>278</v>
      </c>
      <c r="K849">
        <v>0</v>
      </c>
      <c r="L849" t="s">
        <v>166</v>
      </c>
      <c r="N849" t="s">
        <v>216</v>
      </c>
      <c r="O849" t="s">
        <v>278</v>
      </c>
      <c r="P849">
        <v>3.6394110156024355E-3</v>
      </c>
      <c r="Q849" t="s">
        <v>166</v>
      </c>
    </row>
    <row r="850" spans="9:17" x14ac:dyDescent="0.45">
      <c r="I850" t="s">
        <v>193</v>
      </c>
      <c r="J850" t="s">
        <v>279</v>
      </c>
      <c r="K850">
        <v>0</v>
      </c>
      <c r="L850" t="s">
        <v>166</v>
      </c>
      <c r="N850" t="s">
        <v>216</v>
      </c>
      <c r="O850" t="s">
        <v>279</v>
      </c>
      <c r="P850">
        <v>2.5618939483910592E-2</v>
      </c>
      <c r="Q850" t="s">
        <v>166</v>
      </c>
    </row>
    <row r="851" spans="9:17" x14ac:dyDescent="0.45">
      <c r="I851" t="s">
        <v>194</v>
      </c>
      <c r="J851" t="s">
        <v>165</v>
      </c>
      <c r="K851">
        <v>1.1261890510284394E-4</v>
      </c>
      <c r="L851" t="s">
        <v>166</v>
      </c>
      <c r="N851" t="s">
        <v>217</v>
      </c>
      <c r="O851" t="s">
        <v>165</v>
      </c>
      <c r="P851">
        <v>7.0214896685669839E-2</v>
      </c>
      <c r="Q851" t="s">
        <v>166</v>
      </c>
    </row>
    <row r="852" spans="9:17" x14ac:dyDescent="0.45">
      <c r="I852" t="s">
        <v>194</v>
      </c>
      <c r="J852" t="s">
        <v>167</v>
      </c>
      <c r="K852">
        <v>2.573346116565076E-3</v>
      </c>
      <c r="L852" t="s">
        <v>166</v>
      </c>
      <c r="N852" t="s">
        <v>217</v>
      </c>
      <c r="O852" t="s">
        <v>167</v>
      </c>
      <c r="P852">
        <v>8.0246426042915285E-3</v>
      </c>
      <c r="Q852" t="s">
        <v>166</v>
      </c>
    </row>
    <row r="853" spans="9:17" x14ac:dyDescent="0.45">
      <c r="I853" t="s">
        <v>194</v>
      </c>
      <c r="J853" t="s">
        <v>168</v>
      </c>
      <c r="K853">
        <v>5.4320886427606116E-2</v>
      </c>
      <c r="L853" t="s">
        <v>166</v>
      </c>
      <c r="N853" t="s">
        <v>217</v>
      </c>
      <c r="O853" t="s">
        <v>168</v>
      </c>
      <c r="P853">
        <v>5.0842550141556128E-2</v>
      </c>
      <c r="Q853" t="s">
        <v>166</v>
      </c>
    </row>
    <row r="854" spans="9:17" x14ac:dyDescent="0.45">
      <c r="I854" t="s">
        <v>194</v>
      </c>
      <c r="J854" t="s">
        <v>247</v>
      </c>
      <c r="K854">
        <v>3.4228420935991407E-3</v>
      </c>
      <c r="L854" t="s">
        <v>166</v>
      </c>
      <c r="N854" t="s">
        <v>217</v>
      </c>
      <c r="O854" t="s">
        <v>247</v>
      </c>
      <c r="P854">
        <v>8.2075111696269087E-3</v>
      </c>
      <c r="Q854" t="s">
        <v>166</v>
      </c>
    </row>
    <row r="855" spans="9:17" x14ac:dyDescent="0.45">
      <c r="I855" t="s">
        <v>194</v>
      </c>
      <c r="J855" t="s">
        <v>248</v>
      </c>
      <c r="K855">
        <v>5.5312532158349823E-4</v>
      </c>
      <c r="L855" t="s">
        <v>166</v>
      </c>
      <c r="N855" t="s">
        <v>217</v>
      </c>
      <c r="O855" t="s">
        <v>248</v>
      </c>
      <c r="P855">
        <v>8.7860682726194905E-3</v>
      </c>
      <c r="Q855" t="s">
        <v>166</v>
      </c>
    </row>
    <row r="856" spans="9:17" x14ac:dyDescent="0.45">
      <c r="I856" t="s">
        <v>194</v>
      </c>
      <c r="J856" t="s">
        <v>249</v>
      </c>
      <c r="K856">
        <v>0</v>
      </c>
      <c r="L856" t="s">
        <v>166</v>
      </c>
      <c r="N856" t="s">
        <v>217</v>
      </c>
      <c r="O856" t="s">
        <v>249</v>
      </c>
      <c r="P856">
        <v>5.860658683551654E-2</v>
      </c>
      <c r="Q856" t="s">
        <v>166</v>
      </c>
    </row>
    <row r="857" spans="9:17" x14ac:dyDescent="0.45">
      <c r="I857" t="s">
        <v>194</v>
      </c>
      <c r="J857" t="s">
        <v>169</v>
      </c>
      <c r="K857">
        <v>5.9187369110224528E-3</v>
      </c>
      <c r="L857" t="s">
        <v>166</v>
      </c>
      <c r="N857" t="s">
        <v>217</v>
      </c>
      <c r="O857" t="s">
        <v>169</v>
      </c>
      <c r="P857">
        <v>2.3141224451905397E-2</v>
      </c>
      <c r="Q857" t="s">
        <v>166</v>
      </c>
    </row>
    <row r="858" spans="9:17" x14ac:dyDescent="0.45">
      <c r="I858" t="s">
        <v>194</v>
      </c>
      <c r="J858" t="s">
        <v>170</v>
      </c>
      <c r="K858">
        <v>7.4811203043182468E-3</v>
      </c>
      <c r="L858" t="s">
        <v>166</v>
      </c>
      <c r="N858" t="s">
        <v>217</v>
      </c>
      <c r="O858" t="s">
        <v>170</v>
      </c>
      <c r="P858">
        <v>2.0312041319495845E-3</v>
      </c>
      <c r="Q858" t="s">
        <v>166</v>
      </c>
    </row>
    <row r="859" spans="9:17" x14ac:dyDescent="0.45">
      <c r="I859" t="s">
        <v>194</v>
      </c>
      <c r="J859" t="s">
        <v>171</v>
      </c>
      <c r="K859">
        <v>7.1665823126498593E-2</v>
      </c>
      <c r="L859" t="s">
        <v>166</v>
      </c>
      <c r="N859" t="s">
        <v>217</v>
      </c>
      <c r="O859" t="s">
        <v>171</v>
      </c>
      <c r="P859">
        <v>1.391393858304411E-2</v>
      </c>
      <c r="Q859" t="s">
        <v>166</v>
      </c>
    </row>
    <row r="860" spans="9:17" x14ac:dyDescent="0.45">
      <c r="I860" t="s">
        <v>194</v>
      </c>
      <c r="J860" t="s">
        <v>250</v>
      </c>
      <c r="K860">
        <v>7.2097167691172288E-3</v>
      </c>
      <c r="L860" t="s">
        <v>166</v>
      </c>
      <c r="N860" t="s">
        <v>217</v>
      </c>
      <c r="O860" t="s">
        <v>250</v>
      </c>
      <c r="P860">
        <v>2.5633625933313528E-3</v>
      </c>
      <c r="Q860" t="s">
        <v>166</v>
      </c>
    </row>
    <row r="861" spans="9:17" x14ac:dyDescent="0.45">
      <c r="I861" t="s">
        <v>194</v>
      </c>
      <c r="J861" t="s">
        <v>251</v>
      </c>
      <c r="K861">
        <v>4.5662988202681025E-3</v>
      </c>
      <c r="L861" t="s">
        <v>166</v>
      </c>
      <c r="N861" t="s">
        <v>217</v>
      </c>
      <c r="O861" t="s">
        <v>251</v>
      </c>
      <c r="P861">
        <v>3.1942900096425587E-3</v>
      </c>
      <c r="Q861" t="s">
        <v>166</v>
      </c>
    </row>
    <row r="862" spans="9:17" x14ac:dyDescent="0.45">
      <c r="I862" t="s">
        <v>194</v>
      </c>
      <c r="J862" t="s">
        <v>252</v>
      </c>
      <c r="K862">
        <v>1.1016761845607768E-3</v>
      </c>
      <c r="L862" t="s">
        <v>166</v>
      </c>
      <c r="N862" t="s">
        <v>217</v>
      </c>
      <c r="O862" t="s">
        <v>252</v>
      </c>
      <c r="P862">
        <v>2.3295966401993967E-2</v>
      </c>
      <c r="Q862" t="s">
        <v>166</v>
      </c>
    </row>
    <row r="863" spans="9:17" x14ac:dyDescent="0.45">
      <c r="I863" t="s">
        <v>194</v>
      </c>
      <c r="J863" t="s">
        <v>172</v>
      </c>
      <c r="K863">
        <v>1.2664982440155863E-2</v>
      </c>
      <c r="L863" t="s">
        <v>166</v>
      </c>
      <c r="N863" t="s">
        <v>217</v>
      </c>
      <c r="O863" t="s">
        <v>172</v>
      </c>
      <c r="P863">
        <v>3.7755413950735173E-2</v>
      </c>
      <c r="Q863" t="s">
        <v>166</v>
      </c>
    </row>
    <row r="864" spans="9:17" x14ac:dyDescent="0.45">
      <c r="I864" t="s">
        <v>194</v>
      </c>
      <c r="J864" t="s">
        <v>173</v>
      </c>
      <c r="K864">
        <v>8.9220822411395732E-3</v>
      </c>
      <c r="L864" t="s">
        <v>166</v>
      </c>
      <c r="N864" t="s">
        <v>217</v>
      </c>
      <c r="O864" t="s">
        <v>173</v>
      </c>
      <c r="P864">
        <v>3.8173577934657505E-3</v>
      </c>
      <c r="Q864" t="s">
        <v>166</v>
      </c>
    </row>
    <row r="865" spans="9:17" x14ac:dyDescent="0.45">
      <c r="I865" t="s">
        <v>194</v>
      </c>
      <c r="J865" t="s">
        <v>174</v>
      </c>
      <c r="K865">
        <v>7.7447197580270716E-2</v>
      </c>
      <c r="L865" t="s">
        <v>166</v>
      </c>
      <c r="N865" t="s">
        <v>217</v>
      </c>
      <c r="O865" t="s">
        <v>174</v>
      </c>
      <c r="P865">
        <v>2.2812669801034184E-2</v>
      </c>
      <c r="Q865" t="s">
        <v>166</v>
      </c>
    </row>
    <row r="866" spans="9:17" x14ac:dyDescent="0.45">
      <c r="I866" t="s">
        <v>194</v>
      </c>
      <c r="J866" t="s">
        <v>253</v>
      </c>
      <c r="K866">
        <v>7.5084797707071554E-3</v>
      </c>
      <c r="L866" t="s">
        <v>166</v>
      </c>
      <c r="N866" t="s">
        <v>217</v>
      </c>
      <c r="O866" t="s">
        <v>253</v>
      </c>
      <c r="P866">
        <v>3.2677064963204058E-3</v>
      </c>
      <c r="Q866" t="s">
        <v>166</v>
      </c>
    </row>
    <row r="867" spans="9:17" x14ac:dyDescent="0.45">
      <c r="I867" t="s">
        <v>194</v>
      </c>
      <c r="J867" t="s">
        <v>254</v>
      </c>
      <c r="K867">
        <v>5.5167438078399852E-3</v>
      </c>
      <c r="L867" t="s">
        <v>166</v>
      </c>
      <c r="N867" t="s">
        <v>217</v>
      </c>
      <c r="O867" t="s">
        <v>254</v>
      </c>
      <c r="P867">
        <v>3.2437522231636125E-3</v>
      </c>
      <c r="Q867" t="s">
        <v>166</v>
      </c>
    </row>
    <row r="868" spans="9:17" x14ac:dyDescent="0.45">
      <c r="I868" t="s">
        <v>194</v>
      </c>
      <c r="J868" t="s">
        <v>255</v>
      </c>
      <c r="K868">
        <v>3.2521974182625865E-3</v>
      </c>
      <c r="L868" t="s">
        <v>166</v>
      </c>
      <c r="N868" t="s">
        <v>217</v>
      </c>
      <c r="O868" t="s">
        <v>255</v>
      </c>
      <c r="P868">
        <v>2.5739366847334726E-2</v>
      </c>
      <c r="Q868" t="s">
        <v>166</v>
      </c>
    </row>
    <row r="869" spans="9:17" x14ac:dyDescent="0.45">
      <c r="I869" t="s">
        <v>194</v>
      </c>
      <c r="J869" t="s">
        <v>256</v>
      </c>
      <c r="K869">
        <v>1.4458616468001118E-2</v>
      </c>
      <c r="L869" t="s">
        <v>166</v>
      </c>
      <c r="N869" t="s">
        <v>217</v>
      </c>
      <c r="O869" t="s">
        <v>256</v>
      </c>
      <c r="P869">
        <v>2.8474997176215617E-2</v>
      </c>
      <c r="Q869" t="s">
        <v>166</v>
      </c>
    </row>
    <row r="870" spans="9:17" x14ac:dyDescent="0.45">
      <c r="I870" t="s">
        <v>194</v>
      </c>
      <c r="J870" t="s">
        <v>257</v>
      </c>
      <c r="K870">
        <v>8.8991327491626318E-3</v>
      </c>
      <c r="L870" t="s">
        <v>166</v>
      </c>
      <c r="N870" t="s">
        <v>217</v>
      </c>
      <c r="O870" t="s">
        <v>257</v>
      </c>
      <c r="P870">
        <v>4.0783841653042781E-3</v>
      </c>
      <c r="Q870" t="s">
        <v>166</v>
      </c>
    </row>
    <row r="871" spans="9:17" x14ac:dyDescent="0.45">
      <c r="I871" t="s">
        <v>194</v>
      </c>
      <c r="J871" t="s">
        <v>258</v>
      </c>
      <c r="K871">
        <v>7.2830462628109854E-2</v>
      </c>
      <c r="L871" t="s">
        <v>166</v>
      </c>
      <c r="N871" t="s">
        <v>217</v>
      </c>
      <c r="O871" t="s">
        <v>258</v>
      </c>
      <c r="P871">
        <v>2.2447853514052221E-2</v>
      </c>
      <c r="Q871" t="s">
        <v>166</v>
      </c>
    </row>
    <row r="872" spans="9:17" x14ac:dyDescent="0.45">
      <c r="I872" t="s">
        <v>194</v>
      </c>
      <c r="J872" t="s">
        <v>259</v>
      </c>
      <c r="K872">
        <v>6.8710392240454443E-3</v>
      </c>
      <c r="L872" t="s">
        <v>166</v>
      </c>
      <c r="N872" t="s">
        <v>217</v>
      </c>
      <c r="O872" t="s">
        <v>259</v>
      </c>
      <c r="P872">
        <v>3.2916460760247452E-3</v>
      </c>
      <c r="Q872" t="s">
        <v>166</v>
      </c>
    </row>
    <row r="873" spans="9:17" x14ac:dyDescent="0.45">
      <c r="I873" t="s">
        <v>194</v>
      </c>
      <c r="J873" t="s">
        <v>260</v>
      </c>
      <c r="K873">
        <v>5.0542449477307544E-3</v>
      </c>
      <c r="L873" t="s">
        <v>166</v>
      </c>
      <c r="N873" t="s">
        <v>217</v>
      </c>
      <c r="O873" t="s">
        <v>260</v>
      </c>
      <c r="P873">
        <v>3.207262120757514E-3</v>
      </c>
      <c r="Q873" t="s">
        <v>166</v>
      </c>
    </row>
    <row r="874" spans="9:17" x14ac:dyDescent="0.45">
      <c r="I874" t="s">
        <v>194</v>
      </c>
      <c r="J874" t="s">
        <v>261</v>
      </c>
      <c r="K874">
        <v>5.5173683135085741E-3</v>
      </c>
      <c r="L874" t="s">
        <v>166</v>
      </c>
      <c r="N874" t="s">
        <v>217</v>
      </c>
      <c r="O874" t="s">
        <v>261</v>
      </c>
      <c r="P874">
        <v>2.0674210846287257E-2</v>
      </c>
      <c r="Q874" t="s">
        <v>166</v>
      </c>
    </row>
    <row r="875" spans="9:17" x14ac:dyDescent="0.45">
      <c r="I875" t="s">
        <v>194</v>
      </c>
      <c r="J875" t="s">
        <v>262</v>
      </c>
      <c r="K875">
        <v>6.5359594595765749E-2</v>
      </c>
      <c r="L875" t="s">
        <v>166</v>
      </c>
      <c r="N875" t="s">
        <v>217</v>
      </c>
      <c r="O875" t="s">
        <v>262</v>
      </c>
      <c r="P875">
        <v>0.1102362074659584</v>
      </c>
      <c r="Q875" t="s">
        <v>166</v>
      </c>
    </row>
    <row r="876" spans="9:17" x14ac:dyDescent="0.45">
      <c r="I876" t="s">
        <v>194</v>
      </c>
      <c r="J876" t="s">
        <v>263</v>
      </c>
      <c r="K876">
        <v>4.3655308446528762E-2</v>
      </c>
      <c r="L876" t="s">
        <v>166</v>
      </c>
      <c r="N876" t="s">
        <v>217</v>
      </c>
      <c r="O876" t="s">
        <v>263</v>
      </c>
      <c r="P876">
        <v>1.0535226830274743E-2</v>
      </c>
      <c r="Q876" t="s">
        <v>166</v>
      </c>
    </row>
    <row r="877" spans="9:17" x14ac:dyDescent="0.45">
      <c r="I877" t="s">
        <v>194</v>
      </c>
      <c r="J877" t="s">
        <v>264</v>
      </c>
      <c r="K877">
        <v>0.36537448824535956</v>
      </c>
      <c r="L877" t="s">
        <v>166</v>
      </c>
      <c r="N877" t="s">
        <v>217</v>
      </c>
      <c r="O877" t="s">
        <v>264</v>
      </c>
      <c r="P877">
        <v>7.7816571757802794E-2</v>
      </c>
      <c r="Q877" t="s">
        <v>166</v>
      </c>
    </row>
    <row r="878" spans="9:17" x14ac:dyDescent="0.45">
      <c r="I878" t="s">
        <v>194</v>
      </c>
      <c r="J878" t="s">
        <v>265</v>
      </c>
      <c r="K878">
        <v>3.809158760398923E-2</v>
      </c>
      <c r="L878" t="s">
        <v>166</v>
      </c>
      <c r="N878" t="s">
        <v>217</v>
      </c>
      <c r="O878" t="s">
        <v>265</v>
      </c>
      <c r="P878">
        <v>1.2856772311542914E-2</v>
      </c>
      <c r="Q878" t="s">
        <v>166</v>
      </c>
    </row>
    <row r="879" spans="9:17" x14ac:dyDescent="0.45">
      <c r="I879" t="s">
        <v>194</v>
      </c>
      <c r="J879" t="s">
        <v>266</v>
      </c>
      <c r="K879">
        <v>2.7107688333779464E-2</v>
      </c>
      <c r="L879" t="s">
        <v>166</v>
      </c>
      <c r="N879" t="s">
        <v>217</v>
      </c>
      <c r="O879" t="s">
        <v>266</v>
      </c>
      <c r="P879">
        <v>1.3061378614828811E-2</v>
      </c>
      <c r="Q879" t="s">
        <v>166</v>
      </c>
    </row>
    <row r="880" spans="9:17" x14ac:dyDescent="0.45">
      <c r="I880" t="s">
        <v>194</v>
      </c>
      <c r="J880" t="s">
        <v>267</v>
      </c>
      <c r="K880">
        <v>2.6883946690709374E-2</v>
      </c>
      <c r="L880" t="s">
        <v>166</v>
      </c>
      <c r="N880" t="s">
        <v>217</v>
      </c>
      <c r="O880" t="s">
        <v>267</v>
      </c>
      <c r="P880">
        <v>9.3543062507369587E-2</v>
      </c>
      <c r="Q880" t="s">
        <v>166</v>
      </c>
    </row>
    <row r="881" spans="9:17" x14ac:dyDescent="0.45">
      <c r="I881" t="s">
        <v>194</v>
      </c>
      <c r="J881" t="s">
        <v>268</v>
      </c>
      <c r="K881">
        <v>1.1788274172176662E-6</v>
      </c>
      <c r="L881" t="s">
        <v>166</v>
      </c>
      <c r="N881" t="s">
        <v>217</v>
      </c>
      <c r="O881" t="s">
        <v>268</v>
      </c>
      <c r="P881">
        <v>4.1164978258263492E-2</v>
      </c>
      <c r="Q881" t="s">
        <v>166</v>
      </c>
    </row>
    <row r="882" spans="9:17" x14ac:dyDescent="0.45">
      <c r="I882" t="s">
        <v>194</v>
      </c>
      <c r="J882" t="s">
        <v>269</v>
      </c>
      <c r="K882">
        <v>1.8481404751310054E-3</v>
      </c>
      <c r="L882" t="s">
        <v>166</v>
      </c>
      <c r="N882" t="s">
        <v>217</v>
      </c>
      <c r="O882" t="s">
        <v>269</v>
      </c>
      <c r="P882">
        <v>4.6636203319717073E-3</v>
      </c>
      <c r="Q882" t="s">
        <v>166</v>
      </c>
    </row>
    <row r="883" spans="9:17" x14ac:dyDescent="0.45">
      <c r="I883" t="s">
        <v>194</v>
      </c>
      <c r="J883" t="s">
        <v>270</v>
      </c>
      <c r="K883">
        <v>2.6019311494603729E-2</v>
      </c>
      <c r="L883" t="s">
        <v>166</v>
      </c>
      <c r="N883" t="s">
        <v>217</v>
      </c>
      <c r="O883" t="s">
        <v>270</v>
      </c>
      <c r="P883">
        <v>3.2923886100221955E-2</v>
      </c>
      <c r="Q883" t="s">
        <v>166</v>
      </c>
    </row>
    <row r="884" spans="9:17" x14ac:dyDescent="0.45">
      <c r="I884" t="s">
        <v>194</v>
      </c>
      <c r="J884" t="s">
        <v>271</v>
      </c>
      <c r="K884">
        <v>2.4181260596745042E-4</v>
      </c>
      <c r="L884" t="s">
        <v>166</v>
      </c>
      <c r="N884" t="s">
        <v>217</v>
      </c>
      <c r="O884" t="s">
        <v>271</v>
      </c>
      <c r="P884">
        <v>5.8148776358983804E-3</v>
      </c>
      <c r="Q884" t="s">
        <v>166</v>
      </c>
    </row>
    <row r="885" spans="9:17" x14ac:dyDescent="0.45">
      <c r="I885" t="s">
        <v>194</v>
      </c>
      <c r="J885" t="s">
        <v>272</v>
      </c>
      <c r="K885">
        <v>0</v>
      </c>
      <c r="L885" t="s">
        <v>166</v>
      </c>
      <c r="N885" t="s">
        <v>217</v>
      </c>
      <c r="O885" t="s">
        <v>272</v>
      </c>
      <c r="P885">
        <v>5.9543655966953334E-3</v>
      </c>
      <c r="Q885" t="s">
        <v>166</v>
      </c>
    </row>
    <row r="886" spans="9:17" x14ac:dyDescent="0.45">
      <c r="I886" t="s">
        <v>194</v>
      </c>
      <c r="J886" t="s">
        <v>273</v>
      </c>
      <c r="K886">
        <v>0</v>
      </c>
      <c r="L886" t="s">
        <v>166</v>
      </c>
      <c r="N886" t="s">
        <v>217</v>
      </c>
      <c r="O886" t="s">
        <v>273</v>
      </c>
      <c r="P886">
        <v>3.5138045442544112E-2</v>
      </c>
      <c r="Q886" t="s">
        <v>166</v>
      </c>
    </row>
    <row r="887" spans="9:17" x14ac:dyDescent="0.45">
      <c r="I887" t="s">
        <v>194</v>
      </c>
      <c r="J887" t="s">
        <v>274</v>
      </c>
      <c r="K887">
        <v>0</v>
      </c>
      <c r="L887" t="s">
        <v>166</v>
      </c>
      <c r="N887" t="s">
        <v>217</v>
      </c>
      <c r="O887" t="s">
        <v>274</v>
      </c>
      <c r="P887">
        <v>3.7647924774776784E-2</v>
      </c>
      <c r="Q887" t="s">
        <v>166</v>
      </c>
    </row>
    <row r="888" spans="9:17" x14ac:dyDescent="0.45">
      <c r="I888" t="s">
        <v>194</v>
      </c>
      <c r="J888" t="s">
        <v>275</v>
      </c>
      <c r="K888">
        <v>4.7891502918754018E-5</v>
      </c>
      <c r="L888" t="s">
        <v>166</v>
      </c>
      <c r="N888" t="s">
        <v>217</v>
      </c>
      <c r="O888" t="s">
        <v>275</v>
      </c>
      <c r="P888">
        <v>4.269343791721239E-3</v>
      </c>
      <c r="Q888" t="s">
        <v>166</v>
      </c>
    </row>
    <row r="889" spans="9:17" x14ac:dyDescent="0.45">
      <c r="I889" t="s">
        <v>194</v>
      </c>
      <c r="J889" t="s">
        <v>276</v>
      </c>
      <c r="K889">
        <v>1.7500312608654891E-2</v>
      </c>
      <c r="L889" t="s">
        <v>166</v>
      </c>
      <c r="N889" t="s">
        <v>217</v>
      </c>
      <c r="O889" t="s">
        <v>276</v>
      </c>
      <c r="P889">
        <v>2.5382131918513597E-2</v>
      </c>
      <c r="Q889" t="s">
        <v>166</v>
      </c>
    </row>
    <row r="890" spans="9:17" x14ac:dyDescent="0.45">
      <c r="I890" t="s">
        <v>194</v>
      </c>
      <c r="J890" t="s">
        <v>277</v>
      </c>
      <c r="K890">
        <v>0</v>
      </c>
      <c r="L890" t="s">
        <v>166</v>
      </c>
      <c r="N890" t="s">
        <v>217</v>
      </c>
      <c r="O890" t="s">
        <v>277</v>
      </c>
      <c r="P890">
        <v>4.388642331185604E-3</v>
      </c>
      <c r="Q890" t="s">
        <v>166</v>
      </c>
    </row>
    <row r="891" spans="9:17" x14ac:dyDescent="0.45">
      <c r="I891" t="s">
        <v>194</v>
      </c>
      <c r="J891" t="s">
        <v>278</v>
      </c>
      <c r="K891">
        <v>0</v>
      </c>
      <c r="L891" t="s">
        <v>166</v>
      </c>
      <c r="N891" t="s">
        <v>217</v>
      </c>
      <c r="O891" t="s">
        <v>278</v>
      </c>
      <c r="P891">
        <v>4.4036827738773866E-3</v>
      </c>
      <c r="Q891" t="s">
        <v>166</v>
      </c>
    </row>
    <row r="892" spans="9:17" x14ac:dyDescent="0.45">
      <c r="I892" t="s">
        <v>194</v>
      </c>
      <c r="J892" t="s">
        <v>279</v>
      </c>
      <c r="K892">
        <v>0</v>
      </c>
      <c r="L892" t="s">
        <v>166</v>
      </c>
      <c r="N892" t="s">
        <v>217</v>
      </c>
      <c r="O892" t="s">
        <v>279</v>
      </c>
      <c r="P892">
        <v>2.8566418664713648E-2</v>
      </c>
      <c r="Q892" t="s">
        <v>166</v>
      </c>
    </row>
    <row r="893" spans="9:17" x14ac:dyDescent="0.45">
      <c r="I893" t="s">
        <v>195</v>
      </c>
      <c r="J893" t="s">
        <v>165</v>
      </c>
      <c r="K893">
        <v>0</v>
      </c>
      <c r="L893" t="s">
        <v>166</v>
      </c>
      <c r="N893" t="s">
        <v>218</v>
      </c>
      <c r="O893" t="s">
        <v>165</v>
      </c>
      <c r="P893">
        <v>6.5979202293318689E-2</v>
      </c>
      <c r="Q893" t="s">
        <v>166</v>
      </c>
    </row>
    <row r="894" spans="9:17" x14ac:dyDescent="0.45">
      <c r="I894" t="s">
        <v>195</v>
      </c>
      <c r="J894" t="s">
        <v>167</v>
      </c>
      <c r="K894">
        <v>2.4989772625606103E-3</v>
      </c>
      <c r="L894" t="s">
        <v>166</v>
      </c>
      <c r="N894" t="s">
        <v>218</v>
      </c>
      <c r="O894" t="s">
        <v>167</v>
      </c>
      <c r="P894">
        <v>8.5182928457146773E-3</v>
      </c>
      <c r="Q894" t="s">
        <v>166</v>
      </c>
    </row>
    <row r="895" spans="9:17" x14ac:dyDescent="0.45">
      <c r="I895" t="s">
        <v>195</v>
      </c>
      <c r="J895" t="s">
        <v>168</v>
      </c>
      <c r="K895">
        <v>6.0627935951372509E-2</v>
      </c>
      <c r="L895" t="s">
        <v>166</v>
      </c>
      <c r="N895" t="s">
        <v>218</v>
      </c>
      <c r="O895" t="s">
        <v>168</v>
      </c>
      <c r="P895">
        <v>5.383696511728376E-2</v>
      </c>
      <c r="Q895" t="s">
        <v>166</v>
      </c>
    </row>
    <row r="896" spans="9:17" x14ac:dyDescent="0.45">
      <c r="I896" t="s">
        <v>195</v>
      </c>
      <c r="J896" t="s">
        <v>247</v>
      </c>
      <c r="K896">
        <v>4.2442046610772239E-3</v>
      </c>
      <c r="L896" t="s">
        <v>166</v>
      </c>
      <c r="N896" t="s">
        <v>218</v>
      </c>
      <c r="O896" t="s">
        <v>247</v>
      </c>
      <c r="P896">
        <v>8.0549776186895593E-3</v>
      </c>
      <c r="Q896" t="s">
        <v>166</v>
      </c>
    </row>
    <row r="897" spans="9:17" x14ac:dyDescent="0.45">
      <c r="I897" t="s">
        <v>195</v>
      </c>
      <c r="J897" t="s">
        <v>248</v>
      </c>
      <c r="K897">
        <v>6.2205609793274563E-4</v>
      </c>
      <c r="L897" t="s">
        <v>166</v>
      </c>
      <c r="N897" t="s">
        <v>218</v>
      </c>
      <c r="O897" t="s">
        <v>248</v>
      </c>
      <c r="P897">
        <v>8.3239997772295415E-3</v>
      </c>
      <c r="Q897" t="s">
        <v>166</v>
      </c>
    </row>
    <row r="898" spans="9:17" x14ac:dyDescent="0.45">
      <c r="I898" t="s">
        <v>195</v>
      </c>
      <c r="J898" t="s">
        <v>249</v>
      </c>
      <c r="K898">
        <v>0</v>
      </c>
      <c r="L898" t="s">
        <v>166</v>
      </c>
      <c r="N898" t="s">
        <v>218</v>
      </c>
      <c r="O898" t="s">
        <v>249</v>
      </c>
      <c r="P898">
        <v>5.155059553828148E-2</v>
      </c>
      <c r="Q898" t="s">
        <v>166</v>
      </c>
    </row>
    <row r="899" spans="9:17" x14ac:dyDescent="0.45">
      <c r="I899" t="s">
        <v>195</v>
      </c>
      <c r="J899" t="s">
        <v>169</v>
      </c>
      <c r="K899">
        <v>4.9789525970101653E-3</v>
      </c>
      <c r="L899" t="s">
        <v>166</v>
      </c>
      <c r="N899" t="s">
        <v>218</v>
      </c>
      <c r="O899" t="s">
        <v>169</v>
      </c>
      <c r="P899">
        <v>1.9059638108724377E-2</v>
      </c>
      <c r="Q899" t="s">
        <v>166</v>
      </c>
    </row>
    <row r="900" spans="9:17" x14ac:dyDescent="0.45">
      <c r="I900" t="s">
        <v>195</v>
      </c>
      <c r="J900" t="s">
        <v>170</v>
      </c>
      <c r="K900">
        <v>7.6926111988058011E-3</v>
      </c>
      <c r="L900" t="s">
        <v>166</v>
      </c>
      <c r="N900" t="s">
        <v>218</v>
      </c>
      <c r="O900" t="s">
        <v>170</v>
      </c>
      <c r="P900">
        <v>2.0236750369853826E-3</v>
      </c>
      <c r="Q900" t="s">
        <v>166</v>
      </c>
    </row>
    <row r="901" spans="9:17" x14ac:dyDescent="0.45">
      <c r="I901" t="s">
        <v>195</v>
      </c>
      <c r="J901" t="s">
        <v>171</v>
      </c>
      <c r="K901">
        <v>7.0431961661494291E-2</v>
      </c>
      <c r="L901" t="s">
        <v>166</v>
      </c>
      <c r="N901" t="s">
        <v>218</v>
      </c>
      <c r="O901" t="s">
        <v>171</v>
      </c>
      <c r="P901">
        <v>1.2668504515352034E-2</v>
      </c>
      <c r="Q901" t="s">
        <v>166</v>
      </c>
    </row>
    <row r="902" spans="9:17" x14ac:dyDescent="0.45">
      <c r="I902" t="s">
        <v>195</v>
      </c>
      <c r="J902" t="s">
        <v>250</v>
      </c>
      <c r="K902">
        <v>6.7314400127188876E-3</v>
      </c>
      <c r="L902" t="s">
        <v>166</v>
      </c>
      <c r="N902" t="s">
        <v>218</v>
      </c>
      <c r="O902" t="s">
        <v>250</v>
      </c>
      <c r="P902">
        <v>2.4336670104673631E-3</v>
      </c>
      <c r="Q902" t="s">
        <v>166</v>
      </c>
    </row>
    <row r="903" spans="9:17" x14ac:dyDescent="0.45">
      <c r="I903" t="s">
        <v>195</v>
      </c>
      <c r="J903" t="s">
        <v>251</v>
      </c>
      <c r="K903">
        <v>4.323263649213047E-3</v>
      </c>
      <c r="L903" t="s">
        <v>166</v>
      </c>
      <c r="N903" t="s">
        <v>218</v>
      </c>
      <c r="O903" t="s">
        <v>251</v>
      </c>
      <c r="P903">
        <v>2.6835214020877567E-3</v>
      </c>
      <c r="Q903" t="s">
        <v>166</v>
      </c>
    </row>
    <row r="904" spans="9:17" x14ac:dyDescent="0.45">
      <c r="I904" t="s">
        <v>195</v>
      </c>
      <c r="J904" t="s">
        <v>252</v>
      </c>
      <c r="K904">
        <v>1.3785691118148897E-3</v>
      </c>
      <c r="L904" t="s">
        <v>166</v>
      </c>
      <c r="N904" t="s">
        <v>218</v>
      </c>
      <c r="O904" t="s">
        <v>252</v>
      </c>
      <c r="P904">
        <v>1.8966040811961907E-2</v>
      </c>
      <c r="Q904" t="s">
        <v>166</v>
      </c>
    </row>
    <row r="905" spans="9:17" x14ac:dyDescent="0.45">
      <c r="I905" t="s">
        <v>195</v>
      </c>
      <c r="J905" t="s">
        <v>172</v>
      </c>
      <c r="K905">
        <v>1.2203480011631719E-2</v>
      </c>
      <c r="L905" t="s">
        <v>166</v>
      </c>
      <c r="N905" t="s">
        <v>218</v>
      </c>
      <c r="O905" t="s">
        <v>172</v>
      </c>
      <c r="P905">
        <v>3.458222892655051E-2</v>
      </c>
      <c r="Q905" t="s">
        <v>166</v>
      </c>
    </row>
    <row r="906" spans="9:17" x14ac:dyDescent="0.45">
      <c r="I906" t="s">
        <v>195</v>
      </c>
      <c r="J906" t="s">
        <v>173</v>
      </c>
      <c r="K906">
        <v>9.5501058025408703E-3</v>
      </c>
      <c r="L906" t="s">
        <v>166</v>
      </c>
      <c r="N906" t="s">
        <v>218</v>
      </c>
      <c r="O906" t="s">
        <v>173</v>
      </c>
      <c r="P906">
        <v>4.0376398636780067E-3</v>
      </c>
      <c r="Q906" t="s">
        <v>166</v>
      </c>
    </row>
    <row r="907" spans="9:17" x14ac:dyDescent="0.45">
      <c r="I907" t="s">
        <v>195</v>
      </c>
      <c r="J907" t="s">
        <v>174</v>
      </c>
      <c r="K907">
        <v>7.4775984558800621E-2</v>
      </c>
      <c r="L907" t="s">
        <v>166</v>
      </c>
      <c r="N907" t="s">
        <v>218</v>
      </c>
      <c r="O907" t="s">
        <v>174</v>
      </c>
      <c r="P907">
        <v>2.3714124312093184E-2</v>
      </c>
      <c r="Q907" t="s">
        <v>166</v>
      </c>
    </row>
    <row r="908" spans="9:17" x14ac:dyDescent="0.45">
      <c r="I908" t="s">
        <v>195</v>
      </c>
      <c r="J908" t="s">
        <v>253</v>
      </c>
      <c r="K908">
        <v>7.527752059744844E-3</v>
      </c>
      <c r="L908" t="s">
        <v>166</v>
      </c>
      <c r="N908" t="s">
        <v>218</v>
      </c>
      <c r="O908" t="s">
        <v>253</v>
      </c>
      <c r="P908">
        <v>3.7125385940984896E-3</v>
      </c>
      <c r="Q908" t="s">
        <v>166</v>
      </c>
    </row>
    <row r="909" spans="9:17" x14ac:dyDescent="0.45">
      <c r="I909" t="s">
        <v>195</v>
      </c>
      <c r="J909" t="s">
        <v>254</v>
      </c>
      <c r="K909">
        <v>5.7944883961665271E-3</v>
      </c>
      <c r="L909" t="s">
        <v>166</v>
      </c>
      <c r="N909" t="s">
        <v>218</v>
      </c>
      <c r="O909" t="s">
        <v>254</v>
      </c>
      <c r="P909">
        <v>3.5431373242057686E-3</v>
      </c>
      <c r="Q909" t="s">
        <v>166</v>
      </c>
    </row>
    <row r="910" spans="9:17" x14ac:dyDescent="0.45">
      <c r="I910" t="s">
        <v>195</v>
      </c>
      <c r="J910" t="s">
        <v>255</v>
      </c>
      <c r="K910">
        <v>4.2294424914587625E-3</v>
      </c>
      <c r="L910" t="s">
        <v>166</v>
      </c>
      <c r="N910" t="s">
        <v>218</v>
      </c>
      <c r="O910" t="s">
        <v>255</v>
      </c>
      <c r="P910">
        <v>2.3137016641751201E-2</v>
      </c>
      <c r="Q910" t="s">
        <v>166</v>
      </c>
    </row>
    <row r="911" spans="9:17" x14ac:dyDescent="0.45">
      <c r="I911" t="s">
        <v>195</v>
      </c>
      <c r="J911" t="s">
        <v>256</v>
      </c>
      <c r="K911">
        <v>1.3783557717580686E-2</v>
      </c>
      <c r="L911" t="s">
        <v>166</v>
      </c>
      <c r="N911" t="s">
        <v>218</v>
      </c>
      <c r="O911" t="s">
        <v>256</v>
      </c>
      <c r="P911">
        <v>2.4365656225557763E-2</v>
      </c>
      <c r="Q911" t="s">
        <v>166</v>
      </c>
    </row>
    <row r="912" spans="9:17" x14ac:dyDescent="0.45">
      <c r="I912" t="s">
        <v>195</v>
      </c>
      <c r="J912" t="s">
        <v>257</v>
      </c>
      <c r="K912">
        <v>8.6055156462196206E-3</v>
      </c>
      <c r="L912" t="s">
        <v>166</v>
      </c>
      <c r="N912" t="s">
        <v>218</v>
      </c>
      <c r="O912" t="s">
        <v>257</v>
      </c>
      <c r="P912">
        <v>3.9048156971113347E-3</v>
      </c>
      <c r="Q912" t="s">
        <v>166</v>
      </c>
    </row>
    <row r="913" spans="9:17" x14ac:dyDescent="0.45">
      <c r="I913" t="s">
        <v>195</v>
      </c>
      <c r="J913" t="s">
        <v>258</v>
      </c>
      <c r="K913">
        <v>7.6290558999827271E-2</v>
      </c>
      <c r="L913" t="s">
        <v>166</v>
      </c>
      <c r="N913" t="s">
        <v>218</v>
      </c>
      <c r="O913" t="s">
        <v>258</v>
      </c>
      <c r="P913">
        <v>2.1029629209917456E-2</v>
      </c>
      <c r="Q913" t="s">
        <v>166</v>
      </c>
    </row>
    <row r="914" spans="9:17" x14ac:dyDescent="0.45">
      <c r="I914" t="s">
        <v>195</v>
      </c>
      <c r="J914" t="s">
        <v>259</v>
      </c>
      <c r="K914">
        <v>7.8309792583486637E-3</v>
      </c>
      <c r="L914" t="s">
        <v>166</v>
      </c>
      <c r="N914" t="s">
        <v>218</v>
      </c>
      <c r="O914" t="s">
        <v>259</v>
      </c>
      <c r="P914">
        <v>3.1953297132219843E-3</v>
      </c>
      <c r="Q914" t="s">
        <v>166</v>
      </c>
    </row>
    <row r="915" spans="9:17" x14ac:dyDescent="0.45">
      <c r="I915" t="s">
        <v>195</v>
      </c>
      <c r="J915" t="s">
        <v>260</v>
      </c>
      <c r="K915">
        <v>5.855679813552484E-3</v>
      </c>
      <c r="L915" t="s">
        <v>166</v>
      </c>
      <c r="N915" t="s">
        <v>218</v>
      </c>
      <c r="O915" t="s">
        <v>260</v>
      </c>
      <c r="P915">
        <v>2.911997251051381E-3</v>
      </c>
      <c r="Q915" t="s">
        <v>166</v>
      </c>
    </row>
    <row r="916" spans="9:17" x14ac:dyDescent="0.45">
      <c r="I916" t="s">
        <v>195</v>
      </c>
      <c r="J916" t="s">
        <v>261</v>
      </c>
      <c r="K916">
        <v>6.7561705530539895E-3</v>
      </c>
      <c r="L916" t="s">
        <v>166</v>
      </c>
      <c r="N916" t="s">
        <v>218</v>
      </c>
      <c r="O916" t="s">
        <v>261</v>
      </c>
      <c r="P916">
        <v>1.8142935920190967E-2</v>
      </c>
      <c r="Q916" t="s">
        <v>166</v>
      </c>
    </row>
    <row r="917" spans="9:17" x14ac:dyDescent="0.45">
      <c r="I917" t="s">
        <v>195</v>
      </c>
      <c r="J917" t="s">
        <v>262</v>
      </c>
      <c r="K917">
        <v>5.7821417380379693E-2</v>
      </c>
      <c r="L917" t="s">
        <v>166</v>
      </c>
      <c r="N917" t="s">
        <v>218</v>
      </c>
      <c r="O917" t="s">
        <v>262</v>
      </c>
      <c r="P917">
        <v>0.10715381096899412</v>
      </c>
      <c r="Q917" t="s">
        <v>166</v>
      </c>
    </row>
    <row r="918" spans="9:17" x14ac:dyDescent="0.45">
      <c r="I918" t="s">
        <v>195</v>
      </c>
      <c r="J918" t="s">
        <v>263</v>
      </c>
      <c r="K918">
        <v>4.2080545851272813E-2</v>
      </c>
      <c r="L918" t="s">
        <v>166</v>
      </c>
      <c r="N918" t="s">
        <v>218</v>
      </c>
      <c r="O918" t="s">
        <v>263</v>
      </c>
      <c r="P918">
        <v>1.1548513162385501E-2</v>
      </c>
      <c r="Q918" t="s">
        <v>166</v>
      </c>
    </row>
    <row r="919" spans="9:17" x14ac:dyDescent="0.45">
      <c r="I919" t="s">
        <v>195</v>
      </c>
      <c r="J919" t="s">
        <v>264</v>
      </c>
      <c r="K919">
        <v>0.35888268029246462</v>
      </c>
      <c r="L919" t="s">
        <v>166</v>
      </c>
      <c r="N919" t="s">
        <v>218</v>
      </c>
      <c r="O919" t="s">
        <v>264</v>
      </c>
      <c r="P919">
        <v>7.861109374226774E-2</v>
      </c>
      <c r="Q919" t="s">
        <v>166</v>
      </c>
    </row>
    <row r="920" spans="9:17" x14ac:dyDescent="0.45">
      <c r="I920" t="s">
        <v>195</v>
      </c>
      <c r="J920" t="s">
        <v>265</v>
      </c>
      <c r="K920">
        <v>3.9437752276727987E-2</v>
      </c>
      <c r="L920" t="s">
        <v>166</v>
      </c>
      <c r="N920" t="s">
        <v>218</v>
      </c>
      <c r="O920" t="s">
        <v>265</v>
      </c>
      <c r="P920">
        <v>1.3370896256973469E-2</v>
      </c>
      <c r="Q920" t="s">
        <v>166</v>
      </c>
    </row>
    <row r="921" spans="9:17" x14ac:dyDescent="0.45">
      <c r="I921" t="s">
        <v>195</v>
      </c>
      <c r="J921" t="s">
        <v>266</v>
      </c>
      <c r="K921">
        <v>2.8790367291928604E-2</v>
      </c>
      <c r="L921" t="s">
        <v>166</v>
      </c>
      <c r="N921" t="s">
        <v>218</v>
      </c>
      <c r="O921" t="s">
        <v>266</v>
      </c>
      <c r="P921">
        <v>1.3182490112590517E-2</v>
      </c>
      <c r="Q921" t="s">
        <v>166</v>
      </c>
    </row>
    <row r="922" spans="9:17" x14ac:dyDescent="0.45">
      <c r="I922" t="s">
        <v>195</v>
      </c>
      <c r="J922" t="s">
        <v>267</v>
      </c>
      <c r="K922">
        <v>3.0384172706758472E-2</v>
      </c>
      <c r="L922" t="s">
        <v>166</v>
      </c>
      <c r="N922" t="s">
        <v>218</v>
      </c>
      <c r="O922" t="s">
        <v>267</v>
      </c>
      <c r="P922">
        <v>8.6277429466537645E-2</v>
      </c>
      <c r="Q922" t="s">
        <v>166</v>
      </c>
    </row>
    <row r="923" spans="9:17" x14ac:dyDescent="0.45">
      <c r="I923" t="s">
        <v>195</v>
      </c>
      <c r="J923" t="s">
        <v>268</v>
      </c>
      <c r="K923">
        <v>0</v>
      </c>
      <c r="L923" t="s">
        <v>166</v>
      </c>
      <c r="N923" t="s">
        <v>218</v>
      </c>
      <c r="O923" t="s">
        <v>268</v>
      </c>
      <c r="P923">
        <v>4.5177451687418019E-2</v>
      </c>
      <c r="Q923" t="s">
        <v>166</v>
      </c>
    </row>
    <row r="924" spans="9:17" x14ac:dyDescent="0.45">
      <c r="I924" t="s">
        <v>195</v>
      </c>
      <c r="J924" t="s">
        <v>269</v>
      </c>
      <c r="K924">
        <v>1.710003874938753E-3</v>
      </c>
      <c r="L924" t="s">
        <v>166</v>
      </c>
      <c r="N924" t="s">
        <v>218</v>
      </c>
      <c r="O924" t="s">
        <v>269</v>
      </c>
      <c r="P924">
        <v>4.8228067273614781E-3</v>
      </c>
      <c r="Q924" t="s">
        <v>166</v>
      </c>
    </row>
    <row r="925" spans="9:17" x14ac:dyDescent="0.45">
      <c r="I925" t="s">
        <v>195</v>
      </c>
      <c r="J925" t="s">
        <v>270</v>
      </c>
      <c r="K925">
        <v>2.396995961772597E-2</v>
      </c>
      <c r="L925" t="s">
        <v>166</v>
      </c>
      <c r="N925" t="s">
        <v>218</v>
      </c>
      <c r="O925" t="s">
        <v>270</v>
      </c>
      <c r="P925">
        <v>3.5874260584821821E-2</v>
      </c>
      <c r="Q925" t="s">
        <v>166</v>
      </c>
    </row>
    <row r="926" spans="9:17" x14ac:dyDescent="0.45">
      <c r="I926" t="s">
        <v>195</v>
      </c>
      <c r="J926" t="s">
        <v>271</v>
      </c>
      <c r="K926">
        <v>3.9545649621578778E-4</v>
      </c>
      <c r="L926" t="s">
        <v>166</v>
      </c>
      <c r="N926" t="s">
        <v>218</v>
      </c>
      <c r="O926" t="s">
        <v>271</v>
      </c>
      <c r="P926">
        <v>5.6634429002415517E-3</v>
      </c>
      <c r="Q926" t="s">
        <v>166</v>
      </c>
    </row>
    <row r="927" spans="9:17" x14ac:dyDescent="0.45">
      <c r="I927" t="s">
        <v>195</v>
      </c>
      <c r="J927" t="s">
        <v>272</v>
      </c>
      <c r="K927">
        <v>0</v>
      </c>
      <c r="L927" t="s">
        <v>166</v>
      </c>
      <c r="N927" t="s">
        <v>218</v>
      </c>
      <c r="O927" t="s">
        <v>272</v>
      </c>
      <c r="P927">
        <v>5.9208941290659362E-3</v>
      </c>
      <c r="Q927" t="s">
        <v>166</v>
      </c>
    </row>
    <row r="928" spans="9:17" x14ac:dyDescent="0.45">
      <c r="I928" t="s">
        <v>195</v>
      </c>
      <c r="J928" t="s">
        <v>273</v>
      </c>
      <c r="K928">
        <v>0</v>
      </c>
      <c r="L928" t="s">
        <v>166</v>
      </c>
      <c r="N928" t="s">
        <v>218</v>
      </c>
      <c r="O928" t="s">
        <v>273</v>
      </c>
      <c r="P928">
        <v>3.5643509855737027E-2</v>
      </c>
      <c r="Q928" t="s">
        <v>166</v>
      </c>
    </row>
    <row r="929" spans="9:17" x14ac:dyDescent="0.45">
      <c r="I929" t="s">
        <v>195</v>
      </c>
      <c r="J929" t="s">
        <v>274</v>
      </c>
      <c r="K929">
        <v>0</v>
      </c>
      <c r="L929" t="s">
        <v>166</v>
      </c>
      <c r="N929" t="s">
        <v>218</v>
      </c>
      <c r="O929" t="s">
        <v>274</v>
      </c>
      <c r="P929">
        <v>4.6148448936184243E-2</v>
      </c>
      <c r="Q929" t="s">
        <v>166</v>
      </c>
    </row>
    <row r="930" spans="9:17" x14ac:dyDescent="0.45">
      <c r="I930" t="s">
        <v>195</v>
      </c>
      <c r="J930" t="s">
        <v>275</v>
      </c>
      <c r="K930">
        <v>0</v>
      </c>
      <c r="L930" t="s">
        <v>166</v>
      </c>
      <c r="N930" t="s">
        <v>218</v>
      </c>
      <c r="O930" t="s">
        <v>275</v>
      </c>
      <c r="P930">
        <v>5.8507091053087469E-3</v>
      </c>
      <c r="Q930" t="s">
        <v>166</v>
      </c>
    </row>
    <row r="931" spans="9:17" x14ac:dyDescent="0.45">
      <c r="I931" t="s">
        <v>195</v>
      </c>
      <c r="J931" t="s">
        <v>276</v>
      </c>
      <c r="K931">
        <v>1.9793956698662997E-2</v>
      </c>
      <c r="L931" t="s">
        <v>166</v>
      </c>
      <c r="N931" t="s">
        <v>218</v>
      </c>
      <c r="O931" t="s">
        <v>276</v>
      </c>
      <c r="P931">
        <v>3.4210034939467192E-2</v>
      </c>
      <c r="Q931" t="s">
        <v>166</v>
      </c>
    </row>
    <row r="932" spans="9:17" x14ac:dyDescent="0.45">
      <c r="I932" t="s">
        <v>195</v>
      </c>
      <c r="J932" t="s">
        <v>277</v>
      </c>
      <c r="K932">
        <v>0</v>
      </c>
      <c r="L932" t="s">
        <v>166</v>
      </c>
      <c r="N932" t="s">
        <v>218</v>
      </c>
      <c r="O932" t="s">
        <v>277</v>
      </c>
      <c r="P932">
        <v>6.0119252857105294E-3</v>
      </c>
      <c r="Q932" t="s">
        <v>166</v>
      </c>
    </row>
    <row r="933" spans="9:17" x14ac:dyDescent="0.45">
      <c r="I933" t="s">
        <v>195</v>
      </c>
      <c r="J933" t="s">
        <v>278</v>
      </c>
      <c r="K933">
        <v>0</v>
      </c>
      <c r="L933" t="s">
        <v>166</v>
      </c>
      <c r="N933" t="s">
        <v>218</v>
      </c>
      <c r="O933" t="s">
        <v>278</v>
      </c>
      <c r="P933">
        <v>6.18578455448113E-3</v>
      </c>
      <c r="Q933" t="s">
        <v>166</v>
      </c>
    </row>
    <row r="934" spans="9:17" x14ac:dyDescent="0.45">
      <c r="I934" t="s">
        <v>195</v>
      </c>
      <c r="J934" t="s">
        <v>279</v>
      </c>
      <c r="K934">
        <v>0</v>
      </c>
      <c r="L934" t="s">
        <v>166</v>
      </c>
      <c r="N934" t="s">
        <v>218</v>
      </c>
      <c r="O934" t="s">
        <v>279</v>
      </c>
      <c r="P934">
        <v>3.7970367828929749E-2</v>
      </c>
      <c r="Q934" t="s">
        <v>166</v>
      </c>
    </row>
    <row r="935" spans="9:17" x14ac:dyDescent="0.45">
      <c r="I935" t="s">
        <v>196</v>
      </c>
      <c r="J935" t="s">
        <v>165</v>
      </c>
      <c r="K935">
        <v>8.0294879451798645E-5</v>
      </c>
      <c r="L935" t="s">
        <v>166</v>
      </c>
    </row>
    <row r="936" spans="9:17" x14ac:dyDescent="0.45">
      <c r="I936" t="s">
        <v>196</v>
      </c>
      <c r="J936" t="s">
        <v>167</v>
      </c>
      <c r="K936">
        <v>2.5613143156976632E-3</v>
      </c>
      <c r="L936" t="s">
        <v>166</v>
      </c>
    </row>
    <row r="937" spans="9:17" x14ac:dyDescent="0.45">
      <c r="I937" t="s">
        <v>196</v>
      </c>
      <c r="J937" t="s">
        <v>168</v>
      </c>
      <c r="K937">
        <v>5.9853370522705333E-2</v>
      </c>
      <c r="L937" t="s">
        <v>166</v>
      </c>
    </row>
    <row r="938" spans="9:17" x14ac:dyDescent="0.45">
      <c r="I938" t="s">
        <v>196</v>
      </c>
      <c r="J938" t="s">
        <v>247</v>
      </c>
      <c r="K938">
        <v>4.0486610653401528E-3</v>
      </c>
      <c r="L938" t="s">
        <v>166</v>
      </c>
    </row>
    <row r="939" spans="9:17" x14ac:dyDescent="0.45">
      <c r="I939" t="s">
        <v>196</v>
      </c>
      <c r="J939" t="s">
        <v>248</v>
      </c>
      <c r="K939">
        <v>5.8376096696940245E-4</v>
      </c>
      <c r="L939" t="s">
        <v>166</v>
      </c>
    </row>
    <row r="940" spans="9:17" x14ac:dyDescent="0.45">
      <c r="I940" t="s">
        <v>196</v>
      </c>
      <c r="J940" t="s">
        <v>249</v>
      </c>
      <c r="K940">
        <v>0</v>
      </c>
      <c r="L940" t="s">
        <v>166</v>
      </c>
    </row>
    <row r="941" spans="9:17" x14ac:dyDescent="0.45">
      <c r="I941" t="s">
        <v>196</v>
      </c>
      <c r="J941" t="s">
        <v>169</v>
      </c>
      <c r="K941">
        <v>5.0946312400118061E-3</v>
      </c>
      <c r="L941" t="s">
        <v>166</v>
      </c>
    </row>
    <row r="942" spans="9:17" x14ac:dyDescent="0.45">
      <c r="I942" t="s">
        <v>196</v>
      </c>
      <c r="J942" t="s">
        <v>170</v>
      </c>
      <c r="K942">
        <v>7.3876883049095177E-3</v>
      </c>
      <c r="L942" t="s">
        <v>166</v>
      </c>
    </row>
    <row r="943" spans="9:17" x14ac:dyDescent="0.45">
      <c r="I943" t="s">
        <v>196</v>
      </c>
      <c r="J943" t="s">
        <v>171</v>
      </c>
      <c r="K943">
        <v>7.2682359163518825E-2</v>
      </c>
      <c r="L943" t="s">
        <v>166</v>
      </c>
    </row>
    <row r="944" spans="9:17" x14ac:dyDescent="0.45">
      <c r="I944" t="s">
        <v>196</v>
      </c>
      <c r="J944" t="s">
        <v>250</v>
      </c>
      <c r="K944">
        <v>7.0242777309976381E-3</v>
      </c>
      <c r="L944" t="s">
        <v>166</v>
      </c>
    </row>
    <row r="945" spans="9:12" x14ac:dyDescent="0.45">
      <c r="I945" t="s">
        <v>196</v>
      </c>
      <c r="J945" t="s">
        <v>251</v>
      </c>
      <c r="K945">
        <v>4.2912525546794627E-3</v>
      </c>
      <c r="L945" t="s">
        <v>166</v>
      </c>
    </row>
    <row r="946" spans="9:12" x14ac:dyDescent="0.45">
      <c r="I946" t="s">
        <v>196</v>
      </c>
      <c r="J946" t="s">
        <v>252</v>
      </c>
      <c r="K946">
        <v>1.2363310990430602E-3</v>
      </c>
      <c r="L946" t="s">
        <v>166</v>
      </c>
    </row>
    <row r="947" spans="9:12" x14ac:dyDescent="0.45">
      <c r="I947" t="s">
        <v>196</v>
      </c>
      <c r="J947" t="s">
        <v>172</v>
      </c>
      <c r="K947">
        <v>1.2073407784773975E-2</v>
      </c>
      <c r="L947" t="s">
        <v>166</v>
      </c>
    </row>
    <row r="948" spans="9:12" x14ac:dyDescent="0.45">
      <c r="I948" t="s">
        <v>196</v>
      </c>
      <c r="J948" t="s">
        <v>173</v>
      </c>
      <c r="K948">
        <v>9.6979233188738429E-3</v>
      </c>
      <c r="L948" t="s">
        <v>166</v>
      </c>
    </row>
    <row r="949" spans="9:12" x14ac:dyDescent="0.45">
      <c r="I949" t="s">
        <v>196</v>
      </c>
      <c r="J949" t="s">
        <v>174</v>
      </c>
      <c r="K949">
        <v>7.8191967785046362E-2</v>
      </c>
      <c r="L949" t="s">
        <v>166</v>
      </c>
    </row>
    <row r="950" spans="9:12" x14ac:dyDescent="0.45">
      <c r="I950" t="s">
        <v>196</v>
      </c>
      <c r="J950" t="s">
        <v>253</v>
      </c>
      <c r="K950">
        <v>7.2796004110734832E-3</v>
      </c>
      <c r="L950" t="s">
        <v>166</v>
      </c>
    </row>
    <row r="951" spans="9:12" x14ac:dyDescent="0.45">
      <c r="I951" t="s">
        <v>196</v>
      </c>
      <c r="J951" t="s">
        <v>254</v>
      </c>
      <c r="K951">
        <v>5.1480807672554417E-3</v>
      </c>
      <c r="L951" t="s">
        <v>166</v>
      </c>
    </row>
    <row r="952" spans="9:12" x14ac:dyDescent="0.45">
      <c r="I952" t="s">
        <v>196</v>
      </c>
      <c r="J952" t="s">
        <v>255</v>
      </c>
      <c r="K952">
        <v>3.3285891528128039E-3</v>
      </c>
      <c r="L952" t="s">
        <v>166</v>
      </c>
    </row>
    <row r="953" spans="9:12" x14ac:dyDescent="0.45">
      <c r="I953" t="s">
        <v>196</v>
      </c>
      <c r="J953" t="s">
        <v>256</v>
      </c>
      <c r="K953">
        <v>1.4131914953242484E-2</v>
      </c>
      <c r="L953" t="s">
        <v>166</v>
      </c>
    </row>
    <row r="954" spans="9:12" x14ac:dyDescent="0.45">
      <c r="I954" t="s">
        <v>196</v>
      </c>
      <c r="J954" t="s">
        <v>257</v>
      </c>
      <c r="K954">
        <v>9.0826441507421887E-3</v>
      </c>
      <c r="L954" t="s">
        <v>166</v>
      </c>
    </row>
    <row r="955" spans="9:12" x14ac:dyDescent="0.45">
      <c r="I955" t="s">
        <v>196</v>
      </c>
      <c r="J955" t="s">
        <v>258</v>
      </c>
      <c r="K955">
        <v>7.1790503432272154E-2</v>
      </c>
      <c r="L955" t="s">
        <v>166</v>
      </c>
    </row>
    <row r="956" spans="9:12" x14ac:dyDescent="0.45">
      <c r="I956" t="s">
        <v>196</v>
      </c>
      <c r="J956" t="s">
        <v>259</v>
      </c>
      <c r="K956">
        <v>7.4616176871012555E-3</v>
      </c>
      <c r="L956" t="s">
        <v>166</v>
      </c>
    </row>
    <row r="957" spans="9:12" x14ac:dyDescent="0.45">
      <c r="I957" t="s">
        <v>196</v>
      </c>
      <c r="J957" t="s">
        <v>260</v>
      </c>
      <c r="K957">
        <v>5.8263891109530527E-3</v>
      </c>
      <c r="L957" t="s">
        <v>166</v>
      </c>
    </row>
    <row r="958" spans="9:12" x14ac:dyDescent="0.45">
      <c r="I958" t="s">
        <v>196</v>
      </c>
      <c r="J958" t="s">
        <v>261</v>
      </c>
      <c r="K958">
        <v>6.4692162876503565E-3</v>
      </c>
      <c r="L958" t="s">
        <v>166</v>
      </c>
    </row>
    <row r="959" spans="9:12" x14ac:dyDescent="0.45">
      <c r="I959" t="s">
        <v>196</v>
      </c>
      <c r="J959" t="s">
        <v>262</v>
      </c>
      <c r="K959">
        <v>5.8404737629656651E-2</v>
      </c>
      <c r="L959" t="s">
        <v>166</v>
      </c>
    </row>
    <row r="960" spans="9:12" x14ac:dyDescent="0.45">
      <c r="I960" t="s">
        <v>196</v>
      </c>
      <c r="J960" t="s">
        <v>263</v>
      </c>
      <c r="K960">
        <v>4.248517079645104E-2</v>
      </c>
      <c r="L960" t="s">
        <v>166</v>
      </c>
    </row>
    <row r="961" spans="9:12" x14ac:dyDescent="0.45">
      <c r="I961" t="s">
        <v>196</v>
      </c>
      <c r="J961" t="s">
        <v>264</v>
      </c>
      <c r="K961">
        <v>0.36342628163496599</v>
      </c>
      <c r="L961" t="s">
        <v>166</v>
      </c>
    </row>
    <row r="962" spans="9:12" x14ac:dyDescent="0.45">
      <c r="I962" t="s">
        <v>196</v>
      </c>
      <c r="J962" t="s">
        <v>265</v>
      </c>
      <c r="K962">
        <v>3.7541961894339788E-2</v>
      </c>
      <c r="L962" t="s">
        <v>166</v>
      </c>
    </row>
    <row r="963" spans="9:12" x14ac:dyDescent="0.45">
      <c r="I963" t="s">
        <v>196</v>
      </c>
      <c r="J963" t="s">
        <v>266</v>
      </c>
      <c r="K963">
        <v>2.7334537824347162E-2</v>
      </c>
      <c r="L963" t="s">
        <v>166</v>
      </c>
    </row>
    <row r="964" spans="9:12" x14ac:dyDescent="0.45">
      <c r="I964" t="s">
        <v>196</v>
      </c>
      <c r="J964" t="s">
        <v>267</v>
      </c>
      <c r="K964">
        <v>2.7886031238262471E-2</v>
      </c>
      <c r="L964" t="s">
        <v>166</v>
      </c>
    </row>
    <row r="965" spans="9:12" x14ac:dyDescent="0.45">
      <c r="I965" t="s">
        <v>196</v>
      </c>
      <c r="J965" t="s">
        <v>268</v>
      </c>
      <c r="K965">
        <v>3.0077321900579175E-9</v>
      </c>
      <c r="L965" t="s">
        <v>166</v>
      </c>
    </row>
    <row r="966" spans="9:12" x14ac:dyDescent="0.45">
      <c r="I966" t="s">
        <v>196</v>
      </c>
      <c r="J966" t="s">
        <v>269</v>
      </c>
      <c r="K966">
        <v>1.6071258382942158E-3</v>
      </c>
      <c r="L966" t="s">
        <v>166</v>
      </c>
    </row>
    <row r="967" spans="9:12" x14ac:dyDescent="0.45">
      <c r="I967" t="s">
        <v>196</v>
      </c>
      <c r="J967" t="s">
        <v>270</v>
      </c>
      <c r="K967">
        <v>2.2625087721421182E-2</v>
      </c>
      <c r="L967" t="s">
        <v>166</v>
      </c>
    </row>
    <row r="968" spans="9:12" x14ac:dyDescent="0.45">
      <c r="I968" t="s">
        <v>196</v>
      </c>
      <c r="J968" t="s">
        <v>271</v>
      </c>
      <c r="K968">
        <v>4.698636842911236E-4</v>
      </c>
      <c r="L968" t="s">
        <v>166</v>
      </c>
    </row>
    <row r="969" spans="9:12" x14ac:dyDescent="0.45">
      <c r="I969" t="s">
        <v>196</v>
      </c>
      <c r="J969" t="s">
        <v>272</v>
      </c>
      <c r="K969">
        <v>0</v>
      </c>
      <c r="L969" t="s">
        <v>166</v>
      </c>
    </row>
    <row r="970" spans="9:12" x14ac:dyDescent="0.45">
      <c r="I970" t="s">
        <v>196</v>
      </c>
      <c r="J970" t="s">
        <v>273</v>
      </c>
      <c r="K970">
        <v>0</v>
      </c>
      <c r="L970" t="s">
        <v>166</v>
      </c>
    </row>
    <row r="971" spans="9:12" x14ac:dyDescent="0.45">
      <c r="I971" t="s">
        <v>196</v>
      </c>
      <c r="J971" t="s">
        <v>274</v>
      </c>
      <c r="K971">
        <v>0</v>
      </c>
      <c r="L971" t="s">
        <v>166</v>
      </c>
    </row>
    <row r="972" spans="9:12" x14ac:dyDescent="0.45">
      <c r="I972" t="s">
        <v>196</v>
      </c>
      <c r="J972" t="s">
        <v>275</v>
      </c>
      <c r="K972">
        <v>1.114163074691701E-4</v>
      </c>
      <c r="L972" t="s">
        <v>166</v>
      </c>
    </row>
    <row r="973" spans="9:12" x14ac:dyDescent="0.45">
      <c r="I973" t="s">
        <v>196</v>
      </c>
      <c r="J973" t="s">
        <v>276</v>
      </c>
      <c r="K973">
        <v>2.2781985737647312E-2</v>
      </c>
      <c r="L973" t="s">
        <v>166</v>
      </c>
    </row>
    <row r="974" spans="9:12" x14ac:dyDescent="0.45">
      <c r="I974" t="s">
        <v>196</v>
      </c>
      <c r="J974" t="s">
        <v>277</v>
      </c>
      <c r="K974">
        <v>0</v>
      </c>
      <c r="L974" t="s">
        <v>166</v>
      </c>
    </row>
    <row r="975" spans="9:12" x14ac:dyDescent="0.45">
      <c r="I975" t="s">
        <v>196</v>
      </c>
      <c r="J975" t="s">
        <v>278</v>
      </c>
      <c r="K975">
        <v>0</v>
      </c>
      <c r="L975" t="s">
        <v>166</v>
      </c>
    </row>
    <row r="976" spans="9:12" x14ac:dyDescent="0.45">
      <c r="I976" t="s">
        <v>196</v>
      </c>
      <c r="J976" t="s">
        <v>279</v>
      </c>
      <c r="K976">
        <v>0</v>
      </c>
      <c r="L976" t="s">
        <v>166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724CD-B3B5-47F7-BDDF-82CF27F29898}">
  <dimension ref="A9:AN39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~TimeSlices</v>
      </c>
      <c r="I9" t="str">
        <f>IF(A11="x","DeActivated","~TFM_DINS-AT")</f>
        <v>~TFM_DINS-AT</v>
      </c>
      <c r="N9" t="str">
        <f>IF(A11="x","DeActivated","~TFM_DINS-AT")</f>
        <v>~TFM_DINS-AT</v>
      </c>
      <c r="S9" t="str">
        <f>IF(A11="x","DeActivated","~TFM_DINS-AT")</f>
        <v>~TFM_DINS-AT</v>
      </c>
      <c r="X9" t="str">
        <f>IF(A11="x","DeActivated","~TFM_DINS-AT")</f>
        <v>~TFM_DINS-AT</v>
      </c>
      <c r="AC9" t="str">
        <f>IF(A11="x","DeActivated","~TFM_DINS-AT")</f>
        <v>~TFM_DINS-AT</v>
      </c>
      <c r="AG9" t="str">
        <f>IF(A11="x","DeActivated","~TFM_DINS-AT")</f>
        <v>~TFM_DINS-AT</v>
      </c>
      <c r="AK9" t="str">
        <f>IF(A11="x","DeActivated","~TFM_INS-AT")</f>
        <v>~TFM_INS-AT</v>
      </c>
    </row>
    <row r="10" spans="1:40" x14ac:dyDescent="0.45">
      <c r="A10" t="s">
        <v>106</v>
      </c>
      <c r="C10" t="s">
        <v>150</v>
      </c>
      <c r="D10" t="s">
        <v>151</v>
      </c>
      <c r="E10" t="s">
        <v>152</v>
      </c>
      <c r="F10" t="s">
        <v>153</v>
      </c>
      <c r="G10" t="s">
        <v>154</v>
      </c>
      <c r="I10" t="s">
        <v>13</v>
      </c>
      <c r="J10" t="s">
        <v>121</v>
      </c>
      <c r="K10" t="s">
        <v>163</v>
      </c>
      <c r="L10" t="s">
        <v>30</v>
      </c>
      <c r="N10" t="s">
        <v>13</v>
      </c>
      <c r="O10" t="s">
        <v>121</v>
      </c>
      <c r="P10" t="s">
        <v>163</v>
      </c>
      <c r="Q10" t="s">
        <v>30</v>
      </c>
      <c r="S10" t="s">
        <v>13</v>
      </c>
      <c r="T10" t="s">
        <v>121</v>
      </c>
      <c r="U10" t="s">
        <v>163</v>
      </c>
      <c r="V10" t="s">
        <v>30</v>
      </c>
      <c r="X10" t="s">
        <v>229</v>
      </c>
      <c r="Y10" t="s">
        <v>163</v>
      </c>
      <c r="Z10" t="s">
        <v>121</v>
      </c>
      <c r="AA10" t="s">
        <v>13</v>
      </c>
      <c r="AC10" t="s">
        <v>13</v>
      </c>
      <c r="AD10" t="s">
        <v>121</v>
      </c>
      <c r="AE10" t="s">
        <v>163</v>
      </c>
      <c r="AG10" t="s">
        <v>13</v>
      </c>
      <c r="AH10" t="s">
        <v>121</v>
      </c>
      <c r="AI10" t="s">
        <v>235</v>
      </c>
      <c r="AK10" t="s">
        <v>47</v>
      </c>
      <c r="AL10" t="s">
        <v>121</v>
      </c>
      <c r="AM10" t="s">
        <v>236</v>
      </c>
      <c r="AN10" t="s">
        <v>237</v>
      </c>
    </row>
    <row r="11" spans="1:40" x14ac:dyDescent="0.45">
      <c r="A11" t="str">
        <f>IFERROR(IF(Veda!D5=A10,"ok","x"),"")</f>
        <v>ok</v>
      </c>
      <c r="C11" t="s">
        <v>282</v>
      </c>
      <c r="D11" t="s">
        <v>156</v>
      </c>
      <c r="E11" t="s">
        <v>283</v>
      </c>
      <c r="F11" t="s">
        <v>282</v>
      </c>
      <c r="G11" t="s">
        <v>156</v>
      </c>
      <c r="I11" t="s">
        <v>164</v>
      </c>
      <c r="J11" t="s">
        <v>284</v>
      </c>
      <c r="K11">
        <v>0.99999999999999745</v>
      </c>
      <c r="L11" t="s">
        <v>166</v>
      </c>
      <c r="N11" t="s">
        <v>197</v>
      </c>
      <c r="O11" t="s">
        <v>284</v>
      </c>
      <c r="P11">
        <v>0.99999999999999878</v>
      </c>
      <c r="Q11" t="s">
        <v>166</v>
      </c>
      <c r="S11" t="s">
        <v>219</v>
      </c>
      <c r="T11" t="s">
        <v>284</v>
      </c>
      <c r="U11">
        <v>0.99999999999999833</v>
      </c>
      <c r="V11" t="s">
        <v>166</v>
      </c>
      <c r="X11">
        <v>1</v>
      </c>
      <c r="Y11">
        <v>1.0000000000000002</v>
      </c>
      <c r="Z11" t="s">
        <v>284</v>
      </c>
      <c r="AA11" t="s">
        <v>25</v>
      </c>
      <c r="AC11" t="s">
        <v>22</v>
      </c>
      <c r="AD11" t="s">
        <v>284</v>
      </c>
      <c r="AE11">
        <v>1</v>
      </c>
      <c r="AG11" t="s">
        <v>96</v>
      </c>
      <c r="AH11" t="s">
        <v>284</v>
      </c>
      <c r="AI11">
        <v>0.34111765552101359</v>
      </c>
      <c r="AK11">
        <v>2020</v>
      </c>
      <c r="AL11" t="s">
        <v>282</v>
      </c>
      <c r="AM11">
        <v>0.38802670653427357</v>
      </c>
      <c r="AN11" t="s">
        <v>238</v>
      </c>
    </row>
    <row r="12" spans="1:40" x14ac:dyDescent="0.45">
      <c r="I12" t="s">
        <v>175</v>
      </c>
      <c r="J12" t="s">
        <v>284</v>
      </c>
      <c r="K12">
        <v>1.0000000000000002</v>
      </c>
      <c r="L12" t="s">
        <v>166</v>
      </c>
      <c r="N12" t="s">
        <v>198</v>
      </c>
      <c r="O12" t="s">
        <v>284</v>
      </c>
      <c r="P12">
        <v>1.0000000000000036</v>
      </c>
      <c r="Q12" t="s">
        <v>166</v>
      </c>
      <c r="S12" t="s">
        <v>220</v>
      </c>
      <c r="T12" t="s">
        <v>284</v>
      </c>
      <c r="U12">
        <v>1.0000000000000011</v>
      </c>
      <c r="V12" t="s">
        <v>166</v>
      </c>
      <c r="AC12" t="s">
        <v>19</v>
      </c>
      <c r="AD12" t="s">
        <v>284</v>
      </c>
      <c r="AE12">
        <v>1</v>
      </c>
      <c r="AK12">
        <v>2021</v>
      </c>
      <c r="AL12" t="s">
        <v>282</v>
      </c>
      <c r="AM12">
        <v>0.40472438444925074</v>
      </c>
      <c r="AN12" t="s">
        <v>238</v>
      </c>
    </row>
    <row r="13" spans="1:40" x14ac:dyDescent="0.45">
      <c r="I13" t="s">
        <v>176</v>
      </c>
      <c r="J13" t="s">
        <v>284</v>
      </c>
      <c r="K13">
        <v>1.0000000000000004</v>
      </c>
      <c r="L13" t="s">
        <v>166</v>
      </c>
      <c r="N13" t="s">
        <v>199</v>
      </c>
      <c r="O13" t="s">
        <v>284</v>
      </c>
      <c r="P13">
        <v>0.99999999999999944</v>
      </c>
      <c r="Q13" t="s">
        <v>166</v>
      </c>
      <c r="S13" t="s">
        <v>221</v>
      </c>
      <c r="T13" t="s">
        <v>284</v>
      </c>
      <c r="U13">
        <v>0.99999999999999867</v>
      </c>
      <c r="V13" t="s">
        <v>166</v>
      </c>
      <c r="AK13">
        <v>2022</v>
      </c>
      <c r="AL13" t="s">
        <v>282</v>
      </c>
      <c r="AM13">
        <v>0.35558100154946093</v>
      </c>
      <c r="AN13" t="s">
        <v>238</v>
      </c>
    </row>
    <row r="14" spans="1:40" x14ac:dyDescent="0.45">
      <c r="I14" t="s">
        <v>177</v>
      </c>
      <c r="J14" t="s">
        <v>284</v>
      </c>
      <c r="K14">
        <v>1</v>
      </c>
      <c r="L14" t="s">
        <v>166</v>
      </c>
      <c r="N14" t="s">
        <v>200</v>
      </c>
      <c r="O14" t="s">
        <v>284</v>
      </c>
      <c r="P14">
        <v>1</v>
      </c>
      <c r="Q14" t="s">
        <v>166</v>
      </c>
      <c r="S14" t="s">
        <v>222</v>
      </c>
      <c r="T14" t="s">
        <v>284</v>
      </c>
      <c r="U14">
        <v>1.0000000000000027</v>
      </c>
      <c r="V14" t="s">
        <v>166</v>
      </c>
      <c r="AK14">
        <v>2025</v>
      </c>
      <c r="AL14" t="s">
        <v>282</v>
      </c>
      <c r="AM14">
        <v>0.40299166666666664</v>
      </c>
      <c r="AN14" t="s">
        <v>238</v>
      </c>
    </row>
    <row r="15" spans="1:40" x14ac:dyDescent="0.45">
      <c r="I15" t="s">
        <v>178</v>
      </c>
      <c r="J15" t="s">
        <v>284</v>
      </c>
      <c r="K15">
        <v>1.0000000000000004</v>
      </c>
      <c r="L15" t="s">
        <v>166</v>
      </c>
      <c r="N15" t="s">
        <v>201</v>
      </c>
      <c r="O15" t="s">
        <v>284</v>
      </c>
      <c r="P15">
        <v>1.0000000000000002</v>
      </c>
      <c r="Q15" t="s">
        <v>166</v>
      </c>
      <c r="S15" t="s">
        <v>223</v>
      </c>
      <c r="T15" t="s">
        <v>284</v>
      </c>
      <c r="U15">
        <v>0.99999999999999711</v>
      </c>
      <c r="V15" t="s">
        <v>166</v>
      </c>
      <c r="AK15">
        <v>2026</v>
      </c>
      <c r="AL15" t="s">
        <v>282</v>
      </c>
      <c r="AM15">
        <v>0.32482499999999997</v>
      </c>
      <c r="AN15" t="s">
        <v>238</v>
      </c>
    </row>
    <row r="16" spans="1:40" x14ac:dyDescent="0.45">
      <c r="I16" t="s">
        <v>179</v>
      </c>
      <c r="J16" t="s">
        <v>284</v>
      </c>
      <c r="K16">
        <v>1.0000000000000024</v>
      </c>
      <c r="L16" t="s">
        <v>166</v>
      </c>
      <c r="N16" t="s">
        <v>202</v>
      </c>
      <c r="O16" t="s">
        <v>284</v>
      </c>
      <c r="P16">
        <v>1.0000000000000027</v>
      </c>
      <c r="Q16" t="s">
        <v>166</v>
      </c>
      <c r="S16" t="s">
        <v>224</v>
      </c>
      <c r="T16" t="s">
        <v>284</v>
      </c>
      <c r="U16">
        <v>0.99999999999999767</v>
      </c>
      <c r="V16" t="s">
        <v>166</v>
      </c>
      <c r="AK16">
        <v>2027</v>
      </c>
      <c r="AL16" t="s">
        <v>282</v>
      </c>
      <c r="AM16">
        <v>0.32494166666666663</v>
      </c>
      <c r="AN16" t="s">
        <v>238</v>
      </c>
    </row>
    <row r="17" spans="9:40" x14ac:dyDescent="0.45">
      <c r="I17" t="s">
        <v>180</v>
      </c>
      <c r="J17" t="s">
        <v>284</v>
      </c>
      <c r="K17">
        <v>1.0000000000000024</v>
      </c>
      <c r="L17" t="s">
        <v>166</v>
      </c>
      <c r="N17" t="s">
        <v>203</v>
      </c>
      <c r="O17" t="s">
        <v>284</v>
      </c>
      <c r="P17">
        <v>0.99999999999999734</v>
      </c>
      <c r="Q17" t="s">
        <v>166</v>
      </c>
      <c r="S17" t="s">
        <v>225</v>
      </c>
      <c r="T17" t="s">
        <v>284</v>
      </c>
      <c r="U17">
        <v>1.0000000000000018</v>
      </c>
      <c r="V17" t="s">
        <v>166</v>
      </c>
      <c r="AK17">
        <v>2028</v>
      </c>
      <c r="AL17" t="s">
        <v>282</v>
      </c>
      <c r="AM17">
        <v>0.32603333333333334</v>
      </c>
      <c r="AN17" t="s">
        <v>238</v>
      </c>
    </row>
    <row r="18" spans="9:40" x14ac:dyDescent="0.45">
      <c r="I18" t="s">
        <v>181</v>
      </c>
      <c r="J18" t="s">
        <v>284</v>
      </c>
      <c r="K18">
        <v>0.99999999999999845</v>
      </c>
      <c r="L18" t="s">
        <v>166</v>
      </c>
      <c r="N18" t="s">
        <v>204</v>
      </c>
      <c r="O18" t="s">
        <v>284</v>
      </c>
      <c r="P18">
        <v>1.0000000000000011</v>
      </c>
      <c r="Q18" t="s">
        <v>166</v>
      </c>
      <c r="S18" t="s">
        <v>226</v>
      </c>
      <c r="T18" t="s">
        <v>284</v>
      </c>
      <c r="U18">
        <v>1.0000000000000024</v>
      </c>
      <c r="V18" t="s">
        <v>166</v>
      </c>
      <c r="AK18">
        <v>2029</v>
      </c>
      <c r="AL18" t="s">
        <v>282</v>
      </c>
      <c r="AM18">
        <v>0.33296666666666669</v>
      </c>
      <c r="AN18" t="s">
        <v>238</v>
      </c>
    </row>
    <row r="19" spans="9:40" x14ac:dyDescent="0.45">
      <c r="I19" t="s">
        <v>182</v>
      </c>
      <c r="J19" t="s">
        <v>284</v>
      </c>
      <c r="K19">
        <v>0.99999999999999589</v>
      </c>
      <c r="L19" t="s">
        <v>166</v>
      </c>
      <c r="N19" t="s">
        <v>205</v>
      </c>
      <c r="O19" t="s">
        <v>284</v>
      </c>
      <c r="P19">
        <v>0.99999999999999512</v>
      </c>
      <c r="Q19" t="s">
        <v>166</v>
      </c>
      <c r="S19" t="s">
        <v>227</v>
      </c>
      <c r="T19" t="s">
        <v>284</v>
      </c>
      <c r="U19">
        <v>0.99999999999999778</v>
      </c>
      <c r="V19" t="s">
        <v>166</v>
      </c>
      <c r="AK19">
        <v>2030</v>
      </c>
      <c r="AL19" t="s">
        <v>282</v>
      </c>
      <c r="AM19">
        <v>0.33005000000000001</v>
      </c>
      <c r="AN19" t="s">
        <v>238</v>
      </c>
    </row>
    <row r="20" spans="9:40" x14ac:dyDescent="0.45">
      <c r="I20" t="s">
        <v>183</v>
      </c>
      <c r="J20" t="s">
        <v>284</v>
      </c>
      <c r="K20">
        <v>0.99999999999999922</v>
      </c>
      <c r="L20" t="s">
        <v>166</v>
      </c>
      <c r="N20" t="s">
        <v>206</v>
      </c>
      <c r="O20" t="s">
        <v>284</v>
      </c>
      <c r="P20">
        <v>0.99999999999999944</v>
      </c>
      <c r="Q20" t="s">
        <v>166</v>
      </c>
      <c r="S20" t="s">
        <v>228</v>
      </c>
      <c r="T20" t="s">
        <v>284</v>
      </c>
      <c r="U20">
        <v>0.99999999999999667</v>
      </c>
      <c r="V20" t="s">
        <v>166</v>
      </c>
      <c r="AK20">
        <v>2031</v>
      </c>
      <c r="AL20" t="s">
        <v>282</v>
      </c>
      <c r="AM20">
        <v>0.33071666666666671</v>
      </c>
      <c r="AN20" t="s">
        <v>238</v>
      </c>
    </row>
    <row r="21" spans="9:40" x14ac:dyDescent="0.45">
      <c r="I21" t="s">
        <v>184</v>
      </c>
      <c r="J21" t="s">
        <v>284</v>
      </c>
      <c r="K21">
        <v>1.0000000000000027</v>
      </c>
      <c r="L21" t="s">
        <v>166</v>
      </c>
      <c r="N21" t="s">
        <v>207</v>
      </c>
      <c r="O21" t="s">
        <v>284</v>
      </c>
      <c r="P21">
        <v>0.999999999999998</v>
      </c>
      <c r="Q21" t="s">
        <v>166</v>
      </c>
      <c r="AK21">
        <v>2032</v>
      </c>
      <c r="AL21" t="s">
        <v>282</v>
      </c>
      <c r="AM21">
        <v>0.38834166666666664</v>
      </c>
      <c r="AN21" t="s">
        <v>238</v>
      </c>
    </row>
    <row r="22" spans="9:40" x14ac:dyDescent="0.45">
      <c r="I22" t="s">
        <v>185</v>
      </c>
      <c r="J22" t="s">
        <v>284</v>
      </c>
      <c r="K22">
        <v>0.99999999999999978</v>
      </c>
      <c r="L22" t="s">
        <v>166</v>
      </c>
      <c r="N22" t="s">
        <v>208</v>
      </c>
      <c r="O22" t="s">
        <v>284</v>
      </c>
      <c r="P22">
        <v>0.99999999999999567</v>
      </c>
      <c r="Q22" t="s">
        <v>166</v>
      </c>
      <c r="AK22">
        <v>2033</v>
      </c>
      <c r="AL22" t="s">
        <v>282</v>
      </c>
      <c r="AM22">
        <v>0.39006666666666662</v>
      </c>
      <c r="AN22" t="s">
        <v>238</v>
      </c>
    </row>
    <row r="23" spans="9:40" x14ac:dyDescent="0.45">
      <c r="I23" t="s">
        <v>186</v>
      </c>
      <c r="J23" t="s">
        <v>284</v>
      </c>
      <c r="K23">
        <v>0.99999999999999889</v>
      </c>
      <c r="L23" t="s">
        <v>166</v>
      </c>
      <c r="N23" t="s">
        <v>209</v>
      </c>
      <c r="O23" t="s">
        <v>284</v>
      </c>
      <c r="P23">
        <v>0.99999999999999667</v>
      </c>
      <c r="Q23" t="s">
        <v>166</v>
      </c>
      <c r="AK23">
        <v>2034</v>
      </c>
      <c r="AL23" t="s">
        <v>282</v>
      </c>
      <c r="AM23">
        <v>0.38800833333333334</v>
      </c>
      <c r="AN23" t="s">
        <v>238</v>
      </c>
    </row>
    <row r="24" spans="9:40" x14ac:dyDescent="0.45">
      <c r="I24" t="s">
        <v>187</v>
      </c>
      <c r="J24" t="s">
        <v>284</v>
      </c>
      <c r="K24">
        <v>0.99999999999999922</v>
      </c>
      <c r="L24" t="s">
        <v>166</v>
      </c>
      <c r="N24" t="s">
        <v>210</v>
      </c>
      <c r="O24" t="s">
        <v>284</v>
      </c>
      <c r="P24">
        <v>1.0000000000000007</v>
      </c>
      <c r="Q24" t="s">
        <v>166</v>
      </c>
      <c r="AK24">
        <v>2035</v>
      </c>
      <c r="AL24" t="s">
        <v>282</v>
      </c>
      <c r="AM24">
        <v>0.38197500000000001</v>
      </c>
      <c r="AN24" t="s">
        <v>238</v>
      </c>
    </row>
    <row r="25" spans="9:40" x14ac:dyDescent="0.45">
      <c r="I25" t="s">
        <v>188</v>
      </c>
      <c r="J25" t="s">
        <v>284</v>
      </c>
      <c r="K25">
        <v>0.999999999999998</v>
      </c>
      <c r="L25" t="s">
        <v>166</v>
      </c>
      <c r="N25" t="s">
        <v>211</v>
      </c>
      <c r="O25" t="s">
        <v>284</v>
      </c>
      <c r="P25">
        <v>1.0000000000000016</v>
      </c>
      <c r="Q25" t="s">
        <v>166</v>
      </c>
      <c r="AK25">
        <v>2036</v>
      </c>
      <c r="AL25" t="s">
        <v>282</v>
      </c>
      <c r="AM25">
        <v>0.38934166666666664</v>
      </c>
      <c r="AN25" t="s">
        <v>238</v>
      </c>
    </row>
    <row r="26" spans="9:40" x14ac:dyDescent="0.45">
      <c r="I26" t="s">
        <v>189</v>
      </c>
      <c r="J26" t="s">
        <v>284</v>
      </c>
      <c r="K26">
        <v>0.99999999999999578</v>
      </c>
      <c r="L26" t="s">
        <v>166</v>
      </c>
      <c r="N26" t="s">
        <v>212</v>
      </c>
      <c r="O26" t="s">
        <v>284</v>
      </c>
      <c r="P26">
        <v>0.99999999999999756</v>
      </c>
      <c r="Q26" t="s">
        <v>166</v>
      </c>
      <c r="AK26">
        <v>2037</v>
      </c>
      <c r="AL26" t="s">
        <v>282</v>
      </c>
      <c r="AM26">
        <v>0.378025</v>
      </c>
      <c r="AN26" t="s">
        <v>238</v>
      </c>
    </row>
    <row r="27" spans="9:40" x14ac:dyDescent="0.45">
      <c r="I27" t="s">
        <v>190</v>
      </c>
      <c r="J27" t="s">
        <v>284</v>
      </c>
      <c r="K27">
        <v>1</v>
      </c>
      <c r="L27" t="s">
        <v>166</v>
      </c>
      <c r="N27" t="s">
        <v>213</v>
      </c>
      <c r="O27" t="s">
        <v>284</v>
      </c>
      <c r="P27">
        <v>1</v>
      </c>
      <c r="Q27" t="s">
        <v>166</v>
      </c>
      <c r="AK27">
        <v>2038</v>
      </c>
      <c r="AL27" t="s">
        <v>282</v>
      </c>
      <c r="AM27">
        <v>0.37599999999999995</v>
      </c>
      <c r="AN27" t="s">
        <v>238</v>
      </c>
    </row>
    <row r="28" spans="9:40" x14ac:dyDescent="0.45">
      <c r="I28" t="s">
        <v>191</v>
      </c>
      <c r="J28" t="s">
        <v>284</v>
      </c>
      <c r="K28">
        <v>0.99999999999999556</v>
      </c>
      <c r="L28" t="s">
        <v>166</v>
      </c>
      <c r="N28" t="s">
        <v>214</v>
      </c>
      <c r="O28" t="s">
        <v>284</v>
      </c>
      <c r="P28">
        <v>1.0000000000000031</v>
      </c>
      <c r="Q28" t="s">
        <v>166</v>
      </c>
      <c r="AK28">
        <v>2039</v>
      </c>
      <c r="AL28" t="s">
        <v>282</v>
      </c>
      <c r="AM28">
        <v>0.38769999999999999</v>
      </c>
      <c r="AN28" t="s">
        <v>238</v>
      </c>
    </row>
    <row r="29" spans="9:40" x14ac:dyDescent="0.45">
      <c r="I29" t="s">
        <v>192</v>
      </c>
      <c r="J29" t="s">
        <v>284</v>
      </c>
      <c r="K29">
        <v>1.000000000000002</v>
      </c>
      <c r="L29" t="s">
        <v>166</v>
      </c>
      <c r="N29" t="s">
        <v>215</v>
      </c>
      <c r="O29" t="s">
        <v>284</v>
      </c>
      <c r="P29">
        <v>0.99999999999999634</v>
      </c>
      <c r="Q29" t="s">
        <v>166</v>
      </c>
      <c r="AK29">
        <v>2040</v>
      </c>
      <c r="AL29" t="s">
        <v>282</v>
      </c>
      <c r="AM29">
        <v>0.38516666666666666</v>
      </c>
      <c r="AN29" t="s">
        <v>238</v>
      </c>
    </row>
    <row r="30" spans="9:40" x14ac:dyDescent="0.45">
      <c r="I30" t="s">
        <v>193</v>
      </c>
      <c r="J30" t="s">
        <v>284</v>
      </c>
      <c r="K30">
        <v>0.99999999999999567</v>
      </c>
      <c r="L30" t="s">
        <v>166</v>
      </c>
      <c r="N30" t="s">
        <v>216</v>
      </c>
      <c r="O30" t="s">
        <v>284</v>
      </c>
      <c r="P30">
        <v>1.0000000000000002</v>
      </c>
      <c r="Q30" t="s">
        <v>166</v>
      </c>
      <c r="AK30">
        <v>2041</v>
      </c>
      <c r="AL30" t="s">
        <v>282</v>
      </c>
      <c r="AM30">
        <v>0.38166666666666665</v>
      </c>
      <c r="AN30" t="s">
        <v>238</v>
      </c>
    </row>
    <row r="31" spans="9:40" x14ac:dyDescent="0.45">
      <c r="I31" t="s">
        <v>194</v>
      </c>
      <c r="J31" t="s">
        <v>284</v>
      </c>
      <c r="K31">
        <v>1.0000000000000016</v>
      </c>
      <c r="L31" t="s">
        <v>166</v>
      </c>
      <c r="N31" t="s">
        <v>217</v>
      </c>
      <c r="O31" t="s">
        <v>284</v>
      </c>
      <c r="P31">
        <v>1.0000000000000033</v>
      </c>
      <c r="Q31" t="s">
        <v>166</v>
      </c>
      <c r="AK31">
        <v>2042</v>
      </c>
      <c r="AL31" t="s">
        <v>282</v>
      </c>
      <c r="AM31">
        <v>0.38801666666666668</v>
      </c>
      <c r="AN31" t="s">
        <v>238</v>
      </c>
    </row>
    <row r="32" spans="9:40" x14ac:dyDescent="0.45">
      <c r="I32" t="s">
        <v>195</v>
      </c>
      <c r="J32" t="s">
        <v>284</v>
      </c>
      <c r="K32">
        <v>1.000000000000002</v>
      </c>
      <c r="L32" t="s">
        <v>166</v>
      </c>
      <c r="N32" t="s">
        <v>218</v>
      </c>
      <c r="O32" t="s">
        <v>284</v>
      </c>
      <c r="P32">
        <v>1.0000000000000009</v>
      </c>
      <c r="Q32" t="s">
        <v>166</v>
      </c>
      <c r="AK32">
        <v>2043</v>
      </c>
      <c r="AL32" t="s">
        <v>282</v>
      </c>
      <c r="AM32">
        <v>0.3847666666666667</v>
      </c>
      <c r="AN32" t="s">
        <v>238</v>
      </c>
    </row>
    <row r="33" spans="9:40" x14ac:dyDescent="0.45">
      <c r="I33" t="s">
        <v>196</v>
      </c>
      <c r="J33" t="s">
        <v>284</v>
      </c>
      <c r="K33">
        <v>1.0000000000000004</v>
      </c>
      <c r="L33" t="s">
        <v>166</v>
      </c>
      <c r="AK33">
        <v>2044</v>
      </c>
      <c r="AL33" t="s">
        <v>282</v>
      </c>
      <c r="AM33">
        <v>0.39074999999999999</v>
      </c>
      <c r="AN33" t="s">
        <v>238</v>
      </c>
    </row>
    <row r="34" spans="9:40" x14ac:dyDescent="0.45">
      <c r="AK34">
        <v>2045</v>
      </c>
      <c r="AL34" t="s">
        <v>282</v>
      </c>
      <c r="AM34">
        <v>0.38233333333333336</v>
      </c>
      <c r="AN34" t="s">
        <v>238</v>
      </c>
    </row>
    <row r="35" spans="9:40" x14ac:dyDescent="0.45">
      <c r="AK35">
        <v>2046</v>
      </c>
      <c r="AL35" t="s">
        <v>282</v>
      </c>
      <c r="AM35">
        <v>0.38488333333333341</v>
      </c>
      <c r="AN35" t="s">
        <v>238</v>
      </c>
    </row>
    <row r="36" spans="9:40" x14ac:dyDescent="0.45">
      <c r="AK36">
        <v>2047</v>
      </c>
      <c r="AL36" t="s">
        <v>282</v>
      </c>
      <c r="AM36">
        <v>0.38367499999999999</v>
      </c>
      <c r="AN36" t="s">
        <v>238</v>
      </c>
    </row>
    <row r="37" spans="9:40" x14ac:dyDescent="0.45">
      <c r="AK37">
        <v>2048</v>
      </c>
      <c r="AL37" t="s">
        <v>282</v>
      </c>
      <c r="AM37">
        <v>0.38875833333333332</v>
      </c>
      <c r="AN37" t="s">
        <v>238</v>
      </c>
    </row>
    <row r="38" spans="9:40" x14ac:dyDescent="0.45">
      <c r="AK38">
        <v>2049</v>
      </c>
      <c r="AL38" t="s">
        <v>282</v>
      </c>
      <c r="AM38">
        <v>0.38937500000000003</v>
      </c>
      <c r="AN38" t="s">
        <v>238</v>
      </c>
    </row>
    <row r="39" spans="9:40" x14ac:dyDescent="0.45">
      <c r="AK39">
        <v>2050</v>
      </c>
      <c r="AL39" t="s">
        <v>282</v>
      </c>
      <c r="AM39">
        <v>0.37451666666666661</v>
      </c>
      <c r="AN39" t="s">
        <v>238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2BFC4-3A7E-44BB-B3E7-A353E2B38D9A}">
  <dimension ref="A9:AN286"/>
  <sheetViews>
    <sheetView tabSelected="1"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131</v>
      </c>
      <c r="C10" t="s">
        <v>150</v>
      </c>
      <c r="D10" t="s">
        <v>151</v>
      </c>
      <c r="E10" t="s">
        <v>152</v>
      </c>
      <c r="F10" t="s">
        <v>153</v>
      </c>
      <c r="G10" t="s">
        <v>154</v>
      </c>
      <c r="I10" t="s">
        <v>13</v>
      </c>
      <c r="J10" t="s">
        <v>121</v>
      </c>
      <c r="K10" t="s">
        <v>163</v>
      </c>
      <c r="L10" t="s">
        <v>30</v>
      </c>
      <c r="N10" t="s">
        <v>13</v>
      </c>
      <c r="O10" t="s">
        <v>121</v>
      </c>
      <c r="P10" t="s">
        <v>163</v>
      </c>
      <c r="Q10" t="s">
        <v>30</v>
      </c>
      <c r="S10" t="s">
        <v>13</v>
      </c>
      <c r="T10" t="s">
        <v>121</v>
      </c>
      <c r="U10" t="s">
        <v>163</v>
      </c>
      <c r="V10" t="s">
        <v>30</v>
      </c>
      <c r="X10" t="s">
        <v>229</v>
      </c>
      <c r="Y10" t="s">
        <v>163</v>
      </c>
      <c r="Z10" t="s">
        <v>121</v>
      </c>
      <c r="AA10" t="s">
        <v>13</v>
      </c>
      <c r="AC10" t="s">
        <v>13</v>
      </c>
      <c r="AD10" t="s">
        <v>121</v>
      </c>
      <c r="AE10" t="s">
        <v>163</v>
      </c>
      <c r="AG10" t="s">
        <v>13</v>
      </c>
      <c r="AH10" t="s">
        <v>121</v>
      </c>
      <c r="AI10" t="s">
        <v>235</v>
      </c>
      <c r="AK10" t="s">
        <v>47</v>
      </c>
      <c r="AL10" t="s">
        <v>121</v>
      </c>
      <c r="AM10" t="s">
        <v>236</v>
      </c>
      <c r="AN10" t="s">
        <v>237</v>
      </c>
    </row>
    <row r="11" spans="1:40" x14ac:dyDescent="0.45">
      <c r="A11" t="str">
        <f>IFERROR(IF(Veda!D5=A10,"ok","x"),"")</f>
        <v>x</v>
      </c>
      <c r="C11" t="s">
        <v>285</v>
      </c>
      <c r="D11" t="s">
        <v>156</v>
      </c>
      <c r="E11" t="s">
        <v>231</v>
      </c>
      <c r="F11" t="s">
        <v>286</v>
      </c>
      <c r="G11" t="s">
        <v>156</v>
      </c>
      <c r="I11" t="s">
        <v>164</v>
      </c>
      <c r="J11" t="s">
        <v>291</v>
      </c>
      <c r="K11">
        <v>0.16714538903345874</v>
      </c>
      <c r="L11" t="s">
        <v>166</v>
      </c>
      <c r="N11" t="s">
        <v>197</v>
      </c>
      <c r="O11" t="s">
        <v>291</v>
      </c>
      <c r="P11">
        <v>0.12873928424043737</v>
      </c>
      <c r="Q11" t="s">
        <v>166</v>
      </c>
      <c r="S11" t="s">
        <v>219</v>
      </c>
      <c r="T11" t="s">
        <v>291</v>
      </c>
      <c r="U11">
        <v>0.12500367260734538</v>
      </c>
      <c r="V11" t="s">
        <v>166</v>
      </c>
      <c r="X11">
        <v>0.11426940639269406</v>
      </c>
      <c r="Y11">
        <v>0.16087081189037786</v>
      </c>
      <c r="Z11" t="s">
        <v>291</v>
      </c>
      <c r="AA11" t="s">
        <v>25</v>
      </c>
      <c r="AC11" t="s">
        <v>22</v>
      </c>
      <c r="AD11" t="s">
        <v>291</v>
      </c>
      <c r="AE11">
        <v>0.12154185877629864</v>
      </c>
      <c r="AG11" t="s">
        <v>96</v>
      </c>
      <c r="AH11" t="s">
        <v>291</v>
      </c>
      <c r="AI11">
        <v>0.17884372713897179</v>
      </c>
      <c r="AK11">
        <v>2020</v>
      </c>
      <c r="AL11" t="s">
        <v>285</v>
      </c>
      <c r="AM11">
        <v>0.376892133328949</v>
      </c>
      <c r="AN11" t="s">
        <v>238</v>
      </c>
    </row>
    <row r="12" spans="1:40" x14ac:dyDescent="0.45">
      <c r="C12" t="s">
        <v>287</v>
      </c>
      <c r="E12" t="s">
        <v>233</v>
      </c>
      <c r="G12" t="s">
        <v>156</v>
      </c>
      <c r="I12" t="s">
        <v>164</v>
      </c>
      <c r="J12" t="s">
        <v>292</v>
      </c>
      <c r="K12">
        <v>4.9353713016711206E-4</v>
      </c>
      <c r="L12" t="s">
        <v>166</v>
      </c>
      <c r="N12" t="s">
        <v>197</v>
      </c>
      <c r="O12" t="s">
        <v>292</v>
      </c>
      <c r="P12">
        <v>0.13483130155399034</v>
      </c>
      <c r="Q12" t="s">
        <v>166</v>
      </c>
      <c r="S12" t="s">
        <v>219</v>
      </c>
      <c r="T12" t="s">
        <v>292</v>
      </c>
      <c r="U12">
        <v>0.12849542851437978</v>
      </c>
      <c r="V12" t="s">
        <v>166</v>
      </c>
      <c r="X12">
        <v>0.11426940639269406</v>
      </c>
      <c r="Y12">
        <v>5.2547713165767528E-2</v>
      </c>
      <c r="Z12" t="s">
        <v>292</v>
      </c>
      <c r="AA12" t="s">
        <v>25</v>
      </c>
      <c r="AC12" t="s">
        <v>22</v>
      </c>
      <c r="AD12" t="s">
        <v>292</v>
      </c>
      <c r="AE12">
        <v>8.8527190099622954E-2</v>
      </c>
      <c r="AG12" t="s">
        <v>96</v>
      </c>
      <c r="AH12" t="s">
        <v>292</v>
      </c>
      <c r="AI12">
        <v>0.36727282398527206</v>
      </c>
      <c r="AK12">
        <v>2020</v>
      </c>
      <c r="AL12" t="s">
        <v>287</v>
      </c>
      <c r="AM12">
        <v>0.39410081878267733</v>
      </c>
      <c r="AN12" t="s">
        <v>238</v>
      </c>
    </row>
    <row r="13" spans="1:40" x14ac:dyDescent="0.45">
      <c r="C13" t="s">
        <v>288</v>
      </c>
      <c r="E13" t="s">
        <v>289</v>
      </c>
      <c r="G13" t="s">
        <v>156</v>
      </c>
      <c r="I13" t="s">
        <v>164</v>
      </c>
      <c r="J13" t="s">
        <v>293</v>
      </c>
      <c r="K13">
        <v>1.349427606064308E-2</v>
      </c>
      <c r="L13" t="s">
        <v>166</v>
      </c>
      <c r="N13" t="s">
        <v>197</v>
      </c>
      <c r="O13" t="s">
        <v>293</v>
      </c>
      <c r="P13">
        <v>2.3977551830782286E-2</v>
      </c>
      <c r="Q13" t="s">
        <v>166</v>
      </c>
      <c r="S13" t="s">
        <v>219</v>
      </c>
      <c r="T13" t="s">
        <v>293</v>
      </c>
      <c r="U13">
        <v>2.3312275923550334E-2</v>
      </c>
      <c r="V13" t="s">
        <v>166</v>
      </c>
      <c r="X13">
        <v>2.0776255707762557E-2</v>
      </c>
      <c r="Y13">
        <v>3.5896543437005365E-2</v>
      </c>
      <c r="Z13" t="s">
        <v>293</v>
      </c>
      <c r="AA13" t="s">
        <v>25</v>
      </c>
      <c r="AC13" t="s">
        <v>22</v>
      </c>
      <c r="AD13" t="s">
        <v>293</v>
      </c>
      <c r="AE13">
        <v>2.2637574024520383E-2</v>
      </c>
      <c r="AG13" t="s">
        <v>96</v>
      </c>
      <c r="AH13" t="s">
        <v>293</v>
      </c>
      <c r="AI13">
        <v>0.16609836701710967</v>
      </c>
      <c r="AK13">
        <v>2020</v>
      </c>
      <c r="AL13" t="s">
        <v>288</v>
      </c>
      <c r="AM13">
        <v>0.40925432683349222</v>
      </c>
      <c r="AN13" t="s">
        <v>238</v>
      </c>
    </row>
    <row r="14" spans="1:40" x14ac:dyDescent="0.45">
      <c r="C14" t="s">
        <v>290</v>
      </c>
      <c r="I14" t="s">
        <v>164</v>
      </c>
      <c r="J14" t="s">
        <v>294</v>
      </c>
      <c r="K14">
        <v>0.2727702615603621</v>
      </c>
      <c r="L14" t="s">
        <v>166</v>
      </c>
      <c r="N14" t="s">
        <v>197</v>
      </c>
      <c r="O14" t="s">
        <v>294</v>
      </c>
      <c r="P14">
        <v>9.591358914351289E-2</v>
      </c>
      <c r="Q14" t="s">
        <v>166</v>
      </c>
      <c r="S14" t="s">
        <v>219</v>
      </c>
      <c r="T14" t="s">
        <v>294</v>
      </c>
      <c r="U14">
        <v>0.11209388796200614</v>
      </c>
      <c r="V14" t="s">
        <v>166</v>
      </c>
      <c r="X14">
        <v>0.11552511415525114</v>
      </c>
      <c r="Y14">
        <v>0.16263862301005233</v>
      </c>
      <c r="Z14" t="s">
        <v>294</v>
      </c>
      <c r="AA14" t="s">
        <v>25</v>
      </c>
      <c r="AC14" t="s">
        <v>22</v>
      </c>
      <c r="AD14" t="s">
        <v>294</v>
      </c>
      <c r="AE14">
        <v>0.13551107552473518</v>
      </c>
      <c r="AG14" t="s">
        <v>96</v>
      </c>
      <c r="AH14" t="s">
        <v>294</v>
      </c>
      <c r="AI14">
        <v>0.22024800426650004</v>
      </c>
      <c r="AK14">
        <v>2020</v>
      </c>
      <c r="AL14" t="s">
        <v>290</v>
      </c>
      <c r="AM14">
        <v>0.37185954719197567</v>
      </c>
      <c r="AN14" t="s">
        <v>238</v>
      </c>
    </row>
    <row r="15" spans="1:40" x14ac:dyDescent="0.45">
      <c r="I15" t="s">
        <v>164</v>
      </c>
      <c r="J15" t="s">
        <v>295</v>
      </c>
      <c r="K15">
        <v>5.4170713844740133E-3</v>
      </c>
      <c r="L15" t="s">
        <v>166</v>
      </c>
      <c r="N15" t="s">
        <v>197</v>
      </c>
      <c r="O15" t="s">
        <v>295</v>
      </c>
      <c r="P15">
        <v>0.11713783592325948</v>
      </c>
      <c r="Q15" t="s">
        <v>166</v>
      </c>
      <c r="S15" t="s">
        <v>219</v>
      </c>
      <c r="T15" t="s">
        <v>295</v>
      </c>
      <c r="U15">
        <v>0.11600875157054553</v>
      </c>
      <c r="V15" t="s">
        <v>166</v>
      </c>
      <c r="X15">
        <v>0.11552511415525114</v>
      </c>
      <c r="Y15">
        <v>5.3125160563193538E-2</v>
      </c>
      <c r="Z15" t="s">
        <v>295</v>
      </c>
      <c r="AA15" t="s">
        <v>25</v>
      </c>
      <c r="AC15" t="s">
        <v>22</v>
      </c>
      <c r="AD15" t="s">
        <v>295</v>
      </c>
      <c r="AE15">
        <v>0.10048263795391252</v>
      </c>
      <c r="AG15" t="s">
        <v>96</v>
      </c>
      <c r="AH15" t="s">
        <v>295</v>
      </c>
      <c r="AI15">
        <v>0.41879867138276894</v>
      </c>
      <c r="AK15">
        <v>2021</v>
      </c>
      <c r="AL15" t="s">
        <v>285</v>
      </c>
      <c r="AM15">
        <v>0.32311381832505282</v>
      </c>
      <c r="AN15" t="s">
        <v>238</v>
      </c>
    </row>
    <row r="16" spans="1:40" x14ac:dyDescent="0.45">
      <c r="I16" t="s">
        <v>164</v>
      </c>
      <c r="J16" t="s">
        <v>296</v>
      </c>
      <c r="K16">
        <v>3.2605368212607372E-2</v>
      </c>
      <c r="L16" t="s">
        <v>166</v>
      </c>
      <c r="N16" t="s">
        <v>197</v>
      </c>
      <c r="O16" t="s">
        <v>296</v>
      </c>
      <c r="P16">
        <v>1.8503167298780734E-2</v>
      </c>
      <c r="Q16" t="s">
        <v>166</v>
      </c>
      <c r="S16" t="s">
        <v>219</v>
      </c>
      <c r="T16" t="s">
        <v>296</v>
      </c>
      <c r="U16">
        <v>2.142476284748468E-2</v>
      </c>
      <c r="V16" t="s">
        <v>166</v>
      </c>
      <c r="X16">
        <v>2.1004566210045664E-2</v>
      </c>
      <c r="Y16">
        <v>3.6291010947302131E-2</v>
      </c>
      <c r="Z16" t="s">
        <v>296</v>
      </c>
      <c r="AA16" t="s">
        <v>25</v>
      </c>
      <c r="AC16" t="s">
        <v>22</v>
      </c>
      <c r="AD16" t="s">
        <v>296</v>
      </c>
      <c r="AE16">
        <v>2.5034684908137404E-2</v>
      </c>
      <c r="AG16" t="s">
        <v>96</v>
      </c>
      <c r="AH16" t="s">
        <v>296</v>
      </c>
      <c r="AI16">
        <v>0.21176347115901417</v>
      </c>
      <c r="AK16">
        <v>2021</v>
      </c>
      <c r="AL16" t="s">
        <v>287</v>
      </c>
      <c r="AM16">
        <v>0.40189287354220665</v>
      </c>
      <c r="AN16" t="s">
        <v>238</v>
      </c>
    </row>
    <row r="17" spans="9:40" x14ac:dyDescent="0.45">
      <c r="I17" t="s">
        <v>164</v>
      </c>
      <c r="J17" t="s">
        <v>297</v>
      </c>
      <c r="K17">
        <v>0.31544476851746767</v>
      </c>
      <c r="L17" t="s">
        <v>166</v>
      </c>
      <c r="N17" t="s">
        <v>197</v>
      </c>
      <c r="O17" t="s">
        <v>297</v>
      </c>
      <c r="P17">
        <v>7.2918576392175707E-2</v>
      </c>
      <c r="Q17" t="s">
        <v>166</v>
      </c>
      <c r="S17" t="s">
        <v>219</v>
      </c>
      <c r="T17" t="s">
        <v>297</v>
      </c>
      <c r="U17">
        <v>9.0193633869286055E-2</v>
      </c>
      <c r="V17" t="s">
        <v>166</v>
      </c>
      <c r="X17">
        <v>0.11552511415525114</v>
      </c>
      <c r="Y17">
        <v>0.16263862301005233</v>
      </c>
      <c r="Z17" t="s">
        <v>297</v>
      </c>
      <c r="AA17" t="s">
        <v>25</v>
      </c>
      <c r="AC17" t="s">
        <v>22</v>
      </c>
      <c r="AD17" t="s">
        <v>297</v>
      </c>
      <c r="AE17">
        <v>0.11376739849528658</v>
      </c>
      <c r="AG17" t="s">
        <v>96</v>
      </c>
      <c r="AH17" t="s">
        <v>297</v>
      </c>
      <c r="AI17">
        <v>0.11652662920397838</v>
      </c>
      <c r="AK17">
        <v>2021</v>
      </c>
      <c r="AL17" t="s">
        <v>288</v>
      </c>
      <c r="AM17">
        <v>0.51385923793233268</v>
      </c>
      <c r="AN17" t="s">
        <v>238</v>
      </c>
    </row>
    <row r="18" spans="9:40" x14ac:dyDescent="0.45">
      <c r="I18" t="s">
        <v>164</v>
      </c>
      <c r="J18" t="s">
        <v>298</v>
      </c>
      <c r="K18">
        <v>1.6213890982742285E-2</v>
      </c>
      <c r="L18" t="s">
        <v>166</v>
      </c>
      <c r="N18" t="s">
        <v>197</v>
      </c>
      <c r="O18" t="s">
        <v>298</v>
      </c>
      <c r="P18">
        <v>8.1372688955921854E-2</v>
      </c>
      <c r="Q18" t="s">
        <v>166</v>
      </c>
      <c r="S18" t="s">
        <v>219</v>
      </c>
      <c r="T18" t="s">
        <v>298</v>
      </c>
      <c r="U18">
        <v>8.5607556694211259E-2</v>
      </c>
      <c r="V18" t="s">
        <v>166</v>
      </c>
      <c r="X18">
        <v>0.11552511415525114</v>
      </c>
      <c r="Y18">
        <v>5.3125160563193538E-2</v>
      </c>
      <c r="Z18" t="s">
        <v>298</v>
      </c>
      <c r="AA18" t="s">
        <v>25</v>
      </c>
      <c r="AC18" t="s">
        <v>22</v>
      </c>
      <c r="AD18" t="s">
        <v>298</v>
      </c>
      <c r="AE18">
        <v>8.1319196279968115E-2</v>
      </c>
      <c r="AG18" t="s">
        <v>96</v>
      </c>
      <c r="AH18" t="s">
        <v>298</v>
      </c>
      <c r="AI18">
        <v>0.26664324648860149</v>
      </c>
      <c r="AK18">
        <v>2021</v>
      </c>
      <c r="AL18" t="s">
        <v>290</v>
      </c>
      <c r="AM18">
        <v>0.38003160799741093</v>
      </c>
      <c r="AN18" t="s">
        <v>238</v>
      </c>
    </row>
    <row r="19" spans="9:40" x14ac:dyDescent="0.45">
      <c r="I19" t="s">
        <v>164</v>
      </c>
      <c r="J19" t="s">
        <v>299</v>
      </c>
      <c r="K19">
        <v>4.1205743646510501E-2</v>
      </c>
      <c r="L19" t="s">
        <v>166</v>
      </c>
      <c r="N19" t="s">
        <v>197</v>
      </c>
      <c r="O19" t="s">
        <v>299</v>
      </c>
      <c r="P19">
        <v>1.289215911418906E-2</v>
      </c>
      <c r="Q19" t="s">
        <v>166</v>
      </c>
      <c r="S19" t="s">
        <v>219</v>
      </c>
      <c r="T19" t="s">
        <v>299</v>
      </c>
      <c r="U19">
        <v>1.6530226706159303E-2</v>
      </c>
      <c r="V19" t="s">
        <v>166</v>
      </c>
      <c r="X19">
        <v>2.1004566210045664E-2</v>
      </c>
      <c r="Y19">
        <v>3.6291010947302131E-2</v>
      </c>
      <c r="Z19" t="s">
        <v>299</v>
      </c>
      <c r="AA19" t="s">
        <v>25</v>
      </c>
      <c r="AC19" t="s">
        <v>22</v>
      </c>
      <c r="AD19" t="s">
        <v>299</v>
      </c>
      <c r="AE19">
        <v>2.0819513785419224E-2</v>
      </c>
      <c r="AG19" t="s">
        <v>96</v>
      </c>
      <c r="AH19" t="s">
        <v>299</v>
      </c>
      <c r="AI19">
        <v>8.2939888326658107E-2</v>
      </c>
      <c r="AK19">
        <v>2022</v>
      </c>
      <c r="AL19" t="s">
        <v>285</v>
      </c>
      <c r="AM19">
        <v>0.34502991109580478</v>
      </c>
      <c r="AN19" t="s">
        <v>238</v>
      </c>
    </row>
    <row r="20" spans="9:40" x14ac:dyDescent="0.45">
      <c r="I20" t="s">
        <v>164</v>
      </c>
      <c r="J20" t="s">
        <v>300</v>
      </c>
      <c r="K20">
        <v>0.12988525646602708</v>
      </c>
      <c r="L20" t="s">
        <v>166</v>
      </c>
      <c r="N20" t="s">
        <v>197</v>
      </c>
      <c r="O20" t="s">
        <v>300</v>
      </c>
      <c r="P20">
        <v>0.14465194885604563</v>
      </c>
      <c r="Q20" t="s">
        <v>166</v>
      </c>
      <c r="S20" t="s">
        <v>219</v>
      </c>
      <c r="T20" t="s">
        <v>300</v>
      </c>
      <c r="U20">
        <v>0.12831794059389917</v>
      </c>
      <c r="V20" t="s">
        <v>166</v>
      </c>
      <c r="X20">
        <v>0.11301369863013698</v>
      </c>
      <c r="Y20">
        <v>0.15910300077070333</v>
      </c>
      <c r="Z20" t="s">
        <v>300</v>
      </c>
      <c r="AA20" t="s">
        <v>25</v>
      </c>
      <c r="AC20" t="s">
        <v>22</v>
      </c>
      <c r="AD20" t="s">
        <v>300</v>
      </c>
      <c r="AE20">
        <v>0.15008049673136389</v>
      </c>
      <c r="AG20" t="s">
        <v>96</v>
      </c>
      <c r="AH20" t="s">
        <v>300</v>
      </c>
      <c r="AI20">
        <v>0.13042023902363176</v>
      </c>
      <c r="AK20">
        <v>2022</v>
      </c>
      <c r="AL20" t="s">
        <v>287</v>
      </c>
      <c r="AM20">
        <v>0.37165652623120193</v>
      </c>
      <c r="AN20" t="s">
        <v>238</v>
      </c>
    </row>
    <row r="21" spans="9:40" x14ac:dyDescent="0.45">
      <c r="I21" t="s">
        <v>164</v>
      </c>
      <c r="J21" t="s">
        <v>301</v>
      </c>
      <c r="K21">
        <v>0</v>
      </c>
      <c r="L21" t="s">
        <v>166</v>
      </c>
      <c r="N21" t="s">
        <v>197</v>
      </c>
      <c r="O21" t="s">
        <v>301</v>
      </c>
      <c r="P21">
        <v>0.14265365910640271</v>
      </c>
      <c r="Q21" t="s">
        <v>166</v>
      </c>
      <c r="S21" t="s">
        <v>219</v>
      </c>
      <c r="T21" t="s">
        <v>301</v>
      </c>
      <c r="U21">
        <v>0.12932388441696235</v>
      </c>
      <c r="V21" t="s">
        <v>166</v>
      </c>
      <c r="X21">
        <v>0.11301369863013698</v>
      </c>
      <c r="Y21">
        <v>5.197026576834151E-2</v>
      </c>
      <c r="Z21" t="s">
        <v>301</v>
      </c>
      <c r="AA21" t="s">
        <v>25</v>
      </c>
      <c r="AC21" t="s">
        <v>22</v>
      </c>
      <c r="AD21" t="s">
        <v>301</v>
      </c>
      <c r="AE21">
        <v>0.11194412076470171</v>
      </c>
      <c r="AG21" t="s">
        <v>96</v>
      </c>
      <c r="AH21" t="s">
        <v>301</v>
      </c>
      <c r="AI21">
        <v>0.32342907502345386</v>
      </c>
      <c r="AK21">
        <v>2022</v>
      </c>
      <c r="AL21" t="s">
        <v>288</v>
      </c>
      <c r="AM21">
        <v>0.33206205861469318</v>
      </c>
      <c r="AN21" t="s">
        <v>238</v>
      </c>
    </row>
    <row r="22" spans="9:40" x14ac:dyDescent="0.45">
      <c r="I22" t="s">
        <v>164</v>
      </c>
      <c r="J22" t="s">
        <v>302</v>
      </c>
      <c r="K22">
        <v>5.324437005537465E-3</v>
      </c>
      <c r="L22" t="s">
        <v>166</v>
      </c>
      <c r="N22" t="s">
        <v>197</v>
      </c>
      <c r="O22" t="s">
        <v>302</v>
      </c>
      <c r="P22">
        <v>2.640823758450065E-2</v>
      </c>
      <c r="Q22" t="s">
        <v>166</v>
      </c>
      <c r="S22" t="s">
        <v>219</v>
      </c>
      <c r="T22" t="s">
        <v>302</v>
      </c>
      <c r="U22">
        <v>2.3687978294168383E-2</v>
      </c>
      <c r="V22" t="s">
        <v>166</v>
      </c>
      <c r="X22">
        <v>2.0547945205479451E-2</v>
      </c>
      <c r="Y22">
        <v>3.5502075926708607E-2</v>
      </c>
      <c r="Z22" t="s">
        <v>302</v>
      </c>
      <c r="AA22" t="s">
        <v>25</v>
      </c>
      <c r="AC22" t="s">
        <v>22</v>
      </c>
      <c r="AD22" t="s">
        <v>302</v>
      </c>
      <c r="AE22">
        <v>2.8334252656033367E-2</v>
      </c>
      <c r="AG22" t="s">
        <v>96</v>
      </c>
      <c r="AH22" t="s">
        <v>302</v>
      </c>
      <c r="AI22">
        <v>0.10802714049505879</v>
      </c>
      <c r="AK22">
        <v>2022</v>
      </c>
      <c r="AL22" t="s">
        <v>290</v>
      </c>
      <c r="AM22">
        <v>0.37357551025614394</v>
      </c>
      <c r="AN22" t="s">
        <v>238</v>
      </c>
    </row>
    <row r="23" spans="9:40" x14ac:dyDescent="0.45">
      <c r="I23" t="s">
        <v>175</v>
      </c>
      <c r="J23" t="s">
        <v>291</v>
      </c>
      <c r="K23">
        <v>0.16013156982192134</v>
      </c>
      <c r="L23" t="s">
        <v>166</v>
      </c>
      <c r="N23" t="s">
        <v>198</v>
      </c>
      <c r="O23" t="s">
        <v>291</v>
      </c>
      <c r="P23">
        <v>0.13236815272030841</v>
      </c>
      <c r="Q23" t="s">
        <v>166</v>
      </c>
      <c r="S23" t="s">
        <v>220</v>
      </c>
      <c r="T23" t="s">
        <v>291</v>
      </c>
      <c r="U23">
        <v>0.12188322890357199</v>
      </c>
      <c r="V23" t="s">
        <v>166</v>
      </c>
      <c r="AC23" t="s">
        <v>19</v>
      </c>
      <c r="AD23" t="s">
        <v>291</v>
      </c>
      <c r="AE23">
        <v>0.11506316199164349</v>
      </c>
      <c r="AK23">
        <v>2025</v>
      </c>
      <c r="AL23" t="s">
        <v>285</v>
      </c>
      <c r="AM23">
        <v>0.35933333333333334</v>
      </c>
      <c r="AN23" t="s">
        <v>238</v>
      </c>
    </row>
    <row r="24" spans="9:40" x14ac:dyDescent="0.45">
      <c r="I24" t="s">
        <v>175</v>
      </c>
      <c r="J24" t="s">
        <v>292</v>
      </c>
      <c r="K24">
        <v>6.6921212446046101E-4</v>
      </c>
      <c r="L24" t="s">
        <v>166</v>
      </c>
      <c r="N24" t="s">
        <v>198</v>
      </c>
      <c r="O24" t="s">
        <v>292</v>
      </c>
      <c r="P24">
        <v>0.14487834343261946</v>
      </c>
      <c r="Q24" t="s">
        <v>166</v>
      </c>
      <c r="S24" t="s">
        <v>220</v>
      </c>
      <c r="T24" t="s">
        <v>292</v>
      </c>
      <c r="U24">
        <v>0.12768812052905804</v>
      </c>
      <c r="V24" t="s">
        <v>166</v>
      </c>
      <c r="AC24" t="s">
        <v>19</v>
      </c>
      <c r="AD24" t="s">
        <v>292</v>
      </c>
      <c r="AE24">
        <v>0.11321189286390412</v>
      </c>
      <c r="AK24">
        <v>2025</v>
      </c>
      <c r="AL24" t="s">
        <v>287</v>
      </c>
      <c r="AM24">
        <v>0.44729999999999998</v>
      </c>
      <c r="AN24" t="s">
        <v>238</v>
      </c>
    </row>
    <row r="25" spans="9:40" x14ac:dyDescent="0.45">
      <c r="I25" t="s">
        <v>175</v>
      </c>
      <c r="J25" t="s">
        <v>293</v>
      </c>
      <c r="K25">
        <v>1.4028251387574445E-2</v>
      </c>
      <c r="L25" t="s">
        <v>166</v>
      </c>
      <c r="N25" t="s">
        <v>198</v>
      </c>
      <c r="O25" t="s">
        <v>293</v>
      </c>
      <c r="P25">
        <v>2.290807735067419E-2</v>
      </c>
      <c r="Q25" t="s">
        <v>166</v>
      </c>
      <c r="S25" t="s">
        <v>220</v>
      </c>
      <c r="T25" t="s">
        <v>293</v>
      </c>
      <c r="U25">
        <v>2.2622333458918103E-2</v>
      </c>
      <c r="V25" t="s">
        <v>166</v>
      </c>
      <c r="AC25" t="s">
        <v>19</v>
      </c>
      <c r="AD25" t="s">
        <v>293</v>
      </c>
      <c r="AE25">
        <v>2.0950801910466603E-2</v>
      </c>
      <c r="AK25">
        <v>2025</v>
      </c>
      <c r="AL25" t="s">
        <v>288</v>
      </c>
      <c r="AM25">
        <v>0.44846666666666662</v>
      </c>
      <c r="AN25" t="s">
        <v>238</v>
      </c>
    </row>
    <row r="26" spans="9:40" x14ac:dyDescent="0.45">
      <c r="I26" t="s">
        <v>175</v>
      </c>
      <c r="J26" t="s">
        <v>294</v>
      </c>
      <c r="K26">
        <v>0.26435082070005428</v>
      </c>
      <c r="L26" t="s">
        <v>166</v>
      </c>
      <c r="N26" t="s">
        <v>198</v>
      </c>
      <c r="O26" t="s">
        <v>294</v>
      </c>
      <c r="P26">
        <v>9.2246083234073559E-2</v>
      </c>
      <c r="Q26" t="s">
        <v>166</v>
      </c>
      <c r="S26" t="s">
        <v>220</v>
      </c>
      <c r="T26" t="s">
        <v>294</v>
      </c>
      <c r="U26">
        <v>0.10527459616645631</v>
      </c>
      <c r="V26" t="s">
        <v>166</v>
      </c>
      <c r="AC26" t="s">
        <v>19</v>
      </c>
      <c r="AD26" t="s">
        <v>294</v>
      </c>
      <c r="AE26">
        <v>0.11643727462754408</v>
      </c>
      <c r="AK26">
        <v>2025</v>
      </c>
      <c r="AL26" t="s">
        <v>290</v>
      </c>
      <c r="AM26">
        <v>0.35686666666666667</v>
      </c>
      <c r="AN26" t="s">
        <v>238</v>
      </c>
    </row>
    <row r="27" spans="9:40" x14ac:dyDescent="0.45">
      <c r="I27" t="s">
        <v>175</v>
      </c>
      <c r="J27" t="s">
        <v>295</v>
      </c>
      <c r="K27">
        <v>6.4053922461593778E-3</v>
      </c>
      <c r="L27" t="s">
        <v>166</v>
      </c>
      <c r="N27" t="s">
        <v>198</v>
      </c>
      <c r="O27" t="s">
        <v>295</v>
      </c>
      <c r="P27">
        <v>0.10102182416197585</v>
      </c>
      <c r="Q27" t="s">
        <v>166</v>
      </c>
      <c r="S27" t="s">
        <v>220</v>
      </c>
      <c r="T27" t="s">
        <v>295</v>
      </c>
      <c r="U27">
        <v>0.11239612501899154</v>
      </c>
      <c r="V27" t="s">
        <v>166</v>
      </c>
      <c r="AC27" t="s">
        <v>19</v>
      </c>
      <c r="AD27" t="s">
        <v>295</v>
      </c>
      <c r="AE27">
        <v>0.11447308514247369</v>
      </c>
      <c r="AK27">
        <v>2026</v>
      </c>
      <c r="AL27" t="s">
        <v>285</v>
      </c>
      <c r="AM27">
        <v>0.28350000000000003</v>
      </c>
      <c r="AN27" t="s">
        <v>238</v>
      </c>
    </row>
    <row r="28" spans="9:40" x14ac:dyDescent="0.45">
      <c r="I28" t="s">
        <v>175</v>
      </c>
      <c r="J28" t="s">
        <v>296</v>
      </c>
      <c r="K28">
        <v>3.0754136078481781E-2</v>
      </c>
      <c r="L28" t="s">
        <v>166</v>
      </c>
      <c r="N28" t="s">
        <v>198</v>
      </c>
      <c r="O28" t="s">
        <v>296</v>
      </c>
      <c r="P28">
        <v>1.6584052458973889E-2</v>
      </c>
      <c r="Q28" t="s">
        <v>166</v>
      </c>
      <c r="S28" t="s">
        <v>220</v>
      </c>
      <c r="T28" t="s">
        <v>296</v>
      </c>
      <c r="U28">
        <v>2.0092851427181979E-2</v>
      </c>
      <c r="V28" t="s">
        <v>166</v>
      </c>
      <c r="AC28" t="s">
        <v>19</v>
      </c>
      <c r="AD28" t="s">
        <v>296</v>
      </c>
      <c r="AE28">
        <v>2.119263617281722E-2</v>
      </c>
      <c r="AK28">
        <v>2026</v>
      </c>
      <c r="AL28" t="s">
        <v>287</v>
      </c>
      <c r="AM28">
        <v>0.36903333333333332</v>
      </c>
      <c r="AN28" t="s">
        <v>238</v>
      </c>
    </row>
    <row r="29" spans="9:40" x14ac:dyDescent="0.45">
      <c r="I29" t="s">
        <v>175</v>
      </c>
      <c r="J29" t="s">
        <v>297</v>
      </c>
      <c r="K29">
        <v>0.36048773622681135</v>
      </c>
      <c r="L29" t="s">
        <v>166</v>
      </c>
      <c r="N29" t="s">
        <v>198</v>
      </c>
      <c r="O29" t="s">
        <v>297</v>
      </c>
      <c r="P29">
        <v>5.8986854395871778E-2</v>
      </c>
      <c r="Q29" t="s">
        <v>166</v>
      </c>
      <c r="S29" t="s">
        <v>220</v>
      </c>
      <c r="T29" t="s">
        <v>297</v>
      </c>
      <c r="U29">
        <v>9.1828182977593931E-2</v>
      </c>
      <c r="V29" t="s">
        <v>166</v>
      </c>
      <c r="AC29" t="s">
        <v>19</v>
      </c>
      <c r="AD29" t="s">
        <v>297</v>
      </c>
      <c r="AE29">
        <v>0.11626660111669057</v>
      </c>
      <c r="AK29">
        <v>2026</v>
      </c>
      <c r="AL29" t="s">
        <v>288</v>
      </c>
      <c r="AM29">
        <v>0.35473333333333334</v>
      </c>
      <c r="AN29" t="s">
        <v>238</v>
      </c>
    </row>
    <row r="30" spans="9:40" x14ac:dyDescent="0.45">
      <c r="I30" t="s">
        <v>175</v>
      </c>
      <c r="J30" t="s">
        <v>298</v>
      </c>
      <c r="K30">
        <v>2.111524373813628E-2</v>
      </c>
      <c r="L30" t="s">
        <v>166</v>
      </c>
      <c r="N30" t="s">
        <v>198</v>
      </c>
      <c r="O30" t="s">
        <v>298</v>
      </c>
      <c r="P30">
        <v>7.2835271326722281E-2</v>
      </c>
      <c r="Q30" t="s">
        <v>166</v>
      </c>
      <c r="S30" t="s">
        <v>220</v>
      </c>
      <c r="T30" t="s">
        <v>298</v>
      </c>
      <c r="U30">
        <v>9.0063257161122928E-2</v>
      </c>
      <c r="V30" t="s">
        <v>166</v>
      </c>
      <c r="AC30" t="s">
        <v>19</v>
      </c>
      <c r="AD30" t="s">
        <v>298</v>
      </c>
      <c r="AE30">
        <v>0.11444709610816986</v>
      </c>
      <c r="AK30">
        <v>2026</v>
      </c>
      <c r="AL30" t="s">
        <v>290</v>
      </c>
      <c r="AM30">
        <v>0.29203333333333337</v>
      </c>
      <c r="AN30" t="s">
        <v>238</v>
      </c>
    </row>
    <row r="31" spans="9:40" x14ac:dyDescent="0.45">
      <c r="I31" t="s">
        <v>175</v>
      </c>
      <c r="J31" t="s">
        <v>299</v>
      </c>
      <c r="K31">
        <v>4.7664583897896039E-2</v>
      </c>
      <c r="L31" t="s">
        <v>166</v>
      </c>
      <c r="N31" t="s">
        <v>198</v>
      </c>
      <c r="O31" t="s">
        <v>299</v>
      </c>
      <c r="P31">
        <v>1.0651249820048446E-2</v>
      </c>
      <c r="Q31" t="s">
        <v>166</v>
      </c>
      <c r="S31" t="s">
        <v>220</v>
      </c>
      <c r="T31" t="s">
        <v>299</v>
      </c>
      <c r="U31">
        <v>1.6929025420598605E-2</v>
      </c>
      <c r="V31" t="s">
        <v>166</v>
      </c>
      <c r="AC31" t="s">
        <v>19</v>
      </c>
      <c r="AD31" t="s">
        <v>299</v>
      </c>
      <c r="AE31">
        <v>2.1146925800818128E-2</v>
      </c>
      <c r="AK31">
        <v>2027</v>
      </c>
      <c r="AL31" t="s">
        <v>285</v>
      </c>
      <c r="AM31">
        <v>0.2959</v>
      </c>
      <c r="AN31" t="s">
        <v>238</v>
      </c>
    </row>
    <row r="32" spans="9:40" x14ac:dyDescent="0.45">
      <c r="I32" t="s">
        <v>175</v>
      </c>
      <c r="J32" t="s">
        <v>300</v>
      </c>
      <c r="K32">
        <v>9.1257436021575461E-2</v>
      </c>
      <c r="L32" t="s">
        <v>166</v>
      </c>
      <c r="N32" t="s">
        <v>198</v>
      </c>
      <c r="O32" t="s">
        <v>300</v>
      </c>
      <c r="P32">
        <v>0.1588613766854976</v>
      </c>
      <c r="Q32" t="s">
        <v>166</v>
      </c>
      <c r="S32" t="s">
        <v>220</v>
      </c>
      <c r="T32" t="s">
        <v>300</v>
      </c>
      <c r="U32">
        <v>0.13314280822841643</v>
      </c>
      <c r="V32" t="s">
        <v>166</v>
      </c>
      <c r="AC32" t="s">
        <v>19</v>
      </c>
      <c r="AD32" t="s">
        <v>300</v>
      </c>
      <c r="AE32">
        <v>0.11407471408982019</v>
      </c>
      <c r="AK32">
        <v>2027</v>
      </c>
      <c r="AL32" t="s">
        <v>287</v>
      </c>
      <c r="AM32">
        <v>0.35346666666666665</v>
      </c>
      <c r="AN32" t="s">
        <v>238</v>
      </c>
    </row>
    <row r="33" spans="9:40" x14ac:dyDescent="0.45">
      <c r="I33" t="s">
        <v>175</v>
      </c>
      <c r="J33" t="s">
        <v>301</v>
      </c>
      <c r="K33">
        <v>0</v>
      </c>
      <c r="L33" t="s">
        <v>166</v>
      </c>
      <c r="N33" t="s">
        <v>198</v>
      </c>
      <c r="O33" t="s">
        <v>301</v>
      </c>
      <c r="P33">
        <v>0.15970823930358863</v>
      </c>
      <c r="Q33" t="s">
        <v>166</v>
      </c>
      <c r="S33" t="s">
        <v>220</v>
      </c>
      <c r="T33" t="s">
        <v>301</v>
      </c>
      <c r="U33">
        <v>0.13333742395562051</v>
      </c>
      <c r="V33" t="s">
        <v>166</v>
      </c>
      <c r="AC33" t="s">
        <v>19</v>
      </c>
      <c r="AD33" t="s">
        <v>301</v>
      </c>
      <c r="AE33">
        <v>0.11193624963444851</v>
      </c>
      <c r="AK33">
        <v>2027</v>
      </c>
      <c r="AL33" t="s">
        <v>288</v>
      </c>
      <c r="AM33">
        <v>0.3565666666666667</v>
      </c>
      <c r="AN33" t="s">
        <v>238</v>
      </c>
    </row>
    <row r="34" spans="9:40" x14ac:dyDescent="0.45">
      <c r="I34" t="s">
        <v>175</v>
      </c>
      <c r="J34" t="s">
        <v>302</v>
      </c>
      <c r="K34">
        <v>3.135617756929446E-3</v>
      </c>
      <c r="L34" t="s">
        <v>166</v>
      </c>
      <c r="N34" t="s">
        <v>198</v>
      </c>
      <c r="O34" t="s">
        <v>302</v>
      </c>
      <c r="P34">
        <v>2.8950475109649414E-2</v>
      </c>
      <c r="Q34" t="s">
        <v>166</v>
      </c>
      <c r="S34" t="s">
        <v>220</v>
      </c>
      <c r="T34" t="s">
        <v>302</v>
      </c>
      <c r="U34">
        <v>2.4742046752470725E-2</v>
      </c>
      <c r="V34" t="s">
        <v>166</v>
      </c>
      <c r="AC34" t="s">
        <v>19</v>
      </c>
      <c r="AD34" t="s">
        <v>302</v>
      </c>
      <c r="AE34">
        <v>2.0799560541203545E-2</v>
      </c>
      <c r="AK34">
        <v>2027</v>
      </c>
      <c r="AL34" t="s">
        <v>290</v>
      </c>
      <c r="AM34">
        <v>0.29383333333333334</v>
      </c>
      <c r="AN34" t="s">
        <v>238</v>
      </c>
    </row>
    <row r="35" spans="9:40" x14ac:dyDescent="0.45">
      <c r="I35" t="s">
        <v>176</v>
      </c>
      <c r="J35" t="s">
        <v>291</v>
      </c>
      <c r="K35">
        <v>0.167543457131234</v>
      </c>
      <c r="L35" t="s">
        <v>166</v>
      </c>
      <c r="N35" t="s">
        <v>199</v>
      </c>
      <c r="O35" t="s">
        <v>291</v>
      </c>
      <c r="P35">
        <v>0.12942111234983095</v>
      </c>
      <c r="Q35" t="s">
        <v>166</v>
      </c>
      <c r="S35" t="s">
        <v>221</v>
      </c>
      <c r="T35" t="s">
        <v>291</v>
      </c>
      <c r="U35">
        <v>0.1246527634254639</v>
      </c>
      <c r="V35" t="s">
        <v>166</v>
      </c>
      <c r="AK35">
        <v>2028</v>
      </c>
      <c r="AL35" t="s">
        <v>285</v>
      </c>
      <c r="AM35">
        <v>0.29223333333333334</v>
      </c>
      <c r="AN35" t="s">
        <v>238</v>
      </c>
    </row>
    <row r="36" spans="9:40" x14ac:dyDescent="0.45">
      <c r="I36" t="s">
        <v>176</v>
      </c>
      <c r="J36" t="s">
        <v>292</v>
      </c>
      <c r="K36">
        <v>5.2127120297306524E-4</v>
      </c>
      <c r="L36" t="s">
        <v>166</v>
      </c>
      <c r="N36" t="s">
        <v>199</v>
      </c>
      <c r="O36" t="s">
        <v>292</v>
      </c>
      <c r="P36">
        <v>0.1398875353429711</v>
      </c>
      <c r="Q36" t="s">
        <v>166</v>
      </c>
      <c r="S36" t="s">
        <v>221</v>
      </c>
      <c r="T36" t="s">
        <v>292</v>
      </c>
      <c r="U36">
        <v>0.12944725995192541</v>
      </c>
      <c r="V36" t="s">
        <v>166</v>
      </c>
      <c r="AK36">
        <v>2028</v>
      </c>
      <c r="AL36" t="s">
        <v>287</v>
      </c>
      <c r="AM36">
        <v>0.33969999999999995</v>
      </c>
      <c r="AN36" t="s">
        <v>238</v>
      </c>
    </row>
    <row r="37" spans="9:40" x14ac:dyDescent="0.45">
      <c r="I37" t="s">
        <v>176</v>
      </c>
      <c r="J37" t="s">
        <v>293</v>
      </c>
      <c r="K37">
        <v>1.2943735084226637E-2</v>
      </c>
      <c r="L37" t="s">
        <v>166</v>
      </c>
      <c r="N37" t="s">
        <v>199</v>
      </c>
      <c r="O37" t="s">
        <v>293</v>
      </c>
      <c r="P37">
        <v>2.3732512801704651E-2</v>
      </c>
      <c r="Q37" t="s">
        <v>166</v>
      </c>
      <c r="S37" t="s">
        <v>221</v>
      </c>
      <c r="T37" t="s">
        <v>293</v>
      </c>
      <c r="U37">
        <v>2.3046500905393903E-2</v>
      </c>
      <c r="V37" t="s">
        <v>166</v>
      </c>
      <c r="AK37">
        <v>2028</v>
      </c>
      <c r="AL37" t="s">
        <v>288</v>
      </c>
      <c r="AM37">
        <v>0.39169999999999999</v>
      </c>
      <c r="AN37" t="s">
        <v>238</v>
      </c>
    </row>
    <row r="38" spans="9:40" x14ac:dyDescent="0.45">
      <c r="I38" t="s">
        <v>176</v>
      </c>
      <c r="J38" t="s">
        <v>294</v>
      </c>
      <c r="K38">
        <v>0.27194264447809791</v>
      </c>
      <c r="L38" t="s">
        <v>166</v>
      </c>
      <c r="N38" t="s">
        <v>199</v>
      </c>
      <c r="O38" t="s">
        <v>294</v>
      </c>
      <c r="P38">
        <v>9.1716429702494121E-2</v>
      </c>
      <c r="Q38" t="s">
        <v>166</v>
      </c>
      <c r="S38" t="s">
        <v>221</v>
      </c>
      <c r="T38" t="s">
        <v>294</v>
      </c>
      <c r="U38">
        <v>0.1073731263610596</v>
      </c>
      <c r="V38" t="s">
        <v>166</v>
      </c>
      <c r="AK38">
        <v>2028</v>
      </c>
      <c r="AL38" t="s">
        <v>290</v>
      </c>
      <c r="AM38">
        <v>0.28049999999999997</v>
      </c>
      <c r="AN38" t="s">
        <v>238</v>
      </c>
    </row>
    <row r="39" spans="9:40" x14ac:dyDescent="0.45">
      <c r="I39" t="s">
        <v>176</v>
      </c>
      <c r="J39" t="s">
        <v>295</v>
      </c>
      <c r="K39">
        <v>5.5188107270424981E-3</v>
      </c>
      <c r="L39" t="s">
        <v>166</v>
      </c>
      <c r="N39" t="s">
        <v>199</v>
      </c>
      <c r="O39" t="s">
        <v>295</v>
      </c>
      <c r="P39">
        <v>0.10990321718428751</v>
      </c>
      <c r="Q39" t="s">
        <v>166</v>
      </c>
      <c r="S39" t="s">
        <v>221</v>
      </c>
      <c r="T39" t="s">
        <v>295</v>
      </c>
      <c r="U39">
        <v>0.11573233692745111</v>
      </c>
      <c r="V39" t="s">
        <v>166</v>
      </c>
      <c r="AK39">
        <v>2029</v>
      </c>
      <c r="AL39" t="s">
        <v>285</v>
      </c>
      <c r="AM39">
        <v>0.28889999999999999</v>
      </c>
      <c r="AN39" t="s">
        <v>238</v>
      </c>
    </row>
    <row r="40" spans="9:40" x14ac:dyDescent="0.45">
      <c r="I40" t="s">
        <v>176</v>
      </c>
      <c r="J40" t="s">
        <v>296</v>
      </c>
      <c r="K40">
        <v>3.1534185175220303E-2</v>
      </c>
      <c r="L40" t="s">
        <v>166</v>
      </c>
      <c r="N40" t="s">
        <v>199</v>
      </c>
      <c r="O40" t="s">
        <v>296</v>
      </c>
      <c r="P40">
        <v>1.7192824764931881E-2</v>
      </c>
      <c r="Q40" t="s">
        <v>166</v>
      </c>
      <c r="S40" t="s">
        <v>221</v>
      </c>
      <c r="T40" t="s">
        <v>296</v>
      </c>
      <c r="U40">
        <v>2.1016699020627728E-2</v>
      </c>
      <c r="V40" t="s">
        <v>166</v>
      </c>
      <c r="AK40">
        <v>2029</v>
      </c>
      <c r="AL40" t="s">
        <v>287</v>
      </c>
      <c r="AM40">
        <v>0.35093333333333332</v>
      </c>
      <c r="AN40" t="s">
        <v>238</v>
      </c>
    </row>
    <row r="41" spans="9:40" x14ac:dyDescent="0.45">
      <c r="I41" t="s">
        <v>176</v>
      </c>
      <c r="J41" t="s">
        <v>297</v>
      </c>
      <c r="K41">
        <v>0.34169508839634316</v>
      </c>
      <c r="L41" t="s">
        <v>166</v>
      </c>
      <c r="N41" t="s">
        <v>199</v>
      </c>
      <c r="O41" t="s">
        <v>297</v>
      </c>
      <c r="P41">
        <v>6.369953827251873E-2</v>
      </c>
      <c r="Q41" t="s">
        <v>166</v>
      </c>
      <c r="S41" t="s">
        <v>221</v>
      </c>
      <c r="T41" t="s">
        <v>297</v>
      </c>
      <c r="U41">
        <v>8.7638681036728644E-2</v>
      </c>
      <c r="V41" t="s">
        <v>166</v>
      </c>
      <c r="AK41">
        <v>2029</v>
      </c>
      <c r="AL41" t="s">
        <v>288</v>
      </c>
      <c r="AM41">
        <v>0.37940000000000002</v>
      </c>
      <c r="AN41" t="s">
        <v>238</v>
      </c>
    </row>
    <row r="42" spans="9:40" x14ac:dyDescent="0.45">
      <c r="I42" t="s">
        <v>176</v>
      </c>
      <c r="J42" t="s">
        <v>298</v>
      </c>
      <c r="K42">
        <v>1.8681660362931684E-2</v>
      </c>
      <c r="L42" t="s">
        <v>166</v>
      </c>
      <c r="N42" t="s">
        <v>199</v>
      </c>
      <c r="O42" t="s">
        <v>298</v>
      </c>
      <c r="P42">
        <v>7.8299137100545368E-2</v>
      </c>
      <c r="Q42" t="s">
        <v>166</v>
      </c>
      <c r="S42" t="s">
        <v>221</v>
      </c>
      <c r="T42" t="s">
        <v>298</v>
      </c>
      <c r="U42">
        <v>8.5540823853781214E-2</v>
      </c>
      <c r="V42" t="s">
        <v>166</v>
      </c>
      <c r="AK42">
        <v>2029</v>
      </c>
      <c r="AL42" t="s">
        <v>290</v>
      </c>
      <c r="AM42">
        <v>0.31263333333333332</v>
      </c>
      <c r="AN42" t="s">
        <v>238</v>
      </c>
    </row>
    <row r="43" spans="9:40" x14ac:dyDescent="0.45">
      <c r="I43" t="s">
        <v>176</v>
      </c>
      <c r="J43" t="s">
        <v>299</v>
      </c>
      <c r="K43">
        <v>4.5488894316462442E-2</v>
      </c>
      <c r="L43" t="s">
        <v>166</v>
      </c>
      <c r="N43" t="s">
        <v>199</v>
      </c>
      <c r="O43" t="s">
        <v>299</v>
      </c>
      <c r="P43">
        <v>1.075577882104764E-2</v>
      </c>
      <c r="Q43" t="s">
        <v>166</v>
      </c>
      <c r="S43" t="s">
        <v>221</v>
      </c>
      <c r="T43" t="s">
        <v>299</v>
      </c>
      <c r="U43">
        <v>1.613813244454005E-2</v>
      </c>
      <c r="V43" t="s">
        <v>166</v>
      </c>
      <c r="AK43">
        <v>2030</v>
      </c>
      <c r="AL43" t="s">
        <v>285</v>
      </c>
      <c r="AM43">
        <v>0.29209999999999997</v>
      </c>
      <c r="AN43" t="s">
        <v>238</v>
      </c>
    </row>
    <row r="44" spans="9:40" x14ac:dyDescent="0.45">
      <c r="I44" t="s">
        <v>176</v>
      </c>
      <c r="J44" t="s">
        <v>300</v>
      </c>
      <c r="K44">
        <v>0.10038428715391327</v>
      </c>
      <c r="L44" t="s">
        <v>166</v>
      </c>
      <c r="N44" t="s">
        <v>199</v>
      </c>
      <c r="O44" t="s">
        <v>300</v>
      </c>
      <c r="P44">
        <v>0.15411185837315422</v>
      </c>
      <c r="Q44" t="s">
        <v>166</v>
      </c>
      <c r="S44" t="s">
        <v>221</v>
      </c>
      <c r="T44" t="s">
        <v>300</v>
      </c>
      <c r="U44">
        <v>0.13219078645722573</v>
      </c>
      <c r="V44" t="s">
        <v>166</v>
      </c>
      <c r="AK44">
        <v>2030</v>
      </c>
      <c r="AL44" t="s">
        <v>287</v>
      </c>
      <c r="AM44">
        <v>0.35943333333333333</v>
      </c>
      <c r="AN44" t="s">
        <v>238</v>
      </c>
    </row>
    <row r="45" spans="9:40" x14ac:dyDescent="0.45">
      <c r="I45" t="s">
        <v>176</v>
      </c>
      <c r="J45" t="s">
        <v>301</v>
      </c>
      <c r="K45">
        <v>0</v>
      </c>
      <c r="L45" t="s">
        <v>166</v>
      </c>
      <c r="N45" t="s">
        <v>199</v>
      </c>
      <c r="O45" t="s">
        <v>301</v>
      </c>
      <c r="P45">
        <v>0.15236177159181574</v>
      </c>
      <c r="Q45" t="s">
        <v>166</v>
      </c>
      <c r="S45" t="s">
        <v>221</v>
      </c>
      <c r="T45" t="s">
        <v>301</v>
      </c>
      <c r="U45">
        <v>0.13307014832667177</v>
      </c>
      <c r="V45" t="s">
        <v>166</v>
      </c>
      <c r="AK45">
        <v>2030</v>
      </c>
      <c r="AL45" t="s">
        <v>288</v>
      </c>
      <c r="AM45">
        <v>0.37683333333333335</v>
      </c>
      <c r="AN45" t="s">
        <v>238</v>
      </c>
    </row>
    <row r="46" spans="9:40" x14ac:dyDescent="0.45">
      <c r="I46" t="s">
        <v>176</v>
      </c>
      <c r="J46" t="s">
        <v>302</v>
      </c>
      <c r="K46">
        <v>3.745965971555409E-3</v>
      </c>
      <c r="L46" t="s">
        <v>166</v>
      </c>
      <c r="N46" t="s">
        <v>199</v>
      </c>
      <c r="O46" t="s">
        <v>302</v>
      </c>
      <c r="P46">
        <v>2.8918283694697514E-2</v>
      </c>
      <c r="Q46" t="s">
        <v>166</v>
      </c>
      <c r="S46" t="s">
        <v>221</v>
      </c>
      <c r="T46" t="s">
        <v>302</v>
      </c>
      <c r="U46">
        <v>2.4152741289129569E-2</v>
      </c>
      <c r="V46" t="s">
        <v>166</v>
      </c>
      <c r="AK46">
        <v>2030</v>
      </c>
      <c r="AL46" t="s">
        <v>290</v>
      </c>
      <c r="AM46">
        <v>0.29183333333333333</v>
      </c>
      <c r="AN46" t="s">
        <v>238</v>
      </c>
    </row>
    <row r="47" spans="9:40" x14ac:dyDescent="0.45">
      <c r="I47" t="s">
        <v>177</v>
      </c>
      <c r="J47" t="s">
        <v>291</v>
      </c>
      <c r="K47">
        <v>0.16424977110830319</v>
      </c>
      <c r="L47" t="s">
        <v>166</v>
      </c>
      <c r="N47" t="s">
        <v>200</v>
      </c>
      <c r="O47" t="s">
        <v>291</v>
      </c>
      <c r="P47">
        <v>0.12138673300032828</v>
      </c>
      <c r="Q47" t="s">
        <v>166</v>
      </c>
      <c r="S47" t="s">
        <v>222</v>
      </c>
      <c r="T47" t="s">
        <v>291</v>
      </c>
      <c r="U47">
        <v>0.12423824668208848</v>
      </c>
      <c r="V47" t="s">
        <v>166</v>
      </c>
      <c r="AK47">
        <v>2031</v>
      </c>
      <c r="AL47" t="s">
        <v>285</v>
      </c>
      <c r="AM47">
        <v>0.28260000000000002</v>
      </c>
      <c r="AN47" t="s">
        <v>238</v>
      </c>
    </row>
    <row r="48" spans="9:40" x14ac:dyDescent="0.45">
      <c r="I48" t="s">
        <v>177</v>
      </c>
      <c r="J48" t="s">
        <v>292</v>
      </c>
      <c r="K48">
        <v>0</v>
      </c>
      <c r="L48" t="s">
        <v>166</v>
      </c>
      <c r="N48" t="s">
        <v>200</v>
      </c>
      <c r="O48" t="s">
        <v>292</v>
      </c>
      <c r="P48">
        <v>0.12733905552688893</v>
      </c>
      <c r="Q48" t="s">
        <v>166</v>
      </c>
      <c r="S48" t="s">
        <v>222</v>
      </c>
      <c r="T48" t="s">
        <v>292</v>
      </c>
      <c r="U48">
        <v>0.12666674062648844</v>
      </c>
      <c r="V48" t="s">
        <v>166</v>
      </c>
      <c r="AK48">
        <v>2031</v>
      </c>
      <c r="AL48" t="s">
        <v>287</v>
      </c>
      <c r="AM48">
        <v>0.36216666666666669</v>
      </c>
      <c r="AN48" t="s">
        <v>238</v>
      </c>
    </row>
    <row r="49" spans="9:40" x14ac:dyDescent="0.45">
      <c r="I49" t="s">
        <v>177</v>
      </c>
      <c r="J49" t="s">
        <v>293</v>
      </c>
      <c r="K49">
        <v>5.753739807615359E-3</v>
      </c>
      <c r="L49" t="s">
        <v>166</v>
      </c>
      <c r="N49" t="s">
        <v>200</v>
      </c>
      <c r="O49" t="s">
        <v>293</v>
      </c>
      <c r="P49">
        <v>2.2442181413643385E-2</v>
      </c>
      <c r="Q49" t="s">
        <v>166</v>
      </c>
      <c r="S49" t="s">
        <v>222</v>
      </c>
      <c r="T49" t="s">
        <v>293</v>
      </c>
      <c r="U49">
        <v>2.2576169442271914E-2</v>
      </c>
      <c r="V49" t="s">
        <v>166</v>
      </c>
      <c r="AK49">
        <v>2031</v>
      </c>
      <c r="AL49" t="s">
        <v>288</v>
      </c>
      <c r="AM49">
        <v>0.37503333333333333</v>
      </c>
      <c r="AN49" t="s">
        <v>238</v>
      </c>
    </row>
    <row r="50" spans="9:40" x14ac:dyDescent="0.45">
      <c r="I50" t="s">
        <v>177</v>
      </c>
      <c r="J50" t="s">
        <v>294</v>
      </c>
      <c r="K50">
        <v>0.28340281583934013</v>
      </c>
      <c r="L50" t="s">
        <v>166</v>
      </c>
      <c r="N50" t="s">
        <v>200</v>
      </c>
      <c r="O50" t="s">
        <v>294</v>
      </c>
      <c r="P50">
        <v>0.10598322054738127</v>
      </c>
      <c r="Q50" t="s">
        <v>166</v>
      </c>
      <c r="S50" t="s">
        <v>222</v>
      </c>
      <c r="T50" t="s">
        <v>294</v>
      </c>
      <c r="U50">
        <v>0.10354448689892207</v>
      </c>
      <c r="V50" t="s">
        <v>166</v>
      </c>
      <c r="AK50">
        <v>2031</v>
      </c>
      <c r="AL50" t="s">
        <v>290</v>
      </c>
      <c r="AM50">
        <v>0.30306666666666665</v>
      </c>
      <c r="AN50" t="s">
        <v>238</v>
      </c>
    </row>
    <row r="51" spans="9:40" x14ac:dyDescent="0.45">
      <c r="I51" t="s">
        <v>177</v>
      </c>
      <c r="J51" t="s">
        <v>295</v>
      </c>
      <c r="K51">
        <v>4.3293268623923039E-3</v>
      </c>
      <c r="L51" t="s">
        <v>166</v>
      </c>
      <c r="N51" t="s">
        <v>200</v>
      </c>
      <c r="O51" t="s">
        <v>295</v>
      </c>
      <c r="P51">
        <v>0.11408030361257226</v>
      </c>
      <c r="Q51" t="s">
        <v>166</v>
      </c>
      <c r="S51" t="s">
        <v>222</v>
      </c>
      <c r="T51" t="s">
        <v>295</v>
      </c>
      <c r="U51">
        <v>0.1138489825055292</v>
      </c>
      <c r="V51" t="s">
        <v>166</v>
      </c>
      <c r="AK51">
        <v>2032</v>
      </c>
      <c r="AL51" t="s">
        <v>285</v>
      </c>
      <c r="AM51">
        <v>0.36769999999999997</v>
      </c>
      <c r="AN51" t="s">
        <v>238</v>
      </c>
    </row>
    <row r="52" spans="9:40" x14ac:dyDescent="0.45">
      <c r="I52" t="s">
        <v>177</v>
      </c>
      <c r="J52" t="s">
        <v>296</v>
      </c>
      <c r="K52">
        <v>2.0376814379245003E-2</v>
      </c>
      <c r="L52" t="s">
        <v>166</v>
      </c>
      <c r="N52" t="s">
        <v>200</v>
      </c>
      <c r="O52" t="s">
        <v>296</v>
      </c>
      <c r="P52">
        <v>2.0116957871509394E-2</v>
      </c>
      <c r="Q52" t="s">
        <v>166</v>
      </c>
      <c r="S52" t="s">
        <v>222</v>
      </c>
      <c r="T52" t="s">
        <v>296</v>
      </c>
      <c r="U52">
        <v>2.0091262009087167E-2</v>
      </c>
      <c r="V52" t="s">
        <v>166</v>
      </c>
      <c r="AK52">
        <v>2032</v>
      </c>
      <c r="AL52" t="s">
        <v>287</v>
      </c>
      <c r="AM52">
        <v>0.40673333333333334</v>
      </c>
      <c r="AN52" t="s">
        <v>238</v>
      </c>
    </row>
    <row r="53" spans="9:40" x14ac:dyDescent="0.45">
      <c r="I53" t="s">
        <v>177</v>
      </c>
      <c r="J53" t="s">
        <v>297</v>
      </c>
      <c r="K53">
        <v>0.37014576169579932</v>
      </c>
      <c r="L53" t="s">
        <v>166</v>
      </c>
      <c r="N53" t="s">
        <v>200</v>
      </c>
      <c r="O53" t="s">
        <v>297</v>
      </c>
      <c r="P53">
        <v>8.7657356496651115E-2</v>
      </c>
      <c r="Q53" t="s">
        <v>166</v>
      </c>
      <c r="S53" t="s">
        <v>222</v>
      </c>
      <c r="T53" t="s">
        <v>297</v>
      </c>
      <c r="U53">
        <v>8.1777493672555018E-2</v>
      </c>
      <c r="V53" t="s">
        <v>166</v>
      </c>
      <c r="AK53">
        <v>2032</v>
      </c>
      <c r="AL53" t="s">
        <v>288</v>
      </c>
      <c r="AM53">
        <v>0.41726666666666667</v>
      </c>
      <c r="AN53" t="s">
        <v>238</v>
      </c>
    </row>
    <row r="54" spans="9:40" x14ac:dyDescent="0.45">
      <c r="I54" t="s">
        <v>177</v>
      </c>
      <c r="J54" t="s">
        <v>298</v>
      </c>
      <c r="K54">
        <v>1.8303599244163408E-2</v>
      </c>
      <c r="L54" t="s">
        <v>166</v>
      </c>
      <c r="N54" t="s">
        <v>200</v>
      </c>
      <c r="O54" t="s">
        <v>298</v>
      </c>
      <c r="P54">
        <v>8.9123976073635189E-2</v>
      </c>
      <c r="Q54" t="s">
        <v>166</v>
      </c>
      <c r="S54" t="s">
        <v>222</v>
      </c>
      <c r="T54" t="s">
        <v>298</v>
      </c>
      <c r="U54">
        <v>8.2886921449416298E-2</v>
      </c>
      <c r="V54" t="s">
        <v>166</v>
      </c>
      <c r="AK54">
        <v>2032</v>
      </c>
      <c r="AL54" t="s">
        <v>290</v>
      </c>
      <c r="AM54">
        <v>0.36166666666666664</v>
      </c>
      <c r="AN54" t="s">
        <v>238</v>
      </c>
    </row>
    <row r="55" spans="9:40" x14ac:dyDescent="0.45">
      <c r="I55" t="s">
        <v>177</v>
      </c>
      <c r="J55" t="s">
        <v>299</v>
      </c>
      <c r="K55">
        <v>3.7195237547113562E-2</v>
      </c>
      <c r="L55" t="s">
        <v>166</v>
      </c>
      <c r="N55" t="s">
        <v>200</v>
      </c>
      <c r="O55" t="s">
        <v>299</v>
      </c>
      <c r="P55">
        <v>1.6351399567505961E-2</v>
      </c>
      <c r="Q55" t="s">
        <v>166</v>
      </c>
      <c r="S55" t="s">
        <v>222</v>
      </c>
      <c r="T55" t="s">
        <v>299</v>
      </c>
      <c r="U55">
        <v>1.5327698337536467E-2</v>
      </c>
      <c r="V55" t="s">
        <v>166</v>
      </c>
      <c r="AK55">
        <v>2033</v>
      </c>
      <c r="AL55" t="s">
        <v>285</v>
      </c>
      <c r="AM55">
        <v>0.35426666666666667</v>
      </c>
      <c r="AN55" t="s">
        <v>238</v>
      </c>
    </row>
    <row r="56" spans="9:40" x14ac:dyDescent="0.45">
      <c r="I56" t="s">
        <v>177</v>
      </c>
      <c r="J56" t="s">
        <v>300</v>
      </c>
      <c r="K56">
        <v>9.5687342128319863E-2</v>
      </c>
      <c r="L56" t="s">
        <v>166</v>
      </c>
      <c r="N56" t="s">
        <v>200</v>
      </c>
      <c r="O56" t="s">
        <v>300</v>
      </c>
      <c r="P56">
        <v>0.13512052818167133</v>
      </c>
      <c r="Q56" t="s">
        <v>166</v>
      </c>
      <c r="S56" t="s">
        <v>222</v>
      </c>
      <c r="T56" t="s">
        <v>300</v>
      </c>
      <c r="U56">
        <v>0.14178286897288586</v>
      </c>
      <c r="V56" t="s">
        <v>166</v>
      </c>
      <c r="AK56">
        <v>2033</v>
      </c>
      <c r="AL56" t="s">
        <v>287</v>
      </c>
      <c r="AM56">
        <v>0.4032</v>
      </c>
      <c r="AN56" t="s">
        <v>238</v>
      </c>
    </row>
    <row r="57" spans="9:40" x14ac:dyDescent="0.45">
      <c r="I57" t="s">
        <v>177</v>
      </c>
      <c r="J57" t="s">
        <v>301</v>
      </c>
      <c r="K57">
        <v>0</v>
      </c>
      <c r="L57" t="s">
        <v>166</v>
      </c>
      <c r="N57" t="s">
        <v>200</v>
      </c>
      <c r="O57" t="s">
        <v>301</v>
      </c>
      <c r="P57">
        <v>0.13555450040221018</v>
      </c>
      <c r="Q57" t="s">
        <v>166</v>
      </c>
      <c r="S57" t="s">
        <v>222</v>
      </c>
      <c r="T57" t="s">
        <v>301</v>
      </c>
      <c r="U57">
        <v>0.14115392809706212</v>
      </c>
      <c r="V57" t="s">
        <v>166</v>
      </c>
      <c r="AK57">
        <v>2033</v>
      </c>
      <c r="AL57" t="s">
        <v>288</v>
      </c>
      <c r="AM57">
        <v>0.4551</v>
      </c>
      <c r="AN57" t="s">
        <v>238</v>
      </c>
    </row>
    <row r="58" spans="9:40" x14ac:dyDescent="0.45">
      <c r="I58" t="s">
        <v>177</v>
      </c>
      <c r="J58" t="s">
        <v>302</v>
      </c>
      <c r="K58">
        <v>5.55591387707864E-4</v>
      </c>
      <c r="L58" t="s">
        <v>166</v>
      </c>
      <c r="N58" t="s">
        <v>200</v>
      </c>
      <c r="O58" t="s">
        <v>302</v>
      </c>
      <c r="P58">
        <v>2.4843787306002698E-2</v>
      </c>
      <c r="Q58" t="s">
        <v>166</v>
      </c>
      <c r="S58" t="s">
        <v>222</v>
      </c>
      <c r="T58" t="s">
        <v>302</v>
      </c>
      <c r="U58">
        <v>2.6105201306159634E-2</v>
      </c>
      <c r="V58" t="s">
        <v>166</v>
      </c>
      <c r="AK58">
        <v>2033</v>
      </c>
      <c r="AL58" t="s">
        <v>290</v>
      </c>
      <c r="AM58">
        <v>0.34769999999999995</v>
      </c>
      <c r="AN58" t="s">
        <v>238</v>
      </c>
    </row>
    <row r="59" spans="9:40" x14ac:dyDescent="0.45">
      <c r="I59" t="s">
        <v>178</v>
      </c>
      <c r="J59" t="s">
        <v>291</v>
      </c>
      <c r="K59">
        <v>0.1742640338257895</v>
      </c>
      <c r="L59" t="s">
        <v>166</v>
      </c>
      <c r="N59" t="s">
        <v>201</v>
      </c>
      <c r="O59" t="s">
        <v>291</v>
      </c>
      <c r="P59">
        <v>0.1204626082659209</v>
      </c>
      <c r="Q59" t="s">
        <v>166</v>
      </c>
      <c r="S59" t="s">
        <v>223</v>
      </c>
      <c r="T59" t="s">
        <v>291</v>
      </c>
      <c r="U59">
        <v>0.11985123818102512</v>
      </c>
      <c r="V59" t="s">
        <v>166</v>
      </c>
      <c r="AK59">
        <v>2034</v>
      </c>
      <c r="AL59" t="s">
        <v>285</v>
      </c>
      <c r="AM59">
        <v>0.36840000000000001</v>
      </c>
      <c r="AN59" t="s">
        <v>238</v>
      </c>
    </row>
    <row r="60" spans="9:40" x14ac:dyDescent="0.45">
      <c r="I60" t="s">
        <v>178</v>
      </c>
      <c r="J60" t="s">
        <v>292</v>
      </c>
      <c r="K60">
        <v>0</v>
      </c>
      <c r="L60" t="s">
        <v>166</v>
      </c>
      <c r="N60" t="s">
        <v>201</v>
      </c>
      <c r="O60" t="s">
        <v>292</v>
      </c>
      <c r="P60">
        <v>0.12534723133799025</v>
      </c>
      <c r="Q60" t="s">
        <v>166</v>
      </c>
      <c r="S60" t="s">
        <v>223</v>
      </c>
      <c r="T60" t="s">
        <v>292</v>
      </c>
      <c r="U60">
        <v>0.12301614064360974</v>
      </c>
      <c r="V60" t="s">
        <v>166</v>
      </c>
      <c r="AK60">
        <v>2034</v>
      </c>
      <c r="AL60" t="s">
        <v>287</v>
      </c>
      <c r="AM60">
        <v>0.40096666666666664</v>
      </c>
      <c r="AN60" t="s">
        <v>238</v>
      </c>
    </row>
    <row r="61" spans="9:40" x14ac:dyDescent="0.45">
      <c r="I61" t="s">
        <v>178</v>
      </c>
      <c r="J61" t="s">
        <v>293</v>
      </c>
      <c r="K61">
        <v>5.5116537311654234E-3</v>
      </c>
      <c r="L61" t="s">
        <v>166</v>
      </c>
      <c r="N61" t="s">
        <v>201</v>
      </c>
      <c r="O61" t="s">
        <v>293</v>
      </c>
      <c r="P61">
        <v>2.2895220607089522E-2</v>
      </c>
      <c r="Q61" t="s">
        <v>166</v>
      </c>
      <c r="S61" t="s">
        <v>223</v>
      </c>
      <c r="T61" t="s">
        <v>293</v>
      </c>
      <c r="U61">
        <v>2.3137339165384012E-2</v>
      </c>
      <c r="V61" t="s">
        <v>166</v>
      </c>
      <c r="AK61">
        <v>2034</v>
      </c>
      <c r="AL61" t="s">
        <v>288</v>
      </c>
      <c r="AM61">
        <v>0.44573333333333331</v>
      </c>
      <c r="AN61" t="s">
        <v>238</v>
      </c>
    </row>
    <row r="62" spans="9:40" x14ac:dyDescent="0.45">
      <c r="I62" t="s">
        <v>178</v>
      </c>
      <c r="J62" t="s">
        <v>294</v>
      </c>
      <c r="K62">
        <v>0.27689304718722385</v>
      </c>
      <c r="L62" t="s">
        <v>166</v>
      </c>
      <c r="N62" t="s">
        <v>201</v>
      </c>
      <c r="O62" t="s">
        <v>294</v>
      </c>
      <c r="P62">
        <v>0.11100191784402649</v>
      </c>
      <c r="Q62" t="s">
        <v>166</v>
      </c>
      <c r="S62" t="s">
        <v>223</v>
      </c>
      <c r="T62" t="s">
        <v>294</v>
      </c>
      <c r="U62">
        <v>0.11190701659370479</v>
      </c>
      <c r="V62" t="s">
        <v>166</v>
      </c>
      <c r="AK62">
        <v>2034</v>
      </c>
      <c r="AL62" t="s">
        <v>290</v>
      </c>
      <c r="AM62">
        <v>0.33693333333333336</v>
      </c>
      <c r="AN62" t="s">
        <v>238</v>
      </c>
    </row>
    <row r="63" spans="9:40" x14ac:dyDescent="0.45">
      <c r="I63" t="s">
        <v>178</v>
      </c>
      <c r="J63" t="s">
        <v>295</v>
      </c>
      <c r="K63">
        <v>3.6930455237465624E-3</v>
      </c>
      <c r="L63" t="s">
        <v>166</v>
      </c>
      <c r="N63" t="s">
        <v>201</v>
      </c>
      <c r="O63" t="s">
        <v>295</v>
      </c>
      <c r="P63">
        <v>0.12187863435550329</v>
      </c>
      <c r="Q63" t="s">
        <v>166</v>
      </c>
      <c r="S63" t="s">
        <v>223</v>
      </c>
      <c r="T63" t="s">
        <v>295</v>
      </c>
      <c r="U63">
        <v>0.12270340433544159</v>
      </c>
      <c r="V63" t="s">
        <v>166</v>
      </c>
      <c r="AK63">
        <v>2035</v>
      </c>
      <c r="AL63" t="s">
        <v>285</v>
      </c>
      <c r="AM63">
        <v>0.33176666666666665</v>
      </c>
      <c r="AN63" t="s">
        <v>238</v>
      </c>
    </row>
    <row r="64" spans="9:40" x14ac:dyDescent="0.45">
      <c r="I64" t="s">
        <v>178</v>
      </c>
      <c r="J64" t="s">
        <v>296</v>
      </c>
      <c r="K64">
        <v>1.8989163980123243E-2</v>
      </c>
      <c r="L64" t="s">
        <v>166</v>
      </c>
      <c r="N64" t="s">
        <v>201</v>
      </c>
      <c r="O64" t="s">
        <v>296</v>
      </c>
      <c r="P64">
        <v>2.1787150297185032E-2</v>
      </c>
      <c r="Q64" t="s">
        <v>166</v>
      </c>
      <c r="S64" t="s">
        <v>223</v>
      </c>
      <c r="T64" t="s">
        <v>296</v>
      </c>
      <c r="U64">
        <v>2.2555218040859509E-2</v>
      </c>
      <c r="V64" t="s">
        <v>166</v>
      </c>
      <c r="AK64">
        <v>2035</v>
      </c>
      <c r="AL64" t="s">
        <v>287</v>
      </c>
      <c r="AM64">
        <v>0.38693333333333335</v>
      </c>
      <c r="AN64" t="s">
        <v>238</v>
      </c>
    </row>
    <row r="65" spans="9:40" x14ac:dyDescent="0.45">
      <c r="I65" t="s">
        <v>178</v>
      </c>
      <c r="J65" t="s">
        <v>297</v>
      </c>
      <c r="K65">
        <v>0.33597347682193085</v>
      </c>
      <c r="L65" t="s">
        <v>166</v>
      </c>
      <c r="N65" t="s">
        <v>201</v>
      </c>
      <c r="O65" t="s">
        <v>297</v>
      </c>
      <c r="P65">
        <v>7.9104521314082896E-2</v>
      </c>
      <c r="Q65" t="s">
        <v>166</v>
      </c>
      <c r="S65" t="s">
        <v>223</v>
      </c>
      <c r="T65" t="s">
        <v>297</v>
      </c>
      <c r="U65">
        <v>7.5661958223936426E-2</v>
      </c>
      <c r="V65" t="s">
        <v>166</v>
      </c>
      <c r="AK65">
        <v>2035</v>
      </c>
      <c r="AL65" t="s">
        <v>288</v>
      </c>
      <c r="AM65">
        <v>0.45103333333333334</v>
      </c>
      <c r="AN65" t="s">
        <v>238</v>
      </c>
    </row>
    <row r="66" spans="9:40" x14ac:dyDescent="0.45">
      <c r="I66" t="s">
        <v>178</v>
      </c>
      <c r="J66" t="s">
        <v>298</v>
      </c>
      <c r="K66">
        <v>1.4354324746749971E-2</v>
      </c>
      <c r="L66" t="s">
        <v>166</v>
      </c>
      <c r="N66" t="s">
        <v>201</v>
      </c>
      <c r="O66" t="s">
        <v>298</v>
      </c>
      <c r="P66">
        <v>8.9002374690001038E-2</v>
      </c>
      <c r="Q66" t="s">
        <v>166</v>
      </c>
      <c r="S66" t="s">
        <v>223</v>
      </c>
      <c r="T66" t="s">
        <v>298</v>
      </c>
      <c r="U66">
        <v>8.6733883979965551E-2</v>
      </c>
      <c r="V66" t="s">
        <v>166</v>
      </c>
      <c r="AK66">
        <v>2035</v>
      </c>
      <c r="AL66" t="s">
        <v>290</v>
      </c>
      <c r="AM66">
        <v>0.35816666666666669</v>
      </c>
      <c r="AN66" t="s">
        <v>238</v>
      </c>
    </row>
    <row r="67" spans="9:40" x14ac:dyDescent="0.45">
      <c r="I67" t="s">
        <v>178</v>
      </c>
      <c r="J67" t="s">
        <v>299</v>
      </c>
      <c r="K67">
        <v>3.3107341356844726E-2</v>
      </c>
      <c r="L67" t="s">
        <v>166</v>
      </c>
      <c r="N67" t="s">
        <v>201</v>
      </c>
      <c r="O67" t="s">
        <v>299</v>
      </c>
      <c r="P67">
        <v>1.624804423748024E-2</v>
      </c>
      <c r="Q67" t="s">
        <v>166</v>
      </c>
      <c r="S67" t="s">
        <v>223</v>
      </c>
      <c r="T67" t="s">
        <v>299</v>
      </c>
      <c r="U67">
        <v>1.6071892640042027E-2</v>
      </c>
      <c r="V67" t="s">
        <v>166</v>
      </c>
      <c r="AK67">
        <v>2036</v>
      </c>
      <c r="AL67" t="s">
        <v>285</v>
      </c>
      <c r="AM67">
        <v>0.36313333333333331</v>
      </c>
      <c r="AN67" t="s">
        <v>238</v>
      </c>
    </row>
    <row r="68" spans="9:40" x14ac:dyDescent="0.45">
      <c r="I68" t="s">
        <v>178</v>
      </c>
      <c r="J68" t="s">
        <v>300</v>
      </c>
      <c r="K68">
        <v>0.13605579655935082</v>
      </c>
      <c r="L68" t="s">
        <v>166</v>
      </c>
      <c r="N68" t="s">
        <v>201</v>
      </c>
      <c r="O68" t="s">
        <v>300</v>
      </c>
      <c r="P68">
        <v>0.13402892628690458</v>
      </c>
      <c r="Q68" t="s">
        <v>166</v>
      </c>
      <c r="S68" t="s">
        <v>223</v>
      </c>
      <c r="T68" t="s">
        <v>300</v>
      </c>
      <c r="U68">
        <v>0.13642133635943809</v>
      </c>
      <c r="V68" t="s">
        <v>166</v>
      </c>
      <c r="AK68">
        <v>2036</v>
      </c>
      <c r="AL68" t="s">
        <v>287</v>
      </c>
      <c r="AM68">
        <v>0.40736666666666665</v>
      </c>
      <c r="AN68" t="s">
        <v>238</v>
      </c>
    </row>
    <row r="69" spans="9:40" x14ac:dyDescent="0.45">
      <c r="I69" t="s">
        <v>178</v>
      </c>
      <c r="J69" t="s">
        <v>301</v>
      </c>
      <c r="K69">
        <v>0</v>
      </c>
      <c r="L69" t="s">
        <v>166</v>
      </c>
      <c r="N69" t="s">
        <v>201</v>
      </c>
      <c r="O69" t="s">
        <v>301</v>
      </c>
      <c r="P69">
        <v>0.13300065422303869</v>
      </c>
      <c r="Q69" t="s">
        <v>166</v>
      </c>
      <c r="S69" t="s">
        <v>223</v>
      </c>
      <c r="T69" t="s">
        <v>301</v>
      </c>
      <c r="U69">
        <v>0.13594879781772351</v>
      </c>
      <c r="V69" t="s">
        <v>166</v>
      </c>
      <c r="AK69">
        <v>2036</v>
      </c>
      <c r="AL69" t="s">
        <v>288</v>
      </c>
      <c r="AM69">
        <v>0.41650000000000004</v>
      </c>
      <c r="AN69" t="s">
        <v>238</v>
      </c>
    </row>
    <row r="70" spans="9:40" x14ac:dyDescent="0.45">
      <c r="I70" t="s">
        <v>178</v>
      </c>
      <c r="J70" t="s">
        <v>302</v>
      </c>
      <c r="K70">
        <v>1.1581162670755345E-3</v>
      </c>
      <c r="L70" t="s">
        <v>166</v>
      </c>
      <c r="N70" t="s">
        <v>201</v>
      </c>
      <c r="O70" t="s">
        <v>302</v>
      </c>
      <c r="P70">
        <v>2.52427165407774E-2</v>
      </c>
      <c r="Q70" t="s">
        <v>166</v>
      </c>
      <c r="S70" t="s">
        <v>223</v>
      </c>
      <c r="T70" t="s">
        <v>302</v>
      </c>
      <c r="U70">
        <v>2.5991774018866761E-2</v>
      </c>
      <c r="V70" t="s">
        <v>166</v>
      </c>
      <c r="AK70">
        <v>2036</v>
      </c>
      <c r="AL70" t="s">
        <v>290</v>
      </c>
      <c r="AM70">
        <v>0.37036666666666668</v>
      </c>
      <c r="AN70" t="s">
        <v>238</v>
      </c>
    </row>
    <row r="71" spans="9:40" x14ac:dyDescent="0.45">
      <c r="I71" t="s">
        <v>179</v>
      </c>
      <c r="J71" t="s">
        <v>291</v>
      </c>
      <c r="K71">
        <v>0.1688177746617627</v>
      </c>
      <c r="L71" t="s">
        <v>166</v>
      </c>
      <c r="N71" t="s">
        <v>202</v>
      </c>
      <c r="O71" t="s">
        <v>291</v>
      </c>
      <c r="P71">
        <v>0.12353250158679582</v>
      </c>
      <c r="Q71" t="s">
        <v>166</v>
      </c>
      <c r="S71" t="s">
        <v>224</v>
      </c>
      <c r="T71" t="s">
        <v>291</v>
      </c>
      <c r="U71">
        <v>0.12958949491482075</v>
      </c>
      <c r="V71" t="s">
        <v>166</v>
      </c>
      <c r="AK71">
        <v>2037</v>
      </c>
      <c r="AL71" t="s">
        <v>285</v>
      </c>
      <c r="AM71">
        <v>0.33513333333333334</v>
      </c>
      <c r="AN71" t="s">
        <v>238</v>
      </c>
    </row>
    <row r="72" spans="9:40" x14ac:dyDescent="0.45">
      <c r="I72" t="s">
        <v>179</v>
      </c>
      <c r="J72" t="s">
        <v>292</v>
      </c>
      <c r="K72">
        <v>0</v>
      </c>
      <c r="L72" t="s">
        <v>166</v>
      </c>
      <c r="N72" t="s">
        <v>202</v>
      </c>
      <c r="O72" t="s">
        <v>292</v>
      </c>
      <c r="P72">
        <v>0.127205297298461</v>
      </c>
      <c r="Q72" t="s">
        <v>166</v>
      </c>
      <c r="S72" t="s">
        <v>224</v>
      </c>
      <c r="T72" t="s">
        <v>292</v>
      </c>
      <c r="U72">
        <v>0.13511654283764915</v>
      </c>
      <c r="V72" t="s">
        <v>166</v>
      </c>
      <c r="AK72">
        <v>2037</v>
      </c>
      <c r="AL72" t="s">
        <v>287</v>
      </c>
      <c r="AM72">
        <v>0.42766666666666664</v>
      </c>
      <c r="AN72" t="s">
        <v>238</v>
      </c>
    </row>
    <row r="73" spans="9:40" x14ac:dyDescent="0.45">
      <c r="I73" t="s">
        <v>179</v>
      </c>
      <c r="J73" t="s">
        <v>293</v>
      </c>
      <c r="K73">
        <v>6.410813174024076E-3</v>
      </c>
      <c r="L73" t="s">
        <v>166</v>
      </c>
      <c r="N73" t="s">
        <v>202</v>
      </c>
      <c r="O73" t="s">
        <v>293</v>
      </c>
      <c r="P73">
        <v>2.2705018247844953E-2</v>
      </c>
      <c r="Q73" t="s">
        <v>166</v>
      </c>
      <c r="S73" t="s">
        <v>224</v>
      </c>
      <c r="T73" t="s">
        <v>293</v>
      </c>
      <c r="U73">
        <v>2.5452014853965879E-2</v>
      </c>
      <c r="V73" t="s">
        <v>166</v>
      </c>
      <c r="AK73">
        <v>2037</v>
      </c>
      <c r="AL73" t="s">
        <v>288</v>
      </c>
      <c r="AM73">
        <v>0.4012</v>
      </c>
      <c r="AN73" t="s">
        <v>238</v>
      </c>
    </row>
    <row r="74" spans="9:40" x14ac:dyDescent="0.45">
      <c r="I74" t="s">
        <v>179</v>
      </c>
      <c r="J74" t="s">
        <v>294</v>
      </c>
      <c r="K74">
        <v>0.27214900929845454</v>
      </c>
      <c r="L74" t="s">
        <v>166</v>
      </c>
      <c r="N74" t="s">
        <v>202</v>
      </c>
      <c r="O74" t="s">
        <v>294</v>
      </c>
      <c r="P74">
        <v>0.10760462565083152</v>
      </c>
      <c r="Q74" t="s">
        <v>166</v>
      </c>
      <c r="S74" t="s">
        <v>224</v>
      </c>
      <c r="T74" t="s">
        <v>294</v>
      </c>
      <c r="U74">
        <v>8.9828016159660171E-2</v>
      </c>
      <c r="V74" t="s">
        <v>166</v>
      </c>
      <c r="AK74">
        <v>2037</v>
      </c>
      <c r="AL74" t="s">
        <v>290</v>
      </c>
      <c r="AM74">
        <v>0.34810000000000002</v>
      </c>
      <c r="AN74" t="s">
        <v>238</v>
      </c>
    </row>
    <row r="75" spans="9:40" x14ac:dyDescent="0.45">
      <c r="I75" t="s">
        <v>179</v>
      </c>
      <c r="J75" t="s">
        <v>295</v>
      </c>
      <c r="K75">
        <v>3.7070167047912814E-3</v>
      </c>
      <c r="L75" t="s">
        <v>166</v>
      </c>
      <c r="N75" t="s">
        <v>202</v>
      </c>
      <c r="O75" t="s">
        <v>295</v>
      </c>
      <c r="P75">
        <v>0.11447068797733401</v>
      </c>
      <c r="Q75" t="s">
        <v>166</v>
      </c>
      <c r="S75" t="s">
        <v>224</v>
      </c>
      <c r="T75" t="s">
        <v>295</v>
      </c>
      <c r="U75">
        <v>0.11442078786974164</v>
      </c>
      <c r="V75" t="s">
        <v>166</v>
      </c>
      <c r="AK75">
        <v>2038</v>
      </c>
      <c r="AL75" t="s">
        <v>285</v>
      </c>
      <c r="AM75">
        <v>0.34396666666666659</v>
      </c>
      <c r="AN75" t="s">
        <v>238</v>
      </c>
    </row>
    <row r="76" spans="9:40" x14ac:dyDescent="0.45">
      <c r="I76" t="s">
        <v>179</v>
      </c>
      <c r="J76" t="s">
        <v>296</v>
      </c>
      <c r="K76">
        <v>2.0246527816921791E-2</v>
      </c>
      <c r="L76" t="s">
        <v>166</v>
      </c>
      <c r="N76" t="s">
        <v>202</v>
      </c>
      <c r="O76" t="s">
        <v>296</v>
      </c>
      <c r="P76">
        <v>1.9845474411202196E-2</v>
      </c>
      <c r="Q76" t="s">
        <v>166</v>
      </c>
      <c r="S76" t="s">
        <v>224</v>
      </c>
      <c r="T76" t="s">
        <v>296</v>
      </c>
      <c r="U76">
        <v>1.8636274234941394E-2</v>
      </c>
      <c r="V76" t="s">
        <v>166</v>
      </c>
      <c r="AK76">
        <v>2038</v>
      </c>
      <c r="AL76" t="s">
        <v>287</v>
      </c>
      <c r="AM76">
        <v>0.40579999999999999</v>
      </c>
      <c r="AN76" t="s">
        <v>238</v>
      </c>
    </row>
    <row r="77" spans="9:40" x14ac:dyDescent="0.45">
      <c r="I77" t="s">
        <v>179</v>
      </c>
      <c r="J77" t="s">
        <v>297</v>
      </c>
      <c r="K77">
        <v>0.35560503932905002</v>
      </c>
      <c r="L77" t="s">
        <v>166</v>
      </c>
      <c r="N77" t="s">
        <v>202</v>
      </c>
      <c r="O77" t="s">
        <v>297</v>
      </c>
      <c r="P77">
        <v>8.0136823735106763E-2</v>
      </c>
      <c r="Q77" t="s">
        <v>166</v>
      </c>
      <c r="S77" t="s">
        <v>224</v>
      </c>
      <c r="T77" t="s">
        <v>297</v>
      </c>
      <c r="U77">
        <v>7.4061753739048206E-2</v>
      </c>
      <c r="V77" t="s">
        <v>166</v>
      </c>
      <c r="AK77">
        <v>2038</v>
      </c>
      <c r="AL77" t="s">
        <v>288</v>
      </c>
      <c r="AM77">
        <v>0.41596666666666665</v>
      </c>
      <c r="AN77" t="s">
        <v>238</v>
      </c>
    </row>
    <row r="78" spans="9:40" x14ac:dyDescent="0.45">
      <c r="I78" t="s">
        <v>179</v>
      </c>
      <c r="J78" t="s">
        <v>298</v>
      </c>
      <c r="K78">
        <v>1.5260356238748296E-2</v>
      </c>
      <c r="L78" t="s">
        <v>166</v>
      </c>
      <c r="N78" t="s">
        <v>202</v>
      </c>
      <c r="O78" t="s">
        <v>298</v>
      </c>
      <c r="P78">
        <v>8.5499034880165026E-2</v>
      </c>
      <c r="Q78" t="s">
        <v>166</v>
      </c>
      <c r="S78" t="s">
        <v>224</v>
      </c>
      <c r="T78" t="s">
        <v>298</v>
      </c>
      <c r="U78">
        <v>7.5055470460035023E-2</v>
      </c>
      <c r="V78" t="s">
        <v>166</v>
      </c>
      <c r="AK78">
        <v>2038</v>
      </c>
      <c r="AL78" t="s">
        <v>290</v>
      </c>
      <c r="AM78">
        <v>0.33826666666666666</v>
      </c>
      <c r="AN78" t="s">
        <v>238</v>
      </c>
    </row>
    <row r="79" spans="9:40" x14ac:dyDescent="0.45">
      <c r="I79" t="s">
        <v>179</v>
      </c>
      <c r="J79" t="s">
        <v>299</v>
      </c>
      <c r="K79">
        <v>3.9307275080518587E-2</v>
      </c>
      <c r="L79" t="s">
        <v>166</v>
      </c>
      <c r="N79" t="s">
        <v>202</v>
      </c>
      <c r="O79" t="s">
        <v>299</v>
      </c>
      <c r="P79">
        <v>1.4894237809614531E-2</v>
      </c>
      <c r="Q79" t="s">
        <v>166</v>
      </c>
      <c r="S79" t="s">
        <v>224</v>
      </c>
      <c r="T79" t="s">
        <v>299</v>
      </c>
      <c r="U79">
        <v>1.2194419875969337E-2</v>
      </c>
      <c r="V79" t="s">
        <v>166</v>
      </c>
      <c r="AK79">
        <v>2039</v>
      </c>
      <c r="AL79" t="s">
        <v>285</v>
      </c>
      <c r="AM79">
        <v>0.34176666666666661</v>
      </c>
      <c r="AN79" t="s">
        <v>238</v>
      </c>
    </row>
    <row r="80" spans="9:40" x14ac:dyDescent="0.45">
      <c r="I80" t="s">
        <v>179</v>
      </c>
      <c r="J80" t="s">
        <v>300</v>
      </c>
      <c r="K80">
        <v>0.11713767454866905</v>
      </c>
      <c r="L80" t="s">
        <v>166</v>
      </c>
      <c r="N80" t="s">
        <v>202</v>
      </c>
      <c r="O80" t="s">
        <v>300</v>
      </c>
      <c r="P80">
        <v>0.13952295246240753</v>
      </c>
      <c r="Q80" t="s">
        <v>166</v>
      </c>
      <c r="S80" t="s">
        <v>224</v>
      </c>
      <c r="T80" t="s">
        <v>300</v>
      </c>
      <c r="U80">
        <v>0.14935870335860174</v>
      </c>
      <c r="V80" t="s">
        <v>166</v>
      </c>
      <c r="AK80">
        <v>2039</v>
      </c>
      <c r="AL80" t="s">
        <v>287</v>
      </c>
      <c r="AM80">
        <v>0.43246666666666672</v>
      </c>
      <c r="AN80" t="s">
        <v>238</v>
      </c>
    </row>
    <row r="81" spans="9:40" x14ac:dyDescent="0.45">
      <c r="I81" t="s">
        <v>179</v>
      </c>
      <c r="J81" t="s">
        <v>301</v>
      </c>
      <c r="K81">
        <v>0</v>
      </c>
      <c r="L81" t="s">
        <v>166</v>
      </c>
      <c r="N81" t="s">
        <v>202</v>
      </c>
      <c r="O81" t="s">
        <v>301</v>
      </c>
      <c r="P81">
        <v>0.13900815106713982</v>
      </c>
      <c r="Q81" t="s">
        <v>166</v>
      </c>
      <c r="S81" t="s">
        <v>224</v>
      </c>
      <c r="T81" t="s">
        <v>301</v>
      </c>
      <c r="U81">
        <v>0.14840442687526303</v>
      </c>
      <c r="V81" t="s">
        <v>166</v>
      </c>
      <c r="AK81">
        <v>2039</v>
      </c>
      <c r="AL81" t="s">
        <v>288</v>
      </c>
      <c r="AM81">
        <v>0.42463333333333336</v>
      </c>
      <c r="AN81" t="s">
        <v>238</v>
      </c>
    </row>
    <row r="82" spans="9:40" x14ac:dyDescent="0.45">
      <c r="I82" t="s">
        <v>179</v>
      </c>
      <c r="J82" t="s">
        <v>302</v>
      </c>
      <c r="K82">
        <v>1.3585131470621023E-3</v>
      </c>
      <c r="L82" t="s">
        <v>166</v>
      </c>
      <c r="N82" t="s">
        <v>202</v>
      </c>
      <c r="O82" t="s">
        <v>302</v>
      </c>
      <c r="P82">
        <v>2.5575194873099588E-2</v>
      </c>
      <c r="Q82" t="s">
        <v>166</v>
      </c>
      <c r="S82" t="s">
        <v>224</v>
      </c>
      <c r="T82" t="s">
        <v>302</v>
      </c>
      <c r="U82">
        <v>2.7882094820301406E-2</v>
      </c>
      <c r="V82" t="s">
        <v>166</v>
      </c>
      <c r="AK82">
        <v>2039</v>
      </c>
      <c r="AL82" t="s">
        <v>290</v>
      </c>
      <c r="AM82">
        <v>0.35193333333333338</v>
      </c>
      <c r="AN82" t="s">
        <v>238</v>
      </c>
    </row>
    <row r="83" spans="9:40" x14ac:dyDescent="0.45">
      <c r="I83" t="s">
        <v>180</v>
      </c>
      <c r="J83" t="s">
        <v>291</v>
      </c>
      <c r="K83">
        <v>0.14561983360629149</v>
      </c>
      <c r="L83" t="s">
        <v>166</v>
      </c>
      <c r="N83" t="s">
        <v>203</v>
      </c>
      <c r="O83" t="s">
        <v>291</v>
      </c>
      <c r="P83">
        <v>0.11991556597957835</v>
      </c>
      <c r="Q83" t="s">
        <v>166</v>
      </c>
      <c r="S83" t="s">
        <v>225</v>
      </c>
      <c r="T83" t="s">
        <v>291</v>
      </c>
      <c r="U83">
        <v>0.12535148548002958</v>
      </c>
      <c r="V83" t="s">
        <v>166</v>
      </c>
      <c r="AK83">
        <v>2040</v>
      </c>
      <c r="AL83" t="s">
        <v>285</v>
      </c>
      <c r="AM83">
        <v>0.33959999999999996</v>
      </c>
      <c r="AN83" t="s">
        <v>238</v>
      </c>
    </row>
    <row r="84" spans="9:40" x14ac:dyDescent="0.45">
      <c r="I84" t="s">
        <v>180</v>
      </c>
      <c r="J84" t="s">
        <v>292</v>
      </c>
      <c r="K84">
        <v>5.582618085712655E-4</v>
      </c>
      <c r="L84" t="s">
        <v>166</v>
      </c>
      <c r="N84" t="s">
        <v>203</v>
      </c>
      <c r="O84" t="s">
        <v>292</v>
      </c>
      <c r="P84">
        <v>0.13333184594097261</v>
      </c>
      <c r="Q84" t="s">
        <v>166</v>
      </c>
      <c r="S84" t="s">
        <v>225</v>
      </c>
      <c r="T84" t="s">
        <v>292</v>
      </c>
      <c r="U84">
        <v>0.12485292180005853</v>
      </c>
      <c r="V84" t="s">
        <v>166</v>
      </c>
      <c r="AK84">
        <v>2040</v>
      </c>
      <c r="AL84" t="s">
        <v>287</v>
      </c>
      <c r="AM84">
        <v>0.41549999999999998</v>
      </c>
      <c r="AN84" t="s">
        <v>238</v>
      </c>
    </row>
    <row r="85" spans="9:40" x14ac:dyDescent="0.45">
      <c r="I85" t="s">
        <v>180</v>
      </c>
      <c r="J85" t="s">
        <v>293</v>
      </c>
      <c r="K85">
        <v>1.176015283085516E-2</v>
      </c>
      <c r="L85" t="s">
        <v>166</v>
      </c>
      <c r="N85" t="s">
        <v>203</v>
      </c>
      <c r="O85" t="s">
        <v>293</v>
      </c>
      <c r="P85">
        <v>2.2530029941192391E-2</v>
      </c>
      <c r="Q85" t="s">
        <v>166</v>
      </c>
      <c r="S85" t="s">
        <v>225</v>
      </c>
      <c r="T85" t="s">
        <v>293</v>
      </c>
      <c r="U85">
        <v>2.317258568070402E-2</v>
      </c>
      <c r="V85" t="s">
        <v>166</v>
      </c>
      <c r="AK85">
        <v>2040</v>
      </c>
      <c r="AL85" t="s">
        <v>288</v>
      </c>
      <c r="AM85">
        <v>0.42773333333333335</v>
      </c>
      <c r="AN85" t="s">
        <v>238</v>
      </c>
    </row>
    <row r="86" spans="9:40" x14ac:dyDescent="0.45">
      <c r="I86" t="s">
        <v>180</v>
      </c>
      <c r="J86" t="s">
        <v>294</v>
      </c>
      <c r="K86">
        <v>0.29324860290130578</v>
      </c>
      <c r="L86" t="s">
        <v>166</v>
      </c>
      <c r="N86" t="s">
        <v>203</v>
      </c>
      <c r="O86" t="s">
        <v>294</v>
      </c>
      <c r="P86">
        <v>0.10180678438692341</v>
      </c>
      <c r="Q86" t="s">
        <v>166</v>
      </c>
      <c r="S86" t="s">
        <v>225</v>
      </c>
      <c r="T86" t="s">
        <v>294</v>
      </c>
      <c r="U86">
        <v>0.10374846874312274</v>
      </c>
      <c r="V86" t="s">
        <v>166</v>
      </c>
      <c r="AK86">
        <v>2040</v>
      </c>
      <c r="AL86" t="s">
        <v>290</v>
      </c>
      <c r="AM86">
        <v>0.35783333333333339</v>
      </c>
      <c r="AN86" t="s">
        <v>238</v>
      </c>
    </row>
    <row r="87" spans="9:40" x14ac:dyDescent="0.45">
      <c r="I87" t="s">
        <v>180</v>
      </c>
      <c r="J87" t="s">
        <v>295</v>
      </c>
      <c r="K87">
        <v>8.6749377935810505E-3</v>
      </c>
      <c r="L87" t="s">
        <v>166</v>
      </c>
      <c r="N87" t="s">
        <v>203</v>
      </c>
      <c r="O87" t="s">
        <v>295</v>
      </c>
      <c r="P87">
        <v>0.1127071619465914</v>
      </c>
      <c r="Q87" t="s">
        <v>166</v>
      </c>
      <c r="S87" t="s">
        <v>225</v>
      </c>
      <c r="T87" t="s">
        <v>295</v>
      </c>
      <c r="U87">
        <v>0.10973882071076534</v>
      </c>
      <c r="V87" t="s">
        <v>166</v>
      </c>
      <c r="AK87">
        <v>2041</v>
      </c>
      <c r="AL87" t="s">
        <v>285</v>
      </c>
      <c r="AM87">
        <v>0.33723333333333333</v>
      </c>
      <c r="AN87" t="s">
        <v>238</v>
      </c>
    </row>
    <row r="88" spans="9:40" x14ac:dyDescent="0.45">
      <c r="I88" t="s">
        <v>180</v>
      </c>
      <c r="J88" t="s">
        <v>296</v>
      </c>
      <c r="K88">
        <v>3.4400534593859777E-2</v>
      </c>
      <c r="L88" t="s">
        <v>166</v>
      </c>
      <c r="N88" t="s">
        <v>203</v>
      </c>
      <c r="O88" t="s">
        <v>296</v>
      </c>
      <c r="P88">
        <v>1.8590101906745121E-2</v>
      </c>
      <c r="Q88" t="s">
        <v>166</v>
      </c>
      <c r="S88" t="s">
        <v>225</v>
      </c>
      <c r="T88" t="s">
        <v>296</v>
      </c>
      <c r="U88">
        <v>1.8756454107977084E-2</v>
      </c>
      <c r="V88" t="s">
        <v>166</v>
      </c>
      <c r="AK88">
        <v>2041</v>
      </c>
      <c r="AL88" t="s">
        <v>287</v>
      </c>
      <c r="AM88">
        <v>0.4165666666666667</v>
      </c>
      <c r="AN88" t="s">
        <v>238</v>
      </c>
    </row>
    <row r="89" spans="9:40" x14ac:dyDescent="0.45">
      <c r="I89" t="s">
        <v>180</v>
      </c>
      <c r="J89" t="s">
        <v>297</v>
      </c>
      <c r="K89">
        <v>0.36050555472966966</v>
      </c>
      <c r="L89" t="s">
        <v>166</v>
      </c>
      <c r="N89" t="s">
        <v>203</v>
      </c>
      <c r="O89" t="s">
        <v>297</v>
      </c>
      <c r="P89">
        <v>7.129430745169095E-2</v>
      </c>
      <c r="Q89" t="s">
        <v>166</v>
      </c>
      <c r="S89" t="s">
        <v>225</v>
      </c>
      <c r="T89" t="s">
        <v>297</v>
      </c>
      <c r="U89">
        <v>7.366727273560085E-2</v>
      </c>
      <c r="V89" t="s">
        <v>166</v>
      </c>
      <c r="AK89">
        <v>2041</v>
      </c>
      <c r="AL89" t="s">
        <v>288</v>
      </c>
      <c r="AM89">
        <v>0.42246666666666671</v>
      </c>
      <c r="AN89" t="s">
        <v>238</v>
      </c>
    </row>
    <row r="90" spans="9:40" x14ac:dyDescent="0.45">
      <c r="I90" t="s">
        <v>180</v>
      </c>
      <c r="J90" t="s">
        <v>298</v>
      </c>
      <c r="K90">
        <v>2.5624493437567852E-2</v>
      </c>
      <c r="L90" t="s">
        <v>166</v>
      </c>
      <c r="N90" t="s">
        <v>203</v>
      </c>
      <c r="O90" t="s">
        <v>298</v>
      </c>
      <c r="P90">
        <v>7.9398248043978006E-2</v>
      </c>
      <c r="Q90" t="s">
        <v>166</v>
      </c>
      <c r="S90" t="s">
        <v>225</v>
      </c>
      <c r="T90" t="s">
        <v>298</v>
      </c>
      <c r="U90">
        <v>7.4348040204684732E-2</v>
      </c>
      <c r="V90" t="s">
        <v>166</v>
      </c>
      <c r="AK90">
        <v>2041</v>
      </c>
      <c r="AL90" t="s">
        <v>290</v>
      </c>
      <c r="AM90">
        <v>0.35039999999999999</v>
      </c>
      <c r="AN90" t="s">
        <v>238</v>
      </c>
    </row>
    <row r="91" spans="9:40" x14ac:dyDescent="0.45">
      <c r="I91" t="s">
        <v>180</v>
      </c>
      <c r="J91" t="s">
        <v>299</v>
      </c>
      <c r="K91">
        <v>4.8571778545652818E-2</v>
      </c>
      <c r="L91" t="s">
        <v>166</v>
      </c>
      <c r="N91" t="s">
        <v>203</v>
      </c>
      <c r="O91" t="s">
        <v>299</v>
      </c>
      <c r="P91">
        <v>1.2690667440036276E-2</v>
      </c>
      <c r="Q91" t="s">
        <v>166</v>
      </c>
      <c r="S91" t="s">
        <v>225</v>
      </c>
      <c r="T91" t="s">
        <v>299</v>
      </c>
      <c r="U91">
        <v>1.3154137971174613E-2</v>
      </c>
      <c r="V91" t="s">
        <v>166</v>
      </c>
      <c r="AK91">
        <v>2042</v>
      </c>
      <c r="AL91" t="s">
        <v>285</v>
      </c>
      <c r="AM91">
        <v>0.33936666666666665</v>
      </c>
      <c r="AN91" t="s">
        <v>238</v>
      </c>
    </row>
    <row r="92" spans="9:40" x14ac:dyDescent="0.45">
      <c r="I92" t="s">
        <v>180</v>
      </c>
      <c r="J92" t="s">
        <v>300</v>
      </c>
      <c r="K92">
        <v>6.8399230549633316E-2</v>
      </c>
      <c r="L92" t="s">
        <v>166</v>
      </c>
      <c r="N92" t="s">
        <v>203</v>
      </c>
      <c r="O92" t="s">
        <v>300</v>
      </c>
      <c r="P92">
        <v>0.14678913021143761</v>
      </c>
      <c r="Q92" t="s">
        <v>166</v>
      </c>
      <c r="S92" t="s">
        <v>225</v>
      </c>
      <c r="T92" t="s">
        <v>300</v>
      </c>
      <c r="U92">
        <v>0.1510881052052567</v>
      </c>
      <c r="V92" t="s">
        <v>166</v>
      </c>
      <c r="AK92">
        <v>2042</v>
      </c>
      <c r="AL92" t="s">
        <v>287</v>
      </c>
      <c r="AM92">
        <v>0.41229999999999994</v>
      </c>
      <c r="AN92" t="s">
        <v>238</v>
      </c>
    </row>
    <row r="93" spans="9:40" x14ac:dyDescent="0.45">
      <c r="I93" t="s">
        <v>180</v>
      </c>
      <c r="J93" t="s">
        <v>301</v>
      </c>
      <c r="K93">
        <v>0</v>
      </c>
      <c r="L93" t="s">
        <v>166</v>
      </c>
      <c r="N93" t="s">
        <v>203</v>
      </c>
      <c r="O93" t="s">
        <v>301</v>
      </c>
      <c r="P93">
        <v>0.1539524847979461</v>
      </c>
      <c r="Q93" t="s">
        <v>166</v>
      </c>
      <c r="S93" t="s">
        <v>225</v>
      </c>
      <c r="T93" t="s">
        <v>301</v>
      </c>
      <c r="U93">
        <v>0.15357109257986207</v>
      </c>
      <c r="V93" t="s">
        <v>166</v>
      </c>
      <c r="AK93">
        <v>2042</v>
      </c>
      <c r="AL93" t="s">
        <v>288</v>
      </c>
      <c r="AM93">
        <v>0.43520000000000003</v>
      </c>
      <c r="AN93" t="s">
        <v>238</v>
      </c>
    </row>
    <row r="94" spans="9:40" x14ac:dyDescent="0.45">
      <c r="I94" t="s">
        <v>180</v>
      </c>
      <c r="J94" t="s">
        <v>302</v>
      </c>
      <c r="K94">
        <v>2.6366192030141361E-3</v>
      </c>
      <c r="L94" t="s">
        <v>166</v>
      </c>
      <c r="N94" t="s">
        <v>203</v>
      </c>
      <c r="O94" t="s">
        <v>302</v>
      </c>
      <c r="P94">
        <v>2.6993671952905075E-2</v>
      </c>
      <c r="Q94" t="s">
        <v>166</v>
      </c>
      <c r="S94" t="s">
        <v>225</v>
      </c>
      <c r="T94" t="s">
        <v>302</v>
      </c>
      <c r="U94">
        <v>2.8550614780765617E-2</v>
      </c>
      <c r="V94" t="s">
        <v>166</v>
      </c>
      <c r="AK94">
        <v>2042</v>
      </c>
      <c r="AL94" t="s">
        <v>290</v>
      </c>
      <c r="AM94">
        <v>0.36520000000000002</v>
      </c>
      <c r="AN94" t="s">
        <v>238</v>
      </c>
    </row>
    <row r="95" spans="9:40" x14ac:dyDescent="0.45">
      <c r="I95" t="s">
        <v>181</v>
      </c>
      <c r="J95" t="s">
        <v>291</v>
      </c>
      <c r="K95">
        <v>0.14635292306929804</v>
      </c>
      <c r="L95" t="s">
        <v>166</v>
      </c>
      <c r="N95" t="s">
        <v>204</v>
      </c>
      <c r="O95" t="s">
        <v>291</v>
      </c>
      <c r="P95">
        <v>0.12274833472688251</v>
      </c>
      <c r="Q95" t="s">
        <v>166</v>
      </c>
      <c r="S95" t="s">
        <v>226</v>
      </c>
      <c r="T95" t="s">
        <v>291</v>
      </c>
      <c r="U95">
        <v>0.12514095132882019</v>
      </c>
      <c r="V95" t="s">
        <v>166</v>
      </c>
      <c r="AK95">
        <v>2043</v>
      </c>
      <c r="AL95" t="s">
        <v>285</v>
      </c>
      <c r="AM95">
        <v>0.33693333333333331</v>
      </c>
      <c r="AN95" t="s">
        <v>238</v>
      </c>
    </row>
    <row r="96" spans="9:40" x14ac:dyDescent="0.45">
      <c r="I96" t="s">
        <v>181</v>
      </c>
      <c r="J96" t="s">
        <v>292</v>
      </c>
      <c r="K96">
        <v>3.3165830705066736E-4</v>
      </c>
      <c r="L96" t="s">
        <v>166</v>
      </c>
      <c r="N96" t="s">
        <v>204</v>
      </c>
      <c r="O96" t="s">
        <v>292</v>
      </c>
      <c r="P96">
        <v>0.14218435613805086</v>
      </c>
      <c r="Q96" t="s">
        <v>166</v>
      </c>
      <c r="S96" t="s">
        <v>226</v>
      </c>
      <c r="T96" t="s">
        <v>292</v>
      </c>
      <c r="U96">
        <v>0.12377745915249518</v>
      </c>
      <c r="V96" t="s">
        <v>166</v>
      </c>
      <c r="AK96">
        <v>2043</v>
      </c>
      <c r="AL96" t="s">
        <v>287</v>
      </c>
      <c r="AM96">
        <v>0.40823333333333339</v>
      </c>
      <c r="AN96" t="s">
        <v>238</v>
      </c>
    </row>
    <row r="97" spans="9:40" x14ac:dyDescent="0.45">
      <c r="I97" t="s">
        <v>181</v>
      </c>
      <c r="J97" t="s">
        <v>293</v>
      </c>
      <c r="K97">
        <v>9.6051741067296366E-3</v>
      </c>
      <c r="L97" t="s">
        <v>166</v>
      </c>
      <c r="N97" t="s">
        <v>204</v>
      </c>
      <c r="O97" t="s">
        <v>293</v>
      </c>
      <c r="P97">
        <v>2.3740163738847169E-2</v>
      </c>
      <c r="Q97" t="s">
        <v>166</v>
      </c>
      <c r="S97" t="s">
        <v>226</v>
      </c>
      <c r="T97" t="s">
        <v>293</v>
      </c>
      <c r="U97">
        <v>2.3116847346614053E-2</v>
      </c>
      <c r="V97" t="s">
        <v>166</v>
      </c>
      <c r="AK97">
        <v>2043</v>
      </c>
      <c r="AL97" t="s">
        <v>288</v>
      </c>
      <c r="AM97">
        <v>0.44469999999999993</v>
      </c>
      <c r="AN97" t="s">
        <v>238</v>
      </c>
    </row>
    <row r="98" spans="9:40" x14ac:dyDescent="0.45">
      <c r="I98" t="s">
        <v>181</v>
      </c>
      <c r="J98" t="s">
        <v>294</v>
      </c>
      <c r="K98">
        <v>0.31079863161711785</v>
      </c>
      <c r="L98" t="s">
        <v>166</v>
      </c>
      <c r="N98" t="s">
        <v>204</v>
      </c>
      <c r="O98" t="s">
        <v>294</v>
      </c>
      <c r="P98">
        <v>9.9978158427207517E-2</v>
      </c>
      <c r="Q98" t="s">
        <v>166</v>
      </c>
      <c r="S98" t="s">
        <v>226</v>
      </c>
      <c r="T98" t="s">
        <v>294</v>
      </c>
      <c r="U98">
        <v>0.11078310519861705</v>
      </c>
      <c r="V98" t="s">
        <v>166</v>
      </c>
      <c r="AK98">
        <v>2043</v>
      </c>
      <c r="AL98" t="s">
        <v>290</v>
      </c>
      <c r="AM98">
        <v>0.34920000000000001</v>
      </c>
      <c r="AN98" t="s">
        <v>238</v>
      </c>
    </row>
    <row r="99" spans="9:40" x14ac:dyDescent="0.45">
      <c r="I99" t="s">
        <v>181</v>
      </c>
      <c r="J99" t="s">
        <v>295</v>
      </c>
      <c r="K99">
        <v>8.2081618551118236E-3</v>
      </c>
      <c r="L99" t="s">
        <v>166</v>
      </c>
      <c r="N99" t="s">
        <v>204</v>
      </c>
      <c r="O99" t="s">
        <v>295</v>
      </c>
      <c r="P99">
        <v>0.11122635301310528</v>
      </c>
      <c r="Q99" t="s">
        <v>166</v>
      </c>
      <c r="S99" t="s">
        <v>226</v>
      </c>
      <c r="T99" t="s">
        <v>295</v>
      </c>
      <c r="U99">
        <v>0.11299224050519993</v>
      </c>
      <c r="V99" t="s">
        <v>166</v>
      </c>
      <c r="AK99">
        <v>2044</v>
      </c>
      <c r="AL99" t="s">
        <v>285</v>
      </c>
      <c r="AM99">
        <v>0.35416666666666669</v>
      </c>
      <c r="AN99" t="s">
        <v>238</v>
      </c>
    </row>
    <row r="100" spans="9:40" x14ac:dyDescent="0.45">
      <c r="I100" t="s">
        <v>181</v>
      </c>
      <c r="J100" t="s">
        <v>296</v>
      </c>
      <c r="K100">
        <v>3.6035525679692891E-2</v>
      </c>
      <c r="L100" t="s">
        <v>166</v>
      </c>
      <c r="N100" t="s">
        <v>204</v>
      </c>
      <c r="O100" t="s">
        <v>296</v>
      </c>
      <c r="P100">
        <v>1.9212916963218998E-2</v>
      </c>
      <c r="Q100" t="s">
        <v>166</v>
      </c>
      <c r="S100" t="s">
        <v>226</v>
      </c>
      <c r="T100" t="s">
        <v>296</v>
      </c>
      <c r="U100">
        <v>2.0577091430646434E-2</v>
      </c>
      <c r="V100" t="s">
        <v>166</v>
      </c>
      <c r="AK100">
        <v>2044</v>
      </c>
      <c r="AL100" t="s">
        <v>287</v>
      </c>
      <c r="AM100">
        <v>0.41673333333333334</v>
      </c>
      <c r="AN100" t="s">
        <v>238</v>
      </c>
    </row>
    <row r="101" spans="9:40" x14ac:dyDescent="0.45">
      <c r="I101" t="s">
        <v>181</v>
      </c>
      <c r="J101" t="s">
        <v>297</v>
      </c>
      <c r="K101">
        <v>0.34764416345581878</v>
      </c>
      <c r="L101" t="s">
        <v>166</v>
      </c>
      <c r="N101" t="s">
        <v>204</v>
      </c>
      <c r="O101" t="s">
        <v>297</v>
      </c>
      <c r="P101">
        <v>6.388128573119399E-2</v>
      </c>
      <c r="Q101" t="s">
        <v>166</v>
      </c>
      <c r="S101" t="s">
        <v>226</v>
      </c>
      <c r="T101" t="s">
        <v>297</v>
      </c>
      <c r="U101">
        <v>7.2985853519928451E-2</v>
      </c>
      <c r="V101" t="s">
        <v>166</v>
      </c>
      <c r="AK101">
        <v>2044</v>
      </c>
      <c r="AL101" t="s">
        <v>288</v>
      </c>
      <c r="AM101">
        <v>0.42836666666666673</v>
      </c>
      <c r="AN101" t="s">
        <v>238</v>
      </c>
    </row>
    <row r="102" spans="9:40" x14ac:dyDescent="0.45">
      <c r="I102" t="s">
        <v>181</v>
      </c>
      <c r="J102" t="s">
        <v>298</v>
      </c>
      <c r="K102">
        <v>2.4197128165170119E-2</v>
      </c>
      <c r="L102" t="s">
        <v>166</v>
      </c>
      <c r="N102" t="s">
        <v>204</v>
      </c>
      <c r="O102" t="s">
        <v>298</v>
      </c>
      <c r="P102">
        <v>7.5119437758997903E-2</v>
      </c>
      <c r="Q102" t="s">
        <v>166</v>
      </c>
      <c r="S102" t="s">
        <v>226</v>
      </c>
      <c r="T102" t="s">
        <v>298</v>
      </c>
      <c r="U102">
        <v>7.7260536940353924E-2</v>
      </c>
      <c r="V102" t="s">
        <v>166</v>
      </c>
      <c r="AK102">
        <v>2044</v>
      </c>
      <c r="AL102" t="s">
        <v>290</v>
      </c>
      <c r="AM102">
        <v>0.3637333333333333</v>
      </c>
      <c r="AN102" t="s">
        <v>238</v>
      </c>
    </row>
    <row r="103" spans="9:40" x14ac:dyDescent="0.45">
      <c r="I103" t="s">
        <v>181</v>
      </c>
      <c r="J103" t="s">
        <v>299</v>
      </c>
      <c r="K103">
        <v>4.8734679982837842E-2</v>
      </c>
      <c r="L103" t="s">
        <v>166</v>
      </c>
      <c r="N103" t="s">
        <v>204</v>
      </c>
      <c r="O103" t="s">
        <v>299</v>
      </c>
      <c r="P103">
        <v>1.1426598163038809E-2</v>
      </c>
      <c r="Q103" t="s">
        <v>166</v>
      </c>
      <c r="S103" t="s">
        <v>226</v>
      </c>
      <c r="T103" t="s">
        <v>299</v>
      </c>
      <c r="U103">
        <v>1.3813591434385495E-2</v>
      </c>
      <c r="V103" t="s">
        <v>166</v>
      </c>
      <c r="AK103">
        <v>2045</v>
      </c>
      <c r="AL103" t="s">
        <v>285</v>
      </c>
      <c r="AM103">
        <v>0.33239999999999997</v>
      </c>
      <c r="AN103" t="s">
        <v>238</v>
      </c>
    </row>
    <row r="104" spans="9:40" x14ac:dyDescent="0.45">
      <c r="I104" t="s">
        <v>181</v>
      </c>
      <c r="J104" t="s">
        <v>300</v>
      </c>
      <c r="K104">
        <v>6.6087696751455316E-2</v>
      </c>
      <c r="L104" t="s">
        <v>166</v>
      </c>
      <c r="N104" t="s">
        <v>204</v>
      </c>
      <c r="O104" t="s">
        <v>300</v>
      </c>
      <c r="P104">
        <v>0.14469869279127567</v>
      </c>
      <c r="Q104" t="s">
        <v>166</v>
      </c>
      <c r="S104" t="s">
        <v>226</v>
      </c>
      <c r="T104" t="s">
        <v>300</v>
      </c>
      <c r="U104">
        <v>0.14585385128964851</v>
      </c>
      <c r="V104" t="s">
        <v>166</v>
      </c>
      <c r="AK104">
        <v>2045</v>
      </c>
      <c r="AL104" t="s">
        <v>287</v>
      </c>
      <c r="AM104">
        <v>0.38896666666666668</v>
      </c>
      <c r="AN104" t="s">
        <v>238</v>
      </c>
    </row>
    <row r="105" spans="9:40" x14ac:dyDescent="0.45">
      <c r="I105" t="s">
        <v>181</v>
      </c>
      <c r="J105" t="s">
        <v>301</v>
      </c>
      <c r="K105">
        <v>0</v>
      </c>
      <c r="L105" t="s">
        <v>166</v>
      </c>
      <c r="N105" t="s">
        <v>204</v>
      </c>
      <c r="O105" t="s">
        <v>301</v>
      </c>
      <c r="P105">
        <v>0.15804422466968709</v>
      </c>
      <c r="Q105" t="s">
        <v>166</v>
      </c>
      <c r="S105" t="s">
        <v>226</v>
      </c>
      <c r="T105" t="s">
        <v>301</v>
      </c>
      <c r="U105">
        <v>0.14666282174227921</v>
      </c>
      <c r="V105" t="s">
        <v>166</v>
      </c>
      <c r="AK105">
        <v>2045</v>
      </c>
      <c r="AL105" t="s">
        <v>288</v>
      </c>
      <c r="AM105">
        <v>0.44080000000000003</v>
      </c>
      <c r="AN105" t="s">
        <v>238</v>
      </c>
    </row>
    <row r="106" spans="9:40" x14ac:dyDescent="0.45">
      <c r="I106" t="s">
        <v>181</v>
      </c>
      <c r="J106" t="s">
        <v>302</v>
      </c>
      <c r="K106">
        <v>2.0042570097154634E-3</v>
      </c>
      <c r="L106" t="s">
        <v>166</v>
      </c>
      <c r="N106" t="s">
        <v>204</v>
      </c>
      <c r="O106" t="s">
        <v>302</v>
      </c>
      <c r="P106">
        <v>2.7739477878495226E-2</v>
      </c>
      <c r="Q106" t="s">
        <v>166</v>
      </c>
      <c r="S106" t="s">
        <v>226</v>
      </c>
      <c r="T106" t="s">
        <v>302</v>
      </c>
      <c r="U106">
        <v>2.7035650111013925E-2</v>
      </c>
      <c r="V106" t="s">
        <v>166</v>
      </c>
      <c r="AK106">
        <v>2045</v>
      </c>
      <c r="AL106" t="s">
        <v>290</v>
      </c>
      <c r="AM106">
        <v>0.3671666666666667</v>
      </c>
      <c r="AN106" t="s">
        <v>238</v>
      </c>
    </row>
    <row r="107" spans="9:40" x14ac:dyDescent="0.45">
      <c r="I107" t="s">
        <v>182</v>
      </c>
      <c r="J107" t="s">
        <v>291</v>
      </c>
      <c r="K107">
        <v>0.14618564132720493</v>
      </c>
      <c r="L107" t="s">
        <v>166</v>
      </c>
      <c r="N107" t="s">
        <v>205</v>
      </c>
      <c r="O107" t="s">
        <v>291</v>
      </c>
      <c r="P107">
        <v>0.12487142501075506</v>
      </c>
      <c r="Q107" t="s">
        <v>166</v>
      </c>
      <c r="S107" t="s">
        <v>227</v>
      </c>
      <c r="T107" t="s">
        <v>291</v>
      </c>
      <c r="U107">
        <v>0.12845367725951926</v>
      </c>
      <c r="V107" t="s">
        <v>166</v>
      </c>
      <c r="AK107">
        <v>2046</v>
      </c>
      <c r="AL107" t="s">
        <v>285</v>
      </c>
      <c r="AM107">
        <v>0.35180000000000006</v>
      </c>
      <c r="AN107" t="s">
        <v>238</v>
      </c>
    </row>
    <row r="108" spans="9:40" x14ac:dyDescent="0.45">
      <c r="I108" t="s">
        <v>182</v>
      </c>
      <c r="J108" t="s">
        <v>292</v>
      </c>
      <c r="K108">
        <v>5.2912783015638721E-4</v>
      </c>
      <c r="L108" t="s">
        <v>166</v>
      </c>
      <c r="N108" t="s">
        <v>205</v>
      </c>
      <c r="O108" t="s">
        <v>292</v>
      </c>
      <c r="P108">
        <v>0.13371999088281036</v>
      </c>
      <c r="Q108" t="s">
        <v>166</v>
      </c>
      <c r="S108" t="s">
        <v>227</v>
      </c>
      <c r="T108" t="s">
        <v>292</v>
      </c>
      <c r="U108">
        <v>0.12679095722775865</v>
      </c>
      <c r="V108" t="s">
        <v>166</v>
      </c>
      <c r="AK108">
        <v>2046</v>
      </c>
      <c r="AL108" t="s">
        <v>287</v>
      </c>
      <c r="AM108">
        <v>0.39473333333333338</v>
      </c>
      <c r="AN108" t="s">
        <v>238</v>
      </c>
    </row>
    <row r="109" spans="9:40" x14ac:dyDescent="0.45">
      <c r="I109" t="s">
        <v>182</v>
      </c>
      <c r="J109" t="s">
        <v>293</v>
      </c>
      <c r="K109">
        <v>1.1299431081885308E-2</v>
      </c>
      <c r="L109" t="s">
        <v>166</v>
      </c>
      <c r="N109" t="s">
        <v>205</v>
      </c>
      <c r="O109" t="s">
        <v>293</v>
      </c>
      <c r="P109">
        <v>2.2958245402689585E-2</v>
      </c>
      <c r="Q109" t="s">
        <v>166</v>
      </c>
      <c r="S109" t="s">
        <v>227</v>
      </c>
      <c r="T109" t="s">
        <v>293</v>
      </c>
      <c r="U109">
        <v>2.3055035372888999E-2</v>
      </c>
      <c r="V109" t="s">
        <v>166</v>
      </c>
      <c r="AK109">
        <v>2046</v>
      </c>
      <c r="AL109" t="s">
        <v>288</v>
      </c>
      <c r="AM109">
        <v>0.43573333333333331</v>
      </c>
      <c r="AN109" t="s">
        <v>238</v>
      </c>
    </row>
    <row r="110" spans="9:40" x14ac:dyDescent="0.45">
      <c r="I110" t="s">
        <v>182</v>
      </c>
      <c r="J110" t="s">
        <v>294</v>
      </c>
      <c r="K110">
        <v>0.30295047373218426</v>
      </c>
      <c r="L110" t="s">
        <v>166</v>
      </c>
      <c r="N110" t="s">
        <v>205</v>
      </c>
      <c r="O110" t="s">
        <v>294</v>
      </c>
      <c r="P110">
        <v>9.8863319377166331E-2</v>
      </c>
      <c r="Q110" t="s">
        <v>166</v>
      </c>
      <c r="S110" t="s">
        <v>227</v>
      </c>
      <c r="T110" t="s">
        <v>294</v>
      </c>
      <c r="U110">
        <v>0.10471448943121076</v>
      </c>
      <c r="V110" t="s">
        <v>166</v>
      </c>
      <c r="AK110">
        <v>2046</v>
      </c>
      <c r="AL110" t="s">
        <v>290</v>
      </c>
      <c r="AM110">
        <v>0.35726666666666668</v>
      </c>
      <c r="AN110" t="s">
        <v>238</v>
      </c>
    </row>
    <row r="111" spans="9:40" x14ac:dyDescent="0.45">
      <c r="I111" t="s">
        <v>182</v>
      </c>
      <c r="J111" t="s">
        <v>295</v>
      </c>
      <c r="K111">
        <v>1.0669350658852224E-2</v>
      </c>
      <c r="L111" t="s">
        <v>166</v>
      </c>
      <c r="N111" t="s">
        <v>205</v>
      </c>
      <c r="O111" t="s">
        <v>295</v>
      </c>
      <c r="P111">
        <v>0.11016985064017942</v>
      </c>
      <c r="Q111" t="s">
        <v>166</v>
      </c>
      <c r="S111" t="s">
        <v>227</v>
      </c>
      <c r="T111" t="s">
        <v>295</v>
      </c>
      <c r="U111">
        <v>0.11397735604311322</v>
      </c>
      <c r="V111" t="s">
        <v>166</v>
      </c>
      <c r="AK111">
        <v>2047</v>
      </c>
      <c r="AL111" t="s">
        <v>285</v>
      </c>
      <c r="AM111">
        <v>0.33673333333333333</v>
      </c>
      <c r="AN111" t="s">
        <v>238</v>
      </c>
    </row>
    <row r="112" spans="9:40" x14ac:dyDescent="0.45">
      <c r="I112" t="s">
        <v>182</v>
      </c>
      <c r="J112" t="s">
        <v>296</v>
      </c>
      <c r="K112">
        <v>4.0486564898221548E-2</v>
      </c>
      <c r="L112" t="s">
        <v>166</v>
      </c>
      <c r="N112" t="s">
        <v>205</v>
      </c>
      <c r="O112" t="s">
        <v>296</v>
      </c>
      <c r="P112">
        <v>1.8342167691760412E-2</v>
      </c>
      <c r="Q112" t="s">
        <v>166</v>
      </c>
      <c r="S112" t="s">
        <v>227</v>
      </c>
      <c r="T112" t="s">
        <v>296</v>
      </c>
      <c r="U112">
        <v>1.9757658223300747E-2</v>
      </c>
      <c r="V112" t="s">
        <v>166</v>
      </c>
      <c r="AK112">
        <v>2047</v>
      </c>
      <c r="AL112" t="s">
        <v>287</v>
      </c>
      <c r="AM112">
        <v>0.40166666666666667</v>
      </c>
      <c r="AN112" t="s">
        <v>238</v>
      </c>
    </row>
    <row r="113" spans="9:40" x14ac:dyDescent="0.45">
      <c r="I113" t="s">
        <v>182</v>
      </c>
      <c r="J113" t="s">
        <v>297</v>
      </c>
      <c r="K113">
        <v>0.34376765393379066</v>
      </c>
      <c r="L113" t="s">
        <v>166</v>
      </c>
      <c r="N113" t="s">
        <v>205</v>
      </c>
      <c r="O113" t="s">
        <v>297</v>
      </c>
      <c r="P113">
        <v>7.5277612004539127E-2</v>
      </c>
      <c r="Q113" t="s">
        <v>166</v>
      </c>
      <c r="S113" t="s">
        <v>227</v>
      </c>
      <c r="T113" t="s">
        <v>297</v>
      </c>
      <c r="U113">
        <v>7.338356127084078E-2</v>
      </c>
      <c r="V113" t="s">
        <v>166</v>
      </c>
      <c r="AK113">
        <v>2047</v>
      </c>
      <c r="AL113" t="s">
        <v>288</v>
      </c>
      <c r="AM113">
        <v>0.46426666666666666</v>
      </c>
      <c r="AN113" t="s">
        <v>238</v>
      </c>
    </row>
    <row r="114" spans="9:40" x14ac:dyDescent="0.45">
      <c r="I114" t="s">
        <v>182</v>
      </c>
      <c r="J114" t="s">
        <v>298</v>
      </c>
      <c r="K114">
        <v>2.6365012398310721E-2</v>
      </c>
      <c r="L114" t="s">
        <v>166</v>
      </c>
      <c r="N114" t="s">
        <v>205</v>
      </c>
      <c r="O114" t="s">
        <v>298</v>
      </c>
      <c r="P114">
        <v>8.0795621789830505E-2</v>
      </c>
      <c r="Q114" t="s">
        <v>166</v>
      </c>
      <c r="S114" t="s">
        <v>227</v>
      </c>
      <c r="T114" t="s">
        <v>298</v>
      </c>
      <c r="U114">
        <v>8.1496796290843526E-2</v>
      </c>
      <c r="V114" t="s">
        <v>166</v>
      </c>
      <c r="AK114">
        <v>2047</v>
      </c>
      <c r="AL114" t="s">
        <v>290</v>
      </c>
      <c r="AM114">
        <v>0.33203333333333335</v>
      </c>
      <c r="AN114" t="s">
        <v>238</v>
      </c>
    </row>
    <row r="115" spans="9:40" x14ac:dyDescent="0.45">
      <c r="I115" t="s">
        <v>182</v>
      </c>
      <c r="J115" t="s">
        <v>299</v>
      </c>
      <c r="K115">
        <v>5.1584365724530921E-2</v>
      </c>
      <c r="L115" t="s">
        <v>166</v>
      </c>
      <c r="N115" t="s">
        <v>205</v>
      </c>
      <c r="O115" t="s">
        <v>299</v>
      </c>
      <c r="P115">
        <v>1.2615075550105328E-2</v>
      </c>
      <c r="Q115" t="s">
        <v>166</v>
      </c>
      <c r="S115" t="s">
        <v>227</v>
      </c>
      <c r="T115" t="s">
        <v>299</v>
      </c>
      <c r="U115">
        <v>1.3896431830121245E-2</v>
      </c>
      <c r="V115" t="s">
        <v>166</v>
      </c>
      <c r="AK115">
        <v>2048</v>
      </c>
      <c r="AL115" t="s">
        <v>285</v>
      </c>
      <c r="AM115">
        <v>0.34603333333333336</v>
      </c>
      <c r="AN115" t="s">
        <v>238</v>
      </c>
    </row>
    <row r="116" spans="9:40" x14ac:dyDescent="0.45">
      <c r="I116" t="s">
        <v>182</v>
      </c>
      <c r="J116" t="s">
        <v>300</v>
      </c>
      <c r="K116">
        <v>6.3763780552830399E-2</v>
      </c>
      <c r="L116" t="s">
        <v>166</v>
      </c>
      <c r="N116" t="s">
        <v>205</v>
      </c>
      <c r="O116" t="s">
        <v>300</v>
      </c>
      <c r="P116">
        <v>0.14767904914026253</v>
      </c>
      <c r="Q116" t="s">
        <v>166</v>
      </c>
      <c r="S116" t="s">
        <v>227</v>
      </c>
      <c r="T116" t="s">
        <v>300</v>
      </c>
      <c r="U116">
        <v>0.14518479636811799</v>
      </c>
      <c r="V116" t="s">
        <v>166</v>
      </c>
      <c r="AK116">
        <v>2048</v>
      </c>
      <c r="AL116" t="s">
        <v>287</v>
      </c>
      <c r="AM116">
        <v>0.42516666666666669</v>
      </c>
      <c r="AN116" t="s">
        <v>238</v>
      </c>
    </row>
    <row r="117" spans="9:40" x14ac:dyDescent="0.45">
      <c r="I117" t="s">
        <v>182</v>
      </c>
      <c r="J117" t="s">
        <v>301</v>
      </c>
      <c r="K117">
        <v>0</v>
      </c>
      <c r="L117" t="s">
        <v>166</v>
      </c>
      <c r="N117" t="s">
        <v>205</v>
      </c>
      <c r="O117" t="s">
        <v>301</v>
      </c>
      <c r="P117">
        <v>0.14828901001551664</v>
      </c>
      <c r="Q117" t="s">
        <v>166</v>
      </c>
      <c r="S117" t="s">
        <v>227</v>
      </c>
      <c r="T117" t="s">
        <v>301</v>
      </c>
      <c r="U117">
        <v>0.14298567313276037</v>
      </c>
      <c r="V117" t="s">
        <v>166</v>
      </c>
      <c r="AK117">
        <v>2048</v>
      </c>
      <c r="AL117" t="s">
        <v>288</v>
      </c>
      <c r="AM117">
        <v>0.43490000000000001</v>
      </c>
      <c r="AN117" t="s">
        <v>238</v>
      </c>
    </row>
    <row r="118" spans="9:40" x14ac:dyDescent="0.45">
      <c r="I118" t="s">
        <v>182</v>
      </c>
      <c r="J118" t="s">
        <v>302</v>
      </c>
      <c r="K118">
        <v>2.3985978620286339E-3</v>
      </c>
      <c r="L118" t="s">
        <v>166</v>
      </c>
      <c r="N118" t="s">
        <v>205</v>
      </c>
      <c r="O118" t="s">
        <v>302</v>
      </c>
      <c r="P118">
        <v>2.6418632494379798E-2</v>
      </c>
      <c r="Q118" t="s">
        <v>166</v>
      </c>
      <c r="S118" t="s">
        <v>227</v>
      </c>
      <c r="T118" t="s">
        <v>302</v>
      </c>
      <c r="U118">
        <v>2.6303567549522171E-2</v>
      </c>
      <c r="V118" t="s">
        <v>166</v>
      </c>
      <c r="AK118">
        <v>2048</v>
      </c>
      <c r="AL118" t="s">
        <v>290</v>
      </c>
      <c r="AM118">
        <v>0.34893333333333332</v>
      </c>
      <c r="AN118" t="s">
        <v>238</v>
      </c>
    </row>
    <row r="119" spans="9:40" x14ac:dyDescent="0.45">
      <c r="I119" t="s">
        <v>183</v>
      </c>
      <c r="J119" t="s">
        <v>291</v>
      </c>
      <c r="K119">
        <v>0.16070677878769471</v>
      </c>
      <c r="L119" t="s">
        <v>166</v>
      </c>
      <c r="N119" t="s">
        <v>206</v>
      </c>
      <c r="O119" t="s">
        <v>291</v>
      </c>
      <c r="P119">
        <v>0.12737197613157114</v>
      </c>
      <c r="Q119" t="s">
        <v>166</v>
      </c>
      <c r="S119" t="s">
        <v>228</v>
      </c>
      <c r="T119" t="s">
        <v>291</v>
      </c>
      <c r="U119">
        <v>0.12966170347797967</v>
      </c>
      <c r="V119" t="s">
        <v>166</v>
      </c>
      <c r="AK119">
        <v>2049</v>
      </c>
      <c r="AL119" t="s">
        <v>285</v>
      </c>
      <c r="AM119">
        <v>0.35843333333333333</v>
      </c>
      <c r="AN119" t="s">
        <v>238</v>
      </c>
    </row>
    <row r="120" spans="9:40" x14ac:dyDescent="0.45">
      <c r="I120" t="s">
        <v>183</v>
      </c>
      <c r="J120" t="s">
        <v>292</v>
      </c>
      <c r="K120">
        <v>4.1794967685400853E-4</v>
      </c>
      <c r="L120" t="s">
        <v>166</v>
      </c>
      <c r="N120" t="s">
        <v>206</v>
      </c>
      <c r="O120" t="s">
        <v>292</v>
      </c>
      <c r="P120">
        <v>0.13913149413163808</v>
      </c>
      <c r="Q120" t="s">
        <v>166</v>
      </c>
      <c r="S120" t="s">
        <v>228</v>
      </c>
      <c r="T120" t="s">
        <v>292</v>
      </c>
      <c r="U120">
        <v>0.12939248761673983</v>
      </c>
      <c r="V120" t="s">
        <v>166</v>
      </c>
      <c r="AK120">
        <v>2049</v>
      </c>
      <c r="AL120" t="s">
        <v>287</v>
      </c>
      <c r="AM120">
        <v>0.42696666666666666</v>
      </c>
      <c r="AN120" t="s">
        <v>238</v>
      </c>
    </row>
    <row r="121" spans="9:40" x14ac:dyDescent="0.45">
      <c r="I121" t="s">
        <v>183</v>
      </c>
      <c r="J121" t="s">
        <v>293</v>
      </c>
      <c r="K121">
        <v>1.1703772440871427E-2</v>
      </c>
      <c r="L121" t="s">
        <v>166</v>
      </c>
      <c r="N121" t="s">
        <v>206</v>
      </c>
      <c r="O121" t="s">
        <v>293</v>
      </c>
      <c r="P121">
        <v>2.3452589328298586E-2</v>
      </c>
      <c r="Q121" t="s">
        <v>166</v>
      </c>
      <c r="S121" t="s">
        <v>228</v>
      </c>
      <c r="T121" t="s">
        <v>293</v>
      </c>
      <c r="U121">
        <v>2.3625231794648205E-2</v>
      </c>
      <c r="V121" t="s">
        <v>166</v>
      </c>
      <c r="AK121">
        <v>2049</v>
      </c>
      <c r="AL121" t="s">
        <v>288</v>
      </c>
      <c r="AM121">
        <v>0.40700000000000003</v>
      </c>
      <c r="AN121" t="s">
        <v>238</v>
      </c>
    </row>
    <row r="122" spans="9:40" x14ac:dyDescent="0.45">
      <c r="I122" t="s">
        <v>183</v>
      </c>
      <c r="J122" t="s">
        <v>294</v>
      </c>
      <c r="K122">
        <v>0.2680179704744089</v>
      </c>
      <c r="L122" t="s">
        <v>166</v>
      </c>
      <c r="N122" t="s">
        <v>206</v>
      </c>
      <c r="O122" t="s">
        <v>294</v>
      </c>
      <c r="P122">
        <v>9.2110750772795666E-2</v>
      </c>
      <c r="Q122" t="s">
        <v>166</v>
      </c>
      <c r="S122" t="s">
        <v>228</v>
      </c>
      <c r="T122" t="s">
        <v>294</v>
      </c>
      <c r="U122">
        <v>0.10264851533628941</v>
      </c>
      <c r="V122" t="s">
        <v>166</v>
      </c>
      <c r="AK122">
        <v>2049</v>
      </c>
      <c r="AL122" t="s">
        <v>290</v>
      </c>
      <c r="AM122">
        <v>0.36509999999999998</v>
      </c>
      <c r="AN122" t="s">
        <v>238</v>
      </c>
    </row>
    <row r="123" spans="9:40" x14ac:dyDescent="0.45">
      <c r="I123" t="s">
        <v>183</v>
      </c>
      <c r="J123" t="s">
        <v>295</v>
      </c>
      <c r="K123">
        <v>6.2044867722400041E-3</v>
      </c>
      <c r="L123" t="s">
        <v>166</v>
      </c>
      <c r="N123" t="s">
        <v>206</v>
      </c>
      <c r="O123" t="s">
        <v>295</v>
      </c>
      <c r="P123">
        <v>9.8255176175109663E-2</v>
      </c>
      <c r="Q123" t="s">
        <v>166</v>
      </c>
      <c r="S123" t="s">
        <v>228</v>
      </c>
      <c r="T123" t="s">
        <v>295</v>
      </c>
      <c r="U123">
        <v>0.11133808327552418</v>
      </c>
      <c r="V123" t="s">
        <v>166</v>
      </c>
      <c r="AK123">
        <v>2050</v>
      </c>
      <c r="AL123" t="s">
        <v>285</v>
      </c>
      <c r="AM123">
        <v>0.33443333333333336</v>
      </c>
      <c r="AN123" t="s">
        <v>238</v>
      </c>
    </row>
    <row r="124" spans="9:40" x14ac:dyDescent="0.45">
      <c r="I124" t="s">
        <v>183</v>
      </c>
      <c r="J124" t="s">
        <v>296</v>
      </c>
      <c r="K124">
        <v>2.9688139345194594E-2</v>
      </c>
      <c r="L124" t="s">
        <v>166</v>
      </c>
      <c r="N124" t="s">
        <v>206</v>
      </c>
      <c r="O124" t="s">
        <v>296</v>
      </c>
      <c r="P124">
        <v>1.7146630012015641E-2</v>
      </c>
      <c r="Q124" t="s">
        <v>166</v>
      </c>
      <c r="S124" t="s">
        <v>228</v>
      </c>
      <c r="T124" t="s">
        <v>296</v>
      </c>
      <c r="U124">
        <v>1.9148394558557165E-2</v>
      </c>
      <c r="V124" t="s">
        <v>166</v>
      </c>
      <c r="AK124">
        <v>2050</v>
      </c>
      <c r="AL124" t="s">
        <v>287</v>
      </c>
      <c r="AM124">
        <v>0.41426666666666662</v>
      </c>
      <c r="AN124" t="s">
        <v>238</v>
      </c>
    </row>
    <row r="125" spans="9:40" x14ac:dyDescent="0.45">
      <c r="I125" t="s">
        <v>183</v>
      </c>
      <c r="J125" t="s">
        <v>297</v>
      </c>
      <c r="K125">
        <v>0.36344409160589791</v>
      </c>
      <c r="L125" t="s">
        <v>166</v>
      </c>
      <c r="N125" t="s">
        <v>206</v>
      </c>
      <c r="O125" t="s">
        <v>297</v>
      </c>
      <c r="P125">
        <v>7.2814246218886991E-2</v>
      </c>
      <c r="Q125" t="s">
        <v>166</v>
      </c>
      <c r="S125" t="s">
        <v>228</v>
      </c>
      <c r="T125" t="s">
        <v>297</v>
      </c>
      <c r="U125">
        <v>6.9669118825286203E-2</v>
      </c>
      <c r="V125" t="s">
        <v>166</v>
      </c>
      <c r="AK125">
        <v>2050</v>
      </c>
      <c r="AL125" t="s">
        <v>288</v>
      </c>
      <c r="AM125">
        <v>0.40493333333333331</v>
      </c>
      <c r="AN125" t="s">
        <v>238</v>
      </c>
    </row>
    <row r="126" spans="9:40" x14ac:dyDescent="0.45">
      <c r="I126" t="s">
        <v>183</v>
      </c>
      <c r="J126" t="s">
        <v>298</v>
      </c>
      <c r="K126">
        <v>2.2139044111800368E-2</v>
      </c>
      <c r="L126" t="s">
        <v>166</v>
      </c>
      <c r="N126" t="s">
        <v>206</v>
      </c>
      <c r="O126" t="s">
        <v>298</v>
      </c>
      <c r="P126">
        <v>7.1977148027450324E-2</v>
      </c>
      <c r="Q126" t="s">
        <v>166</v>
      </c>
      <c r="S126" t="s">
        <v>228</v>
      </c>
      <c r="T126" t="s">
        <v>298</v>
      </c>
      <c r="U126">
        <v>7.6694763443815636E-2</v>
      </c>
      <c r="V126" t="s">
        <v>166</v>
      </c>
      <c r="AK126">
        <v>2050</v>
      </c>
      <c r="AL126" t="s">
        <v>290</v>
      </c>
      <c r="AM126">
        <v>0.34443333333333337</v>
      </c>
      <c r="AN126" t="s">
        <v>238</v>
      </c>
    </row>
    <row r="127" spans="9:40" x14ac:dyDescent="0.45">
      <c r="I127" t="s">
        <v>183</v>
      </c>
      <c r="J127" t="s">
        <v>299</v>
      </c>
      <c r="K127">
        <v>4.756077067107059E-2</v>
      </c>
      <c r="L127" t="s">
        <v>166</v>
      </c>
      <c r="N127" t="s">
        <v>206</v>
      </c>
      <c r="O127" t="s">
        <v>299</v>
      </c>
      <c r="P127">
        <v>1.2168800149673144E-2</v>
      </c>
      <c r="Q127" t="s">
        <v>166</v>
      </c>
      <c r="S127" t="s">
        <v>228</v>
      </c>
      <c r="T127" t="s">
        <v>299</v>
      </c>
      <c r="U127">
        <v>1.2196474504018047E-2</v>
      </c>
      <c r="V127" t="s">
        <v>166</v>
      </c>
    </row>
    <row r="128" spans="9:40" x14ac:dyDescent="0.45">
      <c r="I128" t="s">
        <v>183</v>
      </c>
      <c r="J128" t="s">
        <v>300</v>
      </c>
      <c r="K128">
        <v>8.7661202229670304E-2</v>
      </c>
      <c r="L128" t="s">
        <v>166</v>
      </c>
      <c r="N128" t="s">
        <v>206</v>
      </c>
      <c r="O128" t="s">
        <v>300</v>
      </c>
      <c r="P128">
        <v>0.15933322838645478</v>
      </c>
      <c r="Q128" t="s">
        <v>166</v>
      </c>
      <c r="S128" t="s">
        <v>228</v>
      </c>
      <c r="T128" t="s">
        <v>300</v>
      </c>
      <c r="U128">
        <v>0.14874016549289035</v>
      </c>
      <c r="V128" t="s">
        <v>166</v>
      </c>
    </row>
    <row r="129" spans="9:22" x14ac:dyDescent="0.45">
      <c r="I129" t="s">
        <v>183</v>
      </c>
      <c r="J129" t="s">
        <v>301</v>
      </c>
      <c r="K129">
        <v>0</v>
      </c>
      <c r="L129" t="s">
        <v>166</v>
      </c>
      <c r="N129" t="s">
        <v>206</v>
      </c>
      <c r="O129" t="s">
        <v>301</v>
      </c>
      <c r="P129">
        <v>0.15796168394111357</v>
      </c>
      <c r="Q129" t="s">
        <v>166</v>
      </c>
      <c r="S129" t="s">
        <v>228</v>
      </c>
      <c r="T129" t="s">
        <v>301</v>
      </c>
      <c r="U129">
        <v>0.14990339369533506</v>
      </c>
      <c r="V129" t="s">
        <v>166</v>
      </c>
    </row>
    <row r="130" spans="9:22" x14ac:dyDescent="0.45">
      <c r="I130" t="s">
        <v>183</v>
      </c>
      <c r="J130" t="s">
        <v>302</v>
      </c>
      <c r="K130">
        <v>2.4557938842963995E-3</v>
      </c>
      <c r="L130" t="s">
        <v>166</v>
      </c>
      <c r="N130" t="s">
        <v>206</v>
      </c>
      <c r="O130" t="s">
        <v>302</v>
      </c>
      <c r="P130">
        <v>2.8276276724991774E-2</v>
      </c>
      <c r="Q130" t="s">
        <v>166</v>
      </c>
      <c r="S130" t="s">
        <v>228</v>
      </c>
      <c r="T130" t="s">
        <v>302</v>
      </c>
      <c r="U130">
        <v>2.6981667978912993E-2</v>
      </c>
      <c r="V130" t="s">
        <v>166</v>
      </c>
    </row>
    <row r="131" spans="9:22" x14ac:dyDescent="0.45">
      <c r="I131" t="s">
        <v>184</v>
      </c>
      <c r="J131" t="s">
        <v>291</v>
      </c>
      <c r="K131">
        <v>0.15080842407573339</v>
      </c>
      <c r="L131" t="s">
        <v>166</v>
      </c>
      <c r="N131" t="s">
        <v>207</v>
      </c>
      <c r="O131" t="s">
        <v>291</v>
      </c>
      <c r="P131">
        <v>0.10417948542792548</v>
      </c>
      <c r="Q131" t="s">
        <v>166</v>
      </c>
    </row>
    <row r="132" spans="9:22" x14ac:dyDescent="0.45">
      <c r="I132" t="s">
        <v>184</v>
      </c>
      <c r="J132" t="s">
        <v>292</v>
      </c>
      <c r="K132">
        <v>5.4951433298332578E-4</v>
      </c>
      <c r="L132" t="s">
        <v>166</v>
      </c>
      <c r="N132" t="s">
        <v>207</v>
      </c>
      <c r="O132" t="s">
        <v>292</v>
      </c>
      <c r="P132">
        <v>0.12097842712763074</v>
      </c>
      <c r="Q132" t="s">
        <v>166</v>
      </c>
    </row>
    <row r="133" spans="9:22" x14ac:dyDescent="0.45">
      <c r="I133" t="s">
        <v>184</v>
      </c>
      <c r="J133" t="s">
        <v>293</v>
      </c>
      <c r="K133">
        <v>1.1841998461395343E-2</v>
      </c>
      <c r="L133" t="s">
        <v>166</v>
      </c>
      <c r="N133" t="s">
        <v>207</v>
      </c>
      <c r="O133" t="s">
        <v>293</v>
      </c>
      <c r="P133">
        <v>1.9579777764909646E-2</v>
      </c>
      <c r="Q133" t="s">
        <v>166</v>
      </c>
    </row>
    <row r="134" spans="9:22" x14ac:dyDescent="0.45">
      <c r="I134" t="s">
        <v>184</v>
      </c>
      <c r="J134" t="s">
        <v>294</v>
      </c>
      <c r="K134">
        <v>0.27851908282303312</v>
      </c>
      <c r="L134" t="s">
        <v>166</v>
      </c>
      <c r="N134" t="s">
        <v>207</v>
      </c>
      <c r="O134" t="s">
        <v>294</v>
      </c>
      <c r="P134">
        <v>0.10815158120906161</v>
      </c>
      <c r="Q134" t="s">
        <v>166</v>
      </c>
    </row>
    <row r="135" spans="9:22" x14ac:dyDescent="0.45">
      <c r="I135" t="s">
        <v>184</v>
      </c>
      <c r="J135" t="s">
        <v>295</v>
      </c>
      <c r="K135">
        <v>6.7654109988476872E-3</v>
      </c>
      <c r="L135" t="s">
        <v>166</v>
      </c>
      <c r="N135" t="s">
        <v>207</v>
      </c>
      <c r="O135" t="s">
        <v>295</v>
      </c>
      <c r="P135">
        <v>0.11723918690143117</v>
      </c>
      <c r="Q135" t="s">
        <v>166</v>
      </c>
    </row>
    <row r="136" spans="9:22" x14ac:dyDescent="0.45">
      <c r="I136" t="s">
        <v>184</v>
      </c>
      <c r="J136" t="s">
        <v>296</v>
      </c>
      <c r="K136">
        <v>3.16934351074162E-2</v>
      </c>
      <c r="L136" t="s">
        <v>166</v>
      </c>
      <c r="N136" t="s">
        <v>207</v>
      </c>
      <c r="O136" t="s">
        <v>296</v>
      </c>
      <c r="P136">
        <v>2.2461992094468891E-2</v>
      </c>
      <c r="Q136" t="s">
        <v>166</v>
      </c>
    </row>
    <row r="137" spans="9:22" x14ac:dyDescent="0.45">
      <c r="I137" t="s">
        <v>184</v>
      </c>
      <c r="J137" t="s">
        <v>297</v>
      </c>
      <c r="K137">
        <v>0.36968405161534384</v>
      </c>
      <c r="L137" t="s">
        <v>166</v>
      </c>
      <c r="N137" t="s">
        <v>207</v>
      </c>
      <c r="O137" t="s">
        <v>297</v>
      </c>
      <c r="P137">
        <v>5.8287557850976675E-2</v>
      </c>
      <c r="Q137" t="s">
        <v>166</v>
      </c>
    </row>
    <row r="138" spans="9:22" x14ac:dyDescent="0.45">
      <c r="I138" t="s">
        <v>184</v>
      </c>
      <c r="J138" t="s">
        <v>298</v>
      </c>
      <c r="K138">
        <v>2.4229989061285383E-2</v>
      </c>
      <c r="L138" t="s">
        <v>166</v>
      </c>
      <c r="N138" t="s">
        <v>207</v>
      </c>
      <c r="O138" t="s">
        <v>298</v>
      </c>
      <c r="P138">
        <v>8.5771222375573386E-2</v>
      </c>
      <c r="Q138" t="s">
        <v>166</v>
      </c>
    </row>
    <row r="139" spans="9:22" x14ac:dyDescent="0.45">
      <c r="I139" t="s">
        <v>184</v>
      </c>
      <c r="J139" t="s">
        <v>299</v>
      </c>
      <c r="K139">
        <v>4.943126962617006E-2</v>
      </c>
      <c r="L139" t="s">
        <v>166</v>
      </c>
      <c r="N139" t="s">
        <v>207</v>
      </c>
      <c r="O139" t="s">
        <v>299</v>
      </c>
      <c r="P139">
        <v>1.4632102469594191E-2</v>
      </c>
      <c r="Q139" t="s">
        <v>166</v>
      </c>
    </row>
    <row r="140" spans="9:22" x14ac:dyDescent="0.45">
      <c r="I140" t="s">
        <v>184</v>
      </c>
      <c r="J140" t="s">
        <v>300</v>
      </c>
      <c r="K140">
        <v>7.3955117178083687E-2</v>
      </c>
      <c r="L140" t="s">
        <v>166</v>
      </c>
      <c r="N140" t="s">
        <v>207</v>
      </c>
      <c r="O140" t="s">
        <v>300</v>
      </c>
      <c r="P140">
        <v>0.14424597952715185</v>
      </c>
      <c r="Q140" t="s">
        <v>166</v>
      </c>
    </row>
    <row r="141" spans="9:22" x14ac:dyDescent="0.45">
      <c r="I141" t="s">
        <v>184</v>
      </c>
      <c r="J141" t="s">
        <v>301</v>
      </c>
      <c r="K141">
        <v>0</v>
      </c>
      <c r="L141" t="s">
        <v>166</v>
      </c>
      <c r="N141" t="s">
        <v>207</v>
      </c>
      <c r="O141" t="s">
        <v>301</v>
      </c>
      <c r="P141">
        <v>0.17322490836463836</v>
      </c>
      <c r="Q141" t="s">
        <v>166</v>
      </c>
    </row>
    <row r="142" spans="9:22" x14ac:dyDescent="0.45">
      <c r="I142" t="s">
        <v>184</v>
      </c>
      <c r="J142" t="s">
        <v>302</v>
      </c>
      <c r="K142">
        <v>2.5217067197105098E-3</v>
      </c>
      <c r="L142" t="s">
        <v>166</v>
      </c>
      <c r="N142" t="s">
        <v>207</v>
      </c>
      <c r="O142" t="s">
        <v>302</v>
      </c>
      <c r="P142">
        <v>3.1247778886636001E-2</v>
      </c>
      <c r="Q142" t="s">
        <v>166</v>
      </c>
    </row>
    <row r="143" spans="9:22" x14ac:dyDescent="0.45">
      <c r="I143" t="s">
        <v>185</v>
      </c>
      <c r="J143" t="s">
        <v>291</v>
      </c>
      <c r="K143">
        <v>0.14790323186693169</v>
      </c>
      <c r="L143" t="s">
        <v>166</v>
      </c>
      <c r="N143" t="s">
        <v>208</v>
      </c>
      <c r="O143" t="s">
        <v>291</v>
      </c>
      <c r="P143">
        <v>0.13757514496889056</v>
      </c>
      <c r="Q143" t="s">
        <v>166</v>
      </c>
    </row>
    <row r="144" spans="9:22" x14ac:dyDescent="0.45">
      <c r="I144" t="s">
        <v>185</v>
      </c>
      <c r="J144" t="s">
        <v>292</v>
      </c>
      <c r="K144">
        <v>2.0275165109256084E-4</v>
      </c>
      <c r="L144" t="s">
        <v>166</v>
      </c>
      <c r="N144" t="s">
        <v>208</v>
      </c>
      <c r="O144" t="s">
        <v>292</v>
      </c>
      <c r="P144">
        <v>0.13923315797845778</v>
      </c>
      <c r="Q144" t="s">
        <v>166</v>
      </c>
    </row>
    <row r="145" spans="9:17" x14ac:dyDescent="0.45">
      <c r="I145" t="s">
        <v>185</v>
      </c>
      <c r="J145" t="s">
        <v>293</v>
      </c>
      <c r="K145">
        <v>1.0205141067787029E-2</v>
      </c>
      <c r="L145" t="s">
        <v>166</v>
      </c>
      <c r="N145" t="s">
        <v>208</v>
      </c>
      <c r="O145" t="s">
        <v>293</v>
      </c>
      <c r="P145">
        <v>2.2737212180042578E-2</v>
      </c>
      <c r="Q145" t="s">
        <v>166</v>
      </c>
    </row>
    <row r="146" spans="9:17" x14ac:dyDescent="0.45">
      <c r="I146" t="s">
        <v>185</v>
      </c>
      <c r="J146" t="s">
        <v>294</v>
      </c>
      <c r="K146">
        <v>0.29741364776007456</v>
      </c>
      <c r="L146" t="s">
        <v>166</v>
      </c>
      <c r="N146" t="s">
        <v>208</v>
      </c>
      <c r="O146" t="s">
        <v>294</v>
      </c>
      <c r="P146">
        <v>0.10484146624398283</v>
      </c>
      <c r="Q146" t="s">
        <v>166</v>
      </c>
    </row>
    <row r="147" spans="9:17" x14ac:dyDescent="0.45">
      <c r="I147" t="s">
        <v>185</v>
      </c>
      <c r="J147" t="s">
        <v>295</v>
      </c>
      <c r="K147">
        <v>6.7480044010705918E-3</v>
      </c>
      <c r="L147" t="s">
        <v>166</v>
      </c>
      <c r="N147" t="s">
        <v>208</v>
      </c>
      <c r="O147" t="s">
        <v>295</v>
      </c>
      <c r="P147">
        <v>0.11332215826688584</v>
      </c>
      <c r="Q147" t="s">
        <v>166</v>
      </c>
    </row>
    <row r="148" spans="9:17" x14ac:dyDescent="0.45">
      <c r="I148" t="s">
        <v>185</v>
      </c>
      <c r="J148" t="s">
        <v>296</v>
      </c>
      <c r="K148">
        <v>3.2097045150272299E-2</v>
      </c>
      <c r="L148" t="s">
        <v>166</v>
      </c>
      <c r="N148" t="s">
        <v>208</v>
      </c>
      <c r="O148" t="s">
        <v>296</v>
      </c>
      <c r="P148">
        <v>2.0379902263302635E-2</v>
      </c>
      <c r="Q148" t="s">
        <v>166</v>
      </c>
    </row>
    <row r="149" spans="9:17" x14ac:dyDescent="0.45">
      <c r="I149" t="s">
        <v>185</v>
      </c>
      <c r="J149" t="s">
        <v>297</v>
      </c>
      <c r="K149">
        <v>0.36104992068075453</v>
      </c>
      <c r="L149" t="s">
        <v>166</v>
      </c>
      <c r="N149" t="s">
        <v>208</v>
      </c>
      <c r="O149" t="s">
        <v>297</v>
      </c>
      <c r="P149">
        <v>5.0661422978034443E-2</v>
      </c>
      <c r="Q149" t="s">
        <v>166</v>
      </c>
    </row>
    <row r="150" spans="9:17" x14ac:dyDescent="0.45">
      <c r="I150" t="s">
        <v>185</v>
      </c>
      <c r="J150" t="s">
        <v>298</v>
      </c>
      <c r="K150">
        <v>2.2862247183612659E-2</v>
      </c>
      <c r="L150" t="s">
        <v>166</v>
      </c>
      <c r="N150" t="s">
        <v>208</v>
      </c>
      <c r="O150" t="s">
        <v>298</v>
      </c>
      <c r="P150">
        <v>7.3610015289672634E-2</v>
      </c>
      <c r="Q150" t="s">
        <v>166</v>
      </c>
    </row>
    <row r="151" spans="9:17" x14ac:dyDescent="0.45">
      <c r="I151" t="s">
        <v>185</v>
      </c>
      <c r="J151" t="s">
        <v>299</v>
      </c>
      <c r="K151">
        <v>4.8260687005674818E-2</v>
      </c>
      <c r="L151" t="s">
        <v>166</v>
      </c>
      <c r="N151" t="s">
        <v>208</v>
      </c>
      <c r="O151" t="s">
        <v>299</v>
      </c>
      <c r="P151">
        <v>1.1718186289321527E-2</v>
      </c>
      <c r="Q151" t="s">
        <v>166</v>
      </c>
    </row>
    <row r="152" spans="9:17" x14ac:dyDescent="0.45">
      <c r="I152" t="s">
        <v>185</v>
      </c>
      <c r="J152" t="s">
        <v>300</v>
      </c>
      <c r="K152">
        <v>7.1610026304328098E-2</v>
      </c>
      <c r="L152" t="s">
        <v>166</v>
      </c>
      <c r="N152" t="s">
        <v>208</v>
      </c>
      <c r="O152" t="s">
        <v>300</v>
      </c>
      <c r="P152">
        <v>0.1442268104370549</v>
      </c>
      <c r="Q152" t="s">
        <v>166</v>
      </c>
    </row>
    <row r="153" spans="9:17" x14ac:dyDescent="0.45">
      <c r="I153" t="s">
        <v>185</v>
      </c>
      <c r="J153" t="s">
        <v>301</v>
      </c>
      <c r="K153">
        <v>0</v>
      </c>
      <c r="L153" t="s">
        <v>166</v>
      </c>
      <c r="N153" t="s">
        <v>208</v>
      </c>
      <c r="O153" t="s">
        <v>301</v>
      </c>
      <c r="P153">
        <v>0.15444427645017511</v>
      </c>
      <c r="Q153" t="s">
        <v>166</v>
      </c>
    </row>
    <row r="154" spans="9:17" x14ac:dyDescent="0.45">
      <c r="I154" t="s">
        <v>185</v>
      </c>
      <c r="J154" t="s">
        <v>302</v>
      </c>
      <c r="K154">
        <v>1.6472969284009092E-3</v>
      </c>
      <c r="L154" t="s">
        <v>166</v>
      </c>
      <c r="N154" t="s">
        <v>208</v>
      </c>
      <c r="O154" t="s">
        <v>302</v>
      </c>
      <c r="P154">
        <v>2.7250246654174855E-2</v>
      </c>
      <c r="Q154" t="s">
        <v>166</v>
      </c>
    </row>
    <row r="155" spans="9:17" x14ac:dyDescent="0.45">
      <c r="I155" t="s">
        <v>186</v>
      </c>
      <c r="J155" t="s">
        <v>291</v>
      </c>
      <c r="K155">
        <v>0.15441157176584333</v>
      </c>
      <c r="L155" t="s">
        <v>166</v>
      </c>
      <c r="N155" t="s">
        <v>209</v>
      </c>
      <c r="O155" t="s">
        <v>291</v>
      </c>
      <c r="P155">
        <v>0.11591200402261326</v>
      </c>
      <c r="Q155" t="s">
        <v>166</v>
      </c>
    </row>
    <row r="156" spans="9:17" x14ac:dyDescent="0.45">
      <c r="I156" t="s">
        <v>186</v>
      </c>
      <c r="J156" t="s">
        <v>292</v>
      </c>
      <c r="K156">
        <v>0</v>
      </c>
      <c r="L156" t="s">
        <v>166</v>
      </c>
      <c r="N156" t="s">
        <v>209</v>
      </c>
      <c r="O156" t="s">
        <v>292</v>
      </c>
      <c r="P156">
        <v>0.14502931400756722</v>
      </c>
      <c r="Q156" t="s">
        <v>166</v>
      </c>
    </row>
    <row r="157" spans="9:17" x14ac:dyDescent="0.45">
      <c r="I157" t="s">
        <v>186</v>
      </c>
      <c r="J157" t="s">
        <v>293</v>
      </c>
      <c r="K157">
        <v>6.0957213172853552E-3</v>
      </c>
      <c r="L157" t="s">
        <v>166</v>
      </c>
      <c r="N157" t="s">
        <v>209</v>
      </c>
      <c r="O157" t="s">
        <v>293</v>
      </c>
      <c r="P157">
        <v>2.059831182235879E-2</v>
      </c>
      <c r="Q157" t="s">
        <v>166</v>
      </c>
    </row>
    <row r="158" spans="9:17" x14ac:dyDescent="0.45">
      <c r="I158" t="s">
        <v>186</v>
      </c>
      <c r="J158" t="s">
        <v>294</v>
      </c>
      <c r="K158">
        <v>0.30957757784291373</v>
      </c>
      <c r="L158" t="s">
        <v>166</v>
      </c>
      <c r="N158" t="s">
        <v>209</v>
      </c>
      <c r="O158" t="s">
        <v>294</v>
      </c>
      <c r="P158">
        <v>0.10067537387819736</v>
      </c>
      <c r="Q158" t="s">
        <v>166</v>
      </c>
    </row>
    <row r="159" spans="9:17" x14ac:dyDescent="0.45">
      <c r="I159" t="s">
        <v>186</v>
      </c>
      <c r="J159" t="s">
        <v>295</v>
      </c>
      <c r="K159">
        <v>6.8861448799299764E-3</v>
      </c>
      <c r="L159" t="s">
        <v>166</v>
      </c>
      <c r="N159" t="s">
        <v>209</v>
      </c>
      <c r="O159" t="s">
        <v>295</v>
      </c>
      <c r="P159">
        <v>0.12636000306486048</v>
      </c>
      <c r="Q159" t="s">
        <v>166</v>
      </c>
    </row>
    <row r="160" spans="9:17" x14ac:dyDescent="0.45">
      <c r="I160" t="s">
        <v>186</v>
      </c>
      <c r="J160" t="s">
        <v>296</v>
      </c>
      <c r="K160">
        <v>3.0616831781423007E-2</v>
      </c>
      <c r="L160" t="s">
        <v>166</v>
      </c>
      <c r="N160" t="s">
        <v>209</v>
      </c>
      <c r="O160" t="s">
        <v>296</v>
      </c>
      <c r="P160">
        <v>1.9892620609410459E-2</v>
      </c>
      <c r="Q160" t="s">
        <v>166</v>
      </c>
    </row>
    <row r="161" spans="9:17" x14ac:dyDescent="0.45">
      <c r="I161" t="s">
        <v>186</v>
      </c>
      <c r="J161" t="s">
        <v>297</v>
      </c>
      <c r="K161">
        <v>0.35030652336175538</v>
      </c>
      <c r="L161" t="s">
        <v>166</v>
      </c>
      <c r="N161" t="s">
        <v>209</v>
      </c>
      <c r="O161" t="s">
        <v>297</v>
      </c>
      <c r="P161">
        <v>4.5016567497175163E-2</v>
      </c>
      <c r="Q161" t="s">
        <v>166</v>
      </c>
    </row>
    <row r="162" spans="9:17" x14ac:dyDescent="0.45">
      <c r="I162" t="s">
        <v>186</v>
      </c>
      <c r="J162" t="s">
        <v>298</v>
      </c>
      <c r="K162">
        <v>2.0894708144359692E-2</v>
      </c>
      <c r="L162" t="s">
        <v>166</v>
      </c>
      <c r="N162" t="s">
        <v>209</v>
      </c>
      <c r="O162" t="s">
        <v>298</v>
      </c>
      <c r="P162">
        <v>8.9565053408740478E-2</v>
      </c>
      <c r="Q162" t="s">
        <v>166</v>
      </c>
    </row>
    <row r="163" spans="9:17" x14ac:dyDescent="0.45">
      <c r="I163" t="s">
        <v>186</v>
      </c>
      <c r="J163" t="s">
        <v>299</v>
      </c>
      <c r="K163">
        <v>4.5334045346032088E-2</v>
      </c>
      <c r="L163" t="s">
        <v>166</v>
      </c>
      <c r="N163" t="s">
        <v>209</v>
      </c>
      <c r="O163" t="s">
        <v>299</v>
      </c>
      <c r="P163">
        <v>1.0958802878970726E-2</v>
      </c>
      <c r="Q163" t="s">
        <v>166</v>
      </c>
    </row>
    <row r="164" spans="9:17" x14ac:dyDescent="0.45">
      <c r="I164" t="s">
        <v>186</v>
      </c>
      <c r="J164" t="s">
        <v>300</v>
      </c>
      <c r="K164">
        <v>7.5408411498951056E-2</v>
      </c>
      <c r="L164" t="s">
        <v>166</v>
      </c>
      <c r="N164" t="s">
        <v>209</v>
      </c>
      <c r="O164" t="s">
        <v>300</v>
      </c>
      <c r="P164">
        <v>0.13372972535282457</v>
      </c>
      <c r="Q164" t="s">
        <v>166</v>
      </c>
    </row>
    <row r="165" spans="9:17" x14ac:dyDescent="0.45">
      <c r="I165" t="s">
        <v>186</v>
      </c>
      <c r="J165" t="s">
        <v>301</v>
      </c>
      <c r="K165">
        <v>0</v>
      </c>
      <c r="L165" t="s">
        <v>166</v>
      </c>
      <c r="N165" t="s">
        <v>209</v>
      </c>
      <c r="O165" t="s">
        <v>301</v>
      </c>
      <c r="P165">
        <v>0.16504079582486242</v>
      </c>
      <c r="Q165" t="s">
        <v>166</v>
      </c>
    </row>
    <row r="166" spans="9:17" x14ac:dyDescent="0.45">
      <c r="I166" t="s">
        <v>186</v>
      </c>
      <c r="J166" t="s">
        <v>302</v>
      </c>
      <c r="K166">
        <v>4.6846406150522299E-4</v>
      </c>
      <c r="L166" t="s">
        <v>166</v>
      </c>
      <c r="N166" t="s">
        <v>209</v>
      </c>
      <c r="O166" t="s">
        <v>302</v>
      </c>
      <c r="P166">
        <v>2.7221427632415748E-2</v>
      </c>
      <c r="Q166" t="s">
        <v>166</v>
      </c>
    </row>
    <row r="167" spans="9:17" x14ac:dyDescent="0.45">
      <c r="I167" t="s">
        <v>187</v>
      </c>
      <c r="J167" t="s">
        <v>291</v>
      </c>
      <c r="K167">
        <v>0.1611029859718833</v>
      </c>
      <c r="L167" t="s">
        <v>166</v>
      </c>
      <c r="N167" t="s">
        <v>210</v>
      </c>
      <c r="O167" t="s">
        <v>291</v>
      </c>
      <c r="P167">
        <v>0.13042610113575914</v>
      </c>
      <c r="Q167" t="s">
        <v>166</v>
      </c>
    </row>
    <row r="168" spans="9:17" x14ac:dyDescent="0.45">
      <c r="I168" t="s">
        <v>187</v>
      </c>
      <c r="J168" t="s">
        <v>292</v>
      </c>
      <c r="K168">
        <v>0</v>
      </c>
      <c r="L168" t="s">
        <v>166</v>
      </c>
      <c r="N168" t="s">
        <v>210</v>
      </c>
      <c r="O168" t="s">
        <v>292</v>
      </c>
      <c r="P168">
        <v>0.13512005811933953</v>
      </c>
      <c r="Q168" t="s">
        <v>166</v>
      </c>
    </row>
    <row r="169" spans="9:17" x14ac:dyDescent="0.45">
      <c r="I169" t="s">
        <v>187</v>
      </c>
      <c r="J169" t="s">
        <v>293</v>
      </c>
      <c r="K169">
        <v>5.212027004583758E-3</v>
      </c>
      <c r="L169" t="s">
        <v>166</v>
      </c>
      <c r="N169" t="s">
        <v>210</v>
      </c>
      <c r="O169" t="s">
        <v>293</v>
      </c>
      <c r="P169">
        <v>2.1781505620613841E-2</v>
      </c>
      <c r="Q169" t="s">
        <v>166</v>
      </c>
    </row>
    <row r="170" spans="9:17" x14ac:dyDescent="0.45">
      <c r="I170" t="s">
        <v>187</v>
      </c>
      <c r="J170" t="s">
        <v>294</v>
      </c>
      <c r="K170">
        <v>0.29935515744865138</v>
      </c>
      <c r="L170" t="s">
        <v>166</v>
      </c>
      <c r="N170" t="s">
        <v>210</v>
      </c>
      <c r="O170" t="s">
        <v>294</v>
      </c>
      <c r="P170">
        <v>0.11457054847679182</v>
      </c>
      <c r="Q170" t="s">
        <v>166</v>
      </c>
    </row>
    <row r="171" spans="9:17" x14ac:dyDescent="0.45">
      <c r="I171" t="s">
        <v>187</v>
      </c>
      <c r="J171" t="s">
        <v>295</v>
      </c>
      <c r="K171">
        <v>6.108219506324764E-3</v>
      </c>
      <c r="L171" t="s">
        <v>166</v>
      </c>
      <c r="N171" t="s">
        <v>210</v>
      </c>
      <c r="O171" t="s">
        <v>295</v>
      </c>
      <c r="P171">
        <v>0.12010488326681963</v>
      </c>
      <c r="Q171" t="s">
        <v>166</v>
      </c>
    </row>
    <row r="172" spans="9:17" x14ac:dyDescent="0.45">
      <c r="I172" t="s">
        <v>187</v>
      </c>
      <c r="J172" t="s">
        <v>296</v>
      </c>
      <c r="K172">
        <v>2.5819654275291773E-2</v>
      </c>
      <c r="L172" t="s">
        <v>166</v>
      </c>
      <c r="N172" t="s">
        <v>210</v>
      </c>
      <c r="O172" t="s">
        <v>296</v>
      </c>
      <c r="P172">
        <v>2.1872631573933685E-2</v>
      </c>
      <c r="Q172" t="s">
        <v>166</v>
      </c>
    </row>
    <row r="173" spans="9:17" x14ac:dyDescent="0.45">
      <c r="I173" t="s">
        <v>187</v>
      </c>
      <c r="J173" t="s">
        <v>297</v>
      </c>
      <c r="K173">
        <v>0.36125191100010101</v>
      </c>
      <c r="L173" t="s">
        <v>166</v>
      </c>
      <c r="N173" t="s">
        <v>210</v>
      </c>
      <c r="O173" t="s">
        <v>297</v>
      </c>
      <c r="P173">
        <v>5.0217231882235452E-2</v>
      </c>
      <c r="Q173" t="s">
        <v>166</v>
      </c>
    </row>
    <row r="174" spans="9:17" x14ac:dyDescent="0.45">
      <c r="I174" t="s">
        <v>187</v>
      </c>
      <c r="J174" t="s">
        <v>298</v>
      </c>
      <c r="K174">
        <v>2.1910660596476894E-2</v>
      </c>
      <c r="L174" t="s">
        <v>166</v>
      </c>
      <c r="N174" t="s">
        <v>210</v>
      </c>
      <c r="O174" t="s">
        <v>298</v>
      </c>
      <c r="P174">
        <v>7.5270620324626655E-2</v>
      </c>
      <c r="Q174" t="s">
        <v>166</v>
      </c>
    </row>
    <row r="175" spans="9:17" x14ac:dyDescent="0.45">
      <c r="I175" t="s">
        <v>187</v>
      </c>
      <c r="J175" t="s">
        <v>299</v>
      </c>
      <c r="K175">
        <v>4.2461087874244997E-2</v>
      </c>
      <c r="L175" t="s">
        <v>166</v>
      </c>
      <c r="N175" t="s">
        <v>210</v>
      </c>
      <c r="O175" t="s">
        <v>299</v>
      </c>
      <c r="P175">
        <v>1.238443096427626E-2</v>
      </c>
      <c r="Q175" t="s">
        <v>166</v>
      </c>
    </row>
    <row r="176" spans="9:17" x14ac:dyDescent="0.45">
      <c r="I176" t="s">
        <v>187</v>
      </c>
      <c r="J176" t="s">
        <v>300</v>
      </c>
      <c r="K176">
        <v>7.6289744660644976E-2</v>
      </c>
      <c r="L176" t="s">
        <v>166</v>
      </c>
      <c r="N176" t="s">
        <v>210</v>
      </c>
      <c r="O176" t="s">
        <v>300</v>
      </c>
      <c r="P176">
        <v>0.13786354745362436</v>
      </c>
      <c r="Q176" t="s">
        <v>166</v>
      </c>
    </row>
    <row r="177" spans="9:17" x14ac:dyDescent="0.45">
      <c r="I177" t="s">
        <v>187</v>
      </c>
      <c r="J177" t="s">
        <v>301</v>
      </c>
      <c r="K177">
        <v>0</v>
      </c>
      <c r="L177" t="s">
        <v>166</v>
      </c>
      <c r="N177" t="s">
        <v>210</v>
      </c>
      <c r="O177" t="s">
        <v>301</v>
      </c>
      <c r="P177">
        <v>0.15289267087582828</v>
      </c>
      <c r="Q177" t="s">
        <v>166</v>
      </c>
    </row>
    <row r="178" spans="9:17" x14ac:dyDescent="0.45">
      <c r="I178" t="s">
        <v>187</v>
      </c>
      <c r="J178" t="s">
        <v>302</v>
      </c>
      <c r="K178">
        <v>4.8855166179644896E-4</v>
      </c>
      <c r="L178" t="s">
        <v>166</v>
      </c>
      <c r="N178" t="s">
        <v>210</v>
      </c>
      <c r="O178" t="s">
        <v>302</v>
      </c>
      <c r="P178">
        <v>2.7495770306151968E-2</v>
      </c>
      <c r="Q178" t="s">
        <v>166</v>
      </c>
    </row>
    <row r="179" spans="9:17" x14ac:dyDescent="0.45">
      <c r="I179" t="s">
        <v>188</v>
      </c>
      <c r="J179" t="s">
        <v>291</v>
      </c>
      <c r="K179">
        <v>0.15769785939304018</v>
      </c>
      <c r="L179" t="s">
        <v>166</v>
      </c>
      <c r="N179" t="s">
        <v>211</v>
      </c>
      <c r="O179" t="s">
        <v>291</v>
      </c>
      <c r="P179">
        <v>0.12123802018963453</v>
      </c>
      <c r="Q179" t="s">
        <v>166</v>
      </c>
    </row>
    <row r="180" spans="9:17" x14ac:dyDescent="0.45">
      <c r="I180" t="s">
        <v>188</v>
      </c>
      <c r="J180" t="s">
        <v>292</v>
      </c>
      <c r="K180">
        <v>0</v>
      </c>
      <c r="L180" t="s">
        <v>166</v>
      </c>
      <c r="N180" t="s">
        <v>211</v>
      </c>
      <c r="O180" t="s">
        <v>292</v>
      </c>
      <c r="P180">
        <v>0.14365053327715394</v>
      </c>
      <c r="Q180" t="s">
        <v>166</v>
      </c>
    </row>
    <row r="181" spans="9:17" x14ac:dyDescent="0.45">
      <c r="I181" t="s">
        <v>188</v>
      </c>
      <c r="J181" t="s">
        <v>293</v>
      </c>
      <c r="K181">
        <v>5.0029912309005643E-3</v>
      </c>
      <c r="L181" t="s">
        <v>166</v>
      </c>
      <c r="N181" t="s">
        <v>211</v>
      </c>
      <c r="O181" t="s">
        <v>293</v>
      </c>
      <c r="P181">
        <v>2.5051751376939869E-2</v>
      </c>
      <c r="Q181" t="s">
        <v>166</v>
      </c>
    </row>
    <row r="182" spans="9:17" x14ac:dyDescent="0.45">
      <c r="I182" t="s">
        <v>188</v>
      </c>
      <c r="J182" t="s">
        <v>294</v>
      </c>
      <c r="K182">
        <v>0.30100744775913862</v>
      </c>
      <c r="L182" t="s">
        <v>166</v>
      </c>
      <c r="N182" t="s">
        <v>211</v>
      </c>
      <c r="O182" t="s">
        <v>294</v>
      </c>
      <c r="P182">
        <v>0.10698685510846404</v>
      </c>
      <c r="Q182" t="s">
        <v>166</v>
      </c>
    </row>
    <row r="183" spans="9:17" x14ac:dyDescent="0.45">
      <c r="I183" t="s">
        <v>188</v>
      </c>
      <c r="J183" t="s">
        <v>295</v>
      </c>
      <c r="K183">
        <v>6.6680156477452257E-3</v>
      </c>
      <c r="L183" t="s">
        <v>166</v>
      </c>
      <c r="N183" t="s">
        <v>211</v>
      </c>
      <c r="O183" t="s">
        <v>295</v>
      </c>
      <c r="P183">
        <v>0.11945220192519486</v>
      </c>
      <c r="Q183" t="s">
        <v>166</v>
      </c>
    </row>
    <row r="184" spans="9:17" x14ac:dyDescent="0.45">
      <c r="I184" t="s">
        <v>188</v>
      </c>
      <c r="J184" t="s">
        <v>296</v>
      </c>
      <c r="K184">
        <v>2.4436075911608381E-2</v>
      </c>
      <c r="L184" t="s">
        <v>166</v>
      </c>
      <c r="N184" t="s">
        <v>211</v>
      </c>
      <c r="O184" t="s">
        <v>296</v>
      </c>
      <c r="P184">
        <v>1.9740229428061622E-2</v>
      </c>
      <c r="Q184" t="s">
        <v>166</v>
      </c>
    </row>
    <row r="185" spans="9:17" x14ac:dyDescent="0.45">
      <c r="I185" t="s">
        <v>188</v>
      </c>
      <c r="J185" t="s">
        <v>297</v>
      </c>
      <c r="K185">
        <v>0.37009690217372421</v>
      </c>
      <c r="L185" t="s">
        <v>166</v>
      </c>
      <c r="N185" t="s">
        <v>211</v>
      </c>
      <c r="O185" t="s">
        <v>297</v>
      </c>
      <c r="P185">
        <v>5.7398533254815073E-2</v>
      </c>
      <c r="Q185" t="s">
        <v>166</v>
      </c>
    </row>
    <row r="186" spans="9:17" x14ac:dyDescent="0.45">
      <c r="I186" t="s">
        <v>188</v>
      </c>
      <c r="J186" t="s">
        <v>298</v>
      </c>
      <c r="K186">
        <v>2.3725262035832927E-2</v>
      </c>
      <c r="L186" t="s">
        <v>166</v>
      </c>
      <c r="N186" t="s">
        <v>211</v>
      </c>
      <c r="O186" t="s">
        <v>298</v>
      </c>
      <c r="P186">
        <v>8.1840572419202146E-2</v>
      </c>
      <c r="Q186" t="s">
        <v>166</v>
      </c>
    </row>
    <row r="187" spans="9:17" x14ac:dyDescent="0.45">
      <c r="I187" t="s">
        <v>188</v>
      </c>
      <c r="J187" t="s">
        <v>299</v>
      </c>
      <c r="K187">
        <v>4.024228660767197E-2</v>
      </c>
      <c r="L187" t="s">
        <v>166</v>
      </c>
      <c r="N187" t="s">
        <v>211</v>
      </c>
      <c r="O187" t="s">
        <v>299</v>
      </c>
      <c r="P187">
        <v>1.1414830195946614E-2</v>
      </c>
      <c r="Q187" t="s">
        <v>166</v>
      </c>
    </row>
    <row r="188" spans="9:17" x14ac:dyDescent="0.45">
      <c r="I188" t="s">
        <v>188</v>
      </c>
      <c r="J188" t="s">
        <v>300</v>
      </c>
      <c r="K188">
        <v>7.0850719104887633E-2</v>
      </c>
      <c r="L188" t="s">
        <v>166</v>
      </c>
      <c r="N188" t="s">
        <v>211</v>
      </c>
      <c r="O188" t="s">
        <v>300</v>
      </c>
      <c r="P188">
        <v>0.13474673106712146</v>
      </c>
      <c r="Q188" t="s">
        <v>166</v>
      </c>
    </row>
    <row r="189" spans="9:17" x14ac:dyDescent="0.45">
      <c r="I189" t="s">
        <v>188</v>
      </c>
      <c r="J189" t="s">
        <v>301</v>
      </c>
      <c r="K189">
        <v>0</v>
      </c>
      <c r="L189" t="s">
        <v>166</v>
      </c>
      <c r="N189" t="s">
        <v>211</v>
      </c>
      <c r="O189" t="s">
        <v>301</v>
      </c>
      <c r="P189">
        <v>0.15130394800109276</v>
      </c>
      <c r="Q189" t="s">
        <v>166</v>
      </c>
    </row>
    <row r="190" spans="9:17" x14ac:dyDescent="0.45">
      <c r="I190" t="s">
        <v>188</v>
      </c>
      <c r="J190" t="s">
        <v>302</v>
      </c>
      <c r="K190">
        <v>2.7244013544832745E-4</v>
      </c>
      <c r="L190" t="s">
        <v>166</v>
      </c>
      <c r="N190" t="s">
        <v>211</v>
      </c>
      <c r="O190" t="s">
        <v>302</v>
      </c>
      <c r="P190">
        <v>2.7175793756374675E-2</v>
      </c>
      <c r="Q190" t="s">
        <v>166</v>
      </c>
    </row>
    <row r="191" spans="9:17" x14ac:dyDescent="0.45">
      <c r="I191" t="s">
        <v>189</v>
      </c>
      <c r="J191" t="s">
        <v>291</v>
      </c>
      <c r="K191">
        <v>0.15086764921464801</v>
      </c>
      <c r="L191" t="s">
        <v>166</v>
      </c>
      <c r="N191" t="s">
        <v>212</v>
      </c>
      <c r="O191" t="s">
        <v>291</v>
      </c>
      <c r="P191">
        <v>0.12347591192511485</v>
      </c>
      <c r="Q191" t="s">
        <v>166</v>
      </c>
    </row>
    <row r="192" spans="9:17" x14ac:dyDescent="0.45">
      <c r="I192" t="s">
        <v>189</v>
      </c>
      <c r="J192" t="s">
        <v>292</v>
      </c>
      <c r="K192">
        <v>0</v>
      </c>
      <c r="L192" t="s">
        <v>166</v>
      </c>
      <c r="N192" t="s">
        <v>212</v>
      </c>
      <c r="O192" t="s">
        <v>292</v>
      </c>
      <c r="P192">
        <v>0.1483320869693911</v>
      </c>
      <c r="Q192" t="s">
        <v>166</v>
      </c>
    </row>
    <row r="193" spans="9:17" x14ac:dyDescent="0.45">
      <c r="I193" t="s">
        <v>189</v>
      </c>
      <c r="J193" t="s">
        <v>293</v>
      </c>
      <c r="K193">
        <v>4.9554906333090596E-3</v>
      </c>
      <c r="L193" t="s">
        <v>166</v>
      </c>
      <c r="N193" t="s">
        <v>212</v>
      </c>
      <c r="O193" t="s">
        <v>293</v>
      </c>
      <c r="P193">
        <v>2.3852337080403092E-2</v>
      </c>
      <c r="Q193" t="s">
        <v>166</v>
      </c>
    </row>
    <row r="194" spans="9:17" x14ac:dyDescent="0.45">
      <c r="I194" t="s">
        <v>189</v>
      </c>
      <c r="J194" t="s">
        <v>294</v>
      </c>
      <c r="K194">
        <v>0.31099922875668362</v>
      </c>
      <c r="L194" t="s">
        <v>166</v>
      </c>
      <c r="N194" t="s">
        <v>212</v>
      </c>
      <c r="O194" t="s">
        <v>294</v>
      </c>
      <c r="P194">
        <v>0.10191011259113832</v>
      </c>
      <c r="Q194" t="s">
        <v>166</v>
      </c>
    </row>
    <row r="195" spans="9:17" x14ac:dyDescent="0.45">
      <c r="I195" t="s">
        <v>189</v>
      </c>
      <c r="J195" t="s">
        <v>295</v>
      </c>
      <c r="K195">
        <v>7.5928811477616286E-3</v>
      </c>
      <c r="L195" t="s">
        <v>166</v>
      </c>
      <c r="N195" t="s">
        <v>212</v>
      </c>
      <c r="O195" t="s">
        <v>295</v>
      </c>
      <c r="P195">
        <v>0.1157786798617675</v>
      </c>
      <c r="Q195" t="s">
        <v>166</v>
      </c>
    </row>
    <row r="196" spans="9:17" x14ac:dyDescent="0.45">
      <c r="I196" t="s">
        <v>189</v>
      </c>
      <c r="J196" t="s">
        <v>296</v>
      </c>
      <c r="K196">
        <v>2.9485774727107106E-2</v>
      </c>
      <c r="L196" t="s">
        <v>166</v>
      </c>
      <c r="N196" t="s">
        <v>212</v>
      </c>
      <c r="O196" t="s">
        <v>296</v>
      </c>
      <c r="P196">
        <v>2.0945520448368709E-2</v>
      </c>
      <c r="Q196" t="s">
        <v>166</v>
      </c>
    </row>
    <row r="197" spans="9:17" x14ac:dyDescent="0.45">
      <c r="I197" t="s">
        <v>189</v>
      </c>
      <c r="J197" t="s">
        <v>297</v>
      </c>
      <c r="K197">
        <v>0.35758762893813983</v>
      </c>
      <c r="L197" t="s">
        <v>166</v>
      </c>
      <c r="N197" t="s">
        <v>212</v>
      </c>
      <c r="O197" t="s">
        <v>297</v>
      </c>
      <c r="P197">
        <v>4.9099070420092532E-2</v>
      </c>
      <c r="Q197" t="s">
        <v>166</v>
      </c>
    </row>
    <row r="198" spans="9:17" x14ac:dyDescent="0.45">
      <c r="I198" t="s">
        <v>189</v>
      </c>
      <c r="J198" t="s">
        <v>298</v>
      </c>
      <c r="K198">
        <v>2.4932902385034445E-2</v>
      </c>
      <c r="L198" t="s">
        <v>166</v>
      </c>
      <c r="N198" t="s">
        <v>212</v>
      </c>
      <c r="O198" t="s">
        <v>298</v>
      </c>
      <c r="P198">
        <v>7.4849859331291263E-2</v>
      </c>
      <c r="Q198" t="s">
        <v>166</v>
      </c>
    </row>
    <row r="199" spans="9:17" x14ac:dyDescent="0.45">
      <c r="I199" t="s">
        <v>189</v>
      </c>
      <c r="J199" t="s">
        <v>299</v>
      </c>
      <c r="K199">
        <v>4.3913570737126442E-2</v>
      </c>
      <c r="L199" t="s">
        <v>166</v>
      </c>
      <c r="N199" t="s">
        <v>212</v>
      </c>
      <c r="O199" t="s">
        <v>299</v>
      </c>
      <c r="P199">
        <v>1.0826160104442541E-2</v>
      </c>
      <c r="Q199" t="s">
        <v>166</v>
      </c>
    </row>
    <row r="200" spans="9:17" x14ac:dyDescent="0.45">
      <c r="I200" t="s">
        <v>189</v>
      </c>
      <c r="J200" t="s">
        <v>300</v>
      </c>
      <c r="K200">
        <v>6.933565750446731E-2</v>
      </c>
      <c r="L200" t="s">
        <v>166</v>
      </c>
      <c r="N200" t="s">
        <v>212</v>
      </c>
      <c r="O200" t="s">
        <v>300</v>
      </c>
      <c r="P200">
        <v>0.14373984502037182</v>
      </c>
      <c r="Q200" t="s">
        <v>166</v>
      </c>
    </row>
    <row r="201" spans="9:17" x14ac:dyDescent="0.45">
      <c r="I201" t="s">
        <v>189</v>
      </c>
      <c r="J201" t="s">
        <v>301</v>
      </c>
      <c r="K201">
        <v>0</v>
      </c>
      <c r="L201" t="s">
        <v>166</v>
      </c>
      <c r="N201" t="s">
        <v>212</v>
      </c>
      <c r="O201" t="s">
        <v>301</v>
      </c>
      <c r="P201">
        <v>0.15802918410214112</v>
      </c>
      <c r="Q201" t="s">
        <v>166</v>
      </c>
    </row>
    <row r="202" spans="9:17" x14ac:dyDescent="0.45">
      <c r="I202" t="s">
        <v>189</v>
      </c>
      <c r="J202" t="s">
        <v>302</v>
      </c>
      <c r="K202">
        <v>3.2921595571831948E-4</v>
      </c>
      <c r="L202" t="s">
        <v>166</v>
      </c>
      <c r="N202" t="s">
        <v>212</v>
      </c>
      <c r="O202" t="s">
        <v>302</v>
      </c>
      <c r="P202">
        <v>2.9161232145474704E-2</v>
      </c>
      <c r="Q202" t="s">
        <v>166</v>
      </c>
    </row>
    <row r="203" spans="9:17" x14ac:dyDescent="0.45">
      <c r="I203" t="s">
        <v>190</v>
      </c>
      <c r="J203" t="s">
        <v>291</v>
      </c>
      <c r="K203">
        <v>0.16190956087645644</v>
      </c>
      <c r="L203" t="s">
        <v>166</v>
      </c>
      <c r="N203" t="s">
        <v>213</v>
      </c>
      <c r="O203" t="s">
        <v>291</v>
      </c>
      <c r="P203">
        <v>0.12561067940227588</v>
      </c>
      <c r="Q203" t="s">
        <v>166</v>
      </c>
    </row>
    <row r="204" spans="9:17" x14ac:dyDescent="0.45">
      <c r="I204" t="s">
        <v>190</v>
      </c>
      <c r="J204" t="s">
        <v>292</v>
      </c>
      <c r="K204">
        <v>0</v>
      </c>
      <c r="L204" t="s">
        <v>166</v>
      </c>
      <c r="N204" t="s">
        <v>213</v>
      </c>
      <c r="O204" t="s">
        <v>292</v>
      </c>
      <c r="P204">
        <v>0.13966426345616281</v>
      </c>
      <c r="Q204" t="s">
        <v>166</v>
      </c>
    </row>
    <row r="205" spans="9:17" x14ac:dyDescent="0.45">
      <c r="I205" t="s">
        <v>190</v>
      </c>
      <c r="J205" t="s">
        <v>293</v>
      </c>
      <c r="K205">
        <v>5.7101566074100338E-3</v>
      </c>
      <c r="L205" t="s">
        <v>166</v>
      </c>
      <c r="N205" t="s">
        <v>213</v>
      </c>
      <c r="O205" t="s">
        <v>293</v>
      </c>
      <c r="P205">
        <v>2.429668448136716E-2</v>
      </c>
      <c r="Q205" t="s">
        <v>166</v>
      </c>
    </row>
    <row r="206" spans="9:17" x14ac:dyDescent="0.45">
      <c r="I206" t="s">
        <v>190</v>
      </c>
      <c r="J206" t="s">
        <v>294</v>
      </c>
      <c r="K206">
        <v>0.29086246375214425</v>
      </c>
      <c r="L206" t="s">
        <v>166</v>
      </c>
      <c r="N206" t="s">
        <v>213</v>
      </c>
      <c r="O206" t="s">
        <v>294</v>
      </c>
      <c r="P206">
        <v>0.10162888561539558</v>
      </c>
      <c r="Q206" t="s">
        <v>166</v>
      </c>
    </row>
    <row r="207" spans="9:17" x14ac:dyDescent="0.45">
      <c r="I207" t="s">
        <v>190</v>
      </c>
      <c r="J207" t="s">
        <v>295</v>
      </c>
      <c r="K207">
        <v>4.5721088825062574E-3</v>
      </c>
      <c r="L207" t="s">
        <v>166</v>
      </c>
      <c r="N207" t="s">
        <v>213</v>
      </c>
      <c r="O207" t="s">
        <v>295</v>
      </c>
      <c r="P207">
        <v>0.1051117753616517</v>
      </c>
      <c r="Q207" t="s">
        <v>166</v>
      </c>
    </row>
    <row r="208" spans="9:17" x14ac:dyDescent="0.45">
      <c r="I208" t="s">
        <v>190</v>
      </c>
      <c r="J208" t="s">
        <v>296</v>
      </c>
      <c r="K208">
        <v>2.3728614379050997E-2</v>
      </c>
      <c r="L208" t="s">
        <v>166</v>
      </c>
      <c r="N208" t="s">
        <v>213</v>
      </c>
      <c r="O208" t="s">
        <v>296</v>
      </c>
      <c r="P208">
        <v>1.9521793156180897E-2</v>
      </c>
      <c r="Q208" t="s">
        <v>166</v>
      </c>
    </row>
    <row r="209" spans="9:17" x14ac:dyDescent="0.45">
      <c r="I209" t="s">
        <v>190</v>
      </c>
      <c r="J209" t="s">
        <v>297</v>
      </c>
      <c r="K209">
        <v>0.36480873170256206</v>
      </c>
      <c r="L209" t="s">
        <v>166</v>
      </c>
      <c r="N209" t="s">
        <v>213</v>
      </c>
      <c r="O209" t="s">
        <v>297</v>
      </c>
      <c r="P209">
        <v>6.5235804396991517E-2</v>
      </c>
      <c r="Q209" t="s">
        <v>166</v>
      </c>
    </row>
    <row r="210" spans="9:17" x14ac:dyDescent="0.45">
      <c r="I210" t="s">
        <v>190</v>
      </c>
      <c r="J210" t="s">
        <v>298</v>
      </c>
      <c r="K210">
        <v>1.7841169410874776E-2</v>
      </c>
      <c r="L210" t="s">
        <v>166</v>
      </c>
      <c r="N210" t="s">
        <v>213</v>
      </c>
      <c r="O210" t="s">
        <v>298</v>
      </c>
      <c r="P210">
        <v>6.8628493477498068E-2</v>
      </c>
      <c r="Q210" t="s">
        <v>166</v>
      </c>
    </row>
    <row r="211" spans="9:17" x14ac:dyDescent="0.45">
      <c r="I211" t="s">
        <v>190</v>
      </c>
      <c r="J211" t="s">
        <v>299</v>
      </c>
      <c r="K211">
        <v>3.9876589224618973E-2</v>
      </c>
      <c r="L211" t="s">
        <v>166</v>
      </c>
      <c r="N211" t="s">
        <v>213</v>
      </c>
      <c r="O211" t="s">
        <v>299</v>
      </c>
      <c r="P211">
        <v>1.2265078806768472E-2</v>
      </c>
      <c r="Q211" t="s">
        <v>166</v>
      </c>
    </row>
    <row r="212" spans="9:17" x14ac:dyDescent="0.45">
      <c r="I212" t="s">
        <v>190</v>
      </c>
      <c r="J212" t="s">
        <v>300</v>
      </c>
      <c r="K212">
        <v>8.9835653401598548E-2</v>
      </c>
      <c r="L212" t="s">
        <v>166</v>
      </c>
      <c r="N212" t="s">
        <v>213</v>
      </c>
      <c r="O212" t="s">
        <v>300</v>
      </c>
      <c r="P212">
        <v>0.15379478448186101</v>
      </c>
      <c r="Q212" t="s">
        <v>166</v>
      </c>
    </row>
    <row r="213" spans="9:17" x14ac:dyDescent="0.45">
      <c r="I213" t="s">
        <v>190</v>
      </c>
      <c r="J213" t="s">
        <v>301</v>
      </c>
      <c r="K213">
        <v>0</v>
      </c>
      <c r="L213" t="s">
        <v>166</v>
      </c>
      <c r="N213" t="s">
        <v>213</v>
      </c>
      <c r="O213" t="s">
        <v>301</v>
      </c>
      <c r="P213">
        <v>0.15567095793873503</v>
      </c>
      <c r="Q213" t="s">
        <v>166</v>
      </c>
    </row>
    <row r="214" spans="9:17" x14ac:dyDescent="0.45">
      <c r="I214" t="s">
        <v>190</v>
      </c>
      <c r="J214" t="s">
        <v>302</v>
      </c>
      <c r="K214">
        <v>8.5495176277766206E-4</v>
      </c>
      <c r="L214" t="s">
        <v>166</v>
      </c>
      <c r="N214" t="s">
        <v>213</v>
      </c>
      <c r="O214" t="s">
        <v>302</v>
      </c>
      <c r="P214">
        <v>2.8570799425111849E-2</v>
      </c>
      <c r="Q214" t="s">
        <v>166</v>
      </c>
    </row>
    <row r="215" spans="9:17" x14ac:dyDescent="0.45">
      <c r="I215" t="s">
        <v>191</v>
      </c>
      <c r="J215" t="s">
        <v>291</v>
      </c>
      <c r="K215">
        <v>0.16431253658363185</v>
      </c>
      <c r="L215" t="s">
        <v>166</v>
      </c>
      <c r="N215" t="s">
        <v>214</v>
      </c>
      <c r="O215" t="s">
        <v>291</v>
      </c>
      <c r="P215">
        <v>0.11158996751789219</v>
      </c>
      <c r="Q215" t="s">
        <v>166</v>
      </c>
    </row>
    <row r="216" spans="9:17" x14ac:dyDescent="0.45">
      <c r="I216" t="s">
        <v>191</v>
      </c>
      <c r="J216" t="s">
        <v>292</v>
      </c>
      <c r="K216">
        <v>0</v>
      </c>
      <c r="L216" t="s">
        <v>166</v>
      </c>
      <c r="N216" t="s">
        <v>214</v>
      </c>
      <c r="O216" t="s">
        <v>292</v>
      </c>
      <c r="P216">
        <v>0.14172392000057851</v>
      </c>
      <c r="Q216" t="s">
        <v>166</v>
      </c>
    </row>
    <row r="217" spans="9:17" x14ac:dyDescent="0.45">
      <c r="I217" t="s">
        <v>191</v>
      </c>
      <c r="J217" t="s">
        <v>293</v>
      </c>
      <c r="K217">
        <v>6.2682708589132203E-3</v>
      </c>
      <c r="L217" t="s">
        <v>166</v>
      </c>
      <c r="N217" t="s">
        <v>214</v>
      </c>
      <c r="O217" t="s">
        <v>293</v>
      </c>
      <c r="P217">
        <v>2.4206377497954557E-2</v>
      </c>
      <c r="Q217" t="s">
        <v>166</v>
      </c>
    </row>
    <row r="218" spans="9:17" x14ac:dyDescent="0.45">
      <c r="I218" t="s">
        <v>191</v>
      </c>
      <c r="J218" t="s">
        <v>294</v>
      </c>
      <c r="K218">
        <v>0.28218372763074123</v>
      </c>
      <c r="L218" t="s">
        <v>166</v>
      </c>
      <c r="N218" t="s">
        <v>214</v>
      </c>
      <c r="O218" t="s">
        <v>294</v>
      </c>
      <c r="P218">
        <v>0.10278790358123253</v>
      </c>
      <c r="Q218" t="s">
        <v>166</v>
      </c>
    </row>
    <row r="219" spans="9:17" x14ac:dyDescent="0.45">
      <c r="I219" t="s">
        <v>191</v>
      </c>
      <c r="J219" t="s">
        <v>295</v>
      </c>
      <c r="K219">
        <v>3.9644729039206216E-3</v>
      </c>
      <c r="L219" t="s">
        <v>166</v>
      </c>
      <c r="N219" t="s">
        <v>214</v>
      </c>
      <c r="O219" t="s">
        <v>295</v>
      </c>
      <c r="P219">
        <v>0.11848798482479227</v>
      </c>
      <c r="Q219" t="s">
        <v>166</v>
      </c>
    </row>
    <row r="220" spans="9:17" x14ac:dyDescent="0.45">
      <c r="I220" t="s">
        <v>191</v>
      </c>
      <c r="J220" t="s">
        <v>296</v>
      </c>
      <c r="K220">
        <v>2.2524224427402557E-2</v>
      </c>
      <c r="L220" t="s">
        <v>166</v>
      </c>
      <c r="N220" t="s">
        <v>214</v>
      </c>
      <c r="O220" t="s">
        <v>296</v>
      </c>
      <c r="P220">
        <v>1.8148073236941203E-2</v>
      </c>
      <c r="Q220" t="s">
        <v>166</v>
      </c>
    </row>
    <row r="221" spans="9:17" x14ac:dyDescent="0.45">
      <c r="I221" t="s">
        <v>191</v>
      </c>
      <c r="J221" t="s">
        <v>297</v>
      </c>
      <c r="K221">
        <v>0.36890223402126043</v>
      </c>
      <c r="L221" t="s">
        <v>166</v>
      </c>
      <c r="N221" t="s">
        <v>214</v>
      </c>
      <c r="O221" t="s">
        <v>297</v>
      </c>
      <c r="P221">
        <v>5.6705994172127454E-2</v>
      </c>
      <c r="Q221" t="s">
        <v>166</v>
      </c>
    </row>
    <row r="222" spans="9:17" x14ac:dyDescent="0.45">
      <c r="I222" t="s">
        <v>191</v>
      </c>
      <c r="J222" t="s">
        <v>298</v>
      </c>
      <c r="K222">
        <v>1.7479411794546262E-2</v>
      </c>
      <c r="L222" t="s">
        <v>166</v>
      </c>
      <c r="N222" t="s">
        <v>214</v>
      </c>
      <c r="O222" t="s">
        <v>298</v>
      </c>
      <c r="P222">
        <v>7.437524803559066E-2</v>
      </c>
      <c r="Q222" t="s">
        <v>166</v>
      </c>
    </row>
    <row r="223" spans="9:17" x14ac:dyDescent="0.45">
      <c r="I223" t="s">
        <v>191</v>
      </c>
      <c r="J223" t="s">
        <v>299</v>
      </c>
      <c r="K223">
        <v>4.1303192284187044E-2</v>
      </c>
      <c r="L223" t="s">
        <v>166</v>
      </c>
      <c r="N223" t="s">
        <v>214</v>
      </c>
      <c r="O223" t="s">
        <v>299</v>
      </c>
      <c r="P223">
        <v>1.2851906230277852E-2</v>
      </c>
      <c r="Q223" t="s">
        <v>166</v>
      </c>
    </row>
    <row r="224" spans="9:17" x14ac:dyDescent="0.45">
      <c r="I224" t="s">
        <v>191</v>
      </c>
      <c r="J224" t="s">
        <v>300</v>
      </c>
      <c r="K224">
        <v>9.1984136295731364E-2</v>
      </c>
      <c r="L224" t="s">
        <v>166</v>
      </c>
      <c r="N224" t="s">
        <v>214</v>
      </c>
      <c r="O224" t="s">
        <v>300</v>
      </c>
      <c r="P224">
        <v>0.14085751880370917</v>
      </c>
      <c r="Q224" t="s">
        <v>166</v>
      </c>
    </row>
    <row r="225" spans="9:17" x14ac:dyDescent="0.45">
      <c r="I225" t="s">
        <v>191</v>
      </c>
      <c r="J225" t="s">
        <v>301</v>
      </c>
      <c r="K225">
        <v>0</v>
      </c>
      <c r="L225" t="s">
        <v>166</v>
      </c>
      <c r="N225" t="s">
        <v>214</v>
      </c>
      <c r="O225" t="s">
        <v>301</v>
      </c>
      <c r="P225">
        <v>0.1687263444705776</v>
      </c>
      <c r="Q225" t="s">
        <v>166</v>
      </c>
    </row>
    <row r="226" spans="9:17" x14ac:dyDescent="0.45">
      <c r="I226" t="s">
        <v>191</v>
      </c>
      <c r="J226" t="s">
        <v>302</v>
      </c>
      <c r="K226">
        <v>1.0777931996609077E-3</v>
      </c>
      <c r="L226" t="s">
        <v>166</v>
      </c>
      <c r="N226" t="s">
        <v>214</v>
      </c>
      <c r="O226" t="s">
        <v>302</v>
      </c>
      <c r="P226">
        <v>2.9538761628329035E-2</v>
      </c>
      <c r="Q226" t="s">
        <v>166</v>
      </c>
    </row>
    <row r="227" spans="9:17" x14ac:dyDescent="0.45">
      <c r="I227" t="s">
        <v>192</v>
      </c>
      <c r="J227" t="s">
        <v>291</v>
      </c>
      <c r="K227">
        <v>0.16080433033118197</v>
      </c>
      <c r="L227" t="s">
        <v>166</v>
      </c>
      <c r="N227" t="s">
        <v>215</v>
      </c>
      <c r="O227" t="s">
        <v>291</v>
      </c>
      <c r="P227">
        <v>0.12019000534302983</v>
      </c>
      <c r="Q227" t="s">
        <v>166</v>
      </c>
    </row>
    <row r="228" spans="9:17" x14ac:dyDescent="0.45">
      <c r="I228" t="s">
        <v>192</v>
      </c>
      <c r="J228" t="s">
        <v>292</v>
      </c>
      <c r="K228">
        <v>0</v>
      </c>
      <c r="L228" t="s">
        <v>166</v>
      </c>
      <c r="N228" t="s">
        <v>215</v>
      </c>
      <c r="O228" t="s">
        <v>292</v>
      </c>
      <c r="P228">
        <v>0.14933171664682018</v>
      </c>
      <c r="Q228" t="s">
        <v>166</v>
      </c>
    </row>
    <row r="229" spans="9:17" x14ac:dyDescent="0.45">
      <c r="I229" t="s">
        <v>192</v>
      </c>
      <c r="J229" t="s">
        <v>293</v>
      </c>
      <c r="K229">
        <v>4.7048962704191255E-3</v>
      </c>
      <c r="L229" t="s">
        <v>166</v>
      </c>
      <c r="N229" t="s">
        <v>215</v>
      </c>
      <c r="O229" t="s">
        <v>293</v>
      </c>
      <c r="P229">
        <v>2.4208243901571461E-2</v>
      </c>
      <c r="Q229" t="s">
        <v>166</v>
      </c>
    </row>
    <row r="230" spans="9:17" x14ac:dyDescent="0.45">
      <c r="I230" t="s">
        <v>192</v>
      </c>
      <c r="J230" t="s">
        <v>294</v>
      </c>
      <c r="K230">
        <v>0.28958830671369096</v>
      </c>
      <c r="L230" t="s">
        <v>166</v>
      </c>
      <c r="N230" t="s">
        <v>215</v>
      </c>
      <c r="O230" t="s">
        <v>294</v>
      </c>
      <c r="P230">
        <v>9.5974880745253496E-2</v>
      </c>
      <c r="Q230" t="s">
        <v>166</v>
      </c>
    </row>
    <row r="231" spans="9:17" x14ac:dyDescent="0.45">
      <c r="I231" t="s">
        <v>192</v>
      </c>
      <c r="J231" t="s">
        <v>295</v>
      </c>
      <c r="K231">
        <v>5.5028538887101353E-3</v>
      </c>
      <c r="L231" t="s">
        <v>166</v>
      </c>
      <c r="N231" t="s">
        <v>215</v>
      </c>
      <c r="O231" t="s">
        <v>295</v>
      </c>
      <c r="P231">
        <v>0.11932905949665137</v>
      </c>
      <c r="Q231" t="s">
        <v>166</v>
      </c>
    </row>
    <row r="232" spans="9:17" x14ac:dyDescent="0.45">
      <c r="I232" t="s">
        <v>192</v>
      </c>
      <c r="J232" t="s">
        <v>296</v>
      </c>
      <c r="K232">
        <v>1.9351814084086167E-2</v>
      </c>
      <c r="L232" t="s">
        <v>166</v>
      </c>
      <c r="N232" t="s">
        <v>215</v>
      </c>
      <c r="O232" t="s">
        <v>296</v>
      </c>
      <c r="P232">
        <v>1.9628173754987356E-2</v>
      </c>
      <c r="Q232" t="s">
        <v>166</v>
      </c>
    </row>
    <row r="233" spans="9:17" x14ac:dyDescent="0.45">
      <c r="I233" t="s">
        <v>192</v>
      </c>
      <c r="J233" t="s">
        <v>297</v>
      </c>
      <c r="K233">
        <v>0.38321348263203975</v>
      </c>
      <c r="L233" t="s">
        <v>166</v>
      </c>
      <c r="N233" t="s">
        <v>215</v>
      </c>
      <c r="O233" t="s">
        <v>297</v>
      </c>
      <c r="P233">
        <v>4.6965049235342907E-2</v>
      </c>
      <c r="Q233" t="s">
        <v>166</v>
      </c>
    </row>
    <row r="234" spans="9:17" x14ac:dyDescent="0.45">
      <c r="I234" t="s">
        <v>192</v>
      </c>
      <c r="J234" t="s">
        <v>298</v>
      </c>
      <c r="K234">
        <v>2.139368451866476E-2</v>
      </c>
      <c r="L234" t="s">
        <v>166</v>
      </c>
      <c r="N234" t="s">
        <v>215</v>
      </c>
      <c r="O234" t="s">
        <v>298</v>
      </c>
      <c r="P234">
        <v>7.8598598474838952E-2</v>
      </c>
      <c r="Q234" t="s">
        <v>166</v>
      </c>
    </row>
    <row r="235" spans="9:17" x14ac:dyDescent="0.45">
      <c r="I235" t="s">
        <v>192</v>
      </c>
      <c r="J235" t="s">
        <v>299</v>
      </c>
      <c r="K235">
        <v>3.82880828882722E-2</v>
      </c>
      <c r="L235" t="s">
        <v>166</v>
      </c>
      <c r="N235" t="s">
        <v>215</v>
      </c>
      <c r="O235" t="s">
        <v>299</v>
      </c>
      <c r="P235">
        <v>1.1297368606764538E-2</v>
      </c>
      <c r="Q235" t="s">
        <v>166</v>
      </c>
    </row>
    <row r="236" spans="9:17" x14ac:dyDescent="0.45">
      <c r="I236" t="s">
        <v>192</v>
      </c>
      <c r="J236" t="s">
        <v>300</v>
      </c>
      <c r="K236">
        <v>7.6741248365878562E-2</v>
      </c>
      <c r="L236" t="s">
        <v>166</v>
      </c>
      <c r="N236" t="s">
        <v>215</v>
      </c>
      <c r="O236" t="s">
        <v>300</v>
      </c>
      <c r="P236">
        <v>0.1382474954256489</v>
      </c>
      <c r="Q236" t="s">
        <v>166</v>
      </c>
    </row>
    <row r="237" spans="9:17" x14ac:dyDescent="0.45">
      <c r="I237" t="s">
        <v>192</v>
      </c>
      <c r="J237" t="s">
        <v>301</v>
      </c>
      <c r="K237">
        <v>0</v>
      </c>
      <c r="L237" t="s">
        <v>166</v>
      </c>
      <c r="N237" t="s">
        <v>215</v>
      </c>
      <c r="O237" t="s">
        <v>301</v>
      </c>
      <c r="P237">
        <v>0.1663962860845134</v>
      </c>
      <c r="Q237" t="s">
        <v>166</v>
      </c>
    </row>
    <row r="238" spans="9:17" x14ac:dyDescent="0.45">
      <c r="I238" t="s">
        <v>192</v>
      </c>
      <c r="J238" t="s">
        <v>302</v>
      </c>
      <c r="K238">
        <v>4.1130030705840862E-4</v>
      </c>
      <c r="L238" t="s">
        <v>166</v>
      </c>
      <c r="N238" t="s">
        <v>215</v>
      </c>
      <c r="O238" t="s">
        <v>302</v>
      </c>
      <c r="P238">
        <v>2.9833122284573979E-2</v>
      </c>
      <c r="Q238" t="s">
        <v>166</v>
      </c>
    </row>
    <row r="239" spans="9:17" x14ac:dyDescent="0.45">
      <c r="I239" t="s">
        <v>193</v>
      </c>
      <c r="J239" t="s">
        <v>291</v>
      </c>
      <c r="K239">
        <v>0.16073748137787316</v>
      </c>
      <c r="L239" t="s">
        <v>166</v>
      </c>
      <c r="N239" t="s">
        <v>216</v>
      </c>
      <c r="O239" t="s">
        <v>291</v>
      </c>
      <c r="P239">
        <v>0.13964919256882055</v>
      </c>
      <c r="Q239" t="s">
        <v>166</v>
      </c>
    </row>
    <row r="240" spans="9:17" x14ac:dyDescent="0.45">
      <c r="I240" t="s">
        <v>193</v>
      </c>
      <c r="J240" t="s">
        <v>292</v>
      </c>
      <c r="K240">
        <v>0</v>
      </c>
      <c r="L240" t="s">
        <v>166</v>
      </c>
      <c r="N240" t="s">
        <v>216</v>
      </c>
      <c r="O240" t="s">
        <v>292</v>
      </c>
      <c r="P240">
        <v>0.13680404726293149</v>
      </c>
      <c r="Q240" t="s">
        <v>166</v>
      </c>
    </row>
    <row r="241" spans="9:17" x14ac:dyDescent="0.45">
      <c r="I241" t="s">
        <v>193</v>
      </c>
      <c r="J241" t="s">
        <v>293</v>
      </c>
      <c r="K241">
        <v>5.2552342678409154E-3</v>
      </c>
      <c r="L241" t="s">
        <v>166</v>
      </c>
      <c r="N241" t="s">
        <v>216</v>
      </c>
      <c r="O241" t="s">
        <v>293</v>
      </c>
      <c r="P241">
        <v>2.8710541735153004E-2</v>
      </c>
      <c r="Q241" t="s">
        <v>166</v>
      </c>
    </row>
    <row r="242" spans="9:17" x14ac:dyDescent="0.45">
      <c r="I242" t="s">
        <v>193</v>
      </c>
      <c r="J242" t="s">
        <v>294</v>
      </c>
      <c r="K242">
        <v>0.28406255213737652</v>
      </c>
      <c r="L242" t="s">
        <v>166</v>
      </c>
      <c r="N242" t="s">
        <v>216</v>
      </c>
      <c r="O242" t="s">
        <v>294</v>
      </c>
      <c r="P242">
        <v>0.10338157552311901</v>
      </c>
      <c r="Q242" t="s">
        <v>166</v>
      </c>
    </row>
    <row r="243" spans="9:17" x14ac:dyDescent="0.45">
      <c r="I243" t="s">
        <v>193</v>
      </c>
      <c r="J243" t="s">
        <v>295</v>
      </c>
      <c r="K243">
        <v>4.8094213700833593E-3</v>
      </c>
      <c r="L243" t="s">
        <v>166</v>
      </c>
      <c r="N243" t="s">
        <v>216</v>
      </c>
      <c r="O243" t="s">
        <v>295</v>
      </c>
      <c r="P243">
        <v>0.10928063013264103</v>
      </c>
      <c r="Q243" t="s">
        <v>166</v>
      </c>
    </row>
    <row r="244" spans="9:17" x14ac:dyDescent="0.45">
      <c r="I244" t="s">
        <v>193</v>
      </c>
      <c r="J244" t="s">
        <v>296</v>
      </c>
      <c r="K244">
        <v>2.0199083915067109E-2</v>
      </c>
      <c r="L244" t="s">
        <v>166</v>
      </c>
      <c r="N244" t="s">
        <v>216</v>
      </c>
      <c r="O244" t="s">
        <v>296</v>
      </c>
      <c r="P244">
        <v>2.1975102500403212E-2</v>
      </c>
      <c r="Q244" t="s">
        <v>166</v>
      </c>
    </row>
    <row r="245" spans="9:17" x14ac:dyDescent="0.45">
      <c r="I245" t="s">
        <v>193</v>
      </c>
      <c r="J245" t="s">
        <v>297</v>
      </c>
      <c r="K245">
        <v>0.38150121670622272</v>
      </c>
      <c r="L245" t="s">
        <v>166</v>
      </c>
      <c r="N245" t="s">
        <v>216</v>
      </c>
      <c r="O245" t="s">
        <v>297</v>
      </c>
      <c r="P245">
        <v>6.0495200252086746E-2</v>
      </c>
      <c r="Q245" t="s">
        <v>166</v>
      </c>
    </row>
    <row r="246" spans="9:17" x14ac:dyDescent="0.45">
      <c r="I246" t="s">
        <v>193</v>
      </c>
      <c r="J246" t="s">
        <v>298</v>
      </c>
      <c r="K246">
        <v>2.0194914351378955E-2</v>
      </c>
      <c r="L246" t="s">
        <v>166</v>
      </c>
      <c r="N246" t="s">
        <v>216</v>
      </c>
      <c r="O246" t="s">
        <v>298</v>
      </c>
      <c r="P246">
        <v>7.0613926871307325E-2</v>
      </c>
      <c r="Q246" t="s">
        <v>166</v>
      </c>
    </row>
    <row r="247" spans="9:17" x14ac:dyDescent="0.45">
      <c r="I247" t="s">
        <v>193</v>
      </c>
      <c r="J247" t="s">
        <v>299</v>
      </c>
      <c r="K247">
        <v>3.776705028958894E-2</v>
      </c>
      <c r="L247" t="s">
        <v>166</v>
      </c>
      <c r="N247" t="s">
        <v>216</v>
      </c>
      <c r="O247" t="s">
        <v>299</v>
      </c>
      <c r="P247">
        <v>1.2156391080470879E-2</v>
      </c>
      <c r="Q247" t="s">
        <v>166</v>
      </c>
    </row>
    <row r="248" spans="9:17" x14ac:dyDescent="0.45">
      <c r="I248" t="s">
        <v>193</v>
      </c>
      <c r="J248" t="s">
        <v>300</v>
      </c>
      <c r="K248">
        <v>8.4988365746235764E-2</v>
      </c>
      <c r="L248" t="s">
        <v>166</v>
      </c>
      <c r="N248" t="s">
        <v>216</v>
      </c>
      <c r="O248" t="s">
        <v>300</v>
      </c>
      <c r="P248">
        <v>0.13398535883981866</v>
      </c>
      <c r="Q248" t="s">
        <v>166</v>
      </c>
    </row>
    <row r="249" spans="9:17" x14ac:dyDescent="0.45">
      <c r="I249" t="s">
        <v>193</v>
      </c>
      <c r="J249" t="s">
        <v>301</v>
      </c>
      <c r="K249">
        <v>0</v>
      </c>
      <c r="L249" t="s">
        <v>166</v>
      </c>
      <c r="N249" t="s">
        <v>216</v>
      </c>
      <c r="O249" t="s">
        <v>301</v>
      </c>
      <c r="P249">
        <v>0.15441949247855158</v>
      </c>
      <c r="Q249" t="s">
        <v>166</v>
      </c>
    </row>
    <row r="250" spans="9:17" x14ac:dyDescent="0.45">
      <c r="I250" t="s">
        <v>193</v>
      </c>
      <c r="J250" t="s">
        <v>302</v>
      </c>
      <c r="K250">
        <v>4.8467983832817967E-4</v>
      </c>
      <c r="L250" t="s">
        <v>166</v>
      </c>
      <c r="N250" t="s">
        <v>216</v>
      </c>
      <c r="O250" t="s">
        <v>302</v>
      </c>
      <c r="P250">
        <v>2.8528540754696765E-2</v>
      </c>
      <c r="Q250" t="s">
        <v>166</v>
      </c>
    </row>
    <row r="251" spans="9:17" x14ac:dyDescent="0.45">
      <c r="I251" t="s">
        <v>194</v>
      </c>
      <c r="J251" t="s">
        <v>291</v>
      </c>
      <c r="K251">
        <v>0.16486017784331761</v>
      </c>
      <c r="L251" t="s">
        <v>166</v>
      </c>
      <c r="N251" t="s">
        <v>217</v>
      </c>
      <c r="O251" t="s">
        <v>291</v>
      </c>
      <c r="P251">
        <v>0.11660847208322729</v>
      </c>
      <c r="Q251" t="s">
        <v>166</v>
      </c>
    </row>
    <row r="252" spans="9:17" x14ac:dyDescent="0.45">
      <c r="I252" t="s">
        <v>194</v>
      </c>
      <c r="J252" t="s">
        <v>292</v>
      </c>
      <c r="K252">
        <v>0</v>
      </c>
      <c r="L252" t="s">
        <v>166</v>
      </c>
      <c r="N252" t="s">
        <v>217</v>
      </c>
      <c r="O252" t="s">
        <v>292</v>
      </c>
      <c r="P252">
        <v>0.14216805967718346</v>
      </c>
      <c r="Q252" t="s">
        <v>166</v>
      </c>
    </row>
    <row r="253" spans="9:17" x14ac:dyDescent="0.45">
      <c r="I253" t="s">
        <v>194</v>
      </c>
      <c r="J253" t="s">
        <v>293</v>
      </c>
      <c r="K253">
        <v>4.9744918461019725E-3</v>
      </c>
      <c r="L253" t="s">
        <v>166</v>
      </c>
      <c r="N253" t="s">
        <v>217</v>
      </c>
      <c r="O253" t="s">
        <v>293</v>
      </c>
      <c r="P253">
        <v>2.6850545465135871E-2</v>
      </c>
      <c r="Q253" t="s">
        <v>166</v>
      </c>
    </row>
    <row r="254" spans="9:17" x14ac:dyDescent="0.45">
      <c r="I254" t="s">
        <v>194</v>
      </c>
      <c r="J254" t="s">
        <v>294</v>
      </c>
      <c r="K254">
        <v>0.29838362172423416</v>
      </c>
      <c r="L254" t="s">
        <v>166</v>
      </c>
      <c r="N254" t="s">
        <v>217</v>
      </c>
      <c r="O254" t="s">
        <v>294</v>
      </c>
      <c r="P254">
        <v>9.9347763108185272E-2</v>
      </c>
      <c r="Q254" t="s">
        <v>166</v>
      </c>
    </row>
    <row r="255" spans="9:17" x14ac:dyDescent="0.45">
      <c r="I255" t="s">
        <v>194</v>
      </c>
      <c r="J255" t="s">
        <v>295</v>
      </c>
      <c r="K255">
        <v>5.6170894055194891E-3</v>
      </c>
      <c r="L255" t="s">
        <v>166</v>
      </c>
      <c r="N255" t="s">
        <v>217</v>
      </c>
      <c r="O255" t="s">
        <v>295</v>
      </c>
      <c r="P255">
        <v>0.12727705305289594</v>
      </c>
      <c r="Q255" t="s">
        <v>166</v>
      </c>
    </row>
    <row r="256" spans="9:17" x14ac:dyDescent="0.45">
      <c r="I256" t="s">
        <v>194</v>
      </c>
      <c r="J256" t="s">
        <v>296</v>
      </c>
      <c r="K256">
        <v>2.2885208574965996E-2</v>
      </c>
      <c r="L256" t="s">
        <v>166</v>
      </c>
      <c r="N256" t="s">
        <v>217</v>
      </c>
      <c r="O256" t="s">
        <v>296</v>
      </c>
      <c r="P256">
        <v>2.0325791021481243E-2</v>
      </c>
      <c r="Q256" t="s">
        <v>166</v>
      </c>
    </row>
    <row r="257" spans="9:17" x14ac:dyDescent="0.45">
      <c r="I257" t="s">
        <v>194</v>
      </c>
      <c r="J257" t="s">
        <v>297</v>
      </c>
      <c r="K257">
        <v>0.36423931244299668</v>
      </c>
      <c r="L257" t="s">
        <v>166</v>
      </c>
      <c r="N257" t="s">
        <v>217</v>
      </c>
      <c r="O257" t="s">
        <v>297</v>
      </c>
      <c r="P257">
        <v>5.9278896640633356E-2</v>
      </c>
      <c r="Q257" t="s">
        <v>166</v>
      </c>
    </row>
    <row r="258" spans="9:17" x14ac:dyDescent="0.45">
      <c r="I258" t="s">
        <v>194</v>
      </c>
      <c r="J258" t="s">
        <v>298</v>
      </c>
      <c r="K258">
        <v>2.0635604200604944E-2</v>
      </c>
      <c r="L258" t="s">
        <v>166</v>
      </c>
      <c r="N258" t="s">
        <v>217</v>
      </c>
      <c r="O258" t="s">
        <v>298</v>
      </c>
      <c r="P258">
        <v>8.6581693608235546E-2</v>
      </c>
      <c r="Q258" t="s">
        <v>166</v>
      </c>
    </row>
    <row r="259" spans="9:17" x14ac:dyDescent="0.45">
      <c r="I259" t="s">
        <v>194</v>
      </c>
      <c r="J259" t="s">
        <v>299</v>
      </c>
      <c r="K259">
        <v>3.9873470986230349E-2</v>
      </c>
      <c r="L259" t="s">
        <v>166</v>
      </c>
      <c r="N259" t="s">
        <v>217</v>
      </c>
      <c r="O259" t="s">
        <v>299</v>
      </c>
      <c r="P259">
        <v>1.2221325378956722E-2</v>
      </c>
      <c r="Q259" t="s">
        <v>166</v>
      </c>
    </row>
    <row r="260" spans="9:17" x14ac:dyDescent="0.45">
      <c r="I260" t="s">
        <v>194</v>
      </c>
      <c r="J260" t="s">
        <v>300</v>
      </c>
      <c r="K260">
        <v>7.7977897654446821E-2</v>
      </c>
      <c r="L260" t="s">
        <v>166</v>
      </c>
      <c r="N260" t="s">
        <v>217</v>
      </c>
      <c r="O260" t="s">
        <v>300</v>
      </c>
      <c r="P260">
        <v>0.12679093881877326</v>
      </c>
      <c r="Q260" t="s">
        <v>166</v>
      </c>
    </row>
    <row r="261" spans="9:17" x14ac:dyDescent="0.45">
      <c r="I261" t="s">
        <v>194</v>
      </c>
      <c r="J261" t="s">
        <v>301</v>
      </c>
      <c r="K261">
        <v>0</v>
      </c>
      <c r="L261" t="s">
        <v>166</v>
      </c>
      <c r="N261" t="s">
        <v>217</v>
      </c>
      <c r="O261" t="s">
        <v>301</v>
      </c>
      <c r="P261">
        <v>0.15551663100149427</v>
      </c>
      <c r="Q261" t="s">
        <v>166</v>
      </c>
    </row>
    <row r="262" spans="9:17" x14ac:dyDescent="0.45">
      <c r="I262" t="s">
        <v>194</v>
      </c>
      <c r="J262" t="s">
        <v>302</v>
      </c>
      <c r="K262">
        <v>5.5312532158349823E-4</v>
      </c>
      <c r="L262" t="s">
        <v>166</v>
      </c>
      <c r="N262" t="s">
        <v>217</v>
      </c>
      <c r="O262" t="s">
        <v>302</v>
      </c>
      <c r="P262">
        <v>2.7032830143801177E-2</v>
      </c>
      <c r="Q262" t="s">
        <v>166</v>
      </c>
    </row>
    <row r="263" spans="9:17" x14ac:dyDescent="0.45">
      <c r="I263" t="s">
        <v>195</v>
      </c>
      <c r="J263" t="s">
        <v>291</v>
      </c>
      <c r="K263">
        <v>0.16624303886299532</v>
      </c>
      <c r="L263" t="s">
        <v>166</v>
      </c>
      <c r="N263" t="s">
        <v>218</v>
      </c>
      <c r="O263" t="s">
        <v>291</v>
      </c>
      <c r="P263">
        <v>0.13425534463202446</v>
      </c>
      <c r="Q263" t="s">
        <v>166</v>
      </c>
    </row>
    <row r="264" spans="9:17" x14ac:dyDescent="0.45">
      <c r="I264" t="s">
        <v>195</v>
      </c>
      <c r="J264" t="s">
        <v>292</v>
      </c>
      <c r="K264">
        <v>0</v>
      </c>
      <c r="L264" t="s">
        <v>166</v>
      </c>
      <c r="N264" t="s">
        <v>218</v>
      </c>
      <c r="O264" t="s">
        <v>292</v>
      </c>
      <c r="P264">
        <v>0.15340886482094152</v>
      </c>
      <c r="Q264" t="s">
        <v>166</v>
      </c>
    </row>
    <row r="265" spans="9:17" x14ac:dyDescent="0.45">
      <c r="I265" t="s">
        <v>195</v>
      </c>
      <c r="J265" t="s">
        <v>293</v>
      </c>
      <c r="K265">
        <v>5.1726607304745115E-3</v>
      </c>
      <c r="L265" t="s">
        <v>166</v>
      </c>
      <c r="N265" t="s">
        <v>218</v>
      </c>
      <c r="O265" t="s">
        <v>293</v>
      </c>
      <c r="P265">
        <v>2.6884568168077636E-2</v>
      </c>
      <c r="Q265" t="s">
        <v>166</v>
      </c>
    </row>
    <row r="266" spans="9:17" x14ac:dyDescent="0.45">
      <c r="I266" t="s">
        <v>195</v>
      </c>
      <c r="J266" t="s">
        <v>294</v>
      </c>
      <c r="K266">
        <v>0.29742999426412176</v>
      </c>
      <c r="L266" t="s">
        <v>166</v>
      </c>
      <c r="N266" t="s">
        <v>218</v>
      </c>
      <c r="O266" t="s">
        <v>294</v>
      </c>
      <c r="P266">
        <v>9.6654572775620326E-2</v>
      </c>
      <c r="Q266" t="s">
        <v>166</v>
      </c>
    </row>
    <row r="267" spans="9:17" x14ac:dyDescent="0.45">
      <c r="I267" t="s">
        <v>195</v>
      </c>
      <c r="J267" t="s">
        <v>295</v>
      </c>
      <c r="K267">
        <v>5.8935867109378573E-3</v>
      </c>
      <c r="L267" t="s">
        <v>166</v>
      </c>
      <c r="N267" t="s">
        <v>218</v>
      </c>
      <c r="O267" t="s">
        <v>295</v>
      </c>
      <c r="P267">
        <v>0.10877542850595379</v>
      </c>
      <c r="Q267" t="s">
        <v>166</v>
      </c>
    </row>
    <row r="268" spans="9:17" x14ac:dyDescent="0.45">
      <c r="I268" t="s">
        <v>195</v>
      </c>
      <c r="J268" t="s">
        <v>296</v>
      </c>
      <c r="K268">
        <v>2.5416932564923497E-2</v>
      </c>
      <c r="L268" t="s">
        <v>166</v>
      </c>
      <c r="N268" t="s">
        <v>218</v>
      </c>
      <c r="O268" t="s">
        <v>296</v>
      </c>
      <c r="P268">
        <v>1.8682095283432763E-2</v>
      </c>
      <c r="Q268" t="s">
        <v>166</v>
      </c>
    </row>
    <row r="269" spans="9:17" x14ac:dyDescent="0.45">
      <c r="I269" t="s">
        <v>195</v>
      </c>
      <c r="J269" t="s">
        <v>297</v>
      </c>
      <c r="K269">
        <v>0.34915760540674318</v>
      </c>
      <c r="L269" t="s">
        <v>166</v>
      </c>
      <c r="N269" t="s">
        <v>218</v>
      </c>
      <c r="O269" t="s">
        <v>297</v>
      </c>
      <c r="P269">
        <v>4.9954707923082278E-2</v>
      </c>
      <c r="Q269" t="s">
        <v>166</v>
      </c>
    </row>
    <row r="270" spans="9:17" x14ac:dyDescent="0.45">
      <c r="I270" t="s">
        <v>195</v>
      </c>
      <c r="J270" t="s">
        <v>298</v>
      </c>
      <c r="K270">
        <v>2.0133989350545691E-2</v>
      </c>
      <c r="L270" t="s">
        <v>166</v>
      </c>
      <c r="N270" t="s">
        <v>218</v>
      </c>
      <c r="O270" t="s">
        <v>298</v>
      </c>
      <c r="P270">
        <v>6.692660573222374E-2</v>
      </c>
      <c r="Q270" t="s">
        <v>166</v>
      </c>
    </row>
    <row r="271" spans="9:17" x14ac:dyDescent="0.45">
      <c r="I271" t="s">
        <v>195</v>
      </c>
      <c r="J271" t="s">
        <v>299</v>
      </c>
      <c r="K271">
        <v>4.276506143765401E-2</v>
      </c>
      <c r="L271" t="s">
        <v>166</v>
      </c>
      <c r="N271" t="s">
        <v>218</v>
      </c>
      <c r="O271" t="s">
        <v>299</v>
      </c>
      <c r="P271">
        <v>1.1816508318045229E-2</v>
      </c>
      <c r="Q271" t="s">
        <v>166</v>
      </c>
    </row>
    <row r="272" spans="9:17" x14ac:dyDescent="0.45">
      <c r="I272" t="s">
        <v>195</v>
      </c>
      <c r="J272" t="s">
        <v>300</v>
      </c>
      <c r="K272">
        <v>8.716507457367334E-2</v>
      </c>
      <c r="L272" t="s">
        <v>166</v>
      </c>
      <c r="N272" t="s">
        <v>218</v>
      </c>
      <c r="O272" t="s">
        <v>300</v>
      </c>
      <c r="P272">
        <v>0.1443270934147618</v>
      </c>
      <c r="Q272" t="s">
        <v>166</v>
      </c>
    </row>
    <row r="273" spans="9:17" x14ac:dyDescent="0.45">
      <c r="I273" t="s">
        <v>195</v>
      </c>
      <c r="J273" t="s">
        <v>301</v>
      </c>
      <c r="K273">
        <v>0</v>
      </c>
      <c r="L273" t="s">
        <v>166</v>
      </c>
      <c r="N273" t="s">
        <v>218</v>
      </c>
      <c r="O273" t="s">
        <v>301</v>
      </c>
      <c r="P273">
        <v>0.158898821710308</v>
      </c>
      <c r="Q273" t="s">
        <v>166</v>
      </c>
    </row>
    <row r="274" spans="9:17" x14ac:dyDescent="0.45">
      <c r="I274" t="s">
        <v>195</v>
      </c>
      <c r="J274" t="s">
        <v>302</v>
      </c>
      <c r="K274">
        <v>6.2205609793274563E-4</v>
      </c>
      <c r="L274" t="s">
        <v>166</v>
      </c>
      <c r="N274" t="s">
        <v>218</v>
      </c>
      <c r="O274" t="s">
        <v>302</v>
      </c>
      <c r="P274">
        <v>2.9415388715529494E-2</v>
      </c>
      <c r="Q274" t="s">
        <v>166</v>
      </c>
    </row>
    <row r="275" spans="9:17" x14ac:dyDescent="0.45">
      <c r="I275" t="s">
        <v>196</v>
      </c>
      <c r="J275" t="s">
        <v>291</v>
      </c>
      <c r="K275">
        <v>0.16411409256208523</v>
      </c>
      <c r="L275" t="s">
        <v>166</v>
      </c>
    </row>
    <row r="276" spans="9:17" x14ac:dyDescent="0.45">
      <c r="I276" t="s">
        <v>196</v>
      </c>
      <c r="J276" t="s">
        <v>292</v>
      </c>
      <c r="K276">
        <v>0</v>
      </c>
      <c r="L276" t="s">
        <v>166</v>
      </c>
    </row>
    <row r="277" spans="9:17" x14ac:dyDescent="0.45">
      <c r="I277" t="s">
        <v>196</v>
      </c>
      <c r="J277" t="s">
        <v>293</v>
      </c>
      <c r="K277">
        <v>5.1475194749662457E-3</v>
      </c>
      <c r="L277" t="s">
        <v>166</v>
      </c>
    </row>
    <row r="278" spans="9:17" x14ac:dyDescent="0.45">
      <c r="I278" t="s">
        <v>196</v>
      </c>
      <c r="J278" t="s">
        <v>294</v>
      </c>
      <c r="K278">
        <v>0.29906348812158368</v>
      </c>
      <c r="L278" t="s">
        <v>166</v>
      </c>
    </row>
    <row r="279" spans="9:17" x14ac:dyDescent="0.45">
      <c r="I279" t="s">
        <v>196</v>
      </c>
      <c r="J279" t="s">
        <v>295</v>
      </c>
      <c r="K279">
        <v>5.3448103720253959E-3</v>
      </c>
      <c r="L279" t="s">
        <v>166</v>
      </c>
    </row>
    <row r="280" spans="9:17" x14ac:dyDescent="0.45">
      <c r="I280" t="s">
        <v>196</v>
      </c>
      <c r="J280" t="s">
        <v>296</v>
      </c>
      <c r="K280">
        <v>2.3790096441348621E-2</v>
      </c>
      <c r="L280" t="s">
        <v>166</v>
      </c>
    </row>
    <row r="281" spans="9:17" x14ac:dyDescent="0.45">
      <c r="I281" t="s">
        <v>196</v>
      </c>
      <c r="J281" t="s">
        <v>297</v>
      </c>
      <c r="K281">
        <v>0.3539796700953744</v>
      </c>
      <c r="L281" t="s">
        <v>166</v>
      </c>
    </row>
    <row r="282" spans="9:17" x14ac:dyDescent="0.45">
      <c r="I282" t="s">
        <v>196</v>
      </c>
      <c r="J282" t="s">
        <v>298</v>
      </c>
      <c r="K282">
        <v>1.8372552248225898E-2</v>
      </c>
      <c r="L282" t="s">
        <v>166</v>
      </c>
    </row>
    <row r="283" spans="9:17" x14ac:dyDescent="0.45">
      <c r="I283" t="s">
        <v>196</v>
      </c>
      <c r="J283" t="s">
        <v>299</v>
      </c>
      <c r="K283">
        <v>4.0166966889110062E-2</v>
      </c>
      <c r="L283" t="s">
        <v>166</v>
      </c>
    </row>
    <row r="284" spans="9:17" x14ac:dyDescent="0.45">
      <c r="I284" t="s">
        <v>196</v>
      </c>
      <c r="J284" t="s">
        <v>300</v>
      </c>
      <c r="K284">
        <v>8.9437042828311428E-2</v>
      </c>
      <c r="L284" t="s">
        <v>166</v>
      </c>
    </row>
    <row r="285" spans="9:17" x14ac:dyDescent="0.45">
      <c r="I285" t="s">
        <v>196</v>
      </c>
      <c r="J285" t="s">
        <v>301</v>
      </c>
      <c r="K285">
        <v>0</v>
      </c>
      <c r="L285" t="s">
        <v>166</v>
      </c>
    </row>
    <row r="286" spans="9:17" x14ac:dyDescent="0.45">
      <c r="I286" t="s">
        <v>196</v>
      </c>
      <c r="J286" t="s">
        <v>302</v>
      </c>
      <c r="K286">
        <v>5.8376096696940245E-4</v>
      </c>
      <c r="L286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Veda</vt:lpstr>
      <vt:lpstr>fuel_prices</vt:lpstr>
      <vt:lpstr>iea_data</vt:lpstr>
      <vt:lpstr>ar6_r10</vt:lpstr>
      <vt:lpstr>ev_charging_uc</vt:lpstr>
      <vt:lpstr>ts_012</vt:lpstr>
      <vt:lpstr>ts_048</vt:lpstr>
      <vt:lpstr>ts_annual</vt:lpstr>
      <vt:lpstr>ts_12t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2025-12-05T13:39:56Z</dcterms:modified>
</cp:coreProperties>
</file>