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SuppXLS\"/>
    </mc:Choice>
  </mc:AlternateContent>
  <xr:revisionPtr revIDLastSave="0" documentId="13_ncr:1_{8A6DC790-ABE4-48DC-9520-628F224B78C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I15" i="1"/>
  <c r="O24" i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O15" i="1" l="1"/>
  <c r="Z23" i="1" s="1"/>
  <c r="L15" i="1"/>
  <c r="W23" i="1" s="1"/>
  <c r="K15" i="1"/>
  <c r="V23" i="1" s="1"/>
  <c r="J15" i="1"/>
  <c r="U23" i="1" s="1"/>
  <c r="N15" i="1"/>
  <c r="Y23" i="1" s="1"/>
  <c r="M15" i="1"/>
  <c r="X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<sst xmlns="http://schemas.openxmlformats.org/spreadsheetml/2006/main" count="1727" uniqueCount="126">
  <si>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</si>
  <si>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</si>
  <si>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</si>
  <si>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</si>
  <si>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</si>
  <si>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</si>
  <si>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</si>
  <si>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</si>
  <si>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</si>
  <si>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</si>
  <si>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</si>
  <si>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</si>
  <si>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</si>
  <si>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</si>
  <si>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</si>
  <si>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</si>
  <si>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</si>
  <si>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</si>
  <si>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</si>
  <si>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</si>
  <si>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</si>
  <si>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</si>
  <si>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</si>
  <si>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</si>
  <si>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</si>
  <si>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</si>
  <si>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</si>
  <si>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</si>
  <si>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</si>
  <si>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</si>
  <si>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</si>
  <si>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</si>
  <si>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</si>
  <si>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</si>
  <si>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</si>
  <si>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</si>
  <si>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</si>
  <si>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</si>
  <si>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</si>
  <si>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</si>
  <si>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</si>
  <si>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</si>
  <si>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</si>
  <si>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</si>
  <si>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</si>
  <si>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</si>
  <si>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</si>
  <si>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</si>
  <si>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</si>
  <si>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</si>
  <si>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</si>
  <si>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</si>
  <si>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</si>
  <si>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</si>
  <si>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</si>
  <si>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</si>
  <si>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</si>
  <si>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</si>
  <si>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</si>
  <si>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</si>
  <si>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</si>
  <si>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</si>
  <si>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</si>
  <si>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</si>
  <si>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</si>
  <si>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</si>
  <si>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</si>
  <si>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</si>
  <si>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</si>
  <si>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</si>
  <si>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</si>
  <si>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</si>
  <si>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</si>
  <si>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</si>
  <si>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</si>
  <si>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</si>
  <si>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</si>
  <si>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</si>
  <si>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</si>
  <si>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</si>
  <si>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</si>
  <si>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</si>
  <si>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</si>
  <si>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</si>
  <si>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</si>
  <si>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</si>
  <si>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</si>
  <si>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</si>
  <si>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</si>
  <si>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</si>
  <si>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</si>
  <si>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</si>
  <si>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</si>
  <si>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</si>
  <si>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</si>
  <si>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</si>
  <si>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</si>
  <si>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</si>
  <si>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</si>
  <si>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</si>
  <si>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</si>
  <si>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</si>
  <si>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</si>
  <si>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</si>
  <si>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</si>
  <si>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</si>
  <si>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</si>
  <si>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</si>
  <si>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</si>
  <si>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</si>
  <si>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</si>
  <si>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</si>
  <si>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</si>
  <si>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</si>
  <si>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</si>
  <si>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</si>
  <si>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</si>
  <si>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</si>
  <si>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</si>
  <si>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</si>
  <si>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</si>
  <si>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</si>
  <si>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</si>
  <si>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</si>
  <si>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FRA</t>
  </si>
  <si>
    <t>TTF-linked, forest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</si>
</sst>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483.99</c:v>
                </c:pt>
                <c:pt idx="1">
                  <c:v>508.18950000000001</c:v>
                </c:pt>
                <c:pt idx="2">
                  <c:v>566.26829999999995</c:v>
                </c:pt>
                <c:pt idx="3">
                  <c:v>624.34710000000007</c:v>
                </c:pt>
                <c:pt idx="4">
                  <c:v>687.26580000000001</c:v>
                </c:pt>
                <c:pt idx="5">
                  <c:v>769.54410000000007</c:v>
                </c:pt>
                <c:pt idx="6">
                  <c:v>837.30269999999996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483.99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30.378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483.99</v>
      </c>
      <c r="U14" s="8">
        <f t="shared" ref="U14:Z14" si="4">$S$11*J14</f>
        <v>508.18950000000001</v>
      </c>
      <c r="V14" s="8">
        <f t="shared" si="4"/>
        <v>566.26829999999995</v>
      </c>
      <c r="W14" s="8">
        <f t="shared" si="4"/>
        <v>624.34710000000007</v>
      </c>
      <c r="X14" s="8">
        <f t="shared" si="4"/>
        <v>687.26580000000001</v>
      </c>
      <c r="Y14" s="8">
        <f t="shared" si="4"/>
        <v>769.54410000000007</v>
      </c>
      <c r="Z14" s="8">
        <f t="shared" si="4"/>
        <v>837.30269999999996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179.0763</v>
      </c>
      <c r="U19" s="6">
        <f t="shared" si="7"/>
        <v>177.86632499999999</v>
      </c>
      <c r="V19" s="6">
        <f t="shared" si="7"/>
        <v>192.53122199999999</v>
      </c>
      <c r="W19" s="6">
        <f t="shared" si="7"/>
        <v>206.03454300000004</v>
      </c>
      <c r="X19" s="6">
        <f t="shared" si="7"/>
        <v>206.17974000000001</v>
      </c>
      <c r="Y19" s="6">
        <f t="shared" si="7"/>
        <v>223.167789</v>
      </c>
      <c r="Z19" s="6">
        <f t="shared" si="7"/>
        <v>251.19080999999997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285.55410000000001</v>
      </c>
      <c r="U20" s="6">
        <f t="shared" si="7"/>
        <v>299.83180499999997</v>
      </c>
      <c r="V20" s="6">
        <f t="shared" si="7"/>
        <v>334.09829699999995</v>
      </c>
      <c r="W20" s="6">
        <f t="shared" si="7"/>
        <v>362.12131800000003</v>
      </c>
      <c r="X20" s="6">
        <f t="shared" si="7"/>
        <v>398.61416399999996</v>
      </c>
      <c r="Y20" s="6">
        <f t="shared" si="7"/>
        <v>430.94469600000008</v>
      </c>
      <c r="Z20" s="6">
        <f t="shared" si="7"/>
        <v>452.14345800000001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14.5197</v>
      </c>
      <c r="U21" s="6">
        <f t="shared" ref="U21:Z21" si="8">T21</f>
        <v>14.5197</v>
      </c>
      <c r="V21" s="6">
        <f t="shared" si="8"/>
        <v>14.5197</v>
      </c>
      <c r="W21" s="6">
        <f t="shared" si="8"/>
        <v>14.5197</v>
      </c>
      <c r="X21" s="6">
        <f t="shared" si="8"/>
        <v>14.5197</v>
      </c>
      <c r="Y21" s="6">
        <f t="shared" si="8"/>
        <v>14.5197</v>
      </c>
      <c r="Z21" s="6">
        <f t="shared" si="8"/>
        <v>14.5197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4.8399000000000001</v>
      </c>
      <c r="U22" s="6">
        <f t="shared" si="9"/>
        <v>15.971670000000017</v>
      </c>
      <c r="V22" s="6">
        <f t="shared" si="9"/>
        <v>25.119081000000051</v>
      </c>
      <c r="W22" s="6">
        <f t="shared" si="9"/>
        <v>41.671539000000053</v>
      </c>
      <c r="X22" s="6">
        <f t="shared" si="9"/>
        <v>67.952196000000072</v>
      </c>
      <c r="Y22" s="6">
        <f t="shared" si="9"/>
        <v>100.91191499999991</v>
      </c>
      <c r="Z22" s="6">
        <f t="shared" si="9"/>
        <v>119.44873200000006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30.378</v>
      </c>
      <c r="U23" s="25">
        <f>$S$12*J15</f>
        <v>29.770440000000001</v>
      </c>
      <c r="V23" s="25">
        <f>$S$12*K15</f>
        <v>29.162879999999998</v>
      </c>
      <c r="W23" s="25">
        <f t="shared" ref="W23:Z23" si="10">$S$12*L15</f>
        <v>27.947760000000002</v>
      </c>
      <c r="X23" s="25">
        <f t="shared" si="10"/>
        <v>25.517519999999998</v>
      </c>
      <c r="Y23" s="25">
        <f t="shared" si="10"/>
        <v>25.213739999999998</v>
      </c>
      <c r="Z23" s="25">
        <f t="shared" si="10"/>
        <v>24.302400000000002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52.44</v>
      </c>
      <c r="S28" t="s">
        <v>31</v>
      </c>
      <c r="T28" s="3">
        <f>Q28</f>
        <v>52.44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-37.49</v>
      </c>
      <c r="S29" t="s">
        <v>34</v>
      </c>
      <c r="T29" s="3">
        <f>-1*Q29</f>
        <v>37.49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15.2</v>
      </c>
      <c r="J46">
        <f t="shared" si="13"/>
        <v>15.504</v>
      </c>
      <c r="K46">
        <f t="shared" si="13"/>
        <v>16.111999999999998</v>
      </c>
      <c r="L46">
        <f t="shared" si="13"/>
        <v>16.263999999999999</v>
      </c>
      <c r="M46">
        <f t="shared" si="13"/>
        <v>16.416</v>
      </c>
      <c r="N46">
        <f t="shared" si="13"/>
        <v>16.72</v>
      </c>
      <c r="O46">
        <f t="shared" si="13"/>
        <v>17.024000000000001</v>
      </c>
      <c r="R46">
        <f>HLOOKUP($G46&amp;"_"&amp;R$44,fuel_prices!$B$10:$I$11,2,FALSE)</f>
        <v>13.7</v>
      </c>
      <c r="S46">
        <f>HLOOKUP($G46&amp;"_"&amp;S$44,fuel_prices!$B$10:$I$11,2,FALSE)</f>
        <v>16.7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28</v>
      </c>
      <c r="O48">
        <f>VLOOKUP($H$14,$AK$9:$AM$15,3,FALSE)*I48</f>
        <v>84</v>
      </c>
      <c r="R48">
        <f>HLOOKUP($G48&amp;"_"&amp;R$44,fuel_prices!$B$10:$I$11,2,FALSE)</f>
        <v>24</v>
      </c>
      <c r="S48">
        <f>HLOOKUP($G48&amp;"_"&amp;S$44,fuel_prices!$B$10:$I$11,2,FALSE)</f>
        <v>32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9.1</v>
      </c>
      <c r="D91">
        <v>11.285</v>
      </c>
      <c r="E91">
        <v>14.41</v>
      </c>
      <c r="F91" t="s">
        <v>120</v>
      </c>
    </row>
    <row r="92" spans="1:6" x14ac:dyDescent="0.45">
      <c r="A92" t="s">
        <v>31</v>
      </c>
      <c r="B92" t="s">
        <v>119</v>
      </c>
      <c r="C92">
        <v>7.25</v>
      </c>
      <c r="D92">
        <v>14.8</v>
      </c>
      <c r="E92">
        <v>17.3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29.1</v>
      </c>
      <c r="C11">
        <v>41.1</v>
      </c>
      <c r="D11">
        <v>13.7</v>
      </c>
      <c r="E11">
        <v>16.7</v>
      </c>
      <c r="F11">
        <v>48</v>
      </c>
      <c r="G11">
        <v>58</v>
      </c>
      <c r="H11">
        <v>24</v>
      </c>
      <c r="I11">
        <v>32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194.06</v>
      </c>
      <c r="D11">
        <v>237.76</v>
      </c>
      <c r="E11">
        <v>9.3800000000000008</v>
      </c>
      <c r="F11">
        <v>0</v>
      </c>
      <c r="G11">
        <v>3.69</v>
      </c>
      <c r="H11">
        <v>-73.17</v>
      </c>
      <c r="I11">
        <v>533.6</v>
      </c>
      <c r="J11">
        <v>35.914000000000001</v>
      </c>
      <c r="K11">
        <v>37.631</v>
      </c>
    </row>
    <row r="12" spans="1:11" x14ac:dyDescent="0.45">
      <c r="A12" t="s">
        <v>124</v>
      </c>
      <c r="B12">
        <v>2001</v>
      </c>
      <c r="C12">
        <v>194.58</v>
      </c>
      <c r="D12">
        <v>245.54</v>
      </c>
      <c r="E12">
        <v>9.5500000000000007</v>
      </c>
      <c r="F12">
        <v>0</v>
      </c>
      <c r="G12">
        <v>4.47</v>
      </c>
      <c r="H12">
        <v>-72.86</v>
      </c>
      <c r="I12">
        <v>543.64</v>
      </c>
      <c r="J12">
        <v>43.832000000000001</v>
      </c>
      <c r="K12">
        <v>45.606999999999999</v>
      </c>
    </row>
    <row r="13" spans="1:11" x14ac:dyDescent="0.45">
      <c r="A13" t="s">
        <v>124</v>
      </c>
      <c r="B13">
        <v>2002</v>
      </c>
      <c r="C13">
        <v>193.99</v>
      </c>
      <c r="D13">
        <v>244.71</v>
      </c>
      <c r="E13">
        <v>9.67</v>
      </c>
      <c r="F13">
        <v>0</v>
      </c>
      <c r="G13">
        <v>3.71</v>
      </c>
      <c r="H13">
        <v>-80.739999999999995</v>
      </c>
      <c r="I13">
        <v>552.11</v>
      </c>
      <c r="J13">
        <v>45.671999999999997</v>
      </c>
      <c r="K13">
        <v>47.503</v>
      </c>
    </row>
    <row r="14" spans="1:11" x14ac:dyDescent="0.45">
      <c r="A14" t="s">
        <v>124</v>
      </c>
      <c r="B14">
        <v>2003</v>
      </c>
      <c r="C14">
        <v>195.87</v>
      </c>
      <c r="D14">
        <v>261.02</v>
      </c>
      <c r="E14">
        <v>9.7899999999999991</v>
      </c>
      <c r="F14">
        <v>0</v>
      </c>
      <c r="G14">
        <v>6.96</v>
      </c>
      <c r="H14">
        <v>-73.37</v>
      </c>
      <c r="I14">
        <v>559.91</v>
      </c>
      <c r="J14">
        <v>44.271999999999998</v>
      </c>
      <c r="K14">
        <v>46.07</v>
      </c>
    </row>
    <row r="15" spans="1:11" x14ac:dyDescent="0.45">
      <c r="A15" t="s">
        <v>124</v>
      </c>
      <c r="B15">
        <v>2004</v>
      </c>
      <c r="C15">
        <v>198.37</v>
      </c>
      <c r="D15">
        <v>270.62</v>
      </c>
      <c r="E15">
        <v>10.02</v>
      </c>
      <c r="F15">
        <v>0</v>
      </c>
      <c r="G15">
        <v>6.57</v>
      </c>
      <c r="H15">
        <v>-68.48</v>
      </c>
      <c r="I15">
        <v>567.20000000000005</v>
      </c>
      <c r="J15">
        <v>44.984999999999999</v>
      </c>
      <c r="K15">
        <v>46.722000000000001</v>
      </c>
    </row>
    <row r="16" spans="1:11" x14ac:dyDescent="0.45">
      <c r="A16" t="s">
        <v>124</v>
      </c>
      <c r="B16">
        <v>2005</v>
      </c>
      <c r="C16">
        <v>202.39</v>
      </c>
      <c r="D16">
        <v>271</v>
      </c>
      <c r="E16">
        <v>9.86</v>
      </c>
      <c r="F16">
        <v>0</v>
      </c>
      <c r="G16">
        <v>8.06</v>
      </c>
      <c r="H16">
        <v>-68.39</v>
      </c>
      <c r="I16">
        <v>569.87</v>
      </c>
      <c r="J16">
        <v>47.009</v>
      </c>
      <c r="K16">
        <v>48.417999999999999</v>
      </c>
    </row>
    <row r="17" spans="1:11" x14ac:dyDescent="0.45">
      <c r="A17" t="s">
        <v>124</v>
      </c>
      <c r="B17">
        <v>2006</v>
      </c>
      <c r="C17">
        <v>196.17</v>
      </c>
      <c r="D17">
        <v>280.74</v>
      </c>
      <c r="E17">
        <v>9.98</v>
      </c>
      <c r="F17">
        <v>0</v>
      </c>
      <c r="G17">
        <v>8.52</v>
      </c>
      <c r="H17">
        <v>-71.86</v>
      </c>
      <c r="I17">
        <v>568.01</v>
      </c>
      <c r="J17">
        <v>43.725000000000001</v>
      </c>
      <c r="K17">
        <v>45.485999999999997</v>
      </c>
    </row>
    <row r="18" spans="1:11" x14ac:dyDescent="0.45">
      <c r="A18" t="s">
        <v>124</v>
      </c>
      <c r="B18">
        <v>2007</v>
      </c>
      <c r="C18">
        <v>193.97</v>
      </c>
      <c r="D18">
        <v>281.70999999999998</v>
      </c>
      <c r="E18">
        <v>10.029999999999999</v>
      </c>
      <c r="F18">
        <v>0</v>
      </c>
      <c r="G18">
        <v>10.78</v>
      </c>
      <c r="H18">
        <v>-67.59</v>
      </c>
      <c r="I18">
        <v>562.48</v>
      </c>
      <c r="J18">
        <v>37.177</v>
      </c>
      <c r="K18">
        <v>38.771000000000001</v>
      </c>
    </row>
    <row r="19" spans="1:11" x14ac:dyDescent="0.45">
      <c r="A19" t="s">
        <v>124</v>
      </c>
      <c r="B19">
        <v>2008</v>
      </c>
      <c r="C19">
        <v>192.61</v>
      </c>
      <c r="D19">
        <v>291.74</v>
      </c>
      <c r="E19">
        <v>10.42</v>
      </c>
      <c r="F19">
        <v>0</v>
      </c>
      <c r="G19">
        <v>10.75</v>
      </c>
      <c r="H19">
        <v>-58.74</v>
      </c>
      <c r="I19">
        <v>567.55999999999995</v>
      </c>
      <c r="J19">
        <v>37.622</v>
      </c>
      <c r="K19">
        <v>42.32</v>
      </c>
    </row>
    <row r="20" spans="1:11" x14ac:dyDescent="0.45">
      <c r="A20" t="s">
        <v>124</v>
      </c>
      <c r="B20">
        <v>2009</v>
      </c>
      <c r="C20">
        <v>175.21</v>
      </c>
      <c r="D20">
        <v>293.16000000000003</v>
      </c>
      <c r="E20">
        <v>10.08</v>
      </c>
      <c r="F20">
        <v>0</v>
      </c>
      <c r="G20">
        <v>18.52</v>
      </c>
      <c r="H20">
        <v>-44.45</v>
      </c>
      <c r="I20">
        <v>529.42999999999995</v>
      </c>
      <c r="J20">
        <v>26.555</v>
      </c>
      <c r="K20">
        <v>37.185000000000002</v>
      </c>
    </row>
    <row r="21" spans="1:11" x14ac:dyDescent="0.45">
      <c r="A21" t="s">
        <v>124</v>
      </c>
      <c r="B21">
        <v>2010</v>
      </c>
      <c r="C21">
        <v>181.68</v>
      </c>
      <c r="D21">
        <v>313.8</v>
      </c>
      <c r="E21">
        <v>10.039999999999999</v>
      </c>
      <c r="F21">
        <v>0</v>
      </c>
      <c r="G21">
        <v>19.48</v>
      </c>
      <c r="H21">
        <v>-50.19</v>
      </c>
      <c r="I21">
        <v>562.94000000000005</v>
      </c>
      <c r="J21">
        <v>24.475000000000001</v>
      </c>
      <c r="K21">
        <v>33.140999999999998</v>
      </c>
    </row>
    <row r="22" spans="1:11" x14ac:dyDescent="0.45">
      <c r="A22" t="s">
        <v>124</v>
      </c>
      <c r="B22">
        <v>2011</v>
      </c>
      <c r="C22">
        <v>186.46</v>
      </c>
      <c r="D22">
        <v>293.82</v>
      </c>
      <c r="E22">
        <v>9.14</v>
      </c>
      <c r="F22">
        <v>0.03</v>
      </c>
      <c r="G22">
        <v>9.5</v>
      </c>
      <c r="H22">
        <v>-65.91</v>
      </c>
      <c r="I22">
        <v>567.95000000000005</v>
      </c>
      <c r="J22">
        <v>25.579000000000001</v>
      </c>
      <c r="K22">
        <v>33.526000000000003</v>
      </c>
    </row>
    <row r="23" spans="1:11" x14ac:dyDescent="0.45">
      <c r="A23" t="s">
        <v>124</v>
      </c>
      <c r="B23">
        <v>2012</v>
      </c>
      <c r="C23">
        <v>186.69</v>
      </c>
      <c r="D23">
        <v>312.39</v>
      </c>
      <c r="E23">
        <v>9.2799999999999994</v>
      </c>
      <c r="F23">
        <v>0.04</v>
      </c>
      <c r="G23">
        <v>12.21</v>
      </c>
      <c r="H23">
        <v>-56.73</v>
      </c>
      <c r="I23">
        <v>567.83000000000004</v>
      </c>
      <c r="J23">
        <v>25.388999999999999</v>
      </c>
      <c r="K23">
        <v>35.433</v>
      </c>
    </row>
    <row r="24" spans="1:11" x14ac:dyDescent="0.45">
      <c r="A24" t="s">
        <v>124</v>
      </c>
      <c r="B24">
        <v>2013</v>
      </c>
      <c r="C24">
        <v>185.3</v>
      </c>
      <c r="D24">
        <v>320.97000000000003</v>
      </c>
      <c r="E24">
        <v>9.3699999999999992</v>
      </c>
      <c r="F24">
        <v>0.06</v>
      </c>
      <c r="G24">
        <v>11.69</v>
      </c>
      <c r="H24">
        <v>-60.15</v>
      </c>
      <c r="I24">
        <v>577.14</v>
      </c>
      <c r="J24">
        <v>23.777000000000001</v>
      </c>
      <c r="K24">
        <v>36.747999999999998</v>
      </c>
    </row>
    <row r="25" spans="1:11" x14ac:dyDescent="0.45">
      <c r="A25" t="s">
        <v>124</v>
      </c>
      <c r="B25">
        <v>2014</v>
      </c>
      <c r="C25">
        <v>179.65</v>
      </c>
      <c r="D25">
        <v>296.82</v>
      </c>
      <c r="E25">
        <v>9.1300000000000008</v>
      </c>
      <c r="F25">
        <v>0.08</v>
      </c>
      <c r="G25">
        <v>7.87</v>
      </c>
      <c r="H25">
        <v>-75.06</v>
      </c>
      <c r="I25">
        <v>566.77</v>
      </c>
      <c r="J25">
        <v>22.052</v>
      </c>
      <c r="K25">
        <v>32.378999999999998</v>
      </c>
    </row>
    <row r="26" spans="1:11" x14ac:dyDescent="0.45">
      <c r="A26" t="s">
        <v>124</v>
      </c>
      <c r="B26">
        <v>2015</v>
      </c>
      <c r="C26">
        <v>180.44</v>
      </c>
      <c r="D26">
        <v>307.36</v>
      </c>
      <c r="E26">
        <v>9.25</v>
      </c>
      <c r="F26">
        <v>0.11</v>
      </c>
      <c r="G26">
        <v>9.9600000000000009</v>
      </c>
      <c r="H26">
        <v>-74.02</v>
      </c>
      <c r="I26">
        <v>574.45000000000005</v>
      </c>
      <c r="J26">
        <v>23.239000000000001</v>
      </c>
      <c r="K26">
        <v>36.021999999999998</v>
      </c>
    </row>
    <row r="27" spans="1:11" x14ac:dyDescent="0.45">
      <c r="A27" t="s">
        <v>124</v>
      </c>
      <c r="B27">
        <v>2016</v>
      </c>
      <c r="C27">
        <v>183.04</v>
      </c>
      <c r="D27">
        <v>313.68</v>
      </c>
      <c r="E27">
        <v>9.06</v>
      </c>
      <c r="F27">
        <v>0.15</v>
      </c>
      <c r="G27">
        <v>19.899999999999999</v>
      </c>
      <c r="H27">
        <v>-61.4</v>
      </c>
      <c r="I27">
        <v>559.17999999999995</v>
      </c>
      <c r="J27">
        <v>26.399000000000001</v>
      </c>
      <c r="K27">
        <v>40.295000000000002</v>
      </c>
    </row>
    <row r="28" spans="1:11" x14ac:dyDescent="0.45">
      <c r="A28" t="s">
        <v>124</v>
      </c>
      <c r="B28">
        <v>2017</v>
      </c>
      <c r="C28">
        <v>183.41</v>
      </c>
      <c r="D28">
        <v>311.24</v>
      </c>
      <c r="E28">
        <v>9.0500000000000007</v>
      </c>
      <c r="F28">
        <v>0.19</v>
      </c>
      <c r="G28">
        <v>21.12</v>
      </c>
      <c r="H28">
        <v>-61.25</v>
      </c>
      <c r="I28">
        <v>556.76</v>
      </c>
      <c r="J28">
        <v>27.408999999999999</v>
      </c>
      <c r="K28">
        <v>41.779000000000003</v>
      </c>
    </row>
    <row r="29" spans="1:11" x14ac:dyDescent="0.45">
      <c r="A29" t="s">
        <v>124</v>
      </c>
      <c r="B29">
        <v>2018</v>
      </c>
      <c r="C29">
        <v>183.37</v>
      </c>
      <c r="D29">
        <v>309.16000000000003</v>
      </c>
      <c r="E29">
        <v>8.6199999999999992</v>
      </c>
      <c r="F29">
        <v>0.24</v>
      </c>
      <c r="G29">
        <v>13.51</v>
      </c>
      <c r="H29">
        <v>-76.48</v>
      </c>
      <c r="I29">
        <v>576.26</v>
      </c>
      <c r="J29">
        <v>26.780999999999999</v>
      </c>
      <c r="K29">
        <v>41.076000000000001</v>
      </c>
    </row>
    <row r="30" spans="1:11" x14ac:dyDescent="0.45">
      <c r="A30" t="s">
        <v>124</v>
      </c>
      <c r="B30">
        <v>2019</v>
      </c>
      <c r="C30">
        <v>181.24</v>
      </c>
      <c r="D30">
        <v>304.60000000000002</v>
      </c>
      <c r="E30">
        <v>8.4700000000000006</v>
      </c>
      <c r="F30">
        <v>0.33</v>
      </c>
      <c r="G30">
        <v>15.63</v>
      </c>
      <c r="H30">
        <v>-73.3</v>
      </c>
      <c r="I30">
        <v>566.01</v>
      </c>
      <c r="J30">
        <v>28.838000000000001</v>
      </c>
      <c r="K30">
        <v>43.131</v>
      </c>
    </row>
    <row r="31" spans="1:11" x14ac:dyDescent="0.45">
      <c r="A31" t="s">
        <v>124</v>
      </c>
      <c r="B31">
        <v>2020</v>
      </c>
      <c r="C31">
        <v>167.45</v>
      </c>
      <c r="D31">
        <v>295.89</v>
      </c>
      <c r="E31">
        <v>6.94</v>
      </c>
      <c r="F31">
        <v>0.42</v>
      </c>
      <c r="G31">
        <v>19.54</v>
      </c>
      <c r="H31">
        <v>-64.58</v>
      </c>
      <c r="I31">
        <v>527.64</v>
      </c>
      <c r="J31">
        <v>28.8</v>
      </c>
      <c r="K31">
        <v>41.771000000000001</v>
      </c>
    </row>
    <row r="32" spans="1:11" x14ac:dyDescent="0.45">
      <c r="A32" t="s">
        <v>124</v>
      </c>
      <c r="B32">
        <v>2021</v>
      </c>
      <c r="C32">
        <v>177.58</v>
      </c>
      <c r="D32">
        <v>309.27</v>
      </c>
      <c r="E32">
        <v>7.83</v>
      </c>
      <c r="F32">
        <v>0.79</v>
      </c>
      <c r="G32">
        <v>24.33</v>
      </c>
      <c r="H32">
        <v>-69.23</v>
      </c>
      <c r="I32">
        <v>550.63</v>
      </c>
      <c r="J32">
        <v>29.742999999999999</v>
      </c>
      <c r="K32">
        <v>48.042999999999999</v>
      </c>
    </row>
    <row r="33" spans="1:11" x14ac:dyDescent="0.45">
      <c r="A33" t="s">
        <v>124</v>
      </c>
      <c r="B33">
        <v>2022</v>
      </c>
      <c r="C33">
        <v>165.91</v>
      </c>
      <c r="D33">
        <v>294.72000000000003</v>
      </c>
      <c r="E33">
        <v>8.24</v>
      </c>
      <c r="F33">
        <v>1.41</v>
      </c>
      <c r="G33">
        <v>52.44</v>
      </c>
      <c r="H33">
        <v>-37.49</v>
      </c>
      <c r="I33">
        <v>469.04</v>
      </c>
      <c r="J33">
        <v>30.378</v>
      </c>
      <c r="K33">
        <v>46.09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2026-07-09T07:41:53Z</dcterms:modified>
</cp:coreProperties>
</file>