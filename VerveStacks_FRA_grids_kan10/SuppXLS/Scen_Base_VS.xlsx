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FRA_grids_kan10\SuppXLS\"/>
    </mc:Choice>
  </mc:AlternateContent>
  <xr:revisionPtr revIDLastSave="0" documentId="8_{2397B0BE-DFCD-499F-B675-CE1A8C8E51A7}"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<sst xmlns="http://schemas.openxmlformats.org/spreadsheetml/2006/main" count="5306" uniqueCount="964">
  <si>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</si>
  <si>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</si>
  <si>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</si>
  <si>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</si>
  <si>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</si>
  <si>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</si>
  <si>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</si>
  <si>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</si>
  <si>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</si>
  <si>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</si>
  <si>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</si>
  <si>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</si>
  <si>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</si>
  <si>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</si>
  <si>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</si>
  <si>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</si>
  <si>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</si>
  <si>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</si>
  <si>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</si>
  <si>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</si>
  <si>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</si>
  <si>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</si>
  <si>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</si>
  <si>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</si>
  <si>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</si>
  <si>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</si>
  <si>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</si>
  <si>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</si>
  <si>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</si>
  <si>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</si>
  <si>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</si>
  <si>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</si>
  <si>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</si>
  <si>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</si>
  <si>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</si>
  <si>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</si>
  <si>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</si>
  <si>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</si>
  <si>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</si>
  <si>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</si>
  <si>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</si>
  <si>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</si>
  <si>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</si>
  <si>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</si>
  <si>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</si>
  <si>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</si>
  <si>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</si>
  <si>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</si>
  <si>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</si>
  <si>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</si>
  <si>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</si>
  <si>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</si>
  <si>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</si>
  <si>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</si>
  <si>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</si>
  <si>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</si>
  <si>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</si>
  <si>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</si>
  <si>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</si>
  <si>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</si>
  <si>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</si>
  <si>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</si>
  <si>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</si>
  <si>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</si>
  <si>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</si>
  <si>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</si>
  <si>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</si>
  <si>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</si>
  <si>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</si>
  <si>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</si>
  <si>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</si>
  <si>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</si>
  <si>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</si>
  <si>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</si>
  <si>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</si>
  <si>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</si>
  <si>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</si>
  <si>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</si>
  <si>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</si>
  <si>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</si>
  <si>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</si>
  <si>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</si>
  <si>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</si>
  <si>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</si>
  <si>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</si>
  <si>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windoff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</si>
  <si>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</si>
  <si>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</si>
  <si>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</si>
  <si>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</si>
  <si>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</si>
  <si>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</si>
  <si>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</si>
  <si>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</si>
  <si>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</si>
  <si>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</si>
  <si>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</si>
  <si>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</si>
  <si>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</si>
  <si>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</si>
  <si>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</si>
  <si>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 for France</t>
  </si>
  <si>
    <t>Government of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</si>
  <si>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</si>
  <si>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</si>
  <si>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</si>
  <si>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National Energy Climate Plan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</si>
  <si>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</si>
  <si>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</si>
  <si>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</si>
  <si>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Hydro</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</si>
  <si>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</si>
  <si>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</si>
  <si>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</si>
  <si>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Offshore Wind</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</si>
  <si>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</si>
  <si>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</si>
  <si>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</si>
  <si>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</si>
  <si>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</si>
  <si>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</si>
  <si>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</si>
  <si>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</si>
  <si>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</si>
  <si>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</si>
  <si>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</si>
  <si>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</si>
  <si>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</si>
  <si>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</si>
  <si>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</si>
  <si>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</si>
  <si>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</si>
  <si>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</si>
  <si>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</si>
  <si>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</si>
  <si>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</si>
  <si>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</si>
  <si>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BUILD RATE ASSUMPTIONS</t>
  </si>
  <si>
    <t>iso</t>
  </si>
  <si>
    <t>FRA</t>
  </si>
  <si>
    <t>pasti</t>
  </si>
  <si>
    <t>ncap_cost</t>
  </si>
  <si>
    <t>efficiency</t>
  </si>
  <si>
    <t>g_r13260224-225_FRA-w85605950-400_FRA</t>
  </si>
  <si>
    <t>g_w110086345-400_FRA-FR186-225_FRA</t>
  </si>
  <si>
    <t>g_w110086345-400_FRA-w146449309-400_FRA</t>
  </si>
  <si>
    <t>g_w110086345-400_FRA-w24020601-400_FRA</t>
  </si>
  <si>
    <t>g_w111558550-400_FRA-w207479669-225_FRA</t>
  </si>
  <si>
    <t>g_w111558550-400_FRA-w235370803-400_FRA</t>
  </si>
  <si>
    <t>g_w1271288346_FRA-r13260224-225_FRA</t>
  </si>
  <si>
    <t>g_w1271288346_FRA-w82741307-225_FRA</t>
  </si>
  <si>
    <t>g_w179260933-400_FRA-w225210595-225_FRA</t>
  </si>
  <si>
    <t>g_w179260933-400_FRA-w39389229-400_FRA</t>
  </si>
  <si>
    <t>g_w179260933-400_FRA-w82825438-400_FRA</t>
  </si>
  <si>
    <t>g_w179260933-400_FRA-w83293593-225_FRA</t>
  </si>
  <si>
    <t>g_w179260933-400_FRA-w83726363-225_FRA</t>
  </si>
  <si>
    <t>g_w207479669-225_FRA-w312728271_FRA</t>
  </si>
  <si>
    <t>g_w207479669-225_FRA-w83726363-225_FRA</t>
  </si>
  <si>
    <t>g_w222188543-400_FRA-w235370803-400_FRA</t>
  </si>
  <si>
    <t>g_w222188543-400_FRA-w753113423_FRA</t>
  </si>
  <si>
    <t>g_w225210595-225_FRA-w146402374-225_FRA</t>
  </si>
  <si>
    <t>g_w225210595-225_FRA-w81638061-220_FRA</t>
  </si>
  <si>
    <t>g_w235370803-400_FRA-w207479669-225_FRA</t>
  </si>
  <si>
    <t>g_w235370803-400_FRA-w83726363-225_FRA</t>
  </si>
  <si>
    <t>g_w24020601-400_FRA-w146449309-400_FRA</t>
  </si>
  <si>
    <t>g_w24020601-400_FRA-w179260933-400_FRA</t>
  </si>
  <si>
    <t>g_w24020601-400_FRA-w83293593-225_FRA</t>
  </si>
  <si>
    <t>g_w312728271_FRA-w110086345-400_FRA</t>
  </si>
  <si>
    <t>g_w312728271_FRA-w83726363-225_FRA</t>
  </si>
  <si>
    <t>g_w39389229-400_FRA-w225210595-225_FRA</t>
  </si>
  <si>
    <t>g_w39389229-400_FRA-w81638061-220_FRA</t>
  </si>
  <si>
    <t>g_w753113423_FRA-w235370803-400_FRA</t>
  </si>
  <si>
    <t>g_w753113423_FRA-w82741307-225_FRA</t>
  </si>
  <si>
    <t>g_w753113423_FRA-w85710783-400_FRA</t>
  </si>
  <si>
    <t>g_w775577827_FRA-w1271288346_FRA</t>
  </si>
  <si>
    <t>g_w81638061-220_FRA-w146402374-225_FRA</t>
  </si>
  <si>
    <t>g_w82741307-225_FRA-w179260933-400_FRA</t>
  </si>
  <si>
    <t>g_w82741307-225_FRA-w82825438-400_FRA</t>
  </si>
  <si>
    <t>g_w82741307-225_FRA-w85605950-400_FRA</t>
  </si>
  <si>
    <t>g_w82825438-400_FRA-w225210595-225_FRA</t>
  </si>
  <si>
    <t>g_w83293593-225_FRA-w146449309-400_FRA</t>
  </si>
  <si>
    <t>g_w83293593-225_FRA-w39389229-400_FRA</t>
  </si>
  <si>
    <t>g_w83726363-225_FRA-w110086345-400_FRA</t>
  </si>
  <si>
    <t>g_w83726363-225_FRA-w24020601-400_FRA</t>
  </si>
  <si>
    <t>g_w83726363-225_FRA-w82741307-225_FRA</t>
  </si>
  <si>
    <t>g_w85605950-400_FRA-w82825438-400_FRA</t>
  </si>
  <si>
    <t>g_w85710783-400_FRA-w82741307-225_FRA</t>
  </si>
  <si>
    <t>~tfm_ins-at</t>
  </si>
  <si>
    <t>commodity</t>
  </si>
  <si>
    <t>flo_mark</t>
  </si>
  <si>
    <t>lim_type</t>
  </si>
  <si>
    <t>e_demand_w82741307-225_FRA</t>
  </si>
  <si>
    <t>elc_buildings,elc_transport,elc_industry,elc_roadtransport</t>
  </si>
  <si>
    <t>lo</t>
  </si>
  <si>
    <t>e_demand_w24020601-400_FRA</t>
  </si>
  <si>
    <t>e_demand_w110086345-400_FRA</t>
  </si>
  <si>
    <t>e_demand_w235370803-400_FRA</t>
  </si>
  <si>
    <t>e_demand_w85605950-400_FRA</t>
  </si>
  <si>
    <t>e_demand_w81638061-220_FRA</t>
  </si>
  <si>
    <t>e_demand_w222188543-400_FRA</t>
  </si>
  <si>
    <t>e_demand_w312728271_FRA</t>
  </si>
  <si>
    <t>e_demand_FR186-225_FRA</t>
  </si>
  <si>
    <t>e_demand_w753113423_FRA</t>
  </si>
  <si>
    <t>e_demand_w85710783-400_FRA</t>
  </si>
  <si>
    <t>e_demand_w83726363-225_FRA</t>
  </si>
  <si>
    <t>e_demand_w1271288346_FRA</t>
  </si>
  <si>
    <t>ev_battery_w82741307-225_FRA</t>
  </si>
  <si>
    <t>ev_battery_w24020601-400_FRA</t>
  </si>
  <si>
    <t>ev_battery_w110086345-400_FRA</t>
  </si>
  <si>
    <t>ev_battery_w235370803-400_FRA</t>
  </si>
  <si>
    <t>ev_battery_w85605950-400_FRA</t>
  </si>
  <si>
    <t>ev_battery_w81638061-220_FRA</t>
  </si>
  <si>
    <t>ev_battery_w222188543-400_FRA</t>
  </si>
  <si>
    <t>ev_battery_w312728271_FRA</t>
  </si>
  <si>
    <t>ev_battery_FR186-225_FRA</t>
  </si>
  <si>
    <t>ev_battery_w753113423_FRA</t>
  </si>
  <si>
    <t>ev_battery_w85710783-400_FRA</t>
  </si>
  <si>
    <t>ev_battery_w83726363-225_FRA</t>
  </si>
  <si>
    <t>ev_battery_w1271288346_FRA</t>
  </si>
  <si>
    <t>H2prd_Elc_PEM_w82741307-225_FRA</t>
  </si>
  <si>
    <t>H2prd_Elc_PEM_w24020601-400_FRA</t>
  </si>
  <si>
    <t>H2prd_Elc_PEM_w110086345-400_FRA</t>
  </si>
  <si>
    <t>H2prd_Elc_PEM_w235370803-400_FRA</t>
  </si>
  <si>
    <t>H2prd_Elc_PEM_w85605950-400_FRA</t>
  </si>
  <si>
    <t>H2prd_Elc_PEM_w81638061-220_FRA</t>
  </si>
  <si>
    <t>H2prd_Elc_PEM_w222188543-400_FRA</t>
  </si>
  <si>
    <t>H2prd_Elc_PEM_w312728271_FRA</t>
  </si>
  <si>
    <t>H2prd_Elc_PEM_FR186-225_FRA</t>
  </si>
  <si>
    <t>H2prd_Elc_PEM_w753113423_FRA</t>
  </si>
  <si>
    <t>H2prd_Elc_PEM_w85710783-400_FRA</t>
  </si>
  <si>
    <t>H2prd_Elc_PEM_w83726363-225_FRA</t>
  </si>
  <si>
    <t>H2prd_Elc_PEM_w1271288346_FRA</t>
  </si>
  <si>
    <t>H2prd_Elc_ALK_w82741307-225_FRA</t>
  </si>
  <si>
    <t>H2prd_Elc_ALK_w24020601-400_FRA</t>
  </si>
  <si>
    <t>H2prd_Elc_ALK_w110086345-400_FRA</t>
  </si>
  <si>
    <t>H2prd_Elc_ALK_w235370803-400_FRA</t>
  </si>
  <si>
    <t>H2prd_Elc_ALK_w85605950-400_FRA</t>
  </si>
  <si>
    <t>H2prd_Elc_ALK_w81638061-220_FRA</t>
  </si>
  <si>
    <t>H2prd_Elc_ALK_w222188543-400_FRA</t>
  </si>
  <si>
    <t>H2prd_Elc_ALK_w312728271_FRA</t>
  </si>
  <si>
    <t>H2prd_Elc_ALK_FR186-225_FRA</t>
  </si>
  <si>
    <t>H2prd_Elc_ALK_w753113423_FRA</t>
  </si>
  <si>
    <t>H2prd_Elc_ALK_w85710783-400_FRA</t>
  </si>
  <si>
    <t>H2prd_Elc_ALK_w83726363-225_FRA</t>
  </si>
  <si>
    <t>H2prd_Elc_ALK_w1271288346_FRA</t>
  </si>
  <si>
    <t>~tfm_topins</t>
  </si>
  <si>
    <t>io</t>
  </si>
  <si>
    <t>e_w82741307-225_FRA</t>
  </si>
  <si>
    <t>IN</t>
  </si>
  <si>
    <t>e_w24020601-400_FRA</t>
  </si>
  <si>
    <t>e_w110086345-400_FRA</t>
  </si>
  <si>
    <t>e_w235370803-400_FRA</t>
  </si>
  <si>
    <t>e_w85605950-400_FRA</t>
  </si>
  <si>
    <t>e_w81638061-220_FRA</t>
  </si>
  <si>
    <t>e_w222188543-400_FRA</t>
  </si>
  <si>
    <t>e_w312728271_FRA</t>
  </si>
  <si>
    <t>e_FR186-225_FRA</t>
  </si>
  <si>
    <t>e_w753113423_FRA</t>
  </si>
  <si>
    <t>e_w85710783-400_FRA</t>
  </si>
  <si>
    <t>e_w83726363-225_FRA</t>
  </si>
  <si>
    <t>e_w1271288346_FRA</t>
  </si>
  <si>
    <t>region</t>
  </si>
  <si>
    <t>en_gas_ccgt_r13260224-225_FRA</t>
  </si>
  <si>
    <t>e_r13260224-225_FRA</t>
  </si>
  <si>
    <t>OUT</t>
  </si>
  <si>
    <t>en_gas_turbine_r13260224-225_FRA</t>
  </si>
  <si>
    <t>en_gas_chp_r13260224-225_FRA</t>
  </si>
  <si>
    <t>en_gas_fuelcell_r13260224-225_FRA</t>
  </si>
  <si>
    <t>en_gas_ccs_r13260224-225_FRA</t>
  </si>
  <si>
    <t>en_coal_subcritical_r13260224-225_FRA</t>
  </si>
  <si>
    <t>en_coal_supercritical_r13260224-225_FRA</t>
  </si>
  <si>
    <t>en_coal_ultrasupercritical_r13260224-225_FRA</t>
  </si>
  <si>
    <t>en_coal_igcc_r13260224-225_FRA</t>
  </si>
  <si>
    <t>en_coal_ccs_r13260224-225_FRA</t>
  </si>
  <si>
    <t>en_coal_igcc_ccs_r13260224-225_FRA</t>
  </si>
  <si>
    <t>en_coal_oxyfuel_ccs_r13260224-225_FRA</t>
  </si>
  <si>
    <t>en_nuclear_r13260224-225_FRA</t>
  </si>
  <si>
    <t>en_nuclear_smr_r13260224-225_FRA</t>
  </si>
  <si>
    <t>en_biomass_r13260224-225_FRA</t>
  </si>
  <si>
    <t>en_biomass_cofiring_r13260224-225_FRA</t>
  </si>
  <si>
    <t>en_biomass_chp_r13260224-225_FRA</t>
  </si>
  <si>
    <t>en_biomass_ccs_r13260224-225_FRA</t>
  </si>
  <si>
    <t>en_geothermal_r13260224-225_FRA</t>
  </si>
  <si>
    <t>en_gas_ccgt_w110086345-400_FRA</t>
  </si>
  <si>
    <t>en_gas_turbine_w110086345-400_FRA</t>
  </si>
  <si>
    <t>en_gas_chp_w110086345-400_FRA</t>
  </si>
  <si>
    <t>en_gas_fuelcell_w110086345-400_FRA</t>
  </si>
  <si>
    <t>en_gas_ccs_w110086345-400_FRA</t>
  </si>
  <si>
    <t>en_coal_subcritical_w110086345-400_FRA</t>
  </si>
  <si>
    <t>en_coal_supercritical_w110086345-400_FRA</t>
  </si>
  <si>
    <t>en_coal_ultrasupercritical_w110086345-400_FRA</t>
  </si>
  <si>
    <t>en_coal_igcc_w110086345-400_FRA</t>
  </si>
  <si>
    <t>en_coal_ccs_w110086345-400_FRA</t>
  </si>
  <si>
    <t>en_coal_igcc_ccs_w110086345-400_FRA</t>
  </si>
  <si>
    <t>en_coal_oxyfuel_ccs_w110086345-400_FRA</t>
  </si>
  <si>
    <t>en_nuclear_w110086345-400_FRA</t>
  </si>
  <si>
    <t>en_nuclear_smr_w110086345-400_FRA</t>
  </si>
  <si>
    <t>en_biomass_w110086345-400_FRA</t>
  </si>
  <si>
    <t>en_biomass_cofiring_w110086345-400_FRA</t>
  </si>
  <si>
    <t>en_biomass_chp_w110086345-400_FRA</t>
  </si>
  <si>
    <t>en_biomass_ccs_w110086345-400_FRA</t>
  </si>
  <si>
    <t>en_geothermal_w110086345-400_FRA</t>
  </si>
  <si>
    <t>en_gas_ccgt_w179260933-400_FRA</t>
  </si>
  <si>
    <t>e_w179260933-400_FRA</t>
  </si>
  <si>
    <t>en_gas_turbine_w179260933-400_FRA</t>
  </si>
  <si>
    <t>en_gas_chp_w179260933-400_FRA</t>
  </si>
  <si>
    <t>en_gas_fuelcell_w179260933-400_FRA</t>
  </si>
  <si>
    <t>en_gas_ccs_w179260933-400_FRA</t>
  </si>
  <si>
    <t>en_coal_subcritical_w179260933-400_FRA</t>
  </si>
  <si>
    <t>en_coal_supercritical_w179260933-400_FRA</t>
  </si>
  <si>
    <t>en_coal_ultrasupercritical_w179260933-400_FRA</t>
  </si>
  <si>
    <t>en_coal_igcc_w179260933-400_FRA</t>
  </si>
  <si>
    <t>en_coal_ccs_w179260933-400_FRA</t>
  </si>
  <si>
    <t>en_coal_igcc_ccs_w179260933-400_FRA</t>
  </si>
  <si>
    <t>en_coal_oxyfuel_ccs_w179260933-400_FRA</t>
  </si>
  <si>
    <t>en_nuclear_w179260933-400_FRA</t>
  </si>
  <si>
    <t>en_nuclear_smr_w179260933-400_FRA</t>
  </si>
  <si>
    <t>en_biomass_w179260933-400_FRA</t>
  </si>
  <si>
    <t>en_biomass_cofiring_w179260933-400_FRA</t>
  </si>
  <si>
    <t>en_biomass_chp_w179260933-400_FRA</t>
  </si>
  <si>
    <t>en_biomass_ccs_w179260933-400_FRA</t>
  </si>
  <si>
    <t>en_geothermal_w179260933-400_FRA</t>
  </si>
  <si>
    <t>en_gas_ccgt_w222188543-400_FRA</t>
  </si>
  <si>
    <t>en_gas_turbine_w222188543-400_FRA</t>
  </si>
  <si>
    <t>en_gas_chp_w222188543-400_FRA</t>
  </si>
  <si>
    <t>en_gas_fuelcell_w222188543-400_FRA</t>
  </si>
  <si>
    <t>en_gas_ccs_w222188543-400_FRA</t>
  </si>
  <si>
    <t>en_coal_subcritical_w222188543-400_FRA</t>
  </si>
  <si>
    <t>en_coal_supercritical_w222188543-400_FRA</t>
  </si>
  <si>
    <t>en_coal_ultrasupercritical_w222188543-400_FRA</t>
  </si>
  <si>
    <t>en_coal_igcc_w222188543-400_FRA</t>
  </si>
  <si>
    <t>en_coal_ccs_w222188543-400_FRA</t>
  </si>
  <si>
    <t>en_coal_igcc_ccs_w222188543-400_FRA</t>
  </si>
  <si>
    <t>en_coal_oxyfuel_ccs_w222188543-400_FRA</t>
  </si>
  <si>
    <t>en_nuclear_w222188543-400_FRA</t>
  </si>
  <si>
    <t>en_nuclear_smr_w222188543-400_FRA</t>
  </si>
  <si>
    <t>en_biomass_w222188543-400_FRA</t>
  </si>
  <si>
    <t>en_biomass_cofiring_w222188543-400_FRA</t>
  </si>
  <si>
    <t>en_biomass_chp_w222188543-400_FRA</t>
  </si>
  <si>
    <t>en_biomass_ccs_w222188543-400_FRA</t>
  </si>
  <si>
    <t>en_geothermal_w222188543-400_FRA</t>
  </si>
  <si>
    <t>en_gas_ccgt_w235370803-400_FRA</t>
  </si>
  <si>
    <t>en_gas_turbine_w235370803-400_FRA</t>
  </si>
  <si>
    <t>en_gas_chp_w235370803-400_FRA</t>
  </si>
  <si>
    <t>en_gas_fuelcell_w235370803-400_FRA</t>
  </si>
  <si>
    <t>en_gas_ccs_w235370803-400_FRA</t>
  </si>
  <si>
    <t>en_coal_subcritical_w235370803-400_FRA</t>
  </si>
  <si>
    <t>en_coal_supercritical_w235370803-400_FRA</t>
  </si>
  <si>
    <t>en_coal_ultrasupercritical_w235370803-400_FRA</t>
  </si>
  <si>
    <t>en_coal_igcc_w235370803-400_FRA</t>
  </si>
  <si>
    <t>en_coal_ccs_w235370803-400_FRA</t>
  </si>
  <si>
    <t>en_coal_igcc_ccs_w235370803-400_FRA</t>
  </si>
  <si>
    <t>en_coal_oxyfuel_ccs_w235370803-400_FRA</t>
  </si>
  <si>
    <t>en_nuclear_w235370803-400_FRA</t>
  </si>
  <si>
    <t>en_nuclear_smr_w235370803-400_FRA</t>
  </si>
  <si>
    <t>en_biomass_w235370803-400_FRA</t>
  </si>
  <si>
    <t>en_biomass_cofiring_w235370803-400_FRA</t>
  </si>
  <si>
    <t>en_biomass_chp_w235370803-400_FRA</t>
  </si>
  <si>
    <t>en_biomass_ccs_w235370803-400_FRA</t>
  </si>
  <si>
    <t>en_geothermal_w235370803-400_FRA</t>
  </si>
  <si>
    <t>en_gas_ccgt_w24020601-400_FRA</t>
  </si>
  <si>
    <t>en_gas_turbine_w24020601-400_FRA</t>
  </si>
  <si>
    <t>en_gas_chp_w24020601-400_FRA</t>
  </si>
  <si>
    <t>en_gas_fuelcell_w24020601-400_FRA</t>
  </si>
  <si>
    <t>en_gas_ccs_w24020601-400_FRA</t>
  </si>
  <si>
    <t>en_coal_subcritical_w24020601-400_FRA</t>
  </si>
  <si>
    <t>en_coal_supercritical_w24020601-400_FRA</t>
  </si>
  <si>
    <t>en_coal_ultrasupercritical_w24020601-400_FRA</t>
  </si>
  <si>
    <t>en_coal_igcc_w24020601-400_FRA</t>
  </si>
  <si>
    <t>en_coal_ccs_w24020601-400_FRA</t>
  </si>
  <si>
    <t>en_coal_igcc_ccs_w24020601-400_FRA</t>
  </si>
  <si>
    <t>en_coal_oxyfuel_ccs_w24020601-400_FRA</t>
  </si>
  <si>
    <t>en_nuclear_w24020601-400_FRA</t>
  </si>
  <si>
    <t>en_nuclear_smr_w24020601-400_FRA</t>
  </si>
  <si>
    <t>en_biomass_w24020601-400_FRA</t>
  </si>
  <si>
    <t>en_biomass_cofiring_w24020601-400_FRA</t>
  </si>
  <si>
    <t>en_biomass_chp_w24020601-400_FRA</t>
  </si>
  <si>
    <t>en_biomass_ccs_w24020601-400_FRA</t>
  </si>
  <si>
    <t>en_geothermal_w24020601-400_FRA</t>
  </si>
  <si>
    <t>en_gas_ccgt_w82741307-225_FRA</t>
  </si>
  <si>
    <t>en_gas_turbine_w82741307-225_FRA</t>
  </si>
  <si>
    <t>en_gas_chp_w82741307-225_FRA</t>
  </si>
  <si>
    <t>en_gas_fuelcell_w82741307-225_FRA</t>
  </si>
  <si>
    <t>en_gas_ccs_w82741307-225_FRA</t>
  </si>
  <si>
    <t>en_coal_subcritical_w82741307-225_FRA</t>
  </si>
  <si>
    <t>en_coal_supercritical_w82741307-225_FRA</t>
  </si>
  <si>
    <t>en_coal_ultrasupercritical_w82741307-225_FRA</t>
  </si>
  <si>
    <t>en_coal_igcc_w82741307-225_FRA</t>
  </si>
  <si>
    <t>en_coal_ccs_w82741307-225_FRA</t>
  </si>
  <si>
    <t>en_coal_igcc_ccs_w82741307-225_FRA</t>
  </si>
  <si>
    <t>en_coal_oxyfuel_ccs_w82741307-225_FRA</t>
  </si>
  <si>
    <t>en_nuclear_w82741307-225_FRA</t>
  </si>
  <si>
    <t>en_nuclear_smr_w82741307-225_FRA</t>
  </si>
  <si>
    <t>en_biomass_w82741307-225_FRA</t>
  </si>
  <si>
    <t>en_biomass_cofiring_w82741307-225_FRA</t>
  </si>
  <si>
    <t>en_biomass_chp_w82741307-225_FRA</t>
  </si>
  <si>
    <t>en_biomass_ccs_w82741307-225_FRA</t>
  </si>
  <si>
    <t>en_geothermal_w82741307-225_FRA</t>
  </si>
  <si>
    <t>en_gas_ccgt_w83726363-225_FRA</t>
  </si>
  <si>
    <t>en_gas_turbine_w83726363-225_FRA</t>
  </si>
  <si>
    <t>en_gas_chp_w83726363-225_FRA</t>
  </si>
  <si>
    <t>en_gas_fuelcell_w83726363-225_FRA</t>
  </si>
  <si>
    <t>en_gas_ccs_w83726363-225_FRA</t>
  </si>
  <si>
    <t>en_coal_subcritical_w83726363-225_FRA</t>
  </si>
  <si>
    <t>en_coal_supercritical_w83726363-225_FRA</t>
  </si>
  <si>
    <t>en_coal_ultrasupercritical_w83726363-225_FRA</t>
  </si>
  <si>
    <t>en_coal_igcc_w83726363-225_FRA</t>
  </si>
  <si>
    <t>en_coal_ccs_w83726363-225_FRA</t>
  </si>
  <si>
    <t>en_coal_igcc_ccs_w83726363-225_FRA</t>
  </si>
  <si>
    <t>en_coal_oxyfuel_ccs_w83726363-225_FRA</t>
  </si>
  <si>
    <t>en_nuclear_w83726363-225_FRA</t>
  </si>
  <si>
    <t>en_nuclear_smr_w83726363-225_FRA</t>
  </si>
  <si>
    <t>en_biomass_w83726363-225_FRA</t>
  </si>
  <si>
    <t>en_biomass_cofiring_w83726363-225_FRA</t>
  </si>
  <si>
    <t>en_biomass_chp_w83726363-225_FRA</t>
  </si>
  <si>
    <t>en_biomass_ccs_w83726363-225_FRA</t>
  </si>
  <si>
    <t>en_geothermal_w83726363-225_FRA</t>
  </si>
  <si>
    <t>en_gas_ccgt_w85710783-400_FRA</t>
  </si>
  <si>
    <t>en_gas_turbine_w85710783-400_FRA</t>
  </si>
  <si>
    <t>en_gas_chp_w85710783-400_FRA</t>
  </si>
  <si>
    <t>en_gas_fuelcell_w85710783-400_FRA</t>
  </si>
  <si>
    <t>en_gas_ccs_w85710783-400_FRA</t>
  </si>
  <si>
    <t>en_coal_subcritical_w85710783-400_FRA</t>
  </si>
  <si>
    <t>en_coal_supercritical_w85710783-400_FRA</t>
  </si>
  <si>
    <t>en_coal_ultrasupercritical_w85710783-400_FRA</t>
  </si>
  <si>
    <t>en_coal_igcc_w85710783-400_FRA</t>
  </si>
  <si>
    <t>en_coal_ccs_w85710783-400_FRA</t>
  </si>
  <si>
    <t>en_coal_igcc_ccs_w85710783-400_FRA</t>
  </si>
  <si>
    <t>en_coal_oxyfuel_ccs_w85710783-400_FRA</t>
  </si>
  <si>
    <t>en_nuclear_w85710783-400_FRA</t>
  </si>
  <si>
    <t>en_nuclear_smr_w85710783-400_FRA</t>
  </si>
  <si>
    <t>en_biomass_w85710783-400_FRA</t>
  </si>
  <si>
    <t>en_biomass_cofiring_w85710783-400_FRA</t>
  </si>
  <si>
    <t>en_biomass_chp_w85710783-400_FRA</t>
  </si>
  <si>
    <t>en_biomass_ccs_w85710783-400_FRA</t>
  </si>
  <si>
    <t>en_geothermal_w85710783-400_FRA</t>
  </si>
  <si>
    <t>en_gas_ccgt_FR186-225_FRA</t>
  </si>
  <si>
    <t>en_gas_turbine_FR186-225_FRA</t>
  </si>
  <si>
    <t>en_gas_chp_FR186-225_FRA</t>
  </si>
  <si>
    <t>en_gas_fuelcell_FR186-225_FRA</t>
  </si>
  <si>
    <t>en_gas_ccs_FR186-225_FRA</t>
  </si>
  <si>
    <t>en_coal_subcritical_FR186-225_FRA</t>
  </si>
  <si>
    <t>en_coal_supercritical_FR186-225_FRA</t>
  </si>
  <si>
    <t>en_coal_ultrasupercritical_FR186-225_FRA</t>
  </si>
  <si>
    <t>en_coal_igcc_FR186-225_FRA</t>
  </si>
  <si>
    <t>en_coal_ccs_FR186-225_FRA</t>
  </si>
  <si>
    <t>en_coal_igcc_ccs_FR186-225_FRA</t>
  </si>
  <si>
    <t>en_coal_oxyfuel_ccs_FR186-225_FRA</t>
  </si>
  <si>
    <t>en_nuclear_FR186-225_FRA</t>
  </si>
  <si>
    <t>en_nuclear_smr_FR186-225_FRA</t>
  </si>
  <si>
    <t>en_biomass_FR186-225_FRA</t>
  </si>
  <si>
    <t>en_biomass_cofiring_FR186-225_FRA</t>
  </si>
  <si>
    <t>en_biomass_chp_FR186-225_FRA</t>
  </si>
  <si>
    <t>en_biomass_ccs_FR186-225_FRA</t>
  </si>
  <si>
    <t>en_geothermal_FR186-225_FRA</t>
  </si>
  <si>
    <t>en_gas_ccgt_w111558550-400_FRA</t>
  </si>
  <si>
    <t>e_w111558550-400_FRA</t>
  </si>
  <si>
    <t>en_gas_turbine_w111558550-400_FRA</t>
  </si>
  <si>
    <t>en_gas_chp_w111558550-400_FRA</t>
  </si>
  <si>
    <t>en_gas_fuelcell_w111558550-400_FRA</t>
  </si>
  <si>
    <t>en_gas_ccs_w111558550-400_FRA</t>
  </si>
  <si>
    <t>en_coal_subcritical_w111558550-400_FRA</t>
  </si>
  <si>
    <t>en_coal_supercritical_w111558550-400_FRA</t>
  </si>
  <si>
    <t>en_coal_ultrasupercritical_w111558550-400_FRA</t>
  </si>
  <si>
    <t>en_coal_igcc_w111558550-400_FRA</t>
  </si>
  <si>
    <t>en_coal_ccs_w111558550-400_FRA</t>
  </si>
  <si>
    <t>en_coal_igcc_ccs_w111558550-400_FRA</t>
  </si>
  <si>
    <t>en_coal_oxyfuel_ccs_w111558550-400_FRA</t>
  </si>
  <si>
    <t>en_nuclear_w111558550-400_FRA</t>
  </si>
  <si>
    <t>en_nuclear_smr_w111558550-400_FRA</t>
  </si>
  <si>
    <t>en_biomass_w111558550-400_FRA</t>
  </si>
  <si>
    <t>en_biomass_cofiring_w111558550-400_FRA</t>
  </si>
  <si>
    <t>en_biomass_chp_w111558550-400_FRA</t>
  </si>
  <si>
    <t>en_biomass_ccs_w111558550-400_FRA</t>
  </si>
  <si>
    <t>en_geothermal_w111558550-400_FRA</t>
  </si>
  <si>
    <t>en_gas_ccgt_w1271288346_FRA</t>
  </si>
  <si>
    <t>en_gas_turbine_w1271288346_FRA</t>
  </si>
  <si>
    <t>en_gas_chp_w1271288346_FRA</t>
  </si>
  <si>
    <t>en_gas_fuelcell_w1271288346_FRA</t>
  </si>
  <si>
    <t>en_gas_ccs_w1271288346_FRA</t>
  </si>
  <si>
    <t>en_coal_subcritical_w1271288346_FRA</t>
  </si>
  <si>
    <t>en_coal_supercritical_w1271288346_FRA</t>
  </si>
  <si>
    <t>en_coal_ultrasupercritical_w1271288346_FRA</t>
  </si>
  <si>
    <t>en_coal_igcc_w1271288346_FRA</t>
  </si>
  <si>
    <t>en_coal_ccs_w1271288346_FRA</t>
  </si>
  <si>
    <t>en_coal_igcc_ccs_w1271288346_FRA</t>
  </si>
  <si>
    <t>en_coal_oxyfuel_ccs_w1271288346_FRA</t>
  </si>
  <si>
    <t>en_nuclear_w1271288346_FRA</t>
  </si>
  <si>
    <t>en_nuclear_smr_w1271288346_FRA</t>
  </si>
  <si>
    <t>en_biomass_w1271288346_FRA</t>
  </si>
  <si>
    <t>en_biomass_cofiring_w1271288346_FRA</t>
  </si>
  <si>
    <t>en_biomass_chp_w1271288346_FRA</t>
  </si>
  <si>
    <t>en_biomass_ccs_w1271288346_FRA</t>
  </si>
  <si>
    <t>en_geothermal_w1271288346_FRA</t>
  </si>
  <si>
    <t>en_gas_ccgt_w136594238_FRA</t>
  </si>
  <si>
    <t>e_w136594238_FRA</t>
  </si>
  <si>
    <t>en_gas_turbine_w136594238_FRA</t>
  </si>
  <si>
    <t>en_gas_chp_w136594238_FRA</t>
  </si>
  <si>
    <t>en_gas_fuelcell_w136594238_FRA</t>
  </si>
  <si>
    <t>en_gas_ccs_w136594238_FRA</t>
  </si>
  <si>
    <t>en_coal_subcritical_w136594238_FRA</t>
  </si>
  <si>
    <t>en_coal_supercritical_w136594238_FRA</t>
  </si>
  <si>
    <t>en_coal_ultrasupercritical_w136594238_FRA</t>
  </si>
  <si>
    <t>en_coal_igcc_w136594238_FRA</t>
  </si>
  <si>
    <t>en_coal_ccs_w136594238_FRA</t>
  </si>
  <si>
    <t>en_coal_igcc_ccs_w136594238_FRA</t>
  </si>
  <si>
    <t>en_coal_oxyfuel_ccs_w136594238_FRA</t>
  </si>
  <si>
    <t>en_nuclear_w136594238_FRA</t>
  </si>
  <si>
    <t>en_nuclear_smr_w136594238_FRA</t>
  </si>
  <si>
    <t>en_biomass_w136594238_FRA</t>
  </si>
  <si>
    <t>en_biomass_cofiring_w136594238_FRA</t>
  </si>
  <si>
    <t>en_biomass_chp_w136594238_FRA</t>
  </si>
  <si>
    <t>en_biomass_ccs_w136594238_FRA</t>
  </si>
  <si>
    <t>en_geothermal_w136594238_FRA</t>
  </si>
  <si>
    <t>en_gas_ccgt_w146402374-225_FRA</t>
  </si>
  <si>
    <t>e_w146402374-225_FRA</t>
  </si>
  <si>
    <t>en_gas_turbine_w146402374-225_FRA</t>
  </si>
  <si>
    <t>en_gas_chp_w146402374-225_FRA</t>
  </si>
  <si>
    <t>en_gas_fuelcell_w146402374-225_FRA</t>
  </si>
  <si>
    <t>en_gas_ccs_w146402374-225_FRA</t>
  </si>
  <si>
    <t>en_coal_subcritical_w146402374-225_FRA</t>
  </si>
  <si>
    <t>en_coal_supercritical_w146402374-225_FRA</t>
  </si>
  <si>
    <t>en_coal_ultrasupercritical_w146402374-225_FRA</t>
  </si>
  <si>
    <t>en_coal_igcc_w146402374-225_FRA</t>
  </si>
  <si>
    <t>en_coal_ccs_w146402374-225_FRA</t>
  </si>
  <si>
    <t>en_coal_igcc_ccs_w146402374-225_FRA</t>
  </si>
  <si>
    <t>en_coal_oxyfuel_ccs_w146402374-225_FRA</t>
  </si>
  <si>
    <t>en_nuclear_w146402374-225_FRA</t>
  </si>
  <si>
    <t>en_nuclear_smr_w146402374-225_FRA</t>
  </si>
  <si>
    <t>en_biomass_w146402374-225_FRA</t>
  </si>
  <si>
    <t>en_biomass_cofiring_w146402374-225_FRA</t>
  </si>
  <si>
    <t>en_biomass_chp_w146402374-225_FRA</t>
  </si>
  <si>
    <t>en_biomass_ccs_w146402374-225_FRA</t>
  </si>
  <si>
    <t>en_geothermal_w146402374-225_FRA</t>
  </si>
  <si>
    <t>en_gas_ccgt_w146449309-400_FRA</t>
  </si>
  <si>
    <t>e_w146449309-400_FRA</t>
  </si>
  <si>
    <t>en_gas_turbine_w146449309-400_FRA</t>
  </si>
  <si>
    <t>en_gas_chp_w146449309-400_FRA</t>
  </si>
  <si>
    <t>en_gas_fuelcell_w146449309-400_FRA</t>
  </si>
  <si>
    <t>en_gas_ccs_w146449309-400_FRA</t>
  </si>
  <si>
    <t>en_coal_subcritical_w146449309-400_FRA</t>
  </si>
  <si>
    <t>en_coal_supercritical_w146449309-400_FRA</t>
  </si>
  <si>
    <t>en_coal_ultrasupercritical_w146449309-400_FRA</t>
  </si>
  <si>
    <t>en_coal_igcc_w146449309-400_FRA</t>
  </si>
  <si>
    <t>en_coal_ccs_w146449309-400_FRA</t>
  </si>
  <si>
    <t>en_coal_igcc_ccs_w146449309-400_FRA</t>
  </si>
  <si>
    <t>en_coal_oxyfuel_ccs_w146449309-400_FRA</t>
  </si>
  <si>
    <t>en_nuclear_w146449309-400_FRA</t>
  </si>
  <si>
    <t>en_nuclear_smr_w146449309-400_FRA</t>
  </si>
  <si>
    <t>en_biomass_w146449309-400_FRA</t>
  </si>
  <si>
    <t>en_biomass_cofiring_w146449309-400_FRA</t>
  </si>
  <si>
    <t>en_biomass_chp_w146449309-400_FRA</t>
  </si>
  <si>
    <t>en_biomass_ccs_w146449309-400_FRA</t>
  </si>
  <si>
    <t>en_geothermal_w146449309-400_FRA</t>
  </si>
  <si>
    <t>en_gas_ccgt_w207479669-225_FRA</t>
  </si>
  <si>
    <t>e_w207479669-225_FRA</t>
  </si>
  <si>
    <t>en_gas_turbine_w207479669-225_FRA</t>
  </si>
  <si>
    <t>en_gas_chp_w207479669-225_FRA</t>
  </si>
  <si>
    <t>en_gas_fuelcell_w207479669-225_FRA</t>
  </si>
  <si>
    <t>en_gas_ccs_w207479669-225_FRA</t>
  </si>
  <si>
    <t>en_coal_subcritical_w207479669-225_FRA</t>
  </si>
  <si>
    <t>en_coal_supercritical_w207479669-225_FRA</t>
  </si>
  <si>
    <t>en_coal_ultrasupercritical_w207479669-225_FRA</t>
  </si>
  <si>
    <t>en_coal_igcc_w207479669-225_FRA</t>
  </si>
  <si>
    <t>en_coal_ccs_w207479669-225_FRA</t>
  </si>
  <si>
    <t>en_coal_igcc_ccs_w207479669-225_FRA</t>
  </si>
  <si>
    <t>en_coal_oxyfuel_ccs_w207479669-225_FRA</t>
  </si>
  <si>
    <t>en_nuclear_w207479669-225_FRA</t>
  </si>
  <si>
    <t>en_nuclear_smr_w207479669-225_FRA</t>
  </si>
  <si>
    <t>en_biomass_w207479669-225_FRA</t>
  </si>
  <si>
    <t>en_biomass_cofiring_w207479669-225_FRA</t>
  </si>
  <si>
    <t>en_biomass_chp_w207479669-225_FRA</t>
  </si>
  <si>
    <t>en_biomass_ccs_w207479669-225_FRA</t>
  </si>
  <si>
    <t>en_geothermal_w207479669-225_FRA</t>
  </si>
  <si>
    <t>en_gas_ccgt_w225210595-225_FRA</t>
  </si>
  <si>
    <t>e_w225210595-225_FRA</t>
  </si>
  <si>
    <t>en_gas_turbine_w225210595-225_FRA</t>
  </si>
  <si>
    <t>en_gas_chp_w225210595-225_FRA</t>
  </si>
  <si>
    <t>en_gas_fuelcell_w225210595-225_FRA</t>
  </si>
  <si>
    <t>en_gas_ccs_w225210595-225_FRA</t>
  </si>
  <si>
    <t>en_coal_subcritical_w225210595-225_FRA</t>
  </si>
  <si>
    <t>en_coal_supercritical_w225210595-225_FRA</t>
  </si>
  <si>
    <t>en_coal_ultrasupercritical_w225210595-225_FRA</t>
  </si>
  <si>
    <t>en_coal_igcc_w225210595-225_FRA</t>
  </si>
  <si>
    <t>en_coal_ccs_w225210595-225_FRA</t>
  </si>
  <si>
    <t>en_coal_igcc_ccs_w225210595-225_FRA</t>
  </si>
  <si>
    <t>en_coal_oxyfuel_ccs_w225210595-225_FRA</t>
  </si>
  <si>
    <t>en_nuclear_w225210595-225_FRA</t>
  </si>
  <si>
    <t>en_nuclear_smr_w225210595-225_FRA</t>
  </si>
  <si>
    <t>en_biomass_w225210595-225_FRA</t>
  </si>
  <si>
    <t>en_biomass_cofiring_w225210595-225_FRA</t>
  </si>
  <si>
    <t>en_biomass_chp_w225210595-225_FRA</t>
  </si>
  <si>
    <t>en_biomass_ccs_w225210595-225_FRA</t>
  </si>
  <si>
    <t>en_geothermal_w225210595-225_FRA</t>
  </si>
  <si>
    <t>en_gas_ccgt_w312728271_FRA</t>
  </si>
  <si>
    <t>en_gas_turbine_w312728271_FRA</t>
  </si>
  <si>
    <t>en_gas_chp_w312728271_FRA</t>
  </si>
  <si>
    <t>en_gas_fuelcell_w312728271_FRA</t>
  </si>
  <si>
    <t>en_gas_ccs_w312728271_FRA</t>
  </si>
  <si>
    <t>en_coal_subcritical_w312728271_FRA</t>
  </si>
  <si>
    <t>en_coal_supercritical_w312728271_FRA</t>
  </si>
  <si>
    <t>en_coal_ultrasupercritical_w312728271_FRA</t>
  </si>
  <si>
    <t>en_coal_igcc_w312728271_FRA</t>
  </si>
  <si>
    <t>en_coal_ccs_w312728271_FRA</t>
  </si>
  <si>
    <t>en_coal_igcc_ccs_w312728271_FRA</t>
  </si>
  <si>
    <t>en_coal_oxyfuel_ccs_w312728271_FRA</t>
  </si>
  <si>
    <t>en_nuclear_w312728271_FRA</t>
  </si>
  <si>
    <t>en_nuclear_smr_w312728271_FRA</t>
  </si>
  <si>
    <t>en_biomass_w312728271_FRA</t>
  </si>
  <si>
    <t>en_biomass_cofiring_w312728271_FRA</t>
  </si>
  <si>
    <t>en_biomass_chp_w312728271_FRA</t>
  </si>
  <si>
    <t>en_biomass_ccs_w312728271_FRA</t>
  </si>
  <si>
    <t>en_geothermal_w312728271_FRA</t>
  </si>
  <si>
    <t>en_gas_ccgt_w39389229-400_FRA</t>
  </si>
  <si>
    <t>e_w39389229-400_FRA</t>
  </si>
  <si>
    <t>en_gas_turbine_w39389229-400_FRA</t>
  </si>
  <si>
    <t>en_gas_chp_w39389229-400_FRA</t>
  </si>
  <si>
    <t>en_gas_fuelcell_w39389229-400_FRA</t>
  </si>
  <si>
    <t>en_gas_ccs_w39389229-400_FRA</t>
  </si>
  <si>
    <t>en_coal_subcritical_w39389229-400_FRA</t>
  </si>
  <si>
    <t>en_coal_supercritical_w39389229-400_FRA</t>
  </si>
  <si>
    <t>en_coal_ultrasupercritical_w39389229-400_FRA</t>
  </si>
  <si>
    <t>en_coal_igcc_w39389229-400_FRA</t>
  </si>
  <si>
    <t>en_coal_ccs_w39389229-400_FRA</t>
  </si>
  <si>
    <t>en_coal_igcc_ccs_w39389229-400_FRA</t>
  </si>
  <si>
    <t>en_coal_oxyfuel_ccs_w39389229-400_FRA</t>
  </si>
  <si>
    <t>en_nuclear_w39389229-400_FRA</t>
  </si>
  <si>
    <t>en_nuclear_smr_w39389229-400_FRA</t>
  </si>
  <si>
    <t>en_biomass_w39389229-400_FRA</t>
  </si>
  <si>
    <t>en_biomass_cofiring_w39389229-400_FRA</t>
  </si>
  <si>
    <t>en_biomass_chp_w39389229-400_FRA</t>
  </si>
  <si>
    <t>en_biomass_ccs_w39389229-400_FRA</t>
  </si>
  <si>
    <t>en_geothermal_w39389229-400_FRA</t>
  </si>
  <si>
    <t>en_gas_ccgt_w753113423_FRA</t>
  </si>
  <si>
    <t>en_gas_turbine_w753113423_FRA</t>
  </si>
  <si>
    <t>en_gas_chp_w753113423_FRA</t>
  </si>
  <si>
    <t>en_gas_fuelcell_w753113423_FRA</t>
  </si>
  <si>
    <t>en_gas_ccs_w753113423_FRA</t>
  </si>
  <si>
    <t>en_coal_subcritical_w753113423_FRA</t>
  </si>
  <si>
    <t>en_coal_supercritical_w753113423_FRA</t>
  </si>
  <si>
    <t>en_coal_ultrasupercritical_w753113423_FRA</t>
  </si>
  <si>
    <t>en_coal_igcc_w753113423_FRA</t>
  </si>
  <si>
    <t>en_coal_ccs_w753113423_FRA</t>
  </si>
  <si>
    <t>en_coal_igcc_ccs_w753113423_FRA</t>
  </si>
  <si>
    <t>en_coal_oxyfuel_ccs_w753113423_FRA</t>
  </si>
  <si>
    <t>en_nuclear_w753113423_FRA</t>
  </si>
  <si>
    <t>en_nuclear_smr_w753113423_FRA</t>
  </si>
  <si>
    <t>en_biomass_w753113423_FRA</t>
  </si>
  <si>
    <t>en_biomass_cofiring_w753113423_FRA</t>
  </si>
  <si>
    <t>en_biomass_chp_w753113423_FRA</t>
  </si>
  <si>
    <t>en_biomass_ccs_w753113423_FRA</t>
  </si>
  <si>
    <t>en_geothermal_w753113423_FRA</t>
  </si>
  <si>
    <t>en_gas_ccgt_w775577827_FRA</t>
  </si>
  <si>
    <t>e_w775577827_FRA</t>
  </si>
  <si>
    <t>en_gas_turbine_w775577827_FRA</t>
  </si>
  <si>
    <t>en_gas_chp_w775577827_FRA</t>
  </si>
  <si>
    <t>en_gas_fuelcell_w775577827_FRA</t>
  </si>
  <si>
    <t>en_gas_ccs_w775577827_FRA</t>
  </si>
  <si>
    <t>en_coal_subcritical_w775577827_FRA</t>
  </si>
  <si>
    <t>en_coal_supercritical_w775577827_FRA</t>
  </si>
  <si>
    <t>en_coal_ultrasupercritical_w775577827_FRA</t>
  </si>
  <si>
    <t>en_coal_igcc_w775577827_FRA</t>
  </si>
  <si>
    <t>en_coal_ccs_w775577827_FRA</t>
  </si>
  <si>
    <t>en_coal_igcc_ccs_w775577827_FRA</t>
  </si>
  <si>
    <t>en_coal_oxyfuel_ccs_w775577827_FRA</t>
  </si>
  <si>
    <t>en_nuclear_w775577827_FRA</t>
  </si>
  <si>
    <t>en_nuclear_smr_w775577827_FRA</t>
  </si>
  <si>
    <t>en_biomass_w775577827_FRA</t>
  </si>
  <si>
    <t>en_biomass_cofiring_w775577827_FRA</t>
  </si>
  <si>
    <t>en_biomass_chp_w775577827_FRA</t>
  </si>
  <si>
    <t>en_biomass_ccs_w775577827_FRA</t>
  </si>
  <si>
    <t>en_geothermal_w775577827_FRA</t>
  </si>
  <si>
    <t>en_gas_ccgt_w81638061-220_FRA</t>
  </si>
  <si>
    <t>en_gas_turbine_w81638061-220_FRA</t>
  </si>
  <si>
    <t>en_gas_chp_w81638061-220_FRA</t>
  </si>
  <si>
    <t>en_gas_fuelcell_w81638061-220_FRA</t>
  </si>
  <si>
    <t>en_gas_ccs_w81638061-220_FRA</t>
  </si>
  <si>
    <t>en_coal_subcritical_w81638061-220_FRA</t>
  </si>
  <si>
    <t>en_coal_supercritical_w81638061-220_FRA</t>
  </si>
  <si>
    <t>en_coal_ultrasupercritical_w81638061-220_FRA</t>
  </si>
  <si>
    <t>en_coal_igcc_w81638061-220_FRA</t>
  </si>
  <si>
    <t>en_coal_ccs_w81638061-220_FRA</t>
  </si>
  <si>
    <t>en_coal_igcc_ccs_w81638061-220_FRA</t>
  </si>
  <si>
    <t>en_coal_oxyfuel_ccs_w81638061-220_FRA</t>
  </si>
  <si>
    <t>en_nuclear_w81638061-220_FRA</t>
  </si>
  <si>
    <t>en_nuclear_smr_w81638061-220_FRA</t>
  </si>
  <si>
    <t>en_biomass_w81638061-220_FRA</t>
  </si>
  <si>
    <t>en_biomass_cofiring_w81638061-220_FRA</t>
  </si>
  <si>
    <t>en_biomass_chp_w81638061-220_FRA</t>
  </si>
  <si>
    <t>en_biomass_ccs_w81638061-220_FRA</t>
  </si>
  <si>
    <t>en_geothermal_w81638061-220_FRA</t>
  </si>
  <si>
    <t>en_gas_ccgt_w82825438-400_FRA</t>
  </si>
  <si>
    <t>e_w82825438-400_FRA</t>
  </si>
  <si>
    <t>en_gas_turbine_w82825438-400_FRA</t>
  </si>
  <si>
    <t>en_gas_chp_w82825438-400_FRA</t>
  </si>
  <si>
    <t>en_gas_fuelcell_w82825438-400_FRA</t>
  </si>
  <si>
    <t>en_gas_ccs_w82825438-400_FRA</t>
  </si>
  <si>
    <t>en_coal_subcritical_w82825438-400_FRA</t>
  </si>
  <si>
    <t>en_coal_supercritical_w82825438-400_FRA</t>
  </si>
  <si>
    <t>en_coal_ultrasupercritical_w82825438-400_FRA</t>
  </si>
  <si>
    <t>en_coal_igcc_w82825438-400_FRA</t>
  </si>
  <si>
    <t>en_coal_ccs_w82825438-400_FRA</t>
  </si>
  <si>
    <t>en_coal_igcc_ccs_w82825438-400_FRA</t>
  </si>
  <si>
    <t>en_coal_oxyfuel_ccs_w82825438-400_FRA</t>
  </si>
  <si>
    <t>en_nuclear_w82825438-400_FRA</t>
  </si>
  <si>
    <t>en_nuclear_smr_w82825438-400_FRA</t>
  </si>
  <si>
    <t>en_biomass_w82825438-400_FRA</t>
  </si>
  <si>
    <t>en_biomass_cofiring_w82825438-400_FRA</t>
  </si>
  <si>
    <t>en_biomass_chp_w82825438-400_FRA</t>
  </si>
  <si>
    <t>en_biomass_ccs_w82825438-400_FRA</t>
  </si>
  <si>
    <t>en_geothermal_w82825438-400_FRA</t>
  </si>
  <si>
    <t>en_gas_ccgt_w83293593-225_FRA</t>
  </si>
  <si>
    <t>e_w83293593-225_FRA</t>
  </si>
  <si>
    <t>en_gas_turbine_w83293593-225_FRA</t>
  </si>
  <si>
    <t>en_gas_chp_w83293593-225_FRA</t>
  </si>
  <si>
    <t>en_gas_fuelcell_w83293593-225_FRA</t>
  </si>
  <si>
    <t>en_gas_ccs_w83293593-225_FRA</t>
  </si>
  <si>
    <t>en_coal_subcritical_w83293593-225_FRA</t>
  </si>
  <si>
    <t>en_coal_supercritical_w83293593-225_FRA</t>
  </si>
  <si>
    <t>en_coal_ultrasupercritical_w83293593-225_FRA</t>
  </si>
  <si>
    <t>en_coal_igcc_w83293593-225_FRA</t>
  </si>
  <si>
    <t>en_coal_ccs_w83293593-225_FRA</t>
  </si>
  <si>
    <t>en_coal_igcc_ccs_w83293593-225_FRA</t>
  </si>
  <si>
    <t>en_coal_oxyfuel_ccs_w83293593-225_FRA</t>
  </si>
  <si>
    <t>en_nuclear_w83293593-225_FRA</t>
  </si>
  <si>
    <t>en_nuclear_smr_w83293593-225_FRA</t>
  </si>
  <si>
    <t>en_biomass_w83293593-225_FRA</t>
  </si>
  <si>
    <t>en_biomass_cofiring_w83293593-225_FRA</t>
  </si>
  <si>
    <t>en_biomass_chp_w83293593-225_FRA</t>
  </si>
  <si>
    <t>en_biomass_ccs_w83293593-225_FRA</t>
  </si>
  <si>
    <t>en_geothermal_w83293593-225_FRA</t>
  </si>
  <si>
    <t>en_gas_ccgt_w85605950-400_FRA</t>
  </si>
  <si>
    <t>en_gas_turbine_w85605950-400_FRA</t>
  </si>
  <si>
    <t>en_gas_chp_w85605950-400_FRA</t>
  </si>
  <si>
    <t>en_gas_fuelcell_w85605950-400_FRA</t>
  </si>
  <si>
    <t>en_gas_ccs_w85605950-400_FRA</t>
  </si>
  <si>
    <t>en_coal_subcritical_w85605950-400_FRA</t>
  </si>
  <si>
    <t>en_coal_supercritical_w85605950-400_FRA</t>
  </si>
  <si>
    <t>en_coal_ultrasupercritical_w85605950-400_FRA</t>
  </si>
  <si>
    <t>en_coal_igcc_w85605950-400_FRA</t>
  </si>
  <si>
    <t>en_coal_ccs_w85605950-400_FRA</t>
  </si>
  <si>
    <t>en_coal_igcc_ccs_w85605950-400_FRA</t>
  </si>
  <si>
    <t>en_coal_oxyfuel_ccs_w85605950-400_FRA</t>
  </si>
  <si>
    <t>en_nuclear_w85605950-400_FRA</t>
  </si>
  <si>
    <t>en_nuclear_smr_w85605950-400_FRA</t>
  </si>
  <si>
    <t>en_biomass_w85605950-400_FRA</t>
  </si>
  <si>
    <t>en_biomass_cofiring_w85605950-400_FRA</t>
  </si>
  <si>
    <t>en_biomass_chp_w85605950-400_FRA</t>
  </si>
  <si>
    <t>en_biomass_ccs_w85605950-400_FRA</t>
  </si>
  <si>
    <t>en_geothermal_w85605950-400_FRA</t>
  </si>
  <si>
    <t>EN_STG8hbNREL_r13260224-225_FRA</t>
  </si>
  <si>
    <t>EN_STG4hbNREL_r13260224-225_FRA</t>
  </si>
  <si>
    <t>EN_STG8hbNREL_w110086345-400_FRA</t>
  </si>
  <si>
    <t>EN_STG4hbNREL_w110086345-400_FRA</t>
  </si>
  <si>
    <t>EN_STG8hbNREL_w179260933-400_FRA</t>
  </si>
  <si>
    <t>EN_STG4hbNREL_w179260933-400_FRA</t>
  </si>
  <si>
    <t>EN_STG8hbNREL_w222188543-400_FRA</t>
  </si>
  <si>
    <t>EN_STG4hbNREL_w222188543-400_FRA</t>
  </si>
  <si>
    <t>EN_STG8hbNREL_w235370803-400_FRA</t>
  </si>
  <si>
    <t>EN_STG4hbNREL_w235370803-400_FRA</t>
  </si>
  <si>
    <t>EN_STG8hbNREL_w24020601-400_FRA</t>
  </si>
  <si>
    <t>EN_STG4hbNREL_w24020601-400_FRA</t>
  </si>
  <si>
    <t>EN_STG8hbNREL_w82741307-225_FRA</t>
  </si>
  <si>
    <t>EN_STG4hbNREL_w82741307-225_FRA</t>
  </si>
  <si>
    <t>EN_STG8hbNREL_w83726363-225_FRA</t>
  </si>
  <si>
    <t>EN_STG4hbNREL_w83726363-225_FRA</t>
  </si>
  <si>
    <t>EN_STG8hbNREL_w85710783-400_FRA</t>
  </si>
  <si>
    <t>EN_STG4hbNREL_w85710783-400_FRA</t>
  </si>
  <si>
    <t>EN_STG8hbNREL_FR186-225_FRA</t>
  </si>
  <si>
    <t>EN_STG4hbNREL_FR186-225_FRA</t>
  </si>
  <si>
    <t>EN_STG8hbNREL_w111558550-400_FRA</t>
  </si>
  <si>
    <t>EN_STG4hbNREL_w111558550-400_FRA</t>
  </si>
  <si>
    <t>EN_STG8hbNREL_w1271288346_FRA</t>
  </si>
  <si>
    <t>EN_STG4hbNREL_w1271288346_FRA</t>
  </si>
  <si>
    <t>EN_STG8hbNREL_w136594238_FRA</t>
  </si>
  <si>
    <t>EN_STG4hbNREL_w136594238_FRA</t>
  </si>
  <si>
    <t>EN_STG8hbNREL_w146402374-225_FRA</t>
  </si>
  <si>
    <t>EN_STG4hbNREL_w146402374-225_FRA</t>
  </si>
  <si>
    <t>EN_STG8hbNREL_w146449309-400_FRA</t>
  </si>
  <si>
    <t>EN_STG4hbNREL_w146449309-400_FRA</t>
  </si>
  <si>
    <t>EN_STG8hbNREL_w207479669-225_FRA</t>
  </si>
  <si>
    <t>EN_STG4hbNREL_w207479669-225_FRA</t>
  </si>
  <si>
    <t>EN_STG8hbNREL_w225210595-225_FRA</t>
  </si>
  <si>
    <t>EN_STG4hbNREL_w225210595-225_FRA</t>
  </si>
  <si>
    <t>EN_STG8hbNREL_w312728271_FRA</t>
  </si>
  <si>
    <t>EN_STG4hbNREL_w312728271_FRA</t>
  </si>
  <si>
    <t>EN_STG8hbNREL_w39389229-400_FRA</t>
  </si>
  <si>
    <t>EN_STG4hbNREL_w39389229-400_FRA</t>
  </si>
  <si>
    <t>EN_STG8hbNREL_w753113423_FRA</t>
  </si>
  <si>
    <t>EN_STG4hbNREL_w753113423_FRA</t>
  </si>
  <si>
    <t>EN_STG8hbNREL_w775577827_FRA</t>
  </si>
  <si>
    <t>EN_STG4hbNREL_w775577827_FRA</t>
  </si>
  <si>
    <t>EN_STG8hbNREL_w81638061-220_FRA</t>
  </si>
  <si>
    <t>EN_STG4hbNREL_w81638061-220_FRA</t>
  </si>
  <si>
    <t>EN_STG8hbNREL_w82825438-400_FRA</t>
  </si>
  <si>
    <t>EN_STG4hbNREL_w82825438-400_FRA</t>
  </si>
  <si>
    <t>EN_STG8hbNREL_w83293593-225_FRA</t>
  </si>
  <si>
    <t>EN_STG4hbNREL_w83293593-225_FRA</t>
  </si>
  <si>
    <t>EN_STG8hbNREL_w85605950-400_FRA</t>
  </si>
  <si>
    <t>EN_STG4hbNREL_w85605950-400_FRA</t>
  </si>
  <si>
    <t>ELC</t>
  </si>
  <si>
    <t>limtype</t>
  </si>
  <si>
    <t>UP</t>
  </si>
  <si>
    <t>flo_bnd</t>
  </si>
  <si>
    <t>stgout_bnd</t>
  </si>
  <si>
    <t>year</t>
  </si>
  <si>
    <t>pset_set</t>
  </si>
  <si>
    <t>ELE,DMD,PRE</t>
  </si>
  <si>
    <t>STG</t>
  </si>
  <si>
    <t>~UC_Sets: R_S: Allregions</t>
  </si>
  <si>
    <t>~UC_T</t>
  </si>
  <si>
    <t>uc_cap</t>
  </si>
  <si>
    <t>uc_rhst~0</t>
  </si>
  <si>
    <t>ELE</t>
  </si>
  <si>
    <t>UCE_elcagg_spv_FRA_001</t>
  </si>
  <si>
    <t>elc_spv_FRA_001</t>
  </si>
  <si>
    <t>UCE_elcagg_spv_FRA_002</t>
  </si>
  <si>
    <t>elc_spv_FRA_002</t>
  </si>
  <si>
    <t>UCE_elcagg_spv_FRA_003</t>
  </si>
  <si>
    <t>elc_spv_FRA_003</t>
  </si>
  <si>
    <t>UCE_elcagg_spv_FRA_004</t>
  </si>
  <si>
    <t>elc_spv_FRA_004</t>
  </si>
  <si>
    <t>UCE_elcagg_spv_FRA_005</t>
  </si>
  <si>
    <t>elc_spv_FRA_005</t>
  </si>
  <si>
    <t>UCE_elcagg_spv_FRA_006</t>
  </si>
  <si>
    <t>elc_spv_FRA_006</t>
  </si>
  <si>
    <t>UCE_elcagg_spv_FRA_007</t>
  </si>
  <si>
    <t>elc_spv_FRA_007</t>
  </si>
  <si>
    <t>UCE_elcagg_spv_FRA_008</t>
  </si>
  <si>
    <t>elc_spv_FRA_008</t>
  </si>
  <si>
    <t>UCE_elcagg_spv_FRA_009</t>
  </si>
  <si>
    <t>elc_spv_FRA_009</t>
  </si>
  <si>
    <t>UCE_elcagg_spv_FRA_010</t>
  </si>
  <si>
    <t>elc_spv_FRA_010</t>
  </si>
  <si>
    <t>UCE_elcagg_spv_FRA_011</t>
  </si>
  <si>
    <t>elc_spv_FRA_011</t>
  </si>
  <si>
    <t>UCE_elcagg_spv_FRA_012</t>
  </si>
  <si>
    <t>elc_spv_FRA_012</t>
  </si>
  <si>
    <t>UCE_elcagg_spv_FRA_013</t>
  </si>
  <si>
    <t>elc_spv_FRA_013</t>
  </si>
  <si>
    <t>UCE_elcagg_spv_FRA_014</t>
  </si>
  <si>
    <t>elc_spv_FRA_014</t>
  </si>
  <si>
    <t>UCE_elcagg_spv_FRA_015</t>
  </si>
  <si>
    <t>elc_spv_FRA_015</t>
  </si>
  <si>
    <t>UCE_elcagg_spv_FRA_016</t>
  </si>
  <si>
    <t>elc_spv_FRA_016</t>
  </si>
  <si>
    <t>UCE_elcagg_spv_FRA_017</t>
  </si>
  <si>
    <t>elc_spv_FRA_017</t>
  </si>
  <si>
    <t>UCE_elcagg_spv_FRA_018</t>
  </si>
  <si>
    <t>elc_spv_FRA_018</t>
  </si>
  <si>
    <t>UCE_elcagg_spv_FRA_019</t>
  </si>
  <si>
    <t>elc_spv_FRA_019</t>
  </si>
  <si>
    <t>UCE_elcagg_spv_FRA_020</t>
  </si>
  <si>
    <t>elc_spv_FRA_020</t>
  </si>
  <si>
    <t>UCE_elcagg_spv_FRA_021</t>
  </si>
  <si>
    <t>elc_spv_FRA_021</t>
  </si>
  <si>
    <t>UCE_elcagg_spv_FRA_022</t>
  </si>
  <si>
    <t>elc_spv_FRA_022</t>
  </si>
  <si>
    <t>UCE_elcagg_spv_FRA_023</t>
  </si>
  <si>
    <t>elc_spv_FRA_023</t>
  </si>
  <si>
    <t>UCE_elcagg_spv_FRA_024</t>
  </si>
  <si>
    <t>elc_spv_FRA_024</t>
  </si>
  <si>
    <t>UCE_elcagg_spv_FRA_025</t>
  </si>
  <si>
    <t>elc_spv_FRA_025</t>
  </si>
  <si>
    <t>UCE_elcagg_spv_FRA_026</t>
  </si>
  <si>
    <t>elc_spv_FRA_026</t>
  </si>
  <si>
    <t>UCE_elcagg_spv_FRA_027</t>
  </si>
  <si>
    <t>elc_spv_FRA_027</t>
  </si>
  <si>
    <t>UCE_elcagg_spv_FRA_028</t>
  </si>
  <si>
    <t>elc_spv_FRA_028</t>
  </si>
  <si>
    <t>UCE_elcagg_spv_FRA_029</t>
  </si>
  <si>
    <t>elc_spv_FRA_029</t>
  </si>
  <si>
    <t>UCE_elcagg_spv_FRA_030</t>
  </si>
  <si>
    <t>elc_spv_FRA_030</t>
  </si>
  <si>
    <t>UCE_elcagg_wof_FRA_001</t>
  </si>
  <si>
    <t>elc_wof_FRA_001</t>
  </si>
  <si>
    <t>UCE_elcagg_wof_FRA_002</t>
  </si>
  <si>
    <t>elc_wof_FRA_002</t>
  </si>
  <si>
    <t>UCE_elcagg_wof_FRA_003</t>
  </si>
  <si>
    <t>elc_wof_FRA_003</t>
  </si>
  <si>
    <t>UCE_elcagg_wof_FRA_004</t>
  </si>
  <si>
    <t>elc_wof_FRA_004</t>
  </si>
  <si>
    <t>UCE_elcagg_wof_FRA_005</t>
  </si>
  <si>
    <t>elc_wof_FRA_005</t>
  </si>
  <si>
    <t>UCE_elcagg_wof_FRA_006</t>
  </si>
  <si>
    <t>elc_wof_FRA_006</t>
  </si>
  <si>
    <t>UCE_elcagg_wof_FRA_007</t>
  </si>
  <si>
    <t>elc_wof_FRA_007</t>
  </si>
  <si>
    <t>UCE_elcagg_wof_FRA_008</t>
  </si>
  <si>
    <t>elc_wof_FRA_008</t>
  </si>
  <si>
    <t>UCE_elcagg_wof_FRA_009</t>
  </si>
  <si>
    <t>elc_wof_FRA_009</t>
  </si>
  <si>
    <t>UCE_elcagg_wof_FRA_010</t>
  </si>
  <si>
    <t>elc_wof_FRA_010</t>
  </si>
  <si>
    <t>UCE_elcagg_wof_FRA_011</t>
  </si>
  <si>
    <t>elc_wof_FRA_011</t>
  </si>
  <si>
    <t>UCE_elcagg_wof_FRA_012</t>
  </si>
  <si>
    <t>elc_wof_FRA_012</t>
  </si>
  <si>
    <t>UCE_elcagg_wof_FRA_013</t>
  </si>
  <si>
    <t>elc_wof_FRA_013</t>
  </si>
  <si>
    <t>UCE_elcagg_wof_FRA_014</t>
  </si>
  <si>
    <t>elc_wof_FRA_014</t>
  </si>
  <si>
    <t>UCE_elcagg_wof_FRA_015</t>
  </si>
  <si>
    <t>elc_wof_FRA_015</t>
  </si>
  <si>
    <t>UCE_elcagg_wof_FRA_016</t>
  </si>
  <si>
    <t>elc_wof_FRA_016</t>
  </si>
  <si>
    <t>UCE_elcagg_wof_FRA_017</t>
  </si>
  <si>
    <t>elc_wof_FRA_017</t>
  </si>
  <si>
    <t>UCE_elcagg_won_FRA_001</t>
  </si>
  <si>
    <t>elc_won_FRA_001</t>
  </si>
  <si>
    <t>UCE_elcagg_won_FRA_002</t>
  </si>
  <si>
    <t>elc_won_FRA_002</t>
  </si>
  <si>
    <t>UCE_elcagg_won_FRA_003</t>
  </si>
  <si>
    <t>elc_won_FRA_003</t>
  </si>
  <si>
    <t>UCE_elcagg_won_FRA_004</t>
  </si>
  <si>
    <t>elc_won_FRA_004</t>
  </si>
  <si>
    <t>UCE_elcagg_won_FRA_005</t>
  </si>
  <si>
    <t>elc_won_FRA_005</t>
  </si>
  <si>
    <t>UCE_elcagg_won_FRA_006</t>
  </si>
  <si>
    <t>elc_won_FRA_006</t>
  </si>
  <si>
    <t>UCE_elcagg_won_FRA_007</t>
  </si>
  <si>
    <t>elc_won_FRA_007</t>
  </si>
  <si>
    <t>UCE_elcagg_won_FRA_008</t>
  </si>
  <si>
    <t>elc_won_FRA_008</t>
  </si>
  <si>
    <t>UCE_elcagg_won_FRA_009</t>
  </si>
  <si>
    <t>elc_won_FRA_009</t>
  </si>
  <si>
    <t>UCE_elcagg_won_FRA_010</t>
  </si>
  <si>
    <t>elc_won_FRA_010</t>
  </si>
  <si>
    <t>UCE_elcagg_won_FRA_011</t>
  </si>
  <si>
    <t>elc_won_FRA_011</t>
  </si>
  <si>
    <t>UCE_elcagg_won_FRA_012</t>
  </si>
  <si>
    <t>elc_won_FRA_012</t>
  </si>
  <si>
    <t>UCE_elcagg_won_FRA_013</t>
  </si>
  <si>
    <t>elc_won_FRA_013</t>
  </si>
  <si>
    <t>UCE_elcagg_won_FRA_014</t>
  </si>
  <si>
    <t>elc_won_FRA_014</t>
  </si>
  <si>
    <t>UCE_elcagg_won_FRA_015</t>
  </si>
  <si>
    <t>elc_won_FRA_015</t>
  </si>
  <si>
    <t>UCE_elcagg_won_FRA_016</t>
  </si>
  <si>
    <t>elc_won_FRA_016</t>
  </si>
  <si>
    <t>UCE_elcagg_won_FRA_017</t>
  </si>
  <si>
    <t>elc_won_FRA_017</t>
  </si>
  <si>
    <t>UCE_elcagg_won_FRA_018</t>
  </si>
  <si>
    <t>elc_won_FRA_018</t>
  </si>
  <si>
    <t>UCE_elcagg_won_FRA_019</t>
  </si>
  <si>
    <t>elc_won_FRA_019</t>
  </si>
  <si>
    <t>UCE_elcagg_won_FRA_020</t>
  </si>
  <si>
    <t>elc_won_FRA_020</t>
  </si>
  <si>
    <t>UCE_elcagg_won_FRA_021</t>
  </si>
  <si>
    <t>elc_won_FRA_021</t>
  </si>
  <si>
    <t>UCE_elcagg_won_FRA_022</t>
  </si>
  <si>
    <t>elc_won_FRA_022</t>
  </si>
  <si>
    <t>UCE_elcagg_won_FRA_023</t>
  </si>
  <si>
    <t>elc_won_FRA_023</t>
  </si>
  <si>
    <t>UCE_elcagg_won_FRA_024</t>
  </si>
  <si>
    <t>elc_won_FRA_024</t>
  </si>
  <si>
    <t>UCE_elcagg_won_FRA_025</t>
  </si>
  <si>
    <t>elc_won_FRA_025</t>
  </si>
  <si>
    <t>UCE_elcagg_won_FRA_026</t>
  </si>
  <si>
    <t>elc_won_FRA_026</t>
  </si>
  <si>
    <t>UCE_elcagg_won_FRA_027</t>
  </si>
  <si>
    <t>elc_won_FRA_027</t>
  </si>
  <si>
    <t>UCE_elcagg_won_FRA_028</t>
  </si>
  <si>
    <t>elc_won_FRA_028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</si>
</sst>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B42C-ACD2-4CAA-B54B-A2D65FC0EECF}">
  <dimension ref="B2:AF578"/>
  <sheetViews>
    <sheetView workbookViewId="0"/>
  </sheetViews>
  <sheetFormatPr defaultRowHeight="14.25" x14ac:dyDescent="0.45"/>
  <sheetData>
    <row r="2" spans="2:32" x14ac:dyDescent="0.45">
      <c r="B2" t="s">
        <v>0</v>
      </c>
      <c r="H2" t="s">
        <v>187</v>
      </c>
      <c r="P2" t="s">
        <v>245</v>
      </c>
      <c r="U2" t="s">
        <v>245</v>
      </c>
    </row>
    <row r="3" spans="2:32" x14ac:dyDescent="0.45">
      <c r="B3" t="s">
        <v>3</v>
      </c>
      <c r="C3" t="s">
        <v>140</v>
      </c>
      <c r="D3" t="s">
        <v>141</v>
      </c>
      <c r="E3" t="s">
        <v>142</v>
      </c>
      <c r="H3" t="s">
        <v>3</v>
      </c>
      <c r="I3" t="s">
        <v>188</v>
      </c>
      <c r="J3" t="s">
        <v>189</v>
      </c>
      <c r="K3" t="s">
        <v>190</v>
      </c>
      <c r="L3" t="s">
        <v>14</v>
      </c>
      <c r="P3" t="s">
        <v>3</v>
      </c>
      <c r="Q3" t="s">
        <v>188</v>
      </c>
      <c r="R3" t="s">
        <v>246</v>
      </c>
      <c r="U3" t="s">
        <v>261</v>
      </c>
      <c r="V3" t="s">
        <v>3</v>
      </c>
      <c r="W3" t="s">
        <v>188</v>
      </c>
      <c r="X3" t="s">
        <v>246</v>
      </c>
      <c r="AA3" t="s">
        <v>187</v>
      </c>
    </row>
    <row r="4" spans="2:32" x14ac:dyDescent="0.45">
      <c r="B4" t="s">
        <v>143</v>
      </c>
      <c r="C4">
        <v>7.6526319999999997</v>
      </c>
      <c r="D4">
        <v>94.600000000000009</v>
      </c>
      <c r="E4">
        <v>0.99483999999999995</v>
      </c>
      <c r="H4" t="s">
        <v>191</v>
      </c>
      <c r="I4" t="s">
        <v>192</v>
      </c>
      <c r="J4">
        <v>0.47047152103760376</v>
      </c>
      <c r="K4" t="s">
        <v>193</v>
      </c>
      <c r="L4" t="s">
        <v>192</v>
      </c>
      <c r="P4" t="s">
        <v>191</v>
      </c>
      <c r="Q4" t="s">
        <v>247</v>
      </c>
      <c r="R4" t="s">
        <v>248</v>
      </c>
      <c r="U4" t="s">
        <v>139</v>
      </c>
      <c r="V4" t="s">
        <v>262</v>
      </c>
      <c r="W4" t="s">
        <v>263</v>
      </c>
      <c r="X4" t="s">
        <v>264</v>
      </c>
      <c r="AA4" t="s">
        <v>188</v>
      </c>
      <c r="AB4" t="s">
        <v>801</v>
      </c>
      <c r="AC4" t="s">
        <v>803</v>
      </c>
      <c r="AD4" t="s">
        <v>804</v>
      </c>
      <c r="AE4" t="s">
        <v>805</v>
      </c>
      <c r="AF4" t="s">
        <v>806</v>
      </c>
    </row>
    <row r="5" spans="2:32" x14ac:dyDescent="0.45">
      <c r="B5" t="s">
        <v>144</v>
      </c>
      <c r="C5">
        <v>7.0940480000000008</v>
      </c>
      <c r="D5">
        <v>48.400000000000006</v>
      </c>
      <c r="E5">
        <v>0.99736000000000002</v>
      </c>
      <c r="H5" t="s">
        <v>194</v>
      </c>
      <c r="I5" t="s">
        <v>192</v>
      </c>
      <c r="J5">
        <v>7.8486224912961061E-2</v>
      </c>
      <c r="K5" t="s">
        <v>193</v>
      </c>
      <c r="L5" t="s">
        <v>192</v>
      </c>
      <c r="P5" t="s">
        <v>194</v>
      </c>
      <c r="Q5" t="s">
        <v>249</v>
      </c>
      <c r="R5" t="s">
        <v>248</v>
      </c>
      <c r="U5" t="s">
        <v>139</v>
      </c>
      <c r="V5" t="s">
        <v>265</v>
      </c>
      <c r="W5" t="s">
        <v>263</v>
      </c>
      <c r="X5" t="s">
        <v>264</v>
      </c>
      <c r="AA5" t="s">
        <v>800</v>
      </c>
      <c r="AB5" t="s">
        <v>802</v>
      </c>
      <c r="AC5">
        <v>2</v>
      </c>
      <c r="AE5">
        <v>0</v>
      </c>
      <c r="AF5" t="s">
        <v>807</v>
      </c>
    </row>
    <row r="6" spans="2:32" x14ac:dyDescent="0.45">
      <c r="B6" t="s">
        <v>145</v>
      </c>
      <c r="C6">
        <v>1.508184</v>
      </c>
      <c r="D6">
        <v>35.200000000000003</v>
      </c>
      <c r="E6">
        <v>0.99807999999999997</v>
      </c>
      <c r="H6" t="s">
        <v>195</v>
      </c>
      <c r="I6" t="s">
        <v>192</v>
      </c>
      <c r="J6">
        <v>7.6763653724137182E-2</v>
      </c>
      <c r="K6" t="s">
        <v>193</v>
      </c>
      <c r="L6" t="s">
        <v>192</v>
      </c>
      <c r="P6" t="s">
        <v>195</v>
      </c>
      <c r="Q6" t="s">
        <v>250</v>
      </c>
      <c r="R6" t="s">
        <v>248</v>
      </c>
      <c r="U6" t="s">
        <v>139</v>
      </c>
      <c r="V6" t="s">
        <v>266</v>
      </c>
      <c r="W6" t="s">
        <v>263</v>
      </c>
      <c r="X6" t="s">
        <v>264</v>
      </c>
      <c r="AA6" t="s">
        <v>800</v>
      </c>
      <c r="AB6" t="s">
        <v>802</v>
      </c>
      <c r="AD6">
        <v>2</v>
      </c>
      <c r="AE6">
        <v>0</v>
      </c>
      <c r="AF6" t="s">
        <v>808</v>
      </c>
    </row>
    <row r="7" spans="2:32" x14ac:dyDescent="0.45">
      <c r="B7" t="s">
        <v>146</v>
      </c>
      <c r="C7">
        <v>9.1608150000000013</v>
      </c>
      <c r="D7">
        <v>85.800000000000011</v>
      </c>
      <c r="E7">
        <v>0.99531999999999998</v>
      </c>
      <c r="H7" t="s">
        <v>196</v>
      </c>
      <c r="I7" t="s">
        <v>192</v>
      </c>
      <c r="J7">
        <v>5.639883324159594E-2</v>
      </c>
      <c r="K7" t="s">
        <v>193</v>
      </c>
      <c r="L7" t="s">
        <v>192</v>
      </c>
      <c r="P7" t="s">
        <v>196</v>
      </c>
      <c r="Q7" t="s">
        <v>251</v>
      </c>
      <c r="R7" t="s">
        <v>248</v>
      </c>
      <c r="U7" t="s">
        <v>139</v>
      </c>
      <c r="V7" t="s">
        <v>267</v>
      </c>
      <c r="W7" t="s">
        <v>263</v>
      </c>
      <c r="X7" t="s">
        <v>264</v>
      </c>
    </row>
    <row r="8" spans="2:32" x14ac:dyDescent="0.45">
      <c r="B8" t="s">
        <v>147</v>
      </c>
      <c r="C8">
        <v>1.0054560000000001</v>
      </c>
      <c r="D8">
        <v>73.7</v>
      </c>
      <c r="E8">
        <v>0.99597999999999998</v>
      </c>
      <c r="H8" t="s">
        <v>197</v>
      </c>
      <c r="I8" t="s">
        <v>192</v>
      </c>
      <c r="J8">
        <v>5.4955640373297004E-2</v>
      </c>
      <c r="K8" t="s">
        <v>193</v>
      </c>
      <c r="L8" t="s">
        <v>192</v>
      </c>
      <c r="P8" t="s">
        <v>197</v>
      </c>
      <c r="Q8" t="s">
        <v>252</v>
      </c>
      <c r="R8" t="s">
        <v>248</v>
      </c>
      <c r="U8" t="s">
        <v>139</v>
      </c>
      <c r="V8" t="s">
        <v>268</v>
      </c>
      <c r="W8" t="s">
        <v>263</v>
      </c>
      <c r="X8" t="s">
        <v>264</v>
      </c>
    </row>
    <row r="9" spans="2:32" x14ac:dyDescent="0.45">
      <c r="B9" t="s">
        <v>148</v>
      </c>
      <c r="C9">
        <v>3.5749520000000001</v>
      </c>
      <c r="D9">
        <v>79.2</v>
      </c>
      <c r="E9">
        <v>0.99568000000000001</v>
      </c>
      <c r="H9" t="s">
        <v>198</v>
      </c>
      <c r="I9" t="s">
        <v>192</v>
      </c>
      <c r="J9">
        <v>4.3148794182752491E-2</v>
      </c>
      <c r="K9" t="s">
        <v>193</v>
      </c>
      <c r="L9" t="s">
        <v>192</v>
      </c>
      <c r="P9" t="s">
        <v>198</v>
      </c>
      <c r="Q9" t="s">
        <v>253</v>
      </c>
      <c r="R9" t="s">
        <v>248</v>
      </c>
      <c r="U9" t="s">
        <v>139</v>
      </c>
      <c r="V9" t="s">
        <v>269</v>
      </c>
      <c r="W9" t="s">
        <v>263</v>
      </c>
      <c r="X9" t="s">
        <v>264</v>
      </c>
    </row>
    <row r="10" spans="2:32" x14ac:dyDescent="0.45">
      <c r="B10" t="s">
        <v>149</v>
      </c>
      <c r="C10">
        <v>4.07768</v>
      </c>
      <c r="D10">
        <v>27.500000000000004</v>
      </c>
      <c r="E10">
        <v>0.99850000000000005</v>
      </c>
      <c r="H10" t="s">
        <v>199</v>
      </c>
      <c r="I10" t="s">
        <v>192</v>
      </c>
      <c r="J10">
        <v>4.1694676560122386E-2</v>
      </c>
      <c r="K10" t="s">
        <v>193</v>
      </c>
      <c r="L10" t="s">
        <v>192</v>
      </c>
      <c r="P10" t="s">
        <v>199</v>
      </c>
      <c r="Q10" t="s">
        <v>254</v>
      </c>
      <c r="R10" t="s">
        <v>248</v>
      </c>
      <c r="U10" t="s">
        <v>139</v>
      </c>
      <c r="V10" t="s">
        <v>270</v>
      </c>
      <c r="W10" t="s">
        <v>263</v>
      </c>
      <c r="X10" t="s">
        <v>264</v>
      </c>
    </row>
    <row r="11" spans="2:32" x14ac:dyDescent="0.45">
      <c r="B11" t="s">
        <v>150</v>
      </c>
      <c r="C11">
        <v>4.07768</v>
      </c>
      <c r="D11">
        <v>94.600000000000009</v>
      </c>
      <c r="E11">
        <v>0.99483999999999995</v>
      </c>
      <c r="H11" t="s">
        <v>200</v>
      </c>
      <c r="I11" t="s">
        <v>192</v>
      </c>
      <c r="J11">
        <v>3.7490545080603524E-2</v>
      </c>
      <c r="K11" t="s">
        <v>193</v>
      </c>
      <c r="L11" t="s">
        <v>192</v>
      </c>
      <c r="P11" t="s">
        <v>200</v>
      </c>
      <c r="Q11" t="s">
        <v>255</v>
      </c>
      <c r="R11" t="s">
        <v>248</v>
      </c>
      <c r="U11" t="s">
        <v>139</v>
      </c>
      <c r="V11" t="s">
        <v>271</v>
      </c>
      <c r="W11" t="s">
        <v>263</v>
      </c>
      <c r="X11" t="s">
        <v>264</v>
      </c>
    </row>
    <row r="12" spans="2:32" x14ac:dyDescent="0.45">
      <c r="B12" t="s">
        <v>151</v>
      </c>
      <c r="C12">
        <v>3.5749520000000001</v>
      </c>
      <c r="D12">
        <v>179.3</v>
      </c>
      <c r="E12">
        <v>0.99021999999999999</v>
      </c>
      <c r="H12" t="s">
        <v>201</v>
      </c>
      <c r="I12" t="s">
        <v>192</v>
      </c>
      <c r="J12">
        <v>3.6290814816873851E-2</v>
      </c>
      <c r="K12" t="s">
        <v>193</v>
      </c>
      <c r="L12" t="s">
        <v>192</v>
      </c>
      <c r="P12" t="s">
        <v>201</v>
      </c>
      <c r="Q12" t="s">
        <v>256</v>
      </c>
      <c r="R12" t="s">
        <v>248</v>
      </c>
      <c r="U12" t="s">
        <v>139</v>
      </c>
      <c r="V12" t="s">
        <v>272</v>
      </c>
      <c r="W12" t="s">
        <v>263</v>
      </c>
      <c r="X12" t="s">
        <v>264</v>
      </c>
    </row>
    <row r="13" spans="2:32" x14ac:dyDescent="0.45">
      <c r="B13" t="s">
        <v>152</v>
      </c>
      <c r="C13">
        <v>0.50272800000000006</v>
      </c>
      <c r="D13">
        <v>40.700000000000003</v>
      </c>
      <c r="E13">
        <v>0.99778</v>
      </c>
      <c r="H13" t="s">
        <v>202</v>
      </c>
      <c r="I13" t="s">
        <v>192</v>
      </c>
      <c r="J13">
        <v>2.4406182499997004E-2</v>
      </c>
      <c r="K13" t="s">
        <v>193</v>
      </c>
      <c r="L13" t="s">
        <v>192</v>
      </c>
      <c r="P13" t="s">
        <v>202</v>
      </c>
      <c r="Q13" t="s">
        <v>257</v>
      </c>
      <c r="R13" t="s">
        <v>248</v>
      </c>
      <c r="U13" t="s">
        <v>139</v>
      </c>
      <c r="V13" t="s">
        <v>273</v>
      </c>
      <c r="W13" t="s">
        <v>263</v>
      </c>
      <c r="X13" t="s">
        <v>264</v>
      </c>
    </row>
    <row r="14" spans="2:32" x14ac:dyDescent="0.45">
      <c r="B14" t="s">
        <v>153</v>
      </c>
      <c r="C14">
        <v>2.2902040000000001</v>
      </c>
      <c r="D14">
        <v>29.700000000000003</v>
      </c>
      <c r="E14">
        <v>0.99838000000000005</v>
      </c>
      <c r="H14" t="s">
        <v>203</v>
      </c>
      <c r="I14" t="s">
        <v>192</v>
      </c>
      <c r="J14">
        <v>2.4401212440086691E-2</v>
      </c>
      <c r="K14" t="s">
        <v>193</v>
      </c>
      <c r="L14" t="s">
        <v>192</v>
      </c>
      <c r="P14" t="s">
        <v>203</v>
      </c>
      <c r="Q14" t="s">
        <v>258</v>
      </c>
      <c r="R14" t="s">
        <v>248</v>
      </c>
      <c r="U14" t="s">
        <v>139</v>
      </c>
      <c r="V14" t="s">
        <v>274</v>
      </c>
      <c r="W14" t="s">
        <v>263</v>
      </c>
      <c r="X14" t="s">
        <v>264</v>
      </c>
    </row>
    <row r="15" spans="2:32" x14ac:dyDescent="0.45">
      <c r="B15" t="s">
        <v>154</v>
      </c>
      <c r="C15">
        <v>5.3624279999999995</v>
      </c>
      <c r="D15">
        <v>185.9</v>
      </c>
      <c r="E15">
        <v>0.98985999999999996</v>
      </c>
      <c r="H15" t="s">
        <v>204</v>
      </c>
      <c r="I15" t="s">
        <v>192</v>
      </c>
      <c r="J15">
        <v>1.9628712411200774E-2</v>
      </c>
      <c r="K15" t="s">
        <v>193</v>
      </c>
      <c r="L15" t="s">
        <v>192</v>
      </c>
      <c r="P15" t="s">
        <v>204</v>
      </c>
      <c r="Q15" t="s">
        <v>259</v>
      </c>
      <c r="R15" t="s">
        <v>248</v>
      </c>
      <c r="U15" t="s">
        <v>139</v>
      </c>
      <c r="V15" t="s">
        <v>275</v>
      </c>
      <c r="W15" t="s">
        <v>263</v>
      </c>
      <c r="X15" t="s">
        <v>264</v>
      </c>
    </row>
    <row r="16" spans="2:32" x14ac:dyDescent="0.45">
      <c r="B16" t="s">
        <v>155</v>
      </c>
      <c r="C16">
        <v>2.2902040000000001</v>
      </c>
      <c r="D16">
        <v>83.600000000000009</v>
      </c>
      <c r="E16">
        <v>0.99543999999999999</v>
      </c>
      <c r="H16" t="s">
        <v>205</v>
      </c>
      <c r="I16" t="s">
        <v>192</v>
      </c>
      <c r="J16">
        <v>1.5863188718767726E-2</v>
      </c>
      <c r="K16" t="s">
        <v>193</v>
      </c>
      <c r="L16" t="s">
        <v>192</v>
      </c>
      <c r="P16" t="s">
        <v>205</v>
      </c>
      <c r="Q16" t="s">
        <v>260</v>
      </c>
      <c r="R16" t="s">
        <v>248</v>
      </c>
      <c r="U16" t="s">
        <v>139</v>
      </c>
      <c r="V16" t="s">
        <v>276</v>
      </c>
      <c r="W16" t="s">
        <v>263</v>
      </c>
      <c r="X16" t="s">
        <v>264</v>
      </c>
    </row>
    <row r="17" spans="2:24" x14ac:dyDescent="0.45">
      <c r="B17" t="s">
        <v>156</v>
      </c>
      <c r="C17">
        <v>9.1608160000000005</v>
      </c>
      <c r="D17">
        <v>86.9</v>
      </c>
      <c r="E17">
        <v>0.99526000000000003</v>
      </c>
      <c r="H17" t="s">
        <v>206</v>
      </c>
      <c r="I17" t="s">
        <v>192</v>
      </c>
      <c r="J17">
        <v>0.47047152103760376</v>
      </c>
      <c r="K17" t="s">
        <v>193</v>
      </c>
      <c r="L17" t="s">
        <v>192</v>
      </c>
      <c r="P17" t="s">
        <v>206</v>
      </c>
      <c r="Q17" t="s">
        <v>247</v>
      </c>
      <c r="R17" t="s">
        <v>248</v>
      </c>
      <c r="U17" t="s">
        <v>139</v>
      </c>
      <c r="V17" t="s">
        <v>277</v>
      </c>
      <c r="W17" t="s">
        <v>263</v>
      </c>
      <c r="X17" t="s">
        <v>264</v>
      </c>
    </row>
    <row r="18" spans="2:24" x14ac:dyDescent="0.45">
      <c r="B18" t="s">
        <v>157</v>
      </c>
      <c r="C18">
        <v>1.508184</v>
      </c>
      <c r="D18">
        <v>34.1</v>
      </c>
      <c r="E18">
        <v>0.99814000000000003</v>
      </c>
      <c r="H18" t="s">
        <v>207</v>
      </c>
      <c r="I18" t="s">
        <v>192</v>
      </c>
      <c r="J18">
        <v>7.8486224912961061E-2</v>
      </c>
      <c r="K18" t="s">
        <v>193</v>
      </c>
      <c r="L18" t="s">
        <v>192</v>
      </c>
      <c r="P18" t="s">
        <v>207</v>
      </c>
      <c r="Q18" t="s">
        <v>249</v>
      </c>
      <c r="R18" t="s">
        <v>248</v>
      </c>
      <c r="U18" t="s">
        <v>139</v>
      </c>
      <c r="V18" t="s">
        <v>278</v>
      </c>
      <c r="W18" t="s">
        <v>263</v>
      </c>
      <c r="X18" t="s">
        <v>264</v>
      </c>
    </row>
    <row r="19" spans="2:24" x14ac:dyDescent="0.45">
      <c r="B19" t="s">
        <v>158</v>
      </c>
      <c r="C19">
        <v>1.508184</v>
      </c>
      <c r="D19">
        <v>45.1</v>
      </c>
      <c r="E19">
        <v>0.99753999999999998</v>
      </c>
      <c r="H19" t="s">
        <v>208</v>
      </c>
      <c r="I19" t="s">
        <v>192</v>
      </c>
      <c r="J19">
        <v>7.6763653724137182E-2</v>
      </c>
      <c r="K19" t="s">
        <v>193</v>
      </c>
      <c r="L19" t="s">
        <v>192</v>
      </c>
      <c r="P19" t="s">
        <v>208</v>
      </c>
      <c r="Q19" t="s">
        <v>250</v>
      </c>
      <c r="R19" t="s">
        <v>248</v>
      </c>
      <c r="U19" t="s">
        <v>139</v>
      </c>
      <c r="V19" t="s">
        <v>279</v>
      </c>
      <c r="W19" t="s">
        <v>263</v>
      </c>
      <c r="X19" t="s">
        <v>264</v>
      </c>
    </row>
    <row r="20" spans="2:24" x14ac:dyDescent="0.45">
      <c r="B20" t="s">
        <v>159</v>
      </c>
      <c r="C20">
        <v>12.233040000000001</v>
      </c>
      <c r="D20">
        <v>92.4</v>
      </c>
      <c r="E20">
        <v>0.99495999999999996</v>
      </c>
      <c r="H20" t="s">
        <v>209</v>
      </c>
      <c r="I20" t="s">
        <v>192</v>
      </c>
      <c r="J20">
        <v>5.639883324159594E-2</v>
      </c>
      <c r="K20" t="s">
        <v>193</v>
      </c>
      <c r="L20" t="s">
        <v>192</v>
      </c>
      <c r="P20" t="s">
        <v>209</v>
      </c>
      <c r="Q20" t="s">
        <v>251</v>
      </c>
      <c r="R20" t="s">
        <v>248</v>
      </c>
      <c r="U20" t="s">
        <v>139</v>
      </c>
      <c r="V20" t="s">
        <v>280</v>
      </c>
      <c r="W20" t="s">
        <v>263</v>
      </c>
      <c r="X20" t="s">
        <v>264</v>
      </c>
    </row>
    <row r="21" spans="2:24" x14ac:dyDescent="0.45">
      <c r="B21" t="s">
        <v>160</v>
      </c>
      <c r="C21">
        <v>1.7874760000000001</v>
      </c>
      <c r="D21">
        <v>182.60000000000002</v>
      </c>
      <c r="E21">
        <v>0.99004000000000003</v>
      </c>
      <c r="H21" t="s">
        <v>210</v>
      </c>
      <c r="I21" t="s">
        <v>192</v>
      </c>
      <c r="J21">
        <v>5.4955640373297004E-2</v>
      </c>
      <c r="K21" t="s">
        <v>193</v>
      </c>
      <c r="L21" t="s">
        <v>192</v>
      </c>
      <c r="P21" t="s">
        <v>210</v>
      </c>
      <c r="Q21" t="s">
        <v>252</v>
      </c>
      <c r="R21" t="s">
        <v>248</v>
      </c>
      <c r="U21" t="s">
        <v>139</v>
      </c>
      <c r="V21" t="s">
        <v>281</v>
      </c>
      <c r="W21" t="s">
        <v>263</v>
      </c>
      <c r="X21" t="s">
        <v>264</v>
      </c>
    </row>
    <row r="22" spans="2:24" x14ac:dyDescent="0.45">
      <c r="B22" t="s">
        <v>161</v>
      </c>
      <c r="C22">
        <v>3.5749529999999998</v>
      </c>
      <c r="D22">
        <v>63.800000000000004</v>
      </c>
      <c r="E22">
        <v>0.99651999999999996</v>
      </c>
      <c r="H22" t="s">
        <v>211</v>
      </c>
      <c r="I22" t="s">
        <v>192</v>
      </c>
      <c r="J22">
        <v>4.3148794182752491E-2</v>
      </c>
      <c r="K22" t="s">
        <v>193</v>
      </c>
      <c r="L22" t="s">
        <v>192</v>
      </c>
      <c r="P22" t="s">
        <v>211</v>
      </c>
      <c r="Q22" t="s">
        <v>253</v>
      </c>
      <c r="R22" t="s">
        <v>248</v>
      </c>
      <c r="U22" t="s">
        <v>139</v>
      </c>
      <c r="V22" t="s">
        <v>282</v>
      </c>
      <c r="W22" t="s">
        <v>263</v>
      </c>
      <c r="X22" t="s">
        <v>264</v>
      </c>
    </row>
    <row r="23" spans="2:24" x14ac:dyDescent="0.45">
      <c r="B23" t="s">
        <v>162</v>
      </c>
      <c r="C23">
        <v>4.07768</v>
      </c>
      <c r="D23">
        <v>178.20000000000002</v>
      </c>
      <c r="E23">
        <v>0.99028000000000005</v>
      </c>
      <c r="H23" t="s">
        <v>212</v>
      </c>
      <c r="I23" t="s">
        <v>192</v>
      </c>
      <c r="J23">
        <v>4.1694676560122386E-2</v>
      </c>
      <c r="K23" t="s">
        <v>193</v>
      </c>
      <c r="L23" t="s">
        <v>192</v>
      </c>
      <c r="P23" t="s">
        <v>212</v>
      </c>
      <c r="Q23" t="s">
        <v>254</v>
      </c>
      <c r="R23" t="s">
        <v>248</v>
      </c>
      <c r="U23" t="s">
        <v>139</v>
      </c>
      <c r="V23" t="s">
        <v>283</v>
      </c>
      <c r="W23" t="s">
        <v>250</v>
      </c>
      <c r="X23" t="s">
        <v>264</v>
      </c>
    </row>
    <row r="24" spans="2:24" x14ac:dyDescent="0.45">
      <c r="B24" t="s">
        <v>163</v>
      </c>
      <c r="C24">
        <v>6.3678840000000001</v>
      </c>
      <c r="D24">
        <v>86.9</v>
      </c>
      <c r="E24">
        <v>0.99526000000000003</v>
      </c>
      <c r="H24" t="s">
        <v>213</v>
      </c>
      <c r="I24" t="s">
        <v>192</v>
      </c>
      <c r="J24">
        <v>3.7490545080603524E-2</v>
      </c>
      <c r="K24" t="s">
        <v>193</v>
      </c>
      <c r="L24" t="s">
        <v>192</v>
      </c>
      <c r="P24" t="s">
        <v>213</v>
      </c>
      <c r="Q24" t="s">
        <v>255</v>
      </c>
      <c r="R24" t="s">
        <v>248</v>
      </c>
      <c r="U24" t="s">
        <v>139</v>
      </c>
      <c r="V24" t="s">
        <v>284</v>
      </c>
      <c r="W24" t="s">
        <v>250</v>
      </c>
      <c r="X24" t="s">
        <v>264</v>
      </c>
    </row>
    <row r="25" spans="2:24" x14ac:dyDescent="0.45">
      <c r="B25" t="s">
        <v>164</v>
      </c>
      <c r="C25">
        <v>2.0109110000000001</v>
      </c>
      <c r="D25">
        <v>61.600000000000009</v>
      </c>
      <c r="E25">
        <v>0.99663999999999997</v>
      </c>
      <c r="H25" t="s">
        <v>214</v>
      </c>
      <c r="I25" t="s">
        <v>192</v>
      </c>
      <c r="J25">
        <v>3.6290814816873851E-2</v>
      </c>
      <c r="K25" t="s">
        <v>193</v>
      </c>
      <c r="L25" t="s">
        <v>192</v>
      </c>
      <c r="P25" t="s">
        <v>214</v>
      </c>
      <c r="Q25" t="s">
        <v>256</v>
      </c>
      <c r="R25" t="s">
        <v>248</v>
      </c>
      <c r="U25" t="s">
        <v>139</v>
      </c>
      <c r="V25" t="s">
        <v>285</v>
      </c>
      <c r="W25" t="s">
        <v>250</v>
      </c>
      <c r="X25" t="s">
        <v>264</v>
      </c>
    </row>
    <row r="26" spans="2:24" x14ac:dyDescent="0.45">
      <c r="B26" t="s">
        <v>165</v>
      </c>
      <c r="C26">
        <v>4.07768</v>
      </c>
      <c r="D26">
        <v>74.800000000000011</v>
      </c>
      <c r="E26">
        <v>0.99592000000000003</v>
      </c>
      <c r="H26" t="s">
        <v>215</v>
      </c>
      <c r="I26" t="s">
        <v>192</v>
      </c>
      <c r="J26">
        <v>2.4406182499997004E-2</v>
      </c>
      <c r="K26" t="s">
        <v>193</v>
      </c>
      <c r="L26" t="s">
        <v>192</v>
      </c>
      <c r="P26" t="s">
        <v>215</v>
      </c>
      <c r="Q26" t="s">
        <v>257</v>
      </c>
      <c r="R26" t="s">
        <v>248</v>
      </c>
      <c r="U26" t="s">
        <v>139</v>
      </c>
      <c r="V26" t="s">
        <v>286</v>
      </c>
      <c r="W26" t="s">
        <v>250</v>
      </c>
      <c r="X26" t="s">
        <v>264</v>
      </c>
    </row>
    <row r="27" spans="2:24" x14ac:dyDescent="0.45">
      <c r="B27" t="s">
        <v>166</v>
      </c>
      <c r="C27">
        <v>11.227584</v>
      </c>
      <c r="D27">
        <v>59.400000000000006</v>
      </c>
      <c r="E27">
        <v>0.99675999999999998</v>
      </c>
      <c r="H27" t="s">
        <v>216</v>
      </c>
      <c r="I27" t="s">
        <v>192</v>
      </c>
      <c r="J27">
        <v>2.4401212440086691E-2</v>
      </c>
      <c r="K27" t="s">
        <v>193</v>
      </c>
      <c r="L27" t="s">
        <v>192</v>
      </c>
      <c r="P27" t="s">
        <v>216</v>
      </c>
      <c r="Q27" t="s">
        <v>258</v>
      </c>
      <c r="R27" t="s">
        <v>248</v>
      </c>
      <c r="U27" t="s">
        <v>139</v>
      </c>
      <c r="V27" t="s">
        <v>287</v>
      </c>
      <c r="W27" t="s">
        <v>250</v>
      </c>
      <c r="X27" t="s">
        <v>264</v>
      </c>
    </row>
    <row r="28" spans="2:24" x14ac:dyDescent="0.45">
      <c r="B28" t="s">
        <v>167</v>
      </c>
      <c r="C28">
        <v>5.0831360000000005</v>
      </c>
      <c r="D28">
        <v>83.600000000000009</v>
      </c>
      <c r="E28">
        <v>0.99543999999999999</v>
      </c>
      <c r="H28" t="s">
        <v>217</v>
      </c>
      <c r="I28" t="s">
        <v>192</v>
      </c>
      <c r="J28">
        <v>1.9628712411200774E-2</v>
      </c>
      <c r="K28" t="s">
        <v>193</v>
      </c>
      <c r="L28" t="s">
        <v>192</v>
      </c>
      <c r="P28" t="s">
        <v>217</v>
      </c>
      <c r="Q28" t="s">
        <v>259</v>
      </c>
      <c r="R28" t="s">
        <v>248</v>
      </c>
      <c r="U28" t="s">
        <v>139</v>
      </c>
      <c r="V28" t="s">
        <v>288</v>
      </c>
      <c r="W28" t="s">
        <v>250</v>
      </c>
      <c r="X28" t="s">
        <v>264</v>
      </c>
    </row>
    <row r="29" spans="2:24" x14ac:dyDescent="0.45">
      <c r="B29" t="s">
        <v>168</v>
      </c>
      <c r="C29">
        <v>2.792932</v>
      </c>
      <c r="D29">
        <v>77</v>
      </c>
      <c r="E29">
        <v>0.99580000000000002</v>
      </c>
      <c r="H29" t="s">
        <v>218</v>
      </c>
      <c r="I29" t="s">
        <v>192</v>
      </c>
      <c r="J29">
        <v>1.5863188718767726E-2</v>
      </c>
      <c r="K29" t="s">
        <v>193</v>
      </c>
      <c r="L29" t="s">
        <v>192</v>
      </c>
      <c r="P29" t="s">
        <v>218</v>
      </c>
      <c r="Q29" t="s">
        <v>260</v>
      </c>
      <c r="R29" t="s">
        <v>248</v>
      </c>
      <c r="U29" t="s">
        <v>139</v>
      </c>
      <c r="V29" t="s">
        <v>289</v>
      </c>
      <c r="W29" t="s">
        <v>250</v>
      </c>
      <c r="X29" t="s">
        <v>264</v>
      </c>
    </row>
    <row r="30" spans="2:24" x14ac:dyDescent="0.45">
      <c r="B30" t="s">
        <v>169</v>
      </c>
      <c r="C30">
        <v>3.0163660000000001</v>
      </c>
      <c r="D30">
        <v>17.600000000000001</v>
      </c>
      <c r="E30">
        <v>0.99904000000000004</v>
      </c>
      <c r="H30" t="s">
        <v>219</v>
      </c>
      <c r="I30" t="s">
        <v>192</v>
      </c>
      <c r="J30">
        <v>0.47047152103760376</v>
      </c>
      <c r="K30" t="s">
        <v>193</v>
      </c>
      <c r="L30" t="s">
        <v>192</v>
      </c>
      <c r="P30" t="s">
        <v>219</v>
      </c>
      <c r="Q30" t="s">
        <v>247</v>
      </c>
      <c r="R30" t="s">
        <v>248</v>
      </c>
      <c r="U30" t="s">
        <v>139</v>
      </c>
      <c r="V30" t="s">
        <v>290</v>
      </c>
      <c r="W30" t="s">
        <v>250</v>
      </c>
      <c r="X30" t="s">
        <v>264</v>
      </c>
    </row>
    <row r="31" spans="2:24" x14ac:dyDescent="0.45">
      <c r="B31" t="s">
        <v>170</v>
      </c>
      <c r="C31">
        <v>1.7874760000000001</v>
      </c>
      <c r="D31">
        <v>82.5</v>
      </c>
      <c r="E31">
        <v>0.99550000000000005</v>
      </c>
      <c r="H31" t="s">
        <v>220</v>
      </c>
      <c r="I31" t="s">
        <v>192</v>
      </c>
      <c r="J31">
        <v>7.8486224912961061E-2</v>
      </c>
      <c r="K31" t="s">
        <v>193</v>
      </c>
      <c r="L31" t="s">
        <v>192</v>
      </c>
      <c r="P31" t="s">
        <v>220</v>
      </c>
      <c r="Q31" t="s">
        <v>249</v>
      </c>
      <c r="R31" t="s">
        <v>248</v>
      </c>
      <c r="U31" t="s">
        <v>139</v>
      </c>
      <c r="V31" t="s">
        <v>291</v>
      </c>
      <c r="W31" t="s">
        <v>250</v>
      </c>
      <c r="X31" t="s">
        <v>264</v>
      </c>
    </row>
    <row r="32" spans="2:24" x14ac:dyDescent="0.45">
      <c r="B32" t="s">
        <v>171</v>
      </c>
      <c r="C32">
        <v>5.5858640000000008</v>
      </c>
      <c r="D32">
        <v>48.400000000000006</v>
      </c>
      <c r="E32">
        <v>0.99736000000000002</v>
      </c>
      <c r="H32" t="s">
        <v>221</v>
      </c>
      <c r="I32" t="s">
        <v>192</v>
      </c>
      <c r="J32">
        <v>7.6763653724137182E-2</v>
      </c>
      <c r="K32" t="s">
        <v>193</v>
      </c>
      <c r="L32" t="s">
        <v>192</v>
      </c>
      <c r="P32" t="s">
        <v>221</v>
      </c>
      <c r="Q32" t="s">
        <v>250</v>
      </c>
      <c r="R32" t="s">
        <v>248</v>
      </c>
      <c r="U32" t="s">
        <v>139</v>
      </c>
      <c r="V32" t="s">
        <v>292</v>
      </c>
      <c r="W32" t="s">
        <v>250</v>
      </c>
      <c r="X32" t="s">
        <v>264</v>
      </c>
    </row>
    <row r="33" spans="2:24" x14ac:dyDescent="0.45">
      <c r="B33" t="s">
        <v>172</v>
      </c>
      <c r="C33">
        <v>14.802537000000001</v>
      </c>
      <c r="D33">
        <v>46.2</v>
      </c>
      <c r="E33">
        <v>0.99748000000000003</v>
      </c>
      <c r="H33" t="s">
        <v>222</v>
      </c>
      <c r="I33" t="s">
        <v>192</v>
      </c>
      <c r="J33">
        <v>5.639883324159594E-2</v>
      </c>
      <c r="K33" t="s">
        <v>193</v>
      </c>
      <c r="L33" t="s">
        <v>192</v>
      </c>
      <c r="P33" t="s">
        <v>222</v>
      </c>
      <c r="Q33" t="s">
        <v>251</v>
      </c>
      <c r="R33" t="s">
        <v>248</v>
      </c>
      <c r="U33" t="s">
        <v>139</v>
      </c>
      <c r="V33" t="s">
        <v>293</v>
      </c>
      <c r="W33" t="s">
        <v>250</v>
      </c>
      <c r="X33" t="s">
        <v>264</v>
      </c>
    </row>
    <row r="34" spans="2:24" x14ac:dyDescent="0.45">
      <c r="B34" t="s">
        <v>173</v>
      </c>
      <c r="C34">
        <v>11.171727999999996</v>
      </c>
      <c r="D34">
        <v>64.900000000000006</v>
      </c>
      <c r="E34">
        <v>0.99646000000000001</v>
      </c>
      <c r="H34" t="s">
        <v>223</v>
      </c>
      <c r="I34" t="s">
        <v>192</v>
      </c>
      <c r="J34">
        <v>5.4955640373297004E-2</v>
      </c>
      <c r="K34" t="s">
        <v>193</v>
      </c>
      <c r="L34" t="s">
        <v>192</v>
      </c>
      <c r="P34" t="s">
        <v>223</v>
      </c>
      <c r="Q34" t="s">
        <v>252</v>
      </c>
      <c r="R34" t="s">
        <v>248</v>
      </c>
      <c r="U34" t="s">
        <v>139</v>
      </c>
      <c r="V34" t="s">
        <v>294</v>
      </c>
      <c r="W34" t="s">
        <v>250</v>
      </c>
      <c r="X34" t="s">
        <v>264</v>
      </c>
    </row>
    <row r="35" spans="2:24" x14ac:dyDescent="0.45">
      <c r="B35" t="s">
        <v>174</v>
      </c>
      <c r="C35">
        <v>3.2956599999999998</v>
      </c>
      <c r="D35">
        <v>2.2000000000000002</v>
      </c>
      <c r="E35">
        <v>0.99987999999999999</v>
      </c>
      <c r="H35" t="s">
        <v>224</v>
      </c>
      <c r="I35" t="s">
        <v>192</v>
      </c>
      <c r="J35">
        <v>4.3148794182752491E-2</v>
      </c>
      <c r="K35" t="s">
        <v>193</v>
      </c>
      <c r="L35" t="s">
        <v>192</v>
      </c>
      <c r="P35" t="s">
        <v>224</v>
      </c>
      <c r="Q35" t="s">
        <v>253</v>
      </c>
      <c r="R35" t="s">
        <v>248</v>
      </c>
      <c r="U35" t="s">
        <v>139</v>
      </c>
      <c r="V35" t="s">
        <v>295</v>
      </c>
      <c r="W35" t="s">
        <v>250</v>
      </c>
      <c r="X35" t="s">
        <v>264</v>
      </c>
    </row>
    <row r="36" spans="2:24" x14ac:dyDescent="0.45">
      <c r="B36" t="s">
        <v>175</v>
      </c>
      <c r="C36">
        <v>2.792932</v>
      </c>
      <c r="D36">
        <v>37.400000000000006</v>
      </c>
      <c r="E36">
        <v>0.99795999999999996</v>
      </c>
      <c r="H36" t="s">
        <v>225</v>
      </c>
      <c r="I36" t="s">
        <v>192</v>
      </c>
      <c r="J36">
        <v>4.1694676560122386E-2</v>
      </c>
      <c r="K36" t="s">
        <v>193</v>
      </c>
      <c r="L36" t="s">
        <v>192</v>
      </c>
      <c r="P36" t="s">
        <v>225</v>
      </c>
      <c r="Q36" t="s">
        <v>254</v>
      </c>
      <c r="R36" t="s">
        <v>248</v>
      </c>
      <c r="U36" t="s">
        <v>139</v>
      </c>
      <c r="V36" t="s">
        <v>296</v>
      </c>
      <c r="W36" t="s">
        <v>250</v>
      </c>
      <c r="X36" t="s">
        <v>264</v>
      </c>
    </row>
    <row r="37" spans="2:24" x14ac:dyDescent="0.45">
      <c r="B37" t="s">
        <v>176</v>
      </c>
      <c r="C37">
        <v>8.1553600000000017</v>
      </c>
      <c r="D37">
        <v>74.800000000000011</v>
      </c>
      <c r="E37">
        <v>0.99592000000000003</v>
      </c>
      <c r="H37" t="s">
        <v>226</v>
      </c>
      <c r="I37" t="s">
        <v>192</v>
      </c>
      <c r="J37">
        <v>3.7490545080603524E-2</v>
      </c>
      <c r="K37" t="s">
        <v>193</v>
      </c>
      <c r="L37" t="s">
        <v>192</v>
      </c>
      <c r="P37" t="s">
        <v>226</v>
      </c>
      <c r="Q37" t="s">
        <v>255</v>
      </c>
      <c r="R37" t="s">
        <v>248</v>
      </c>
      <c r="U37" t="s">
        <v>139</v>
      </c>
      <c r="V37" t="s">
        <v>297</v>
      </c>
      <c r="W37" t="s">
        <v>250</v>
      </c>
      <c r="X37" t="s">
        <v>264</v>
      </c>
    </row>
    <row r="38" spans="2:24" x14ac:dyDescent="0.45">
      <c r="B38" t="s">
        <v>177</v>
      </c>
      <c r="C38">
        <v>1.508184</v>
      </c>
      <c r="D38">
        <v>39.6</v>
      </c>
      <c r="E38">
        <v>0.99783999999999995</v>
      </c>
      <c r="H38" t="s">
        <v>227</v>
      </c>
      <c r="I38" t="s">
        <v>192</v>
      </c>
      <c r="J38">
        <v>3.6290814816873851E-2</v>
      </c>
      <c r="K38" t="s">
        <v>193</v>
      </c>
      <c r="L38" t="s">
        <v>192</v>
      </c>
      <c r="P38" t="s">
        <v>227</v>
      </c>
      <c r="Q38" t="s">
        <v>256</v>
      </c>
      <c r="R38" t="s">
        <v>248</v>
      </c>
      <c r="U38" t="s">
        <v>139</v>
      </c>
      <c r="V38" t="s">
        <v>298</v>
      </c>
      <c r="W38" t="s">
        <v>250</v>
      </c>
      <c r="X38" t="s">
        <v>264</v>
      </c>
    </row>
    <row r="39" spans="2:24" x14ac:dyDescent="0.45">
      <c r="B39" t="s">
        <v>178</v>
      </c>
      <c r="C39">
        <v>11.171727999999996</v>
      </c>
      <c r="D39">
        <v>48.400000000000006</v>
      </c>
      <c r="E39">
        <v>0.99736000000000002</v>
      </c>
      <c r="H39" t="s">
        <v>228</v>
      </c>
      <c r="I39" t="s">
        <v>192</v>
      </c>
      <c r="J39">
        <v>2.4406182499997004E-2</v>
      </c>
      <c r="K39" t="s">
        <v>193</v>
      </c>
      <c r="L39" t="s">
        <v>192</v>
      </c>
      <c r="P39" t="s">
        <v>228</v>
      </c>
      <c r="Q39" t="s">
        <v>257</v>
      </c>
      <c r="R39" t="s">
        <v>248</v>
      </c>
      <c r="U39" t="s">
        <v>139</v>
      </c>
      <c r="V39" t="s">
        <v>299</v>
      </c>
      <c r="W39" t="s">
        <v>250</v>
      </c>
      <c r="X39" t="s">
        <v>264</v>
      </c>
    </row>
    <row r="40" spans="2:24" x14ac:dyDescent="0.45">
      <c r="B40" t="s">
        <v>179</v>
      </c>
      <c r="C40">
        <v>4.5804080000000003</v>
      </c>
      <c r="D40">
        <v>105.60000000000001</v>
      </c>
      <c r="E40">
        <v>0.99424000000000001</v>
      </c>
      <c r="H40" t="s">
        <v>229</v>
      </c>
      <c r="I40" t="s">
        <v>192</v>
      </c>
      <c r="J40">
        <v>2.4401212440086691E-2</v>
      </c>
      <c r="K40" t="s">
        <v>193</v>
      </c>
      <c r="L40" t="s">
        <v>192</v>
      </c>
      <c r="P40" t="s">
        <v>229</v>
      </c>
      <c r="Q40" t="s">
        <v>258</v>
      </c>
      <c r="R40" t="s">
        <v>248</v>
      </c>
      <c r="U40" t="s">
        <v>139</v>
      </c>
      <c r="V40" t="s">
        <v>300</v>
      </c>
      <c r="W40" t="s">
        <v>250</v>
      </c>
      <c r="X40" t="s">
        <v>264</v>
      </c>
    </row>
    <row r="41" spans="2:24" x14ac:dyDescent="0.45">
      <c r="B41" t="s">
        <v>180</v>
      </c>
      <c r="C41">
        <v>2.792932</v>
      </c>
      <c r="D41">
        <v>41.800000000000004</v>
      </c>
      <c r="E41">
        <v>0.99772000000000005</v>
      </c>
      <c r="H41" t="s">
        <v>230</v>
      </c>
      <c r="I41" t="s">
        <v>192</v>
      </c>
      <c r="J41">
        <v>1.9628712411200774E-2</v>
      </c>
      <c r="K41" t="s">
        <v>193</v>
      </c>
      <c r="L41" t="s">
        <v>192</v>
      </c>
      <c r="P41" t="s">
        <v>230</v>
      </c>
      <c r="Q41" t="s">
        <v>259</v>
      </c>
      <c r="R41" t="s">
        <v>248</v>
      </c>
      <c r="U41" t="s">
        <v>139</v>
      </c>
      <c r="V41" t="s">
        <v>301</v>
      </c>
      <c r="W41" t="s">
        <v>250</v>
      </c>
      <c r="X41" t="s">
        <v>264</v>
      </c>
    </row>
    <row r="42" spans="2:24" x14ac:dyDescent="0.45">
      <c r="B42" t="s">
        <v>181</v>
      </c>
      <c r="C42">
        <v>0.50272800000000006</v>
      </c>
      <c r="D42">
        <v>62.7</v>
      </c>
      <c r="E42">
        <v>0.99658000000000002</v>
      </c>
      <c r="H42" t="s">
        <v>231</v>
      </c>
      <c r="I42" t="s">
        <v>192</v>
      </c>
      <c r="J42">
        <v>1.5863188718767726E-2</v>
      </c>
      <c r="K42" t="s">
        <v>193</v>
      </c>
      <c r="L42" t="s">
        <v>192</v>
      </c>
      <c r="P42" t="s">
        <v>231</v>
      </c>
      <c r="Q42" t="s">
        <v>260</v>
      </c>
      <c r="R42" t="s">
        <v>248</v>
      </c>
      <c r="U42" t="s">
        <v>139</v>
      </c>
      <c r="V42" t="s">
        <v>302</v>
      </c>
      <c r="W42" t="s">
        <v>303</v>
      </c>
      <c r="X42" t="s">
        <v>264</v>
      </c>
    </row>
    <row r="43" spans="2:24" x14ac:dyDescent="0.45">
      <c r="B43" t="s">
        <v>182</v>
      </c>
      <c r="C43">
        <v>1.508184</v>
      </c>
      <c r="D43">
        <v>52.800000000000004</v>
      </c>
      <c r="E43">
        <v>0.99712000000000001</v>
      </c>
      <c r="H43" t="s">
        <v>232</v>
      </c>
      <c r="I43" t="s">
        <v>192</v>
      </c>
      <c r="J43">
        <v>0.47047152103760376</v>
      </c>
      <c r="K43" t="s">
        <v>193</v>
      </c>
      <c r="L43" t="s">
        <v>192</v>
      </c>
      <c r="P43" t="s">
        <v>232</v>
      </c>
      <c r="Q43" t="s">
        <v>247</v>
      </c>
      <c r="R43" t="s">
        <v>248</v>
      </c>
      <c r="U43" t="s">
        <v>139</v>
      </c>
      <c r="V43" t="s">
        <v>304</v>
      </c>
      <c r="W43" t="s">
        <v>303</v>
      </c>
      <c r="X43" t="s">
        <v>264</v>
      </c>
    </row>
    <row r="44" spans="2:24" x14ac:dyDescent="0.45">
      <c r="B44" t="s">
        <v>183</v>
      </c>
      <c r="C44">
        <v>5.0831360000000005</v>
      </c>
      <c r="D44">
        <v>73.7</v>
      </c>
      <c r="E44">
        <v>0.99597999999999998</v>
      </c>
      <c r="H44" t="s">
        <v>233</v>
      </c>
      <c r="I44" t="s">
        <v>192</v>
      </c>
      <c r="J44">
        <v>7.8486224912961061E-2</v>
      </c>
      <c r="K44" t="s">
        <v>193</v>
      </c>
      <c r="L44" t="s">
        <v>192</v>
      </c>
      <c r="P44" t="s">
        <v>233</v>
      </c>
      <c r="Q44" t="s">
        <v>249</v>
      </c>
      <c r="R44" t="s">
        <v>248</v>
      </c>
      <c r="U44" t="s">
        <v>139</v>
      </c>
      <c r="V44" t="s">
        <v>305</v>
      </c>
      <c r="W44" t="s">
        <v>303</v>
      </c>
      <c r="X44" t="s">
        <v>264</v>
      </c>
    </row>
    <row r="45" spans="2:24" x14ac:dyDescent="0.45">
      <c r="B45" t="s">
        <v>184</v>
      </c>
      <c r="C45">
        <v>12.233040000000001</v>
      </c>
      <c r="D45">
        <v>146.30000000000001</v>
      </c>
      <c r="E45">
        <v>0.99202000000000001</v>
      </c>
      <c r="H45" t="s">
        <v>234</v>
      </c>
      <c r="I45" t="s">
        <v>192</v>
      </c>
      <c r="J45">
        <v>7.6763653724137182E-2</v>
      </c>
      <c r="K45" t="s">
        <v>193</v>
      </c>
      <c r="L45" t="s">
        <v>192</v>
      </c>
      <c r="P45" t="s">
        <v>234</v>
      </c>
      <c r="Q45" t="s">
        <v>250</v>
      </c>
      <c r="R45" t="s">
        <v>248</v>
      </c>
      <c r="U45" t="s">
        <v>139</v>
      </c>
      <c r="V45" t="s">
        <v>306</v>
      </c>
      <c r="W45" t="s">
        <v>303</v>
      </c>
      <c r="X45" t="s">
        <v>264</v>
      </c>
    </row>
    <row r="46" spans="2:24" x14ac:dyDescent="0.45">
      <c r="B46" t="s">
        <v>185</v>
      </c>
      <c r="C46">
        <v>4.5804080000000003</v>
      </c>
      <c r="D46">
        <v>110.00000000000001</v>
      </c>
      <c r="E46">
        <v>0.99399999999999999</v>
      </c>
      <c r="H46" t="s">
        <v>235</v>
      </c>
      <c r="I46" t="s">
        <v>192</v>
      </c>
      <c r="J46">
        <v>5.639883324159594E-2</v>
      </c>
      <c r="K46" t="s">
        <v>193</v>
      </c>
      <c r="L46" t="s">
        <v>192</v>
      </c>
      <c r="P46" t="s">
        <v>235</v>
      </c>
      <c r="Q46" t="s">
        <v>251</v>
      </c>
      <c r="R46" t="s">
        <v>248</v>
      </c>
      <c r="U46" t="s">
        <v>139</v>
      </c>
      <c r="V46" t="s">
        <v>307</v>
      </c>
      <c r="W46" t="s">
        <v>303</v>
      </c>
      <c r="X46" t="s">
        <v>264</v>
      </c>
    </row>
    <row r="47" spans="2:24" x14ac:dyDescent="0.45">
      <c r="B47" t="s">
        <v>186</v>
      </c>
      <c r="C47">
        <v>11.730312000000001</v>
      </c>
      <c r="D47">
        <v>88</v>
      </c>
      <c r="E47">
        <v>0.99519999999999997</v>
      </c>
      <c r="H47" t="s">
        <v>236</v>
      </c>
      <c r="I47" t="s">
        <v>192</v>
      </c>
      <c r="J47">
        <v>5.4955640373297004E-2</v>
      </c>
      <c r="K47" t="s">
        <v>193</v>
      </c>
      <c r="L47" t="s">
        <v>192</v>
      </c>
      <c r="P47" t="s">
        <v>236</v>
      </c>
      <c r="Q47" t="s">
        <v>252</v>
      </c>
      <c r="R47" t="s">
        <v>248</v>
      </c>
      <c r="U47" t="s">
        <v>139</v>
      </c>
      <c r="V47" t="s">
        <v>308</v>
      </c>
      <c r="W47" t="s">
        <v>303</v>
      </c>
      <c r="X47" t="s">
        <v>264</v>
      </c>
    </row>
    <row r="48" spans="2:24" x14ac:dyDescent="0.45">
      <c r="H48" t="s">
        <v>237</v>
      </c>
      <c r="I48" t="s">
        <v>192</v>
      </c>
      <c r="J48">
        <v>4.3148794182752491E-2</v>
      </c>
      <c r="K48" t="s">
        <v>193</v>
      </c>
      <c r="L48" t="s">
        <v>192</v>
      </c>
      <c r="P48" t="s">
        <v>237</v>
      </c>
      <c r="Q48" t="s">
        <v>253</v>
      </c>
      <c r="R48" t="s">
        <v>248</v>
      </c>
      <c r="U48" t="s">
        <v>139</v>
      </c>
      <c r="V48" t="s">
        <v>309</v>
      </c>
      <c r="W48" t="s">
        <v>303</v>
      </c>
      <c r="X48" t="s">
        <v>264</v>
      </c>
    </row>
    <row r="49" spans="8:24" x14ac:dyDescent="0.45">
      <c r="H49" t="s">
        <v>238</v>
      </c>
      <c r="I49" t="s">
        <v>192</v>
      </c>
      <c r="J49">
        <v>4.1694676560122386E-2</v>
      </c>
      <c r="K49" t="s">
        <v>193</v>
      </c>
      <c r="L49" t="s">
        <v>192</v>
      </c>
      <c r="P49" t="s">
        <v>238</v>
      </c>
      <c r="Q49" t="s">
        <v>254</v>
      </c>
      <c r="R49" t="s">
        <v>248</v>
      </c>
      <c r="U49" t="s">
        <v>139</v>
      </c>
      <c r="V49" t="s">
        <v>310</v>
      </c>
      <c r="W49" t="s">
        <v>303</v>
      </c>
      <c r="X49" t="s">
        <v>264</v>
      </c>
    </row>
    <row r="50" spans="8:24" x14ac:dyDescent="0.45">
      <c r="H50" t="s">
        <v>239</v>
      </c>
      <c r="I50" t="s">
        <v>192</v>
      </c>
      <c r="J50">
        <v>3.7490545080603524E-2</v>
      </c>
      <c r="K50" t="s">
        <v>193</v>
      </c>
      <c r="L50" t="s">
        <v>192</v>
      </c>
      <c r="P50" t="s">
        <v>239</v>
      </c>
      <c r="Q50" t="s">
        <v>255</v>
      </c>
      <c r="R50" t="s">
        <v>248</v>
      </c>
      <c r="U50" t="s">
        <v>139</v>
      </c>
      <c r="V50" t="s">
        <v>311</v>
      </c>
      <c r="W50" t="s">
        <v>303</v>
      </c>
      <c r="X50" t="s">
        <v>264</v>
      </c>
    </row>
    <row r="51" spans="8:24" x14ac:dyDescent="0.45">
      <c r="H51" t="s">
        <v>240</v>
      </c>
      <c r="I51" t="s">
        <v>192</v>
      </c>
      <c r="J51">
        <v>3.6290814816873851E-2</v>
      </c>
      <c r="K51" t="s">
        <v>193</v>
      </c>
      <c r="L51" t="s">
        <v>192</v>
      </c>
      <c r="P51" t="s">
        <v>240</v>
      </c>
      <c r="Q51" t="s">
        <v>256</v>
      </c>
      <c r="R51" t="s">
        <v>248</v>
      </c>
      <c r="U51" t="s">
        <v>139</v>
      </c>
      <c r="V51" t="s">
        <v>312</v>
      </c>
      <c r="W51" t="s">
        <v>303</v>
      </c>
      <c r="X51" t="s">
        <v>264</v>
      </c>
    </row>
    <row r="52" spans="8:24" x14ac:dyDescent="0.45">
      <c r="H52" t="s">
        <v>241</v>
      </c>
      <c r="I52" t="s">
        <v>192</v>
      </c>
      <c r="J52">
        <v>2.4406182499997004E-2</v>
      </c>
      <c r="K52" t="s">
        <v>193</v>
      </c>
      <c r="L52" t="s">
        <v>192</v>
      </c>
      <c r="P52" t="s">
        <v>241</v>
      </c>
      <c r="Q52" t="s">
        <v>257</v>
      </c>
      <c r="R52" t="s">
        <v>248</v>
      </c>
      <c r="U52" t="s">
        <v>139</v>
      </c>
      <c r="V52" t="s">
        <v>313</v>
      </c>
      <c r="W52" t="s">
        <v>303</v>
      </c>
      <c r="X52" t="s">
        <v>264</v>
      </c>
    </row>
    <row r="53" spans="8:24" x14ac:dyDescent="0.45">
      <c r="H53" t="s">
        <v>242</v>
      </c>
      <c r="I53" t="s">
        <v>192</v>
      </c>
      <c r="J53">
        <v>2.4401212440086691E-2</v>
      </c>
      <c r="K53" t="s">
        <v>193</v>
      </c>
      <c r="L53" t="s">
        <v>192</v>
      </c>
      <c r="P53" t="s">
        <v>242</v>
      </c>
      <c r="Q53" t="s">
        <v>258</v>
      </c>
      <c r="R53" t="s">
        <v>248</v>
      </c>
      <c r="U53" t="s">
        <v>139</v>
      </c>
      <c r="V53" t="s">
        <v>314</v>
      </c>
      <c r="W53" t="s">
        <v>303</v>
      </c>
      <c r="X53" t="s">
        <v>264</v>
      </c>
    </row>
    <row r="54" spans="8:24" x14ac:dyDescent="0.45">
      <c r="H54" t="s">
        <v>243</v>
      </c>
      <c r="I54" t="s">
        <v>192</v>
      </c>
      <c r="J54">
        <v>1.9628712411200774E-2</v>
      </c>
      <c r="K54" t="s">
        <v>193</v>
      </c>
      <c r="L54" t="s">
        <v>192</v>
      </c>
      <c r="P54" t="s">
        <v>243</v>
      </c>
      <c r="Q54" t="s">
        <v>259</v>
      </c>
      <c r="R54" t="s">
        <v>248</v>
      </c>
      <c r="U54" t="s">
        <v>139</v>
      </c>
      <c r="V54" t="s">
        <v>315</v>
      </c>
      <c r="W54" t="s">
        <v>303</v>
      </c>
      <c r="X54" t="s">
        <v>264</v>
      </c>
    </row>
    <row r="55" spans="8:24" x14ac:dyDescent="0.45">
      <c r="H55" t="s">
        <v>244</v>
      </c>
      <c r="I55" t="s">
        <v>192</v>
      </c>
      <c r="J55">
        <v>1.5863188718767726E-2</v>
      </c>
      <c r="K55" t="s">
        <v>193</v>
      </c>
      <c r="L55" t="s">
        <v>192</v>
      </c>
      <c r="P55" t="s">
        <v>244</v>
      </c>
      <c r="Q55" t="s">
        <v>260</v>
      </c>
      <c r="R55" t="s">
        <v>248</v>
      </c>
      <c r="U55" t="s">
        <v>139</v>
      </c>
      <c r="V55" t="s">
        <v>316</v>
      </c>
      <c r="W55" t="s">
        <v>303</v>
      </c>
      <c r="X55" t="s">
        <v>264</v>
      </c>
    </row>
    <row r="56" spans="8:24" x14ac:dyDescent="0.45">
      <c r="U56" t="s">
        <v>139</v>
      </c>
      <c r="V56" t="s">
        <v>317</v>
      </c>
      <c r="W56" t="s">
        <v>303</v>
      </c>
      <c r="X56" t="s">
        <v>264</v>
      </c>
    </row>
    <row r="57" spans="8:24" x14ac:dyDescent="0.45">
      <c r="U57" t="s">
        <v>139</v>
      </c>
      <c r="V57" t="s">
        <v>318</v>
      </c>
      <c r="W57" t="s">
        <v>303</v>
      </c>
      <c r="X57" t="s">
        <v>264</v>
      </c>
    </row>
    <row r="58" spans="8:24" x14ac:dyDescent="0.45">
      <c r="U58" t="s">
        <v>139</v>
      </c>
      <c r="V58" t="s">
        <v>319</v>
      </c>
      <c r="W58" t="s">
        <v>303</v>
      </c>
      <c r="X58" t="s">
        <v>264</v>
      </c>
    </row>
    <row r="59" spans="8:24" x14ac:dyDescent="0.45">
      <c r="U59" t="s">
        <v>139</v>
      </c>
      <c r="V59" t="s">
        <v>320</v>
      </c>
      <c r="W59" t="s">
        <v>303</v>
      </c>
      <c r="X59" t="s">
        <v>264</v>
      </c>
    </row>
    <row r="60" spans="8:24" x14ac:dyDescent="0.45">
      <c r="U60" t="s">
        <v>139</v>
      </c>
      <c r="V60" t="s">
        <v>321</v>
      </c>
      <c r="W60" t="s">
        <v>303</v>
      </c>
      <c r="X60" t="s">
        <v>264</v>
      </c>
    </row>
    <row r="61" spans="8:24" x14ac:dyDescent="0.45">
      <c r="U61" t="s">
        <v>139</v>
      </c>
      <c r="V61" t="s">
        <v>322</v>
      </c>
      <c r="W61" t="s">
        <v>254</v>
      </c>
      <c r="X61" t="s">
        <v>264</v>
      </c>
    </row>
    <row r="62" spans="8:24" x14ac:dyDescent="0.45">
      <c r="U62" t="s">
        <v>139</v>
      </c>
      <c r="V62" t="s">
        <v>323</v>
      </c>
      <c r="W62" t="s">
        <v>254</v>
      </c>
      <c r="X62" t="s">
        <v>264</v>
      </c>
    </row>
    <row r="63" spans="8:24" x14ac:dyDescent="0.45">
      <c r="U63" t="s">
        <v>139</v>
      </c>
      <c r="V63" t="s">
        <v>324</v>
      </c>
      <c r="W63" t="s">
        <v>254</v>
      </c>
      <c r="X63" t="s">
        <v>264</v>
      </c>
    </row>
    <row r="64" spans="8:24" x14ac:dyDescent="0.45">
      <c r="U64" t="s">
        <v>139</v>
      </c>
      <c r="V64" t="s">
        <v>325</v>
      </c>
      <c r="W64" t="s">
        <v>254</v>
      </c>
      <c r="X64" t="s">
        <v>264</v>
      </c>
    </row>
    <row r="65" spans="21:24" x14ac:dyDescent="0.45">
      <c r="U65" t="s">
        <v>139</v>
      </c>
      <c r="V65" t="s">
        <v>326</v>
      </c>
      <c r="W65" t="s">
        <v>254</v>
      </c>
      <c r="X65" t="s">
        <v>264</v>
      </c>
    </row>
    <row r="66" spans="21:24" x14ac:dyDescent="0.45">
      <c r="U66" t="s">
        <v>139</v>
      </c>
      <c r="V66" t="s">
        <v>327</v>
      </c>
      <c r="W66" t="s">
        <v>254</v>
      </c>
      <c r="X66" t="s">
        <v>264</v>
      </c>
    </row>
    <row r="67" spans="21:24" x14ac:dyDescent="0.45">
      <c r="U67" t="s">
        <v>139</v>
      </c>
      <c r="V67" t="s">
        <v>328</v>
      </c>
      <c r="W67" t="s">
        <v>254</v>
      </c>
      <c r="X67" t="s">
        <v>264</v>
      </c>
    </row>
    <row r="68" spans="21:24" x14ac:dyDescent="0.45">
      <c r="U68" t="s">
        <v>139</v>
      </c>
      <c r="V68" t="s">
        <v>329</v>
      </c>
      <c r="W68" t="s">
        <v>254</v>
      </c>
      <c r="X68" t="s">
        <v>264</v>
      </c>
    </row>
    <row r="69" spans="21:24" x14ac:dyDescent="0.45">
      <c r="U69" t="s">
        <v>139</v>
      </c>
      <c r="V69" t="s">
        <v>330</v>
      </c>
      <c r="W69" t="s">
        <v>254</v>
      </c>
      <c r="X69" t="s">
        <v>264</v>
      </c>
    </row>
    <row r="70" spans="21:24" x14ac:dyDescent="0.45">
      <c r="U70" t="s">
        <v>139</v>
      </c>
      <c r="V70" t="s">
        <v>331</v>
      </c>
      <c r="W70" t="s">
        <v>254</v>
      </c>
      <c r="X70" t="s">
        <v>264</v>
      </c>
    </row>
    <row r="71" spans="21:24" x14ac:dyDescent="0.45">
      <c r="U71" t="s">
        <v>139</v>
      </c>
      <c r="V71" t="s">
        <v>332</v>
      </c>
      <c r="W71" t="s">
        <v>254</v>
      </c>
      <c r="X71" t="s">
        <v>264</v>
      </c>
    </row>
    <row r="72" spans="21:24" x14ac:dyDescent="0.45">
      <c r="U72" t="s">
        <v>139</v>
      </c>
      <c r="V72" t="s">
        <v>333</v>
      </c>
      <c r="W72" t="s">
        <v>254</v>
      </c>
      <c r="X72" t="s">
        <v>264</v>
      </c>
    </row>
    <row r="73" spans="21:24" x14ac:dyDescent="0.45">
      <c r="U73" t="s">
        <v>139</v>
      </c>
      <c r="V73" t="s">
        <v>334</v>
      </c>
      <c r="W73" t="s">
        <v>254</v>
      </c>
      <c r="X73" t="s">
        <v>264</v>
      </c>
    </row>
    <row r="74" spans="21:24" x14ac:dyDescent="0.45">
      <c r="U74" t="s">
        <v>139</v>
      </c>
      <c r="V74" t="s">
        <v>335</v>
      </c>
      <c r="W74" t="s">
        <v>254</v>
      </c>
      <c r="X74" t="s">
        <v>264</v>
      </c>
    </row>
    <row r="75" spans="21:24" x14ac:dyDescent="0.45">
      <c r="U75" t="s">
        <v>139</v>
      </c>
      <c r="V75" t="s">
        <v>336</v>
      </c>
      <c r="W75" t="s">
        <v>254</v>
      </c>
      <c r="X75" t="s">
        <v>264</v>
      </c>
    </row>
    <row r="76" spans="21:24" x14ac:dyDescent="0.45">
      <c r="U76" t="s">
        <v>139</v>
      </c>
      <c r="V76" t="s">
        <v>337</v>
      </c>
      <c r="W76" t="s">
        <v>254</v>
      </c>
      <c r="X76" t="s">
        <v>264</v>
      </c>
    </row>
    <row r="77" spans="21:24" x14ac:dyDescent="0.45">
      <c r="U77" t="s">
        <v>139</v>
      </c>
      <c r="V77" t="s">
        <v>338</v>
      </c>
      <c r="W77" t="s">
        <v>254</v>
      </c>
      <c r="X77" t="s">
        <v>264</v>
      </c>
    </row>
    <row r="78" spans="21:24" x14ac:dyDescent="0.45">
      <c r="U78" t="s">
        <v>139</v>
      </c>
      <c r="V78" t="s">
        <v>339</v>
      </c>
      <c r="W78" t="s">
        <v>254</v>
      </c>
      <c r="X78" t="s">
        <v>264</v>
      </c>
    </row>
    <row r="79" spans="21:24" x14ac:dyDescent="0.45">
      <c r="U79" t="s">
        <v>139</v>
      </c>
      <c r="V79" t="s">
        <v>340</v>
      </c>
      <c r="W79" t="s">
        <v>254</v>
      </c>
      <c r="X79" t="s">
        <v>264</v>
      </c>
    </row>
    <row r="80" spans="21:24" x14ac:dyDescent="0.45">
      <c r="U80" t="s">
        <v>139</v>
      </c>
      <c r="V80" t="s">
        <v>341</v>
      </c>
      <c r="W80" t="s">
        <v>251</v>
      </c>
      <c r="X80" t="s">
        <v>264</v>
      </c>
    </row>
    <row r="81" spans="21:24" x14ac:dyDescent="0.45">
      <c r="U81" t="s">
        <v>139</v>
      </c>
      <c r="V81" t="s">
        <v>342</v>
      </c>
      <c r="W81" t="s">
        <v>251</v>
      </c>
      <c r="X81" t="s">
        <v>264</v>
      </c>
    </row>
    <row r="82" spans="21:24" x14ac:dyDescent="0.45">
      <c r="U82" t="s">
        <v>139</v>
      </c>
      <c r="V82" t="s">
        <v>343</v>
      </c>
      <c r="W82" t="s">
        <v>251</v>
      </c>
      <c r="X82" t="s">
        <v>264</v>
      </c>
    </row>
    <row r="83" spans="21:24" x14ac:dyDescent="0.45">
      <c r="U83" t="s">
        <v>139</v>
      </c>
      <c r="V83" t="s">
        <v>344</v>
      </c>
      <c r="W83" t="s">
        <v>251</v>
      </c>
      <c r="X83" t="s">
        <v>264</v>
      </c>
    </row>
    <row r="84" spans="21:24" x14ac:dyDescent="0.45">
      <c r="U84" t="s">
        <v>139</v>
      </c>
      <c r="V84" t="s">
        <v>345</v>
      </c>
      <c r="W84" t="s">
        <v>251</v>
      </c>
      <c r="X84" t="s">
        <v>264</v>
      </c>
    </row>
    <row r="85" spans="21:24" x14ac:dyDescent="0.45">
      <c r="U85" t="s">
        <v>139</v>
      </c>
      <c r="V85" t="s">
        <v>346</v>
      </c>
      <c r="W85" t="s">
        <v>251</v>
      </c>
      <c r="X85" t="s">
        <v>264</v>
      </c>
    </row>
    <row r="86" spans="21:24" x14ac:dyDescent="0.45">
      <c r="U86" t="s">
        <v>139</v>
      </c>
      <c r="V86" t="s">
        <v>347</v>
      </c>
      <c r="W86" t="s">
        <v>251</v>
      </c>
      <c r="X86" t="s">
        <v>264</v>
      </c>
    </row>
    <row r="87" spans="21:24" x14ac:dyDescent="0.45">
      <c r="U87" t="s">
        <v>139</v>
      </c>
      <c r="V87" t="s">
        <v>348</v>
      </c>
      <c r="W87" t="s">
        <v>251</v>
      </c>
      <c r="X87" t="s">
        <v>264</v>
      </c>
    </row>
    <row r="88" spans="21:24" x14ac:dyDescent="0.45">
      <c r="U88" t="s">
        <v>139</v>
      </c>
      <c r="V88" t="s">
        <v>349</v>
      </c>
      <c r="W88" t="s">
        <v>251</v>
      </c>
      <c r="X88" t="s">
        <v>264</v>
      </c>
    </row>
    <row r="89" spans="21:24" x14ac:dyDescent="0.45">
      <c r="U89" t="s">
        <v>139</v>
      </c>
      <c r="V89" t="s">
        <v>350</v>
      </c>
      <c r="W89" t="s">
        <v>251</v>
      </c>
      <c r="X89" t="s">
        <v>264</v>
      </c>
    </row>
    <row r="90" spans="21:24" x14ac:dyDescent="0.45">
      <c r="U90" t="s">
        <v>139</v>
      </c>
      <c r="V90" t="s">
        <v>351</v>
      </c>
      <c r="W90" t="s">
        <v>251</v>
      </c>
      <c r="X90" t="s">
        <v>264</v>
      </c>
    </row>
    <row r="91" spans="21:24" x14ac:dyDescent="0.45">
      <c r="U91" t="s">
        <v>139</v>
      </c>
      <c r="V91" t="s">
        <v>352</v>
      </c>
      <c r="W91" t="s">
        <v>251</v>
      </c>
      <c r="X91" t="s">
        <v>264</v>
      </c>
    </row>
    <row r="92" spans="21:24" x14ac:dyDescent="0.45">
      <c r="U92" t="s">
        <v>139</v>
      </c>
      <c r="V92" t="s">
        <v>353</v>
      </c>
      <c r="W92" t="s">
        <v>251</v>
      </c>
      <c r="X92" t="s">
        <v>264</v>
      </c>
    </row>
    <row r="93" spans="21:24" x14ac:dyDescent="0.45">
      <c r="U93" t="s">
        <v>139</v>
      </c>
      <c r="V93" t="s">
        <v>354</v>
      </c>
      <c r="W93" t="s">
        <v>251</v>
      </c>
      <c r="X93" t="s">
        <v>264</v>
      </c>
    </row>
    <row r="94" spans="21:24" x14ac:dyDescent="0.45">
      <c r="U94" t="s">
        <v>139</v>
      </c>
      <c r="V94" t="s">
        <v>355</v>
      </c>
      <c r="W94" t="s">
        <v>251</v>
      </c>
      <c r="X94" t="s">
        <v>264</v>
      </c>
    </row>
    <row r="95" spans="21:24" x14ac:dyDescent="0.45">
      <c r="U95" t="s">
        <v>139</v>
      </c>
      <c r="V95" t="s">
        <v>356</v>
      </c>
      <c r="W95" t="s">
        <v>251</v>
      </c>
      <c r="X95" t="s">
        <v>264</v>
      </c>
    </row>
    <row r="96" spans="21:24" x14ac:dyDescent="0.45">
      <c r="U96" t="s">
        <v>139</v>
      </c>
      <c r="V96" t="s">
        <v>357</v>
      </c>
      <c r="W96" t="s">
        <v>251</v>
      </c>
      <c r="X96" t="s">
        <v>264</v>
      </c>
    </row>
    <row r="97" spans="21:24" x14ac:dyDescent="0.45">
      <c r="U97" t="s">
        <v>139</v>
      </c>
      <c r="V97" t="s">
        <v>358</v>
      </c>
      <c r="W97" t="s">
        <v>251</v>
      </c>
      <c r="X97" t="s">
        <v>264</v>
      </c>
    </row>
    <row r="98" spans="21:24" x14ac:dyDescent="0.45">
      <c r="U98" t="s">
        <v>139</v>
      </c>
      <c r="V98" t="s">
        <v>359</v>
      </c>
      <c r="W98" t="s">
        <v>251</v>
      </c>
      <c r="X98" t="s">
        <v>264</v>
      </c>
    </row>
    <row r="99" spans="21:24" x14ac:dyDescent="0.45">
      <c r="U99" t="s">
        <v>139</v>
      </c>
      <c r="V99" t="s">
        <v>360</v>
      </c>
      <c r="W99" t="s">
        <v>249</v>
      </c>
      <c r="X99" t="s">
        <v>264</v>
      </c>
    </row>
    <row r="100" spans="21:24" x14ac:dyDescent="0.45">
      <c r="U100" t="s">
        <v>139</v>
      </c>
      <c r="V100" t="s">
        <v>361</v>
      </c>
      <c r="W100" t="s">
        <v>249</v>
      </c>
      <c r="X100" t="s">
        <v>264</v>
      </c>
    </row>
    <row r="101" spans="21:24" x14ac:dyDescent="0.45">
      <c r="U101" t="s">
        <v>139</v>
      </c>
      <c r="V101" t="s">
        <v>362</v>
      </c>
      <c r="W101" t="s">
        <v>249</v>
      </c>
      <c r="X101" t="s">
        <v>264</v>
      </c>
    </row>
    <row r="102" spans="21:24" x14ac:dyDescent="0.45">
      <c r="U102" t="s">
        <v>139</v>
      </c>
      <c r="V102" t="s">
        <v>363</v>
      </c>
      <c r="W102" t="s">
        <v>249</v>
      </c>
      <c r="X102" t="s">
        <v>264</v>
      </c>
    </row>
    <row r="103" spans="21:24" x14ac:dyDescent="0.45">
      <c r="U103" t="s">
        <v>139</v>
      </c>
      <c r="V103" t="s">
        <v>364</v>
      </c>
      <c r="W103" t="s">
        <v>249</v>
      </c>
      <c r="X103" t="s">
        <v>264</v>
      </c>
    </row>
    <row r="104" spans="21:24" x14ac:dyDescent="0.45">
      <c r="U104" t="s">
        <v>139</v>
      </c>
      <c r="V104" t="s">
        <v>365</v>
      </c>
      <c r="W104" t="s">
        <v>249</v>
      </c>
      <c r="X104" t="s">
        <v>264</v>
      </c>
    </row>
    <row r="105" spans="21:24" x14ac:dyDescent="0.45">
      <c r="U105" t="s">
        <v>139</v>
      </c>
      <c r="V105" t="s">
        <v>366</v>
      </c>
      <c r="W105" t="s">
        <v>249</v>
      </c>
      <c r="X105" t="s">
        <v>264</v>
      </c>
    </row>
    <row r="106" spans="21:24" x14ac:dyDescent="0.45">
      <c r="U106" t="s">
        <v>139</v>
      </c>
      <c r="V106" t="s">
        <v>367</v>
      </c>
      <c r="W106" t="s">
        <v>249</v>
      </c>
      <c r="X106" t="s">
        <v>264</v>
      </c>
    </row>
    <row r="107" spans="21:24" x14ac:dyDescent="0.45">
      <c r="U107" t="s">
        <v>139</v>
      </c>
      <c r="V107" t="s">
        <v>368</v>
      </c>
      <c r="W107" t="s">
        <v>249</v>
      </c>
      <c r="X107" t="s">
        <v>264</v>
      </c>
    </row>
    <row r="108" spans="21:24" x14ac:dyDescent="0.45">
      <c r="U108" t="s">
        <v>139</v>
      </c>
      <c r="V108" t="s">
        <v>369</v>
      </c>
      <c r="W108" t="s">
        <v>249</v>
      </c>
      <c r="X108" t="s">
        <v>264</v>
      </c>
    </row>
    <row r="109" spans="21:24" x14ac:dyDescent="0.45">
      <c r="U109" t="s">
        <v>139</v>
      </c>
      <c r="V109" t="s">
        <v>370</v>
      </c>
      <c r="W109" t="s">
        <v>249</v>
      </c>
      <c r="X109" t="s">
        <v>264</v>
      </c>
    </row>
    <row r="110" spans="21:24" x14ac:dyDescent="0.45">
      <c r="U110" t="s">
        <v>139</v>
      </c>
      <c r="V110" t="s">
        <v>371</v>
      </c>
      <c r="W110" t="s">
        <v>249</v>
      </c>
      <c r="X110" t="s">
        <v>264</v>
      </c>
    </row>
    <row r="111" spans="21:24" x14ac:dyDescent="0.45">
      <c r="U111" t="s">
        <v>139</v>
      </c>
      <c r="V111" t="s">
        <v>372</v>
      </c>
      <c r="W111" t="s">
        <v>249</v>
      </c>
      <c r="X111" t="s">
        <v>264</v>
      </c>
    </row>
    <row r="112" spans="21:24" x14ac:dyDescent="0.45">
      <c r="U112" t="s">
        <v>139</v>
      </c>
      <c r="V112" t="s">
        <v>373</v>
      </c>
      <c r="W112" t="s">
        <v>249</v>
      </c>
      <c r="X112" t="s">
        <v>264</v>
      </c>
    </row>
    <row r="113" spans="21:24" x14ac:dyDescent="0.45">
      <c r="U113" t="s">
        <v>139</v>
      </c>
      <c r="V113" t="s">
        <v>374</v>
      </c>
      <c r="W113" t="s">
        <v>249</v>
      </c>
      <c r="X113" t="s">
        <v>264</v>
      </c>
    </row>
    <row r="114" spans="21:24" x14ac:dyDescent="0.45">
      <c r="U114" t="s">
        <v>139</v>
      </c>
      <c r="V114" t="s">
        <v>375</v>
      </c>
      <c r="W114" t="s">
        <v>249</v>
      </c>
      <c r="X114" t="s">
        <v>264</v>
      </c>
    </row>
    <row r="115" spans="21:24" x14ac:dyDescent="0.45">
      <c r="U115" t="s">
        <v>139</v>
      </c>
      <c r="V115" t="s">
        <v>376</v>
      </c>
      <c r="W115" t="s">
        <v>249</v>
      </c>
      <c r="X115" t="s">
        <v>264</v>
      </c>
    </row>
    <row r="116" spans="21:24" x14ac:dyDescent="0.45">
      <c r="U116" t="s">
        <v>139</v>
      </c>
      <c r="V116" t="s">
        <v>377</v>
      </c>
      <c r="W116" t="s">
        <v>249</v>
      </c>
      <c r="X116" t="s">
        <v>264</v>
      </c>
    </row>
    <row r="117" spans="21:24" x14ac:dyDescent="0.45">
      <c r="U117" t="s">
        <v>139</v>
      </c>
      <c r="V117" t="s">
        <v>378</v>
      </c>
      <c r="W117" t="s">
        <v>249</v>
      </c>
      <c r="X117" t="s">
        <v>264</v>
      </c>
    </row>
    <row r="118" spans="21:24" x14ac:dyDescent="0.45">
      <c r="U118" t="s">
        <v>139</v>
      </c>
      <c r="V118" t="s">
        <v>379</v>
      </c>
      <c r="W118" t="s">
        <v>247</v>
      </c>
      <c r="X118" t="s">
        <v>264</v>
      </c>
    </row>
    <row r="119" spans="21:24" x14ac:dyDescent="0.45">
      <c r="U119" t="s">
        <v>139</v>
      </c>
      <c r="V119" t="s">
        <v>380</v>
      </c>
      <c r="W119" t="s">
        <v>247</v>
      </c>
      <c r="X119" t="s">
        <v>264</v>
      </c>
    </row>
    <row r="120" spans="21:24" x14ac:dyDescent="0.45">
      <c r="U120" t="s">
        <v>139</v>
      </c>
      <c r="V120" t="s">
        <v>381</v>
      </c>
      <c r="W120" t="s">
        <v>247</v>
      </c>
      <c r="X120" t="s">
        <v>264</v>
      </c>
    </row>
    <row r="121" spans="21:24" x14ac:dyDescent="0.45">
      <c r="U121" t="s">
        <v>139</v>
      </c>
      <c r="V121" t="s">
        <v>382</v>
      </c>
      <c r="W121" t="s">
        <v>247</v>
      </c>
      <c r="X121" t="s">
        <v>264</v>
      </c>
    </row>
    <row r="122" spans="21:24" x14ac:dyDescent="0.45">
      <c r="U122" t="s">
        <v>139</v>
      </c>
      <c r="V122" t="s">
        <v>383</v>
      </c>
      <c r="W122" t="s">
        <v>247</v>
      </c>
      <c r="X122" t="s">
        <v>264</v>
      </c>
    </row>
    <row r="123" spans="21:24" x14ac:dyDescent="0.45">
      <c r="U123" t="s">
        <v>139</v>
      </c>
      <c r="V123" t="s">
        <v>384</v>
      </c>
      <c r="W123" t="s">
        <v>247</v>
      </c>
      <c r="X123" t="s">
        <v>264</v>
      </c>
    </row>
    <row r="124" spans="21:24" x14ac:dyDescent="0.45">
      <c r="U124" t="s">
        <v>139</v>
      </c>
      <c r="V124" t="s">
        <v>385</v>
      </c>
      <c r="W124" t="s">
        <v>247</v>
      </c>
      <c r="X124" t="s">
        <v>264</v>
      </c>
    </row>
    <row r="125" spans="21:24" x14ac:dyDescent="0.45">
      <c r="U125" t="s">
        <v>139</v>
      </c>
      <c r="V125" t="s">
        <v>386</v>
      </c>
      <c r="W125" t="s">
        <v>247</v>
      </c>
      <c r="X125" t="s">
        <v>264</v>
      </c>
    </row>
    <row r="126" spans="21:24" x14ac:dyDescent="0.45">
      <c r="U126" t="s">
        <v>139</v>
      </c>
      <c r="V126" t="s">
        <v>387</v>
      </c>
      <c r="W126" t="s">
        <v>247</v>
      </c>
      <c r="X126" t="s">
        <v>264</v>
      </c>
    </row>
    <row r="127" spans="21:24" x14ac:dyDescent="0.45">
      <c r="U127" t="s">
        <v>139</v>
      </c>
      <c r="V127" t="s">
        <v>388</v>
      </c>
      <c r="W127" t="s">
        <v>247</v>
      </c>
      <c r="X127" t="s">
        <v>264</v>
      </c>
    </row>
    <row r="128" spans="21:24" x14ac:dyDescent="0.45">
      <c r="U128" t="s">
        <v>139</v>
      </c>
      <c r="V128" t="s">
        <v>389</v>
      </c>
      <c r="W128" t="s">
        <v>247</v>
      </c>
      <c r="X128" t="s">
        <v>264</v>
      </c>
    </row>
    <row r="129" spans="21:24" x14ac:dyDescent="0.45">
      <c r="U129" t="s">
        <v>139</v>
      </c>
      <c r="V129" t="s">
        <v>390</v>
      </c>
      <c r="W129" t="s">
        <v>247</v>
      </c>
      <c r="X129" t="s">
        <v>264</v>
      </c>
    </row>
    <row r="130" spans="21:24" x14ac:dyDescent="0.45">
      <c r="U130" t="s">
        <v>139</v>
      </c>
      <c r="V130" t="s">
        <v>391</v>
      </c>
      <c r="W130" t="s">
        <v>247</v>
      </c>
      <c r="X130" t="s">
        <v>264</v>
      </c>
    </row>
    <row r="131" spans="21:24" x14ac:dyDescent="0.45">
      <c r="U131" t="s">
        <v>139</v>
      </c>
      <c r="V131" t="s">
        <v>392</v>
      </c>
      <c r="W131" t="s">
        <v>247</v>
      </c>
      <c r="X131" t="s">
        <v>264</v>
      </c>
    </row>
    <row r="132" spans="21:24" x14ac:dyDescent="0.45">
      <c r="U132" t="s">
        <v>139</v>
      </c>
      <c r="V132" t="s">
        <v>393</v>
      </c>
      <c r="W132" t="s">
        <v>247</v>
      </c>
      <c r="X132" t="s">
        <v>264</v>
      </c>
    </row>
    <row r="133" spans="21:24" x14ac:dyDescent="0.45">
      <c r="U133" t="s">
        <v>139</v>
      </c>
      <c r="V133" t="s">
        <v>394</v>
      </c>
      <c r="W133" t="s">
        <v>247</v>
      </c>
      <c r="X133" t="s">
        <v>264</v>
      </c>
    </row>
    <row r="134" spans="21:24" x14ac:dyDescent="0.45">
      <c r="U134" t="s">
        <v>139</v>
      </c>
      <c r="V134" t="s">
        <v>395</v>
      </c>
      <c r="W134" t="s">
        <v>247</v>
      </c>
      <c r="X134" t="s">
        <v>264</v>
      </c>
    </row>
    <row r="135" spans="21:24" x14ac:dyDescent="0.45">
      <c r="U135" t="s">
        <v>139</v>
      </c>
      <c r="V135" t="s">
        <v>396</v>
      </c>
      <c r="W135" t="s">
        <v>247</v>
      </c>
      <c r="X135" t="s">
        <v>264</v>
      </c>
    </row>
    <row r="136" spans="21:24" x14ac:dyDescent="0.45">
      <c r="U136" t="s">
        <v>139</v>
      </c>
      <c r="V136" t="s">
        <v>397</v>
      </c>
      <c r="W136" t="s">
        <v>247</v>
      </c>
      <c r="X136" t="s">
        <v>264</v>
      </c>
    </row>
    <row r="137" spans="21:24" x14ac:dyDescent="0.45">
      <c r="U137" t="s">
        <v>139</v>
      </c>
      <c r="V137" t="s">
        <v>398</v>
      </c>
      <c r="W137" t="s">
        <v>259</v>
      </c>
      <c r="X137" t="s">
        <v>264</v>
      </c>
    </row>
    <row r="138" spans="21:24" x14ac:dyDescent="0.45">
      <c r="U138" t="s">
        <v>139</v>
      </c>
      <c r="V138" t="s">
        <v>399</v>
      </c>
      <c r="W138" t="s">
        <v>259</v>
      </c>
      <c r="X138" t="s">
        <v>264</v>
      </c>
    </row>
    <row r="139" spans="21:24" x14ac:dyDescent="0.45">
      <c r="U139" t="s">
        <v>139</v>
      </c>
      <c r="V139" t="s">
        <v>400</v>
      </c>
      <c r="W139" t="s">
        <v>259</v>
      </c>
      <c r="X139" t="s">
        <v>264</v>
      </c>
    </row>
    <row r="140" spans="21:24" x14ac:dyDescent="0.45">
      <c r="U140" t="s">
        <v>139</v>
      </c>
      <c r="V140" t="s">
        <v>401</v>
      </c>
      <c r="W140" t="s">
        <v>259</v>
      </c>
      <c r="X140" t="s">
        <v>264</v>
      </c>
    </row>
    <row r="141" spans="21:24" x14ac:dyDescent="0.45">
      <c r="U141" t="s">
        <v>139</v>
      </c>
      <c r="V141" t="s">
        <v>402</v>
      </c>
      <c r="W141" t="s">
        <v>259</v>
      </c>
      <c r="X141" t="s">
        <v>264</v>
      </c>
    </row>
    <row r="142" spans="21:24" x14ac:dyDescent="0.45">
      <c r="U142" t="s">
        <v>139</v>
      </c>
      <c r="V142" t="s">
        <v>403</v>
      </c>
      <c r="W142" t="s">
        <v>259</v>
      </c>
      <c r="X142" t="s">
        <v>264</v>
      </c>
    </row>
    <row r="143" spans="21:24" x14ac:dyDescent="0.45">
      <c r="U143" t="s">
        <v>139</v>
      </c>
      <c r="V143" t="s">
        <v>404</v>
      </c>
      <c r="W143" t="s">
        <v>259</v>
      </c>
      <c r="X143" t="s">
        <v>264</v>
      </c>
    </row>
    <row r="144" spans="21:24" x14ac:dyDescent="0.45">
      <c r="U144" t="s">
        <v>139</v>
      </c>
      <c r="V144" t="s">
        <v>405</v>
      </c>
      <c r="W144" t="s">
        <v>259</v>
      </c>
      <c r="X144" t="s">
        <v>264</v>
      </c>
    </row>
    <row r="145" spans="21:24" x14ac:dyDescent="0.45">
      <c r="U145" t="s">
        <v>139</v>
      </c>
      <c r="V145" t="s">
        <v>406</v>
      </c>
      <c r="W145" t="s">
        <v>259</v>
      </c>
      <c r="X145" t="s">
        <v>264</v>
      </c>
    </row>
    <row r="146" spans="21:24" x14ac:dyDescent="0.45">
      <c r="U146" t="s">
        <v>139</v>
      </c>
      <c r="V146" t="s">
        <v>407</v>
      </c>
      <c r="W146" t="s">
        <v>259</v>
      </c>
      <c r="X146" t="s">
        <v>264</v>
      </c>
    </row>
    <row r="147" spans="21:24" x14ac:dyDescent="0.45">
      <c r="U147" t="s">
        <v>139</v>
      </c>
      <c r="V147" t="s">
        <v>408</v>
      </c>
      <c r="W147" t="s">
        <v>259</v>
      </c>
      <c r="X147" t="s">
        <v>264</v>
      </c>
    </row>
    <row r="148" spans="21:24" x14ac:dyDescent="0.45">
      <c r="U148" t="s">
        <v>139</v>
      </c>
      <c r="V148" t="s">
        <v>409</v>
      </c>
      <c r="W148" t="s">
        <v>259</v>
      </c>
      <c r="X148" t="s">
        <v>264</v>
      </c>
    </row>
    <row r="149" spans="21:24" x14ac:dyDescent="0.45">
      <c r="U149" t="s">
        <v>139</v>
      </c>
      <c r="V149" t="s">
        <v>410</v>
      </c>
      <c r="W149" t="s">
        <v>259</v>
      </c>
      <c r="X149" t="s">
        <v>264</v>
      </c>
    </row>
    <row r="150" spans="21:24" x14ac:dyDescent="0.45">
      <c r="U150" t="s">
        <v>139</v>
      </c>
      <c r="V150" t="s">
        <v>411</v>
      </c>
      <c r="W150" t="s">
        <v>259</v>
      </c>
      <c r="X150" t="s">
        <v>264</v>
      </c>
    </row>
    <row r="151" spans="21:24" x14ac:dyDescent="0.45">
      <c r="U151" t="s">
        <v>139</v>
      </c>
      <c r="V151" t="s">
        <v>412</v>
      </c>
      <c r="W151" t="s">
        <v>259</v>
      </c>
      <c r="X151" t="s">
        <v>264</v>
      </c>
    </row>
    <row r="152" spans="21:24" x14ac:dyDescent="0.45">
      <c r="U152" t="s">
        <v>139</v>
      </c>
      <c r="V152" t="s">
        <v>413</v>
      </c>
      <c r="W152" t="s">
        <v>259</v>
      </c>
      <c r="X152" t="s">
        <v>264</v>
      </c>
    </row>
    <row r="153" spans="21:24" x14ac:dyDescent="0.45">
      <c r="U153" t="s">
        <v>139</v>
      </c>
      <c r="V153" t="s">
        <v>414</v>
      </c>
      <c r="W153" t="s">
        <v>259</v>
      </c>
      <c r="X153" t="s">
        <v>264</v>
      </c>
    </row>
    <row r="154" spans="21:24" x14ac:dyDescent="0.45">
      <c r="U154" t="s">
        <v>139</v>
      </c>
      <c r="V154" t="s">
        <v>415</v>
      </c>
      <c r="W154" t="s">
        <v>259</v>
      </c>
      <c r="X154" t="s">
        <v>264</v>
      </c>
    </row>
    <row r="155" spans="21:24" x14ac:dyDescent="0.45">
      <c r="U155" t="s">
        <v>139</v>
      </c>
      <c r="V155" t="s">
        <v>416</v>
      </c>
      <c r="W155" t="s">
        <v>259</v>
      </c>
      <c r="X155" t="s">
        <v>264</v>
      </c>
    </row>
    <row r="156" spans="21:24" x14ac:dyDescent="0.45">
      <c r="U156" t="s">
        <v>139</v>
      </c>
      <c r="V156" t="s">
        <v>417</v>
      </c>
      <c r="W156" t="s">
        <v>258</v>
      </c>
      <c r="X156" t="s">
        <v>264</v>
      </c>
    </row>
    <row r="157" spans="21:24" x14ac:dyDescent="0.45">
      <c r="U157" t="s">
        <v>139</v>
      </c>
      <c r="V157" t="s">
        <v>418</v>
      </c>
      <c r="W157" t="s">
        <v>258</v>
      </c>
      <c r="X157" t="s">
        <v>264</v>
      </c>
    </row>
    <row r="158" spans="21:24" x14ac:dyDescent="0.45">
      <c r="U158" t="s">
        <v>139</v>
      </c>
      <c r="V158" t="s">
        <v>419</v>
      </c>
      <c r="W158" t="s">
        <v>258</v>
      </c>
      <c r="X158" t="s">
        <v>264</v>
      </c>
    </row>
    <row r="159" spans="21:24" x14ac:dyDescent="0.45">
      <c r="U159" t="s">
        <v>139</v>
      </c>
      <c r="V159" t="s">
        <v>420</v>
      </c>
      <c r="W159" t="s">
        <v>258</v>
      </c>
      <c r="X159" t="s">
        <v>264</v>
      </c>
    </row>
    <row r="160" spans="21:24" x14ac:dyDescent="0.45">
      <c r="U160" t="s">
        <v>139</v>
      </c>
      <c r="V160" t="s">
        <v>421</v>
      </c>
      <c r="W160" t="s">
        <v>258</v>
      </c>
      <c r="X160" t="s">
        <v>264</v>
      </c>
    </row>
    <row r="161" spans="21:24" x14ac:dyDescent="0.45">
      <c r="U161" t="s">
        <v>139</v>
      </c>
      <c r="V161" t="s">
        <v>422</v>
      </c>
      <c r="W161" t="s">
        <v>258</v>
      </c>
      <c r="X161" t="s">
        <v>264</v>
      </c>
    </row>
    <row r="162" spans="21:24" x14ac:dyDescent="0.45">
      <c r="U162" t="s">
        <v>139</v>
      </c>
      <c r="V162" t="s">
        <v>423</v>
      </c>
      <c r="W162" t="s">
        <v>258</v>
      </c>
      <c r="X162" t="s">
        <v>264</v>
      </c>
    </row>
    <row r="163" spans="21:24" x14ac:dyDescent="0.45">
      <c r="U163" t="s">
        <v>139</v>
      </c>
      <c r="V163" t="s">
        <v>424</v>
      </c>
      <c r="W163" t="s">
        <v>258</v>
      </c>
      <c r="X163" t="s">
        <v>264</v>
      </c>
    </row>
    <row r="164" spans="21:24" x14ac:dyDescent="0.45">
      <c r="U164" t="s">
        <v>139</v>
      </c>
      <c r="V164" t="s">
        <v>425</v>
      </c>
      <c r="W164" t="s">
        <v>258</v>
      </c>
      <c r="X164" t="s">
        <v>264</v>
      </c>
    </row>
    <row r="165" spans="21:24" x14ac:dyDescent="0.45">
      <c r="U165" t="s">
        <v>139</v>
      </c>
      <c r="V165" t="s">
        <v>426</v>
      </c>
      <c r="W165" t="s">
        <v>258</v>
      </c>
      <c r="X165" t="s">
        <v>264</v>
      </c>
    </row>
    <row r="166" spans="21:24" x14ac:dyDescent="0.45">
      <c r="U166" t="s">
        <v>139</v>
      </c>
      <c r="V166" t="s">
        <v>427</v>
      </c>
      <c r="W166" t="s">
        <v>258</v>
      </c>
      <c r="X166" t="s">
        <v>264</v>
      </c>
    </row>
    <row r="167" spans="21:24" x14ac:dyDescent="0.45">
      <c r="U167" t="s">
        <v>139</v>
      </c>
      <c r="V167" t="s">
        <v>428</v>
      </c>
      <c r="W167" t="s">
        <v>258</v>
      </c>
      <c r="X167" t="s">
        <v>264</v>
      </c>
    </row>
    <row r="168" spans="21:24" x14ac:dyDescent="0.45">
      <c r="U168" t="s">
        <v>139</v>
      </c>
      <c r="V168" t="s">
        <v>429</v>
      </c>
      <c r="W168" t="s">
        <v>258</v>
      </c>
      <c r="X168" t="s">
        <v>264</v>
      </c>
    </row>
    <row r="169" spans="21:24" x14ac:dyDescent="0.45">
      <c r="U169" t="s">
        <v>139</v>
      </c>
      <c r="V169" t="s">
        <v>430</v>
      </c>
      <c r="W169" t="s">
        <v>258</v>
      </c>
      <c r="X169" t="s">
        <v>264</v>
      </c>
    </row>
    <row r="170" spans="21:24" x14ac:dyDescent="0.45">
      <c r="U170" t="s">
        <v>139</v>
      </c>
      <c r="V170" t="s">
        <v>431</v>
      </c>
      <c r="W170" t="s">
        <v>258</v>
      </c>
      <c r="X170" t="s">
        <v>264</v>
      </c>
    </row>
    <row r="171" spans="21:24" x14ac:dyDescent="0.45">
      <c r="U171" t="s">
        <v>139</v>
      </c>
      <c r="V171" t="s">
        <v>432</v>
      </c>
      <c r="W171" t="s">
        <v>258</v>
      </c>
      <c r="X171" t="s">
        <v>264</v>
      </c>
    </row>
    <row r="172" spans="21:24" x14ac:dyDescent="0.45">
      <c r="U172" t="s">
        <v>139</v>
      </c>
      <c r="V172" t="s">
        <v>433</v>
      </c>
      <c r="W172" t="s">
        <v>258</v>
      </c>
      <c r="X172" t="s">
        <v>264</v>
      </c>
    </row>
    <row r="173" spans="21:24" x14ac:dyDescent="0.45">
      <c r="U173" t="s">
        <v>139</v>
      </c>
      <c r="V173" t="s">
        <v>434</v>
      </c>
      <c r="W173" t="s">
        <v>258</v>
      </c>
      <c r="X173" t="s">
        <v>264</v>
      </c>
    </row>
    <row r="174" spans="21:24" x14ac:dyDescent="0.45">
      <c r="U174" t="s">
        <v>139</v>
      </c>
      <c r="V174" t="s">
        <v>435</v>
      </c>
      <c r="W174" t="s">
        <v>258</v>
      </c>
      <c r="X174" t="s">
        <v>264</v>
      </c>
    </row>
    <row r="175" spans="21:24" x14ac:dyDescent="0.45">
      <c r="U175" t="s">
        <v>139</v>
      </c>
      <c r="V175" t="s">
        <v>436</v>
      </c>
      <c r="W175" t="s">
        <v>256</v>
      </c>
      <c r="X175" t="s">
        <v>264</v>
      </c>
    </row>
    <row r="176" spans="21:24" x14ac:dyDescent="0.45">
      <c r="U176" t="s">
        <v>139</v>
      </c>
      <c r="V176" t="s">
        <v>437</v>
      </c>
      <c r="W176" t="s">
        <v>256</v>
      </c>
      <c r="X176" t="s">
        <v>264</v>
      </c>
    </row>
    <row r="177" spans="21:24" x14ac:dyDescent="0.45">
      <c r="U177" t="s">
        <v>139</v>
      </c>
      <c r="V177" t="s">
        <v>438</v>
      </c>
      <c r="W177" t="s">
        <v>256</v>
      </c>
      <c r="X177" t="s">
        <v>264</v>
      </c>
    </row>
    <row r="178" spans="21:24" x14ac:dyDescent="0.45">
      <c r="U178" t="s">
        <v>139</v>
      </c>
      <c r="V178" t="s">
        <v>439</v>
      </c>
      <c r="W178" t="s">
        <v>256</v>
      </c>
      <c r="X178" t="s">
        <v>264</v>
      </c>
    </row>
    <row r="179" spans="21:24" x14ac:dyDescent="0.45">
      <c r="U179" t="s">
        <v>139</v>
      </c>
      <c r="V179" t="s">
        <v>440</v>
      </c>
      <c r="W179" t="s">
        <v>256</v>
      </c>
      <c r="X179" t="s">
        <v>264</v>
      </c>
    </row>
    <row r="180" spans="21:24" x14ac:dyDescent="0.45">
      <c r="U180" t="s">
        <v>139</v>
      </c>
      <c r="V180" t="s">
        <v>441</v>
      </c>
      <c r="W180" t="s">
        <v>256</v>
      </c>
      <c r="X180" t="s">
        <v>264</v>
      </c>
    </row>
    <row r="181" spans="21:24" x14ac:dyDescent="0.45">
      <c r="U181" t="s">
        <v>139</v>
      </c>
      <c r="V181" t="s">
        <v>442</v>
      </c>
      <c r="W181" t="s">
        <v>256</v>
      </c>
      <c r="X181" t="s">
        <v>264</v>
      </c>
    </row>
    <row r="182" spans="21:24" x14ac:dyDescent="0.45">
      <c r="U182" t="s">
        <v>139</v>
      </c>
      <c r="V182" t="s">
        <v>443</v>
      </c>
      <c r="W182" t="s">
        <v>256</v>
      </c>
      <c r="X182" t="s">
        <v>264</v>
      </c>
    </row>
    <row r="183" spans="21:24" x14ac:dyDescent="0.45">
      <c r="U183" t="s">
        <v>139</v>
      </c>
      <c r="V183" t="s">
        <v>444</v>
      </c>
      <c r="W183" t="s">
        <v>256</v>
      </c>
      <c r="X183" t="s">
        <v>264</v>
      </c>
    </row>
    <row r="184" spans="21:24" x14ac:dyDescent="0.45">
      <c r="U184" t="s">
        <v>139</v>
      </c>
      <c r="V184" t="s">
        <v>445</v>
      </c>
      <c r="W184" t="s">
        <v>256</v>
      </c>
      <c r="X184" t="s">
        <v>264</v>
      </c>
    </row>
    <row r="185" spans="21:24" x14ac:dyDescent="0.45">
      <c r="U185" t="s">
        <v>139</v>
      </c>
      <c r="V185" t="s">
        <v>446</v>
      </c>
      <c r="W185" t="s">
        <v>256</v>
      </c>
      <c r="X185" t="s">
        <v>264</v>
      </c>
    </row>
    <row r="186" spans="21:24" x14ac:dyDescent="0.45">
      <c r="U186" t="s">
        <v>139</v>
      </c>
      <c r="V186" t="s">
        <v>447</v>
      </c>
      <c r="W186" t="s">
        <v>256</v>
      </c>
      <c r="X186" t="s">
        <v>264</v>
      </c>
    </row>
    <row r="187" spans="21:24" x14ac:dyDescent="0.45">
      <c r="U187" t="s">
        <v>139</v>
      </c>
      <c r="V187" t="s">
        <v>448</v>
      </c>
      <c r="W187" t="s">
        <v>256</v>
      </c>
      <c r="X187" t="s">
        <v>264</v>
      </c>
    </row>
    <row r="188" spans="21:24" x14ac:dyDescent="0.45">
      <c r="U188" t="s">
        <v>139</v>
      </c>
      <c r="V188" t="s">
        <v>449</v>
      </c>
      <c r="W188" t="s">
        <v>256</v>
      </c>
      <c r="X188" t="s">
        <v>264</v>
      </c>
    </row>
    <row r="189" spans="21:24" x14ac:dyDescent="0.45">
      <c r="U189" t="s">
        <v>139</v>
      </c>
      <c r="V189" t="s">
        <v>450</v>
      </c>
      <c r="W189" t="s">
        <v>256</v>
      </c>
      <c r="X189" t="s">
        <v>264</v>
      </c>
    </row>
    <row r="190" spans="21:24" x14ac:dyDescent="0.45">
      <c r="U190" t="s">
        <v>139</v>
      </c>
      <c r="V190" t="s">
        <v>451</v>
      </c>
      <c r="W190" t="s">
        <v>256</v>
      </c>
      <c r="X190" t="s">
        <v>264</v>
      </c>
    </row>
    <row r="191" spans="21:24" x14ac:dyDescent="0.45">
      <c r="U191" t="s">
        <v>139</v>
      </c>
      <c r="V191" t="s">
        <v>452</v>
      </c>
      <c r="W191" t="s">
        <v>256</v>
      </c>
      <c r="X191" t="s">
        <v>264</v>
      </c>
    </row>
    <row r="192" spans="21:24" x14ac:dyDescent="0.45">
      <c r="U192" t="s">
        <v>139</v>
      </c>
      <c r="V192" t="s">
        <v>453</v>
      </c>
      <c r="W192" t="s">
        <v>256</v>
      </c>
      <c r="X192" t="s">
        <v>264</v>
      </c>
    </row>
    <row r="193" spans="21:24" x14ac:dyDescent="0.45">
      <c r="U193" t="s">
        <v>139</v>
      </c>
      <c r="V193" t="s">
        <v>454</v>
      </c>
      <c r="W193" t="s">
        <v>256</v>
      </c>
      <c r="X193" t="s">
        <v>264</v>
      </c>
    </row>
    <row r="194" spans="21:24" x14ac:dyDescent="0.45">
      <c r="U194" t="s">
        <v>139</v>
      </c>
      <c r="V194" t="s">
        <v>455</v>
      </c>
      <c r="W194" t="s">
        <v>456</v>
      </c>
      <c r="X194" t="s">
        <v>264</v>
      </c>
    </row>
    <row r="195" spans="21:24" x14ac:dyDescent="0.45">
      <c r="U195" t="s">
        <v>139</v>
      </c>
      <c r="V195" t="s">
        <v>457</v>
      </c>
      <c r="W195" t="s">
        <v>456</v>
      </c>
      <c r="X195" t="s">
        <v>264</v>
      </c>
    </row>
    <row r="196" spans="21:24" x14ac:dyDescent="0.45">
      <c r="U196" t="s">
        <v>139</v>
      </c>
      <c r="V196" t="s">
        <v>458</v>
      </c>
      <c r="W196" t="s">
        <v>456</v>
      </c>
      <c r="X196" t="s">
        <v>264</v>
      </c>
    </row>
    <row r="197" spans="21:24" x14ac:dyDescent="0.45">
      <c r="U197" t="s">
        <v>139</v>
      </c>
      <c r="V197" t="s">
        <v>459</v>
      </c>
      <c r="W197" t="s">
        <v>456</v>
      </c>
      <c r="X197" t="s">
        <v>264</v>
      </c>
    </row>
    <row r="198" spans="21:24" x14ac:dyDescent="0.45">
      <c r="U198" t="s">
        <v>139</v>
      </c>
      <c r="V198" t="s">
        <v>460</v>
      </c>
      <c r="W198" t="s">
        <v>456</v>
      </c>
      <c r="X198" t="s">
        <v>264</v>
      </c>
    </row>
    <row r="199" spans="21:24" x14ac:dyDescent="0.45">
      <c r="U199" t="s">
        <v>139</v>
      </c>
      <c r="V199" t="s">
        <v>461</v>
      </c>
      <c r="W199" t="s">
        <v>456</v>
      </c>
      <c r="X199" t="s">
        <v>264</v>
      </c>
    </row>
    <row r="200" spans="21:24" x14ac:dyDescent="0.45">
      <c r="U200" t="s">
        <v>139</v>
      </c>
      <c r="V200" t="s">
        <v>462</v>
      </c>
      <c r="W200" t="s">
        <v>456</v>
      </c>
      <c r="X200" t="s">
        <v>264</v>
      </c>
    </row>
    <row r="201" spans="21:24" x14ac:dyDescent="0.45">
      <c r="U201" t="s">
        <v>139</v>
      </c>
      <c r="V201" t="s">
        <v>463</v>
      </c>
      <c r="W201" t="s">
        <v>456</v>
      </c>
      <c r="X201" t="s">
        <v>264</v>
      </c>
    </row>
    <row r="202" spans="21:24" x14ac:dyDescent="0.45">
      <c r="U202" t="s">
        <v>139</v>
      </c>
      <c r="V202" t="s">
        <v>464</v>
      </c>
      <c r="W202" t="s">
        <v>456</v>
      </c>
      <c r="X202" t="s">
        <v>264</v>
      </c>
    </row>
    <row r="203" spans="21:24" x14ac:dyDescent="0.45">
      <c r="U203" t="s">
        <v>139</v>
      </c>
      <c r="V203" t="s">
        <v>465</v>
      </c>
      <c r="W203" t="s">
        <v>456</v>
      </c>
      <c r="X203" t="s">
        <v>264</v>
      </c>
    </row>
    <row r="204" spans="21:24" x14ac:dyDescent="0.45">
      <c r="U204" t="s">
        <v>139</v>
      </c>
      <c r="V204" t="s">
        <v>466</v>
      </c>
      <c r="W204" t="s">
        <v>456</v>
      </c>
      <c r="X204" t="s">
        <v>264</v>
      </c>
    </row>
    <row r="205" spans="21:24" x14ac:dyDescent="0.45">
      <c r="U205" t="s">
        <v>139</v>
      </c>
      <c r="V205" t="s">
        <v>467</v>
      </c>
      <c r="W205" t="s">
        <v>456</v>
      </c>
      <c r="X205" t="s">
        <v>264</v>
      </c>
    </row>
    <row r="206" spans="21:24" x14ac:dyDescent="0.45">
      <c r="U206" t="s">
        <v>139</v>
      </c>
      <c r="V206" t="s">
        <v>468</v>
      </c>
      <c r="W206" t="s">
        <v>456</v>
      </c>
      <c r="X206" t="s">
        <v>264</v>
      </c>
    </row>
    <row r="207" spans="21:24" x14ac:dyDescent="0.45">
      <c r="U207" t="s">
        <v>139</v>
      </c>
      <c r="V207" t="s">
        <v>469</v>
      </c>
      <c r="W207" t="s">
        <v>456</v>
      </c>
      <c r="X207" t="s">
        <v>264</v>
      </c>
    </row>
    <row r="208" spans="21:24" x14ac:dyDescent="0.45">
      <c r="U208" t="s">
        <v>139</v>
      </c>
      <c r="V208" t="s">
        <v>470</v>
      </c>
      <c r="W208" t="s">
        <v>456</v>
      </c>
      <c r="X208" t="s">
        <v>264</v>
      </c>
    </row>
    <row r="209" spans="21:24" x14ac:dyDescent="0.45">
      <c r="U209" t="s">
        <v>139</v>
      </c>
      <c r="V209" t="s">
        <v>471</v>
      </c>
      <c r="W209" t="s">
        <v>456</v>
      </c>
      <c r="X209" t="s">
        <v>264</v>
      </c>
    </row>
    <row r="210" spans="21:24" x14ac:dyDescent="0.45">
      <c r="U210" t="s">
        <v>139</v>
      </c>
      <c r="V210" t="s">
        <v>472</v>
      </c>
      <c r="W210" t="s">
        <v>456</v>
      </c>
      <c r="X210" t="s">
        <v>264</v>
      </c>
    </row>
    <row r="211" spans="21:24" x14ac:dyDescent="0.45">
      <c r="U211" t="s">
        <v>139</v>
      </c>
      <c r="V211" t="s">
        <v>473</v>
      </c>
      <c r="W211" t="s">
        <v>456</v>
      </c>
      <c r="X211" t="s">
        <v>264</v>
      </c>
    </row>
    <row r="212" spans="21:24" x14ac:dyDescent="0.45">
      <c r="U212" t="s">
        <v>139</v>
      </c>
      <c r="V212" t="s">
        <v>474</v>
      </c>
      <c r="W212" t="s">
        <v>456</v>
      </c>
      <c r="X212" t="s">
        <v>264</v>
      </c>
    </row>
    <row r="213" spans="21:24" x14ac:dyDescent="0.45">
      <c r="U213" t="s">
        <v>139</v>
      </c>
      <c r="V213" t="s">
        <v>475</v>
      </c>
      <c r="W213" t="s">
        <v>260</v>
      </c>
      <c r="X213" t="s">
        <v>264</v>
      </c>
    </row>
    <row r="214" spans="21:24" x14ac:dyDescent="0.45">
      <c r="U214" t="s">
        <v>139</v>
      </c>
      <c r="V214" t="s">
        <v>476</v>
      </c>
      <c r="W214" t="s">
        <v>260</v>
      </c>
      <c r="X214" t="s">
        <v>264</v>
      </c>
    </row>
    <row r="215" spans="21:24" x14ac:dyDescent="0.45">
      <c r="U215" t="s">
        <v>139</v>
      </c>
      <c r="V215" t="s">
        <v>477</v>
      </c>
      <c r="W215" t="s">
        <v>260</v>
      </c>
      <c r="X215" t="s">
        <v>264</v>
      </c>
    </row>
    <row r="216" spans="21:24" x14ac:dyDescent="0.45">
      <c r="U216" t="s">
        <v>139</v>
      </c>
      <c r="V216" t="s">
        <v>478</v>
      </c>
      <c r="W216" t="s">
        <v>260</v>
      </c>
      <c r="X216" t="s">
        <v>264</v>
      </c>
    </row>
    <row r="217" spans="21:24" x14ac:dyDescent="0.45">
      <c r="U217" t="s">
        <v>139</v>
      </c>
      <c r="V217" t="s">
        <v>479</v>
      </c>
      <c r="W217" t="s">
        <v>260</v>
      </c>
      <c r="X217" t="s">
        <v>264</v>
      </c>
    </row>
    <row r="218" spans="21:24" x14ac:dyDescent="0.45">
      <c r="U218" t="s">
        <v>139</v>
      </c>
      <c r="V218" t="s">
        <v>480</v>
      </c>
      <c r="W218" t="s">
        <v>260</v>
      </c>
      <c r="X218" t="s">
        <v>264</v>
      </c>
    </row>
    <row r="219" spans="21:24" x14ac:dyDescent="0.45">
      <c r="U219" t="s">
        <v>139</v>
      </c>
      <c r="V219" t="s">
        <v>481</v>
      </c>
      <c r="W219" t="s">
        <v>260</v>
      </c>
      <c r="X219" t="s">
        <v>264</v>
      </c>
    </row>
    <row r="220" spans="21:24" x14ac:dyDescent="0.45">
      <c r="U220" t="s">
        <v>139</v>
      </c>
      <c r="V220" t="s">
        <v>482</v>
      </c>
      <c r="W220" t="s">
        <v>260</v>
      </c>
      <c r="X220" t="s">
        <v>264</v>
      </c>
    </row>
    <row r="221" spans="21:24" x14ac:dyDescent="0.45">
      <c r="U221" t="s">
        <v>139</v>
      </c>
      <c r="V221" t="s">
        <v>483</v>
      </c>
      <c r="W221" t="s">
        <v>260</v>
      </c>
      <c r="X221" t="s">
        <v>264</v>
      </c>
    </row>
    <row r="222" spans="21:24" x14ac:dyDescent="0.45">
      <c r="U222" t="s">
        <v>139</v>
      </c>
      <c r="V222" t="s">
        <v>484</v>
      </c>
      <c r="W222" t="s">
        <v>260</v>
      </c>
      <c r="X222" t="s">
        <v>264</v>
      </c>
    </row>
    <row r="223" spans="21:24" x14ac:dyDescent="0.45">
      <c r="U223" t="s">
        <v>139</v>
      </c>
      <c r="V223" t="s">
        <v>485</v>
      </c>
      <c r="W223" t="s">
        <v>260</v>
      </c>
      <c r="X223" t="s">
        <v>264</v>
      </c>
    </row>
    <row r="224" spans="21:24" x14ac:dyDescent="0.45">
      <c r="U224" t="s">
        <v>139</v>
      </c>
      <c r="V224" t="s">
        <v>486</v>
      </c>
      <c r="W224" t="s">
        <v>260</v>
      </c>
      <c r="X224" t="s">
        <v>264</v>
      </c>
    </row>
    <row r="225" spans="21:24" x14ac:dyDescent="0.45">
      <c r="U225" t="s">
        <v>139</v>
      </c>
      <c r="V225" t="s">
        <v>487</v>
      </c>
      <c r="W225" t="s">
        <v>260</v>
      </c>
      <c r="X225" t="s">
        <v>264</v>
      </c>
    </row>
    <row r="226" spans="21:24" x14ac:dyDescent="0.45">
      <c r="U226" t="s">
        <v>139</v>
      </c>
      <c r="V226" t="s">
        <v>488</v>
      </c>
      <c r="W226" t="s">
        <v>260</v>
      </c>
      <c r="X226" t="s">
        <v>264</v>
      </c>
    </row>
    <row r="227" spans="21:24" x14ac:dyDescent="0.45">
      <c r="U227" t="s">
        <v>139</v>
      </c>
      <c r="V227" t="s">
        <v>489</v>
      </c>
      <c r="W227" t="s">
        <v>260</v>
      </c>
      <c r="X227" t="s">
        <v>264</v>
      </c>
    </row>
    <row r="228" spans="21:24" x14ac:dyDescent="0.45">
      <c r="U228" t="s">
        <v>139</v>
      </c>
      <c r="V228" t="s">
        <v>490</v>
      </c>
      <c r="W228" t="s">
        <v>260</v>
      </c>
      <c r="X228" t="s">
        <v>264</v>
      </c>
    </row>
    <row r="229" spans="21:24" x14ac:dyDescent="0.45">
      <c r="U229" t="s">
        <v>139</v>
      </c>
      <c r="V229" t="s">
        <v>491</v>
      </c>
      <c r="W229" t="s">
        <v>260</v>
      </c>
      <c r="X229" t="s">
        <v>264</v>
      </c>
    </row>
    <row r="230" spans="21:24" x14ac:dyDescent="0.45">
      <c r="U230" t="s">
        <v>139</v>
      </c>
      <c r="V230" t="s">
        <v>492</v>
      </c>
      <c r="W230" t="s">
        <v>260</v>
      </c>
      <c r="X230" t="s">
        <v>264</v>
      </c>
    </row>
    <row r="231" spans="21:24" x14ac:dyDescent="0.45">
      <c r="U231" t="s">
        <v>139</v>
      </c>
      <c r="V231" t="s">
        <v>493</v>
      </c>
      <c r="W231" t="s">
        <v>260</v>
      </c>
      <c r="X231" t="s">
        <v>264</v>
      </c>
    </row>
    <row r="232" spans="21:24" x14ac:dyDescent="0.45">
      <c r="U232" t="s">
        <v>139</v>
      </c>
      <c r="V232" t="s">
        <v>494</v>
      </c>
      <c r="W232" t="s">
        <v>495</v>
      </c>
      <c r="X232" t="s">
        <v>264</v>
      </c>
    </row>
    <row r="233" spans="21:24" x14ac:dyDescent="0.45">
      <c r="U233" t="s">
        <v>139</v>
      </c>
      <c r="V233" t="s">
        <v>496</v>
      </c>
      <c r="W233" t="s">
        <v>495</v>
      </c>
      <c r="X233" t="s">
        <v>264</v>
      </c>
    </row>
    <row r="234" spans="21:24" x14ac:dyDescent="0.45">
      <c r="U234" t="s">
        <v>139</v>
      </c>
      <c r="V234" t="s">
        <v>497</v>
      </c>
      <c r="W234" t="s">
        <v>495</v>
      </c>
      <c r="X234" t="s">
        <v>264</v>
      </c>
    </row>
    <row r="235" spans="21:24" x14ac:dyDescent="0.45">
      <c r="U235" t="s">
        <v>139</v>
      </c>
      <c r="V235" t="s">
        <v>498</v>
      </c>
      <c r="W235" t="s">
        <v>495</v>
      </c>
      <c r="X235" t="s">
        <v>264</v>
      </c>
    </row>
    <row r="236" spans="21:24" x14ac:dyDescent="0.45">
      <c r="U236" t="s">
        <v>139</v>
      </c>
      <c r="V236" t="s">
        <v>499</v>
      </c>
      <c r="W236" t="s">
        <v>495</v>
      </c>
      <c r="X236" t="s">
        <v>264</v>
      </c>
    </row>
    <row r="237" spans="21:24" x14ac:dyDescent="0.45">
      <c r="U237" t="s">
        <v>139</v>
      </c>
      <c r="V237" t="s">
        <v>500</v>
      </c>
      <c r="W237" t="s">
        <v>495</v>
      </c>
      <c r="X237" t="s">
        <v>264</v>
      </c>
    </row>
    <row r="238" spans="21:24" x14ac:dyDescent="0.45">
      <c r="U238" t="s">
        <v>139</v>
      </c>
      <c r="V238" t="s">
        <v>501</v>
      </c>
      <c r="W238" t="s">
        <v>495</v>
      </c>
      <c r="X238" t="s">
        <v>264</v>
      </c>
    </row>
    <row r="239" spans="21:24" x14ac:dyDescent="0.45">
      <c r="U239" t="s">
        <v>139</v>
      </c>
      <c r="V239" t="s">
        <v>502</v>
      </c>
      <c r="W239" t="s">
        <v>495</v>
      </c>
      <c r="X239" t="s">
        <v>264</v>
      </c>
    </row>
    <row r="240" spans="21:24" x14ac:dyDescent="0.45">
      <c r="U240" t="s">
        <v>139</v>
      </c>
      <c r="V240" t="s">
        <v>503</v>
      </c>
      <c r="W240" t="s">
        <v>495</v>
      </c>
      <c r="X240" t="s">
        <v>264</v>
      </c>
    </row>
    <row r="241" spans="21:24" x14ac:dyDescent="0.45">
      <c r="U241" t="s">
        <v>139</v>
      </c>
      <c r="V241" t="s">
        <v>504</v>
      </c>
      <c r="W241" t="s">
        <v>495</v>
      </c>
      <c r="X241" t="s">
        <v>264</v>
      </c>
    </row>
    <row r="242" spans="21:24" x14ac:dyDescent="0.45">
      <c r="U242" t="s">
        <v>139</v>
      </c>
      <c r="V242" t="s">
        <v>505</v>
      </c>
      <c r="W242" t="s">
        <v>495</v>
      </c>
      <c r="X242" t="s">
        <v>264</v>
      </c>
    </row>
    <row r="243" spans="21:24" x14ac:dyDescent="0.45">
      <c r="U243" t="s">
        <v>139</v>
      </c>
      <c r="V243" t="s">
        <v>506</v>
      </c>
      <c r="W243" t="s">
        <v>495</v>
      </c>
      <c r="X243" t="s">
        <v>264</v>
      </c>
    </row>
    <row r="244" spans="21:24" x14ac:dyDescent="0.45">
      <c r="U244" t="s">
        <v>139</v>
      </c>
      <c r="V244" t="s">
        <v>507</v>
      </c>
      <c r="W244" t="s">
        <v>495</v>
      </c>
      <c r="X244" t="s">
        <v>264</v>
      </c>
    </row>
    <row r="245" spans="21:24" x14ac:dyDescent="0.45">
      <c r="U245" t="s">
        <v>139</v>
      </c>
      <c r="V245" t="s">
        <v>508</v>
      </c>
      <c r="W245" t="s">
        <v>495</v>
      </c>
      <c r="X245" t="s">
        <v>264</v>
      </c>
    </row>
    <row r="246" spans="21:24" x14ac:dyDescent="0.45">
      <c r="U246" t="s">
        <v>139</v>
      </c>
      <c r="V246" t="s">
        <v>509</v>
      </c>
      <c r="W246" t="s">
        <v>495</v>
      </c>
      <c r="X246" t="s">
        <v>264</v>
      </c>
    </row>
    <row r="247" spans="21:24" x14ac:dyDescent="0.45">
      <c r="U247" t="s">
        <v>139</v>
      </c>
      <c r="V247" t="s">
        <v>510</v>
      </c>
      <c r="W247" t="s">
        <v>495</v>
      </c>
      <c r="X247" t="s">
        <v>264</v>
      </c>
    </row>
    <row r="248" spans="21:24" x14ac:dyDescent="0.45">
      <c r="U248" t="s">
        <v>139</v>
      </c>
      <c r="V248" t="s">
        <v>511</v>
      </c>
      <c r="W248" t="s">
        <v>495</v>
      </c>
      <c r="X248" t="s">
        <v>264</v>
      </c>
    </row>
    <row r="249" spans="21:24" x14ac:dyDescent="0.45">
      <c r="U249" t="s">
        <v>139</v>
      </c>
      <c r="V249" t="s">
        <v>512</v>
      </c>
      <c r="W249" t="s">
        <v>495</v>
      </c>
      <c r="X249" t="s">
        <v>264</v>
      </c>
    </row>
    <row r="250" spans="21:24" x14ac:dyDescent="0.45">
      <c r="U250" t="s">
        <v>139</v>
      </c>
      <c r="V250" t="s">
        <v>513</v>
      </c>
      <c r="W250" t="s">
        <v>495</v>
      </c>
      <c r="X250" t="s">
        <v>264</v>
      </c>
    </row>
    <row r="251" spans="21:24" x14ac:dyDescent="0.45">
      <c r="U251" t="s">
        <v>139</v>
      </c>
      <c r="V251" t="s">
        <v>514</v>
      </c>
      <c r="W251" t="s">
        <v>515</v>
      </c>
      <c r="X251" t="s">
        <v>264</v>
      </c>
    </row>
    <row r="252" spans="21:24" x14ac:dyDescent="0.45">
      <c r="U252" t="s">
        <v>139</v>
      </c>
      <c r="V252" t="s">
        <v>516</v>
      </c>
      <c r="W252" t="s">
        <v>515</v>
      </c>
      <c r="X252" t="s">
        <v>264</v>
      </c>
    </row>
    <row r="253" spans="21:24" x14ac:dyDescent="0.45">
      <c r="U253" t="s">
        <v>139</v>
      </c>
      <c r="V253" t="s">
        <v>517</v>
      </c>
      <c r="W253" t="s">
        <v>515</v>
      </c>
      <c r="X253" t="s">
        <v>264</v>
      </c>
    </row>
    <row r="254" spans="21:24" x14ac:dyDescent="0.45">
      <c r="U254" t="s">
        <v>139</v>
      </c>
      <c r="V254" t="s">
        <v>518</v>
      </c>
      <c r="W254" t="s">
        <v>515</v>
      </c>
      <c r="X254" t="s">
        <v>264</v>
      </c>
    </row>
    <row r="255" spans="21:24" x14ac:dyDescent="0.45">
      <c r="U255" t="s">
        <v>139</v>
      </c>
      <c r="V255" t="s">
        <v>519</v>
      </c>
      <c r="W255" t="s">
        <v>515</v>
      </c>
      <c r="X255" t="s">
        <v>264</v>
      </c>
    </row>
    <row r="256" spans="21:24" x14ac:dyDescent="0.45">
      <c r="U256" t="s">
        <v>139</v>
      </c>
      <c r="V256" t="s">
        <v>520</v>
      </c>
      <c r="W256" t="s">
        <v>515</v>
      </c>
      <c r="X256" t="s">
        <v>264</v>
      </c>
    </row>
    <row r="257" spans="21:24" x14ac:dyDescent="0.45">
      <c r="U257" t="s">
        <v>139</v>
      </c>
      <c r="V257" t="s">
        <v>521</v>
      </c>
      <c r="W257" t="s">
        <v>515</v>
      </c>
      <c r="X257" t="s">
        <v>264</v>
      </c>
    </row>
    <row r="258" spans="21:24" x14ac:dyDescent="0.45">
      <c r="U258" t="s">
        <v>139</v>
      </c>
      <c r="V258" t="s">
        <v>522</v>
      </c>
      <c r="W258" t="s">
        <v>515</v>
      </c>
      <c r="X258" t="s">
        <v>264</v>
      </c>
    </row>
    <row r="259" spans="21:24" x14ac:dyDescent="0.45">
      <c r="U259" t="s">
        <v>139</v>
      </c>
      <c r="V259" t="s">
        <v>523</v>
      </c>
      <c r="W259" t="s">
        <v>515</v>
      </c>
      <c r="X259" t="s">
        <v>264</v>
      </c>
    </row>
    <row r="260" spans="21:24" x14ac:dyDescent="0.45">
      <c r="U260" t="s">
        <v>139</v>
      </c>
      <c r="V260" t="s">
        <v>524</v>
      </c>
      <c r="W260" t="s">
        <v>515</v>
      </c>
      <c r="X260" t="s">
        <v>264</v>
      </c>
    </row>
    <row r="261" spans="21:24" x14ac:dyDescent="0.45">
      <c r="U261" t="s">
        <v>139</v>
      </c>
      <c r="V261" t="s">
        <v>525</v>
      </c>
      <c r="W261" t="s">
        <v>515</v>
      </c>
      <c r="X261" t="s">
        <v>264</v>
      </c>
    </row>
    <row r="262" spans="21:24" x14ac:dyDescent="0.45">
      <c r="U262" t="s">
        <v>139</v>
      </c>
      <c r="V262" t="s">
        <v>526</v>
      </c>
      <c r="W262" t="s">
        <v>515</v>
      </c>
      <c r="X262" t="s">
        <v>264</v>
      </c>
    </row>
    <row r="263" spans="21:24" x14ac:dyDescent="0.45">
      <c r="U263" t="s">
        <v>139</v>
      </c>
      <c r="V263" t="s">
        <v>527</v>
      </c>
      <c r="W263" t="s">
        <v>515</v>
      </c>
      <c r="X263" t="s">
        <v>264</v>
      </c>
    </row>
    <row r="264" spans="21:24" x14ac:dyDescent="0.45">
      <c r="U264" t="s">
        <v>139</v>
      </c>
      <c r="V264" t="s">
        <v>528</v>
      </c>
      <c r="W264" t="s">
        <v>515</v>
      </c>
      <c r="X264" t="s">
        <v>264</v>
      </c>
    </row>
    <row r="265" spans="21:24" x14ac:dyDescent="0.45">
      <c r="U265" t="s">
        <v>139</v>
      </c>
      <c r="V265" t="s">
        <v>529</v>
      </c>
      <c r="W265" t="s">
        <v>515</v>
      </c>
      <c r="X265" t="s">
        <v>264</v>
      </c>
    </row>
    <row r="266" spans="21:24" x14ac:dyDescent="0.45">
      <c r="U266" t="s">
        <v>139</v>
      </c>
      <c r="V266" t="s">
        <v>530</v>
      </c>
      <c r="W266" t="s">
        <v>515</v>
      </c>
      <c r="X266" t="s">
        <v>264</v>
      </c>
    </row>
    <row r="267" spans="21:24" x14ac:dyDescent="0.45">
      <c r="U267" t="s">
        <v>139</v>
      </c>
      <c r="V267" t="s">
        <v>531</v>
      </c>
      <c r="W267" t="s">
        <v>515</v>
      </c>
      <c r="X267" t="s">
        <v>264</v>
      </c>
    </row>
    <row r="268" spans="21:24" x14ac:dyDescent="0.45">
      <c r="U268" t="s">
        <v>139</v>
      </c>
      <c r="V268" t="s">
        <v>532</v>
      </c>
      <c r="W268" t="s">
        <v>515</v>
      </c>
      <c r="X268" t="s">
        <v>264</v>
      </c>
    </row>
    <row r="269" spans="21:24" x14ac:dyDescent="0.45">
      <c r="U269" t="s">
        <v>139</v>
      </c>
      <c r="V269" t="s">
        <v>533</v>
      </c>
      <c r="W269" t="s">
        <v>515</v>
      </c>
      <c r="X269" t="s">
        <v>264</v>
      </c>
    </row>
    <row r="270" spans="21:24" x14ac:dyDescent="0.45">
      <c r="U270" t="s">
        <v>139</v>
      </c>
      <c r="V270" t="s">
        <v>534</v>
      </c>
      <c r="W270" t="s">
        <v>535</v>
      </c>
      <c r="X270" t="s">
        <v>264</v>
      </c>
    </row>
    <row r="271" spans="21:24" x14ac:dyDescent="0.45">
      <c r="U271" t="s">
        <v>139</v>
      </c>
      <c r="V271" t="s">
        <v>536</v>
      </c>
      <c r="W271" t="s">
        <v>535</v>
      </c>
      <c r="X271" t="s">
        <v>264</v>
      </c>
    </row>
    <row r="272" spans="21:24" x14ac:dyDescent="0.45">
      <c r="U272" t="s">
        <v>139</v>
      </c>
      <c r="V272" t="s">
        <v>537</v>
      </c>
      <c r="W272" t="s">
        <v>535</v>
      </c>
      <c r="X272" t="s">
        <v>264</v>
      </c>
    </row>
    <row r="273" spans="21:24" x14ac:dyDescent="0.45">
      <c r="U273" t="s">
        <v>139</v>
      </c>
      <c r="V273" t="s">
        <v>538</v>
      </c>
      <c r="W273" t="s">
        <v>535</v>
      </c>
      <c r="X273" t="s">
        <v>264</v>
      </c>
    </row>
    <row r="274" spans="21:24" x14ac:dyDescent="0.45">
      <c r="U274" t="s">
        <v>139</v>
      </c>
      <c r="V274" t="s">
        <v>539</v>
      </c>
      <c r="W274" t="s">
        <v>535</v>
      </c>
      <c r="X274" t="s">
        <v>264</v>
      </c>
    </row>
    <row r="275" spans="21:24" x14ac:dyDescent="0.45">
      <c r="U275" t="s">
        <v>139</v>
      </c>
      <c r="V275" t="s">
        <v>540</v>
      </c>
      <c r="W275" t="s">
        <v>535</v>
      </c>
      <c r="X275" t="s">
        <v>264</v>
      </c>
    </row>
    <row r="276" spans="21:24" x14ac:dyDescent="0.45">
      <c r="U276" t="s">
        <v>139</v>
      </c>
      <c r="V276" t="s">
        <v>541</v>
      </c>
      <c r="W276" t="s">
        <v>535</v>
      </c>
      <c r="X276" t="s">
        <v>264</v>
      </c>
    </row>
    <row r="277" spans="21:24" x14ac:dyDescent="0.45">
      <c r="U277" t="s">
        <v>139</v>
      </c>
      <c r="V277" t="s">
        <v>542</v>
      </c>
      <c r="W277" t="s">
        <v>535</v>
      </c>
      <c r="X277" t="s">
        <v>264</v>
      </c>
    </row>
    <row r="278" spans="21:24" x14ac:dyDescent="0.45">
      <c r="U278" t="s">
        <v>139</v>
      </c>
      <c r="V278" t="s">
        <v>543</v>
      </c>
      <c r="W278" t="s">
        <v>535</v>
      </c>
      <c r="X278" t="s">
        <v>264</v>
      </c>
    </row>
    <row r="279" spans="21:24" x14ac:dyDescent="0.45">
      <c r="U279" t="s">
        <v>139</v>
      </c>
      <c r="V279" t="s">
        <v>544</v>
      </c>
      <c r="W279" t="s">
        <v>535</v>
      </c>
      <c r="X279" t="s">
        <v>264</v>
      </c>
    </row>
    <row r="280" spans="21:24" x14ac:dyDescent="0.45">
      <c r="U280" t="s">
        <v>139</v>
      </c>
      <c r="V280" t="s">
        <v>545</v>
      </c>
      <c r="W280" t="s">
        <v>535</v>
      </c>
      <c r="X280" t="s">
        <v>264</v>
      </c>
    </row>
    <row r="281" spans="21:24" x14ac:dyDescent="0.45">
      <c r="U281" t="s">
        <v>139</v>
      </c>
      <c r="V281" t="s">
        <v>546</v>
      </c>
      <c r="W281" t="s">
        <v>535</v>
      </c>
      <c r="X281" t="s">
        <v>264</v>
      </c>
    </row>
    <row r="282" spans="21:24" x14ac:dyDescent="0.45">
      <c r="U282" t="s">
        <v>139</v>
      </c>
      <c r="V282" t="s">
        <v>547</v>
      </c>
      <c r="W282" t="s">
        <v>535</v>
      </c>
      <c r="X282" t="s">
        <v>264</v>
      </c>
    </row>
    <row r="283" spans="21:24" x14ac:dyDescent="0.45">
      <c r="U283" t="s">
        <v>139</v>
      </c>
      <c r="V283" t="s">
        <v>548</v>
      </c>
      <c r="W283" t="s">
        <v>535</v>
      </c>
      <c r="X283" t="s">
        <v>264</v>
      </c>
    </row>
    <row r="284" spans="21:24" x14ac:dyDescent="0.45">
      <c r="U284" t="s">
        <v>139</v>
      </c>
      <c r="V284" t="s">
        <v>549</v>
      </c>
      <c r="W284" t="s">
        <v>535</v>
      </c>
      <c r="X284" t="s">
        <v>264</v>
      </c>
    </row>
    <row r="285" spans="21:24" x14ac:dyDescent="0.45">
      <c r="U285" t="s">
        <v>139</v>
      </c>
      <c r="V285" t="s">
        <v>550</v>
      </c>
      <c r="W285" t="s">
        <v>535</v>
      </c>
      <c r="X285" t="s">
        <v>264</v>
      </c>
    </row>
    <row r="286" spans="21:24" x14ac:dyDescent="0.45">
      <c r="U286" t="s">
        <v>139</v>
      </c>
      <c r="V286" t="s">
        <v>551</v>
      </c>
      <c r="W286" t="s">
        <v>535</v>
      </c>
      <c r="X286" t="s">
        <v>264</v>
      </c>
    </row>
    <row r="287" spans="21:24" x14ac:dyDescent="0.45">
      <c r="U287" t="s">
        <v>139</v>
      </c>
      <c r="V287" t="s">
        <v>552</v>
      </c>
      <c r="W287" t="s">
        <v>535</v>
      </c>
      <c r="X287" t="s">
        <v>264</v>
      </c>
    </row>
    <row r="288" spans="21:24" x14ac:dyDescent="0.45">
      <c r="U288" t="s">
        <v>139</v>
      </c>
      <c r="V288" t="s">
        <v>553</v>
      </c>
      <c r="W288" t="s">
        <v>535</v>
      </c>
      <c r="X288" t="s">
        <v>264</v>
      </c>
    </row>
    <row r="289" spans="21:24" x14ac:dyDescent="0.45">
      <c r="U289" t="s">
        <v>139</v>
      </c>
      <c r="V289" t="s">
        <v>554</v>
      </c>
      <c r="W289" t="s">
        <v>555</v>
      </c>
      <c r="X289" t="s">
        <v>264</v>
      </c>
    </row>
    <row r="290" spans="21:24" x14ac:dyDescent="0.45">
      <c r="U290" t="s">
        <v>139</v>
      </c>
      <c r="V290" t="s">
        <v>556</v>
      </c>
      <c r="W290" t="s">
        <v>555</v>
      </c>
      <c r="X290" t="s">
        <v>264</v>
      </c>
    </row>
    <row r="291" spans="21:24" x14ac:dyDescent="0.45">
      <c r="U291" t="s">
        <v>139</v>
      </c>
      <c r="V291" t="s">
        <v>557</v>
      </c>
      <c r="W291" t="s">
        <v>555</v>
      </c>
      <c r="X291" t="s">
        <v>264</v>
      </c>
    </row>
    <row r="292" spans="21:24" x14ac:dyDescent="0.45">
      <c r="U292" t="s">
        <v>139</v>
      </c>
      <c r="V292" t="s">
        <v>558</v>
      </c>
      <c r="W292" t="s">
        <v>555</v>
      </c>
      <c r="X292" t="s">
        <v>264</v>
      </c>
    </row>
    <row r="293" spans="21:24" x14ac:dyDescent="0.45">
      <c r="U293" t="s">
        <v>139</v>
      </c>
      <c r="V293" t="s">
        <v>559</v>
      </c>
      <c r="W293" t="s">
        <v>555</v>
      </c>
      <c r="X293" t="s">
        <v>264</v>
      </c>
    </row>
    <row r="294" spans="21:24" x14ac:dyDescent="0.45">
      <c r="U294" t="s">
        <v>139</v>
      </c>
      <c r="V294" t="s">
        <v>560</v>
      </c>
      <c r="W294" t="s">
        <v>555</v>
      </c>
      <c r="X294" t="s">
        <v>264</v>
      </c>
    </row>
    <row r="295" spans="21:24" x14ac:dyDescent="0.45">
      <c r="U295" t="s">
        <v>139</v>
      </c>
      <c r="V295" t="s">
        <v>561</v>
      </c>
      <c r="W295" t="s">
        <v>555</v>
      </c>
      <c r="X295" t="s">
        <v>264</v>
      </c>
    </row>
    <row r="296" spans="21:24" x14ac:dyDescent="0.45">
      <c r="U296" t="s">
        <v>139</v>
      </c>
      <c r="V296" t="s">
        <v>562</v>
      </c>
      <c r="W296" t="s">
        <v>555</v>
      </c>
      <c r="X296" t="s">
        <v>264</v>
      </c>
    </row>
    <row r="297" spans="21:24" x14ac:dyDescent="0.45">
      <c r="U297" t="s">
        <v>139</v>
      </c>
      <c r="V297" t="s">
        <v>563</v>
      </c>
      <c r="W297" t="s">
        <v>555</v>
      </c>
      <c r="X297" t="s">
        <v>264</v>
      </c>
    </row>
    <row r="298" spans="21:24" x14ac:dyDescent="0.45">
      <c r="U298" t="s">
        <v>139</v>
      </c>
      <c r="V298" t="s">
        <v>564</v>
      </c>
      <c r="W298" t="s">
        <v>555</v>
      </c>
      <c r="X298" t="s">
        <v>264</v>
      </c>
    </row>
    <row r="299" spans="21:24" x14ac:dyDescent="0.45">
      <c r="U299" t="s">
        <v>139</v>
      </c>
      <c r="V299" t="s">
        <v>565</v>
      </c>
      <c r="W299" t="s">
        <v>555</v>
      </c>
      <c r="X299" t="s">
        <v>264</v>
      </c>
    </row>
    <row r="300" spans="21:24" x14ac:dyDescent="0.45">
      <c r="U300" t="s">
        <v>139</v>
      </c>
      <c r="V300" t="s">
        <v>566</v>
      </c>
      <c r="W300" t="s">
        <v>555</v>
      </c>
      <c r="X300" t="s">
        <v>264</v>
      </c>
    </row>
    <row r="301" spans="21:24" x14ac:dyDescent="0.45">
      <c r="U301" t="s">
        <v>139</v>
      </c>
      <c r="V301" t="s">
        <v>567</v>
      </c>
      <c r="W301" t="s">
        <v>555</v>
      </c>
      <c r="X301" t="s">
        <v>264</v>
      </c>
    </row>
    <row r="302" spans="21:24" x14ac:dyDescent="0.45">
      <c r="U302" t="s">
        <v>139</v>
      </c>
      <c r="V302" t="s">
        <v>568</v>
      </c>
      <c r="W302" t="s">
        <v>555</v>
      </c>
      <c r="X302" t="s">
        <v>264</v>
      </c>
    </row>
    <row r="303" spans="21:24" x14ac:dyDescent="0.45">
      <c r="U303" t="s">
        <v>139</v>
      </c>
      <c r="V303" t="s">
        <v>569</v>
      </c>
      <c r="W303" t="s">
        <v>555</v>
      </c>
      <c r="X303" t="s">
        <v>264</v>
      </c>
    </row>
    <row r="304" spans="21:24" x14ac:dyDescent="0.45">
      <c r="U304" t="s">
        <v>139</v>
      </c>
      <c r="V304" t="s">
        <v>570</v>
      </c>
      <c r="W304" t="s">
        <v>555</v>
      </c>
      <c r="X304" t="s">
        <v>264</v>
      </c>
    </row>
    <row r="305" spans="21:24" x14ac:dyDescent="0.45">
      <c r="U305" t="s">
        <v>139</v>
      </c>
      <c r="V305" t="s">
        <v>571</v>
      </c>
      <c r="W305" t="s">
        <v>555</v>
      </c>
      <c r="X305" t="s">
        <v>264</v>
      </c>
    </row>
    <row r="306" spans="21:24" x14ac:dyDescent="0.45">
      <c r="U306" t="s">
        <v>139</v>
      </c>
      <c r="V306" t="s">
        <v>572</v>
      </c>
      <c r="W306" t="s">
        <v>555</v>
      </c>
      <c r="X306" t="s">
        <v>264</v>
      </c>
    </row>
    <row r="307" spans="21:24" x14ac:dyDescent="0.45">
      <c r="U307" t="s">
        <v>139</v>
      </c>
      <c r="V307" t="s">
        <v>573</v>
      </c>
      <c r="W307" t="s">
        <v>555</v>
      </c>
      <c r="X307" t="s">
        <v>264</v>
      </c>
    </row>
    <row r="308" spans="21:24" x14ac:dyDescent="0.45">
      <c r="U308" t="s">
        <v>139</v>
      </c>
      <c r="V308" t="s">
        <v>574</v>
      </c>
      <c r="W308" t="s">
        <v>575</v>
      </c>
      <c r="X308" t="s">
        <v>264</v>
      </c>
    </row>
    <row r="309" spans="21:24" x14ac:dyDescent="0.45">
      <c r="U309" t="s">
        <v>139</v>
      </c>
      <c r="V309" t="s">
        <v>576</v>
      </c>
      <c r="W309" t="s">
        <v>575</v>
      </c>
      <c r="X309" t="s">
        <v>264</v>
      </c>
    </row>
    <row r="310" spans="21:24" x14ac:dyDescent="0.45">
      <c r="U310" t="s">
        <v>139</v>
      </c>
      <c r="V310" t="s">
        <v>577</v>
      </c>
      <c r="W310" t="s">
        <v>575</v>
      </c>
      <c r="X310" t="s">
        <v>264</v>
      </c>
    </row>
    <row r="311" spans="21:24" x14ac:dyDescent="0.45">
      <c r="U311" t="s">
        <v>139</v>
      </c>
      <c r="V311" t="s">
        <v>578</v>
      </c>
      <c r="W311" t="s">
        <v>575</v>
      </c>
      <c r="X311" t="s">
        <v>264</v>
      </c>
    </row>
    <row r="312" spans="21:24" x14ac:dyDescent="0.45">
      <c r="U312" t="s">
        <v>139</v>
      </c>
      <c r="V312" t="s">
        <v>579</v>
      </c>
      <c r="W312" t="s">
        <v>575</v>
      </c>
      <c r="X312" t="s">
        <v>264</v>
      </c>
    </row>
    <row r="313" spans="21:24" x14ac:dyDescent="0.45">
      <c r="U313" t="s">
        <v>139</v>
      </c>
      <c r="V313" t="s">
        <v>580</v>
      </c>
      <c r="W313" t="s">
        <v>575</v>
      </c>
      <c r="X313" t="s">
        <v>264</v>
      </c>
    </row>
    <row r="314" spans="21:24" x14ac:dyDescent="0.45">
      <c r="U314" t="s">
        <v>139</v>
      </c>
      <c r="V314" t="s">
        <v>581</v>
      </c>
      <c r="W314" t="s">
        <v>575</v>
      </c>
      <c r="X314" t="s">
        <v>264</v>
      </c>
    </row>
    <row r="315" spans="21:24" x14ac:dyDescent="0.45">
      <c r="U315" t="s">
        <v>139</v>
      </c>
      <c r="V315" t="s">
        <v>582</v>
      </c>
      <c r="W315" t="s">
        <v>575</v>
      </c>
      <c r="X315" t="s">
        <v>264</v>
      </c>
    </row>
    <row r="316" spans="21:24" x14ac:dyDescent="0.45">
      <c r="U316" t="s">
        <v>139</v>
      </c>
      <c r="V316" t="s">
        <v>583</v>
      </c>
      <c r="W316" t="s">
        <v>575</v>
      </c>
      <c r="X316" t="s">
        <v>264</v>
      </c>
    </row>
    <row r="317" spans="21:24" x14ac:dyDescent="0.45">
      <c r="U317" t="s">
        <v>139</v>
      </c>
      <c r="V317" t="s">
        <v>584</v>
      </c>
      <c r="W317" t="s">
        <v>575</v>
      </c>
      <c r="X317" t="s">
        <v>264</v>
      </c>
    </row>
    <row r="318" spans="21:24" x14ac:dyDescent="0.45">
      <c r="U318" t="s">
        <v>139</v>
      </c>
      <c r="V318" t="s">
        <v>585</v>
      </c>
      <c r="W318" t="s">
        <v>575</v>
      </c>
      <c r="X318" t="s">
        <v>264</v>
      </c>
    </row>
    <row r="319" spans="21:24" x14ac:dyDescent="0.45">
      <c r="U319" t="s">
        <v>139</v>
      </c>
      <c r="V319" t="s">
        <v>586</v>
      </c>
      <c r="W319" t="s">
        <v>575</v>
      </c>
      <c r="X319" t="s">
        <v>264</v>
      </c>
    </row>
    <row r="320" spans="21:24" x14ac:dyDescent="0.45">
      <c r="U320" t="s">
        <v>139</v>
      </c>
      <c r="V320" t="s">
        <v>587</v>
      </c>
      <c r="W320" t="s">
        <v>575</v>
      </c>
      <c r="X320" t="s">
        <v>264</v>
      </c>
    </row>
    <row r="321" spans="21:24" x14ac:dyDescent="0.45">
      <c r="U321" t="s">
        <v>139</v>
      </c>
      <c r="V321" t="s">
        <v>588</v>
      </c>
      <c r="W321" t="s">
        <v>575</v>
      </c>
      <c r="X321" t="s">
        <v>264</v>
      </c>
    </row>
    <row r="322" spans="21:24" x14ac:dyDescent="0.45">
      <c r="U322" t="s">
        <v>139</v>
      </c>
      <c r="V322" t="s">
        <v>589</v>
      </c>
      <c r="W322" t="s">
        <v>575</v>
      </c>
      <c r="X322" t="s">
        <v>264</v>
      </c>
    </row>
    <row r="323" spans="21:24" x14ac:dyDescent="0.45">
      <c r="U323" t="s">
        <v>139</v>
      </c>
      <c r="V323" t="s">
        <v>590</v>
      </c>
      <c r="W323" t="s">
        <v>575</v>
      </c>
      <c r="X323" t="s">
        <v>264</v>
      </c>
    </row>
    <row r="324" spans="21:24" x14ac:dyDescent="0.45">
      <c r="U324" t="s">
        <v>139</v>
      </c>
      <c r="V324" t="s">
        <v>591</v>
      </c>
      <c r="W324" t="s">
        <v>575</v>
      </c>
      <c r="X324" t="s">
        <v>264</v>
      </c>
    </row>
    <row r="325" spans="21:24" x14ac:dyDescent="0.45">
      <c r="U325" t="s">
        <v>139</v>
      </c>
      <c r="V325" t="s">
        <v>592</v>
      </c>
      <c r="W325" t="s">
        <v>575</v>
      </c>
      <c r="X325" t="s">
        <v>264</v>
      </c>
    </row>
    <row r="326" spans="21:24" x14ac:dyDescent="0.45">
      <c r="U326" t="s">
        <v>139</v>
      </c>
      <c r="V326" t="s">
        <v>593</v>
      </c>
      <c r="W326" t="s">
        <v>575</v>
      </c>
      <c r="X326" t="s">
        <v>264</v>
      </c>
    </row>
    <row r="327" spans="21:24" x14ac:dyDescent="0.45">
      <c r="U327" t="s">
        <v>139</v>
      </c>
      <c r="V327" t="s">
        <v>594</v>
      </c>
      <c r="W327" t="s">
        <v>255</v>
      </c>
      <c r="X327" t="s">
        <v>264</v>
      </c>
    </row>
    <row r="328" spans="21:24" x14ac:dyDescent="0.45">
      <c r="U328" t="s">
        <v>139</v>
      </c>
      <c r="V328" t="s">
        <v>595</v>
      </c>
      <c r="W328" t="s">
        <v>255</v>
      </c>
      <c r="X328" t="s">
        <v>264</v>
      </c>
    </row>
    <row r="329" spans="21:24" x14ac:dyDescent="0.45">
      <c r="U329" t="s">
        <v>139</v>
      </c>
      <c r="V329" t="s">
        <v>596</v>
      </c>
      <c r="W329" t="s">
        <v>255</v>
      </c>
      <c r="X329" t="s">
        <v>264</v>
      </c>
    </row>
    <row r="330" spans="21:24" x14ac:dyDescent="0.45">
      <c r="U330" t="s">
        <v>139</v>
      </c>
      <c r="V330" t="s">
        <v>597</v>
      </c>
      <c r="W330" t="s">
        <v>255</v>
      </c>
      <c r="X330" t="s">
        <v>264</v>
      </c>
    </row>
    <row r="331" spans="21:24" x14ac:dyDescent="0.45">
      <c r="U331" t="s">
        <v>139</v>
      </c>
      <c r="V331" t="s">
        <v>598</v>
      </c>
      <c r="W331" t="s">
        <v>255</v>
      </c>
      <c r="X331" t="s">
        <v>264</v>
      </c>
    </row>
    <row r="332" spans="21:24" x14ac:dyDescent="0.45">
      <c r="U332" t="s">
        <v>139</v>
      </c>
      <c r="V332" t="s">
        <v>599</v>
      </c>
      <c r="W332" t="s">
        <v>255</v>
      </c>
      <c r="X332" t="s">
        <v>264</v>
      </c>
    </row>
    <row r="333" spans="21:24" x14ac:dyDescent="0.45">
      <c r="U333" t="s">
        <v>139</v>
      </c>
      <c r="V333" t="s">
        <v>600</v>
      </c>
      <c r="W333" t="s">
        <v>255</v>
      </c>
      <c r="X333" t="s">
        <v>264</v>
      </c>
    </row>
    <row r="334" spans="21:24" x14ac:dyDescent="0.45">
      <c r="U334" t="s">
        <v>139</v>
      </c>
      <c r="V334" t="s">
        <v>601</v>
      </c>
      <c r="W334" t="s">
        <v>255</v>
      </c>
      <c r="X334" t="s">
        <v>264</v>
      </c>
    </row>
    <row r="335" spans="21:24" x14ac:dyDescent="0.45">
      <c r="U335" t="s">
        <v>139</v>
      </c>
      <c r="V335" t="s">
        <v>602</v>
      </c>
      <c r="W335" t="s">
        <v>255</v>
      </c>
      <c r="X335" t="s">
        <v>264</v>
      </c>
    </row>
    <row r="336" spans="21:24" x14ac:dyDescent="0.45">
      <c r="U336" t="s">
        <v>139</v>
      </c>
      <c r="V336" t="s">
        <v>603</v>
      </c>
      <c r="W336" t="s">
        <v>255</v>
      </c>
      <c r="X336" t="s">
        <v>264</v>
      </c>
    </row>
    <row r="337" spans="21:24" x14ac:dyDescent="0.45">
      <c r="U337" t="s">
        <v>139</v>
      </c>
      <c r="V337" t="s">
        <v>604</v>
      </c>
      <c r="W337" t="s">
        <v>255</v>
      </c>
      <c r="X337" t="s">
        <v>264</v>
      </c>
    </row>
    <row r="338" spans="21:24" x14ac:dyDescent="0.45">
      <c r="U338" t="s">
        <v>139</v>
      </c>
      <c r="V338" t="s">
        <v>605</v>
      </c>
      <c r="W338" t="s">
        <v>255</v>
      </c>
      <c r="X338" t="s">
        <v>264</v>
      </c>
    </row>
    <row r="339" spans="21:24" x14ac:dyDescent="0.45">
      <c r="U339" t="s">
        <v>139</v>
      </c>
      <c r="V339" t="s">
        <v>606</v>
      </c>
      <c r="W339" t="s">
        <v>255</v>
      </c>
      <c r="X339" t="s">
        <v>264</v>
      </c>
    </row>
    <row r="340" spans="21:24" x14ac:dyDescent="0.45">
      <c r="U340" t="s">
        <v>139</v>
      </c>
      <c r="V340" t="s">
        <v>607</v>
      </c>
      <c r="W340" t="s">
        <v>255</v>
      </c>
      <c r="X340" t="s">
        <v>264</v>
      </c>
    </row>
    <row r="341" spans="21:24" x14ac:dyDescent="0.45">
      <c r="U341" t="s">
        <v>139</v>
      </c>
      <c r="V341" t="s">
        <v>608</v>
      </c>
      <c r="W341" t="s">
        <v>255</v>
      </c>
      <c r="X341" t="s">
        <v>264</v>
      </c>
    </row>
    <row r="342" spans="21:24" x14ac:dyDescent="0.45">
      <c r="U342" t="s">
        <v>139</v>
      </c>
      <c r="V342" t="s">
        <v>609</v>
      </c>
      <c r="W342" t="s">
        <v>255</v>
      </c>
      <c r="X342" t="s">
        <v>264</v>
      </c>
    </row>
    <row r="343" spans="21:24" x14ac:dyDescent="0.45">
      <c r="U343" t="s">
        <v>139</v>
      </c>
      <c r="V343" t="s">
        <v>610</v>
      </c>
      <c r="W343" t="s">
        <v>255</v>
      </c>
      <c r="X343" t="s">
        <v>264</v>
      </c>
    </row>
    <row r="344" spans="21:24" x14ac:dyDescent="0.45">
      <c r="U344" t="s">
        <v>139</v>
      </c>
      <c r="V344" t="s">
        <v>611</v>
      </c>
      <c r="W344" t="s">
        <v>255</v>
      </c>
      <c r="X344" t="s">
        <v>264</v>
      </c>
    </row>
    <row r="345" spans="21:24" x14ac:dyDescent="0.45">
      <c r="U345" t="s">
        <v>139</v>
      </c>
      <c r="V345" t="s">
        <v>612</v>
      </c>
      <c r="W345" t="s">
        <v>255</v>
      </c>
      <c r="X345" t="s">
        <v>264</v>
      </c>
    </row>
    <row r="346" spans="21:24" x14ac:dyDescent="0.45">
      <c r="U346" t="s">
        <v>139</v>
      </c>
      <c r="V346" t="s">
        <v>613</v>
      </c>
      <c r="W346" t="s">
        <v>614</v>
      </c>
      <c r="X346" t="s">
        <v>264</v>
      </c>
    </row>
    <row r="347" spans="21:24" x14ac:dyDescent="0.45">
      <c r="U347" t="s">
        <v>139</v>
      </c>
      <c r="V347" t="s">
        <v>615</v>
      </c>
      <c r="W347" t="s">
        <v>614</v>
      </c>
      <c r="X347" t="s">
        <v>264</v>
      </c>
    </row>
    <row r="348" spans="21:24" x14ac:dyDescent="0.45">
      <c r="U348" t="s">
        <v>139</v>
      </c>
      <c r="V348" t="s">
        <v>616</v>
      </c>
      <c r="W348" t="s">
        <v>614</v>
      </c>
      <c r="X348" t="s">
        <v>264</v>
      </c>
    </row>
    <row r="349" spans="21:24" x14ac:dyDescent="0.45">
      <c r="U349" t="s">
        <v>139</v>
      </c>
      <c r="V349" t="s">
        <v>617</v>
      </c>
      <c r="W349" t="s">
        <v>614</v>
      </c>
      <c r="X349" t="s">
        <v>264</v>
      </c>
    </row>
    <row r="350" spans="21:24" x14ac:dyDescent="0.45">
      <c r="U350" t="s">
        <v>139</v>
      </c>
      <c r="V350" t="s">
        <v>618</v>
      </c>
      <c r="W350" t="s">
        <v>614</v>
      </c>
      <c r="X350" t="s">
        <v>264</v>
      </c>
    </row>
    <row r="351" spans="21:24" x14ac:dyDescent="0.45">
      <c r="U351" t="s">
        <v>139</v>
      </c>
      <c r="V351" t="s">
        <v>619</v>
      </c>
      <c r="W351" t="s">
        <v>614</v>
      </c>
      <c r="X351" t="s">
        <v>264</v>
      </c>
    </row>
    <row r="352" spans="21:24" x14ac:dyDescent="0.45">
      <c r="U352" t="s">
        <v>139</v>
      </c>
      <c r="V352" t="s">
        <v>620</v>
      </c>
      <c r="W352" t="s">
        <v>614</v>
      </c>
      <c r="X352" t="s">
        <v>264</v>
      </c>
    </row>
    <row r="353" spans="21:24" x14ac:dyDescent="0.45">
      <c r="U353" t="s">
        <v>139</v>
      </c>
      <c r="V353" t="s">
        <v>621</v>
      </c>
      <c r="W353" t="s">
        <v>614</v>
      </c>
      <c r="X353" t="s">
        <v>264</v>
      </c>
    </row>
    <row r="354" spans="21:24" x14ac:dyDescent="0.45">
      <c r="U354" t="s">
        <v>139</v>
      </c>
      <c r="V354" t="s">
        <v>622</v>
      </c>
      <c r="W354" t="s">
        <v>614</v>
      </c>
      <c r="X354" t="s">
        <v>264</v>
      </c>
    </row>
    <row r="355" spans="21:24" x14ac:dyDescent="0.45">
      <c r="U355" t="s">
        <v>139</v>
      </c>
      <c r="V355" t="s">
        <v>623</v>
      </c>
      <c r="W355" t="s">
        <v>614</v>
      </c>
      <c r="X355" t="s">
        <v>264</v>
      </c>
    </row>
    <row r="356" spans="21:24" x14ac:dyDescent="0.45">
      <c r="U356" t="s">
        <v>139</v>
      </c>
      <c r="V356" t="s">
        <v>624</v>
      </c>
      <c r="W356" t="s">
        <v>614</v>
      </c>
      <c r="X356" t="s">
        <v>264</v>
      </c>
    </row>
    <row r="357" spans="21:24" x14ac:dyDescent="0.45">
      <c r="U357" t="s">
        <v>139</v>
      </c>
      <c r="V357" t="s">
        <v>625</v>
      </c>
      <c r="W357" t="s">
        <v>614</v>
      </c>
      <c r="X357" t="s">
        <v>264</v>
      </c>
    </row>
    <row r="358" spans="21:24" x14ac:dyDescent="0.45">
      <c r="U358" t="s">
        <v>139</v>
      </c>
      <c r="V358" t="s">
        <v>626</v>
      </c>
      <c r="W358" t="s">
        <v>614</v>
      </c>
      <c r="X358" t="s">
        <v>264</v>
      </c>
    </row>
    <row r="359" spans="21:24" x14ac:dyDescent="0.45">
      <c r="U359" t="s">
        <v>139</v>
      </c>
      <c r="V359" t="s">
        <v>627</v>
      </c>
      <c r="W359" t="s">
        <v>614</v>
      </c>
      <c r="X359" t="s">
        <v>264</v>
      </c>
    </row>
    <row r="360" spans="21:24" x14ac:dyDescent="0.45">
      <c r="U360" t="s">
        <v>139</v>
      </c>
      <c r="V360" t="s">
        <v>628</v>
      </c>
      <c r="W360" t="s">
        <v>614</v>
      </c>
      <c r="X360" t="s">
        <v>264</v>
      </c>
    </row>
    <row r="361" spans="21:24" x14ac:dyDescent="0.45">
      <c r="U361" t="s">
        <v>139</v>
      </c>
      <c r="V361" t="s">
        <v>629</v>
      </c>
      <c r="W361" t="s">
        <v>614</v>
      </c>
      <c r="X361" t="s">
        <v>264</v>
      </c>
    </row>
    <row r="362" spans="21:24" x14ac:dyDescent="0.45">
      <c r="U362" t="s">
        <v>139</v>
      </c>
      <c r="V362" t="s">
        <v>630</v>
      </c>
      <c r="W362" t="s">
        <v>614</v>
      </c>
      <c r="X362" t="s">
        <v>264</v>
      </c>
    </row>
    <row r="363" spans="21:24" x14ac:dyDescent="0.45">
      <c r="U363" t="s">
        <v>139</v>
      </c>
      <c r="V363" t="s">
        <v>631</v>
      </c>
      <c r="W363" t="s">
        <v>614</v>
      </c>
      <c r="X363" t="s">
        <v>264</v>
      </c>
    </row>
    <row r="364" spans="21:24" x14ac:dyDescent="0.45">
      <c r="U364" t="s">
        <v>139</v>
      </c>
      <c r="V364" t="s">
        <v>632</v>
      </c>
      <c r="W364" t="s">
        <v>614</v>
      </c>
      <c r="X364" t="s">
        <v>264</v>
      </c>
    </row>
    <row r="365" spans="21:24" x14ac:dyDescent="0.45">
      <c r="U365" t="s">
        <v>139</v>
      </c>
      <c r="V365" t="s">
        <v>633</v>
      </c>
      <c r="W365" t="s">
        <v>257</v>
      </c>
      <c r="X365" t="s">
        <v>264</v>
      </c>
    </row>
    <row r="366" spans="21:24" x14ac:dyDescent="0.45">
      <c r="U366" t="s">
        <v>139</v>
      </c>
      <c r="V366" t="s">
        <v>634</v>
      </c>
      <c r="W366" t="s">
        <v>257</v>
      </c>
      <c r="X366" t="s">
        <v>264</v>
      </c>
    </row>
    <row r="367" spans="21:24" x14ac:dyDescent="0.45">
      <c r="U367" t="s">
        <v>139</v>
      </c>
      <c r="V367" t="s">
        <v>635</v>
      </c>
      <c r="W367" t="s">
        <v>257</v>
      </c>
      <c r="X367" t="s">
        <v>264</v>
      </c>
    </row>
    <row r="368" spans="21:24" x14ac:dyDescent="0.45">
      <c r="U368" t="s">
        <v>139</v>
      </c>
      <c r="V368" t="s">
        <v>636</v>
      </c>
      <c r="W368" t="s">
        <v>257</v>
      </c>
      <c r="X368" t="s">
        <v>264</v>
      </c>
    </row>
    <row r="369" spans="21:24" x14ac:dyDescent="0.45">
      <c r="U369" t="s">
        <v>139</v>
      </c>
      <c r="V369" t="s">
        <v>637</v>
      </c>
      <c r="W369" t="s">
        <v>257</v>
      </c>
      <c r="X369" t="s">
        <v>264</v>
      </c>
    </row>
    <row r="370" spans="21:24" x14ac:dyDescent="0.45">
      <c r="U370" t="s">
        <v>139</v>
      </c>
      <c r="V370" t="s">
        <v>638</v>
      </c>
      <c r="W370" t="s">
        <v>257</v>
      </c>
      <c r="X370" t="s">
        <v>264</v>
      </c>
    </row>
    <row r="371" spans="21:24" x14ac:dyDescent="0.45">
      <c r="U371" t="s">
        <v>139</v>
      </c>
      <c r="V371" t="s">
        <v>639</v>
      </c>
      <c r="W371" t="s">
        <v>257</v>
      </c>
      <c r="X371" t="s">
        <v>264</v>
      </c>
    </row>
    <row r="372" spans="21:24" x14ac:dyDescent="0.45">
      <c r="U372" t="s">
        <v>139</v>
      </c>
      <c r="V372" t="s">
        <v>640</v>
      </c>
      <c r="W372" t="s">
        <v>257</v>
      </c>
      <c r="X372" t="s">
        <v>264</v>
      </c>
    </row>
    <row r="373" spans="21:24" x14ac:dyDescent="0.45">
      <c r="U373" t="s">
        <v>139</v>
      </c>
      <c r="V373" t="s">
        <v>641</v>
      </c>
      <c r="W373" t="s">
        <v>257</v>
      </c>
      <c r="X373" t="s">
        <v>264</v>
      </c>
    </row>
    <row r="374" spans="21:24" x14ac:dyDescent="0.45">
      <c r="U374" t="s">
        <v>139</v>
      </c>
      <c r="V374" t="s">
        <v>642</v>
      </c>
      <c r="W374" t="s">
        <v>257</v>
      </c>
      <c r="X374" t="s">
        <v>264</v>
      </c>
    </row>
    <row r="375" spans="21:24" x14ac:dyDescent="0.45">
      <c r="U375" t="s">
        <v>139</v>
      </c>
      <c r="V375" t="s">
        <v>643</v>
      </c>
      <c r="W375" t="s">
        <v>257</v>
      </c>
      <c r="X375" t="s">
        <v>264</v>
      </c>
    </row>
    <row r="376" spans="21:24" x14ac:dyDescent="0.45">
      <c r="U376" t="s">
        <v>139</v>
      </c>
      <c r="V376" t="s">
        <v>644</v>
      </c>
      <c r="W376" t="s">
        <v>257</v>
      </c>
      <c r="X376" t="s">
        <v>264</v>
      </c>
    </row>
    <row r="377" spans="21:24" x14ac:dyDescent="0.45">
      <c r="U377" t="s">
        <v>139</v>
      </c>
      <c r="V377" t="s">
        <v>645</v>
      </c>
      <c r="W377" t="s">
        <v>257</v>
      </c>
      <c r="X377" t="s">
        <v>264</v>
      </c>
    </row>
    <row r="378" spans="21:24" x14ac:dyDescent="0.45">
      <c r="U378" t="s">
        <v>139</v>
      </c>
      <c r="V378" t="s">
        <v>646</v>
      </c>
      <c r="W378" t="s">
        <v>257</v>
      </c>
      <c r="X378" t="s">
        <v>264</v>
      </c>
    </row>
    <row r="379" spans="21:24" x14ac:dyDescent="0.45">
      <c r="U379" t="s">
        <v>139</v>
      </c>
      <c r="V379" t="s">
        <v>647</v>
      </c>
      <c r="W379" t="s">
        <v>257</v>
      </c>
      <c r="X379" t="s">
        <v>264</v>
      </c>
    </row>
    <row r="380" spans="21:24" x14ac:dyDescent="0.45">
      <c r="U380" t="s">
        <v>139</v>
      </c>
      <c r="V380" t="s">
        <v>648</v>
      </c>
      <c r="W380" t="s">
        <v>257</v>
      </c>
      <c r="X380" t="s">
        <v>264</v>
      </c>
    </row>
    <row r="381" spans="21:24" x14ac:dyDescent="0.45">
      <c r="U381" t="s">
        <v>139</v>
      </c>
      <c r="V381" t="s">
        <v>649</v>
      </c>
      <c r="W381" t="s">
        <v>257</v>
      </c>
      <c r="X381" t="s">
        <v>264</v>
      </c>
    </row>
    <row r="382" spans="21:24" x14ac:dyDescent="0.45">
      <c r="U382" t="s">
        <v>139</v>
      </c>
      <c r="V382" t="s">
        <v>650</v>
      </c>
      <c r="W382" t="s">
        <v>257</v>
      </c>
      <c r="X382" t="s">
        <v>264</v>
      </c>
    </row>
    <row r="383" spans="21:24" x14ac:dyDescent="0.45">
      <c r="U383" t="s">
        <v>139</v>
      </c>
      <c r="V383" t="s">
        <v>651</v>
      </c>
      <c r="W383" t="s">
        <v>257</v>
      </c>
      <c r="X383" t="s">
        <v>264</v>
      </c>
    </row>
    <row r="384" spans="21:24" x14ac:dyDescent="0.45">
      <c r="U384" t="s">
        <v>139</v>
      </c>
      <c r="V384" t="s">
        <v>652</v>
      </c>
      <c r="W384" t="s">
        <v>653</v>
      </c>
      <c r="X384" t="s">
        <v>264</v>
      </c>
    </row>
    <row r="385" spans="21:24" x14ac:dyDescent="0.45">
      <c r="U385" t="s">
        <v>139</v>
      </c>
      <c r="V385" t="s">
        <v>654</v>
      </c>
      <c r="W385" t="s">
        <v>653</v>
      </c>
      <c r="X385" t="s">
        <v>264</v>
      </c>
    </row>
    <row r="386" spans="21:24" x14ac:dyDescent="0.45">
      <c r="U386" t="s">
        <v>139</v>
      </c>
      <c r="V386" t="s">
        <v>655</v>
      </c>
      <c r="W386" t="s">
        <v>653</v>
      </c>
      <c r="X386" t="s">
        <v>264</v>
      </c>
    </row>
    <row r="387" spans="21:24" x14ac:dyDescent="0.45">
      <c r="U387" t="s">
        <v>139</v>
      </c>
      <c r="V387" t="s">
        <v>656</v>
      </c>
      <c r="W387" t="s">
        <v>653</v>
      </c>
      <c r="X387" t="s">
        <v>264</v>
      </c>
    </row>
    <row r="388" spans="21:24" x14ac:dyDescent="0.45">
      <c r="U388" t="s">
        <v>139</v>
      </c>
      <c r="V388" t="s">
        <v>657</v>
      </c>
      <c r="W388" t="s">
        <v>653</v>
      </c>
      <c r="X388" t="s">
        <v>264</v>
      </c>
    </row>
    <row r="389" spans="21:24" x14ac:dyDescent="0.45">
      <c r="U389" t="s">
        <v>139</v>
      </c>
      <c r="V389" t="s">
        <v>658</v>
      </c>
      <c r="W389" t="s">
        <v>653</v>
      </c>
      <c r="X389" t="s">
        <v>264</v>
      </c>
    </row>
    <row r="390" spans="21:24" x14ac:dyDescent="0.45">
      <c r="U390" t="s">
        <v>139</v>
      </c>
      <c r="V390" t="s">
        <v>659</v>
      </c>
      <c r="W390" t="s">
        <v>653</v>
      </c>
      <c r="X390" t="s">
        <v>264</v>
      </c>
    </row>
    <row r="391" spans="21:24" x14ac:dyDescent="0.45">
      <c r="U391" t="s">
        <v>139</v>
      </c>
      <c r="V391" t="s">
        <v>660</v>
      </c>
      <c r="W391" t="s">
        <v>653</v>
      </c>
      <c r="X391" t="s">
        <v>264</v>
      </c>
    </row>
    <row r="392" spans="21:24" x14ac:dyDescent="0.45">
      <c r="U392" t="s">
        <v>139</v>
      </c>
      <c r="V392" t="s">
        <v>661</v>
      </c>
      <c r="W392" t="s">
        <v>653</v>
      </c>
      <c r="X392" t="s">
        <v>264</v>
      </c>
    </row>
    <row r="393" spans="21:24" x14ac:dyDescent="0.45">
      <c r="U393" t="s">
        <v>139</v>
      </c>
      <c r="V393" t="s">
        <v>662</v>
      </c>
      <c r="W393" t="s">
        <v>653</v>
      </c>
      <c r="X393" t="s">
        <v>264</v>
      </c>
    </row>
    <row r="394" spans="21:24" x14ac:dyDescent="0.45">
      <c r="U394" t="s">
        <v>139</v>
      </c>
      <c r="V394" t="s">
        <v>663</v>
      </c>
      <c r="W394" t="s">
        <v>653</v>
      </c>
      <c r="X394" t="s">
        <v>264</v>
      </c>
    </row>
    <row r="395" spans="21:24" x14ac:dyDescent="0.45">
      <c r="U395" t="s">
        <v>139</v>
      </c>
      <c r="V395" t="s">
        <v>664</v>
      </c>
      <c r="W395" t="s">
        <v>653</v>
      </c>
      <c r="X395" t="s">
        <v>264</v>
      </c>
    </row>
    <row r="396" spans="21:24" x14ac:dyDescent="0.45">
      <c r="U396" t="s">
        <v>139</v>
      </c>
      <c r="V396" t="s">
        <v>665</v>
      </c>
      <c r="W396" t="s">
        <v>653</v>
      </c>
      <c r="X396" t="s">
        <v>264</v>
      </c>
    </row>
    <row r="397" spans="21:24" x14ac:dyDescent="0.45">
      <c r="U397" t="s">
        <v>139</v>
      </c>
      <c r="V397" t="s">
        <v>666</v>
      </c>
      <c r="W397" t="s">
        <v>653</v>
      </c>
      <c r="X397" t="s">
        <v>264</v>
      </c>
    </row>
    <row r="398" spans="21:24" x14ac:dyDescent="0.45">
      <c r="U398" t="s">
        <v>139</v>
      </c>
      <c r="V398" t="s">
        <v>667</v>
      </c>
      <c r="W398" t="s">
        <v>653</v>
      </c>
      <c r="X398" t="s">
        <v>264</v>
      </c>
    </row>
    <row r="399" spans="21:24" x14ac:dyDescent="0.45">
      <c r="U399" t="s">
        <v>139</v>
      </c>
      <c r="V399" t="s">
        <v>668</v>
      </c>
      <c r="W399" t="s">
        <v>653</v>
      </c>
      <c r="X399" t="s">
        <v>264</v>
      </c>
    </row>
    <row r="400" spans="21:24" x14ac:dyDescent="0.45">
      <c r="U400" t="s">
        <v>139</v>
      </c>
      <c r="V400" t="s">
        <v>669</v>
      </c>
      <c r="W400" t="s">
        <v>653</v>
      </c>
      <c r="X400" t="s">
        <v>264</v>
      </c>
    </row>
    <row r="401" spans="21:24" x14ac:dyDescent="0.45">
      <c r="U401" t="s">
        <v>139</v>
      </c>
      <c r="V401" t="s">
        <v>670</v>
      </c>
      <c r="W401" t="s">
        <v>653</v>
      </c>
      <c r="X401" t="s">
        <v>264</v>
      </c>
    </row>
    <row r="402" spans="21:24" x14ac:dyDescent="0.45">
      <c r="U402" t="s">
        <v>139</v>
      </c>
      <c r="V402" t="s">
        <v>671</v>
      </c>
      <c r="W402" t="s">
        <v>653</v>
      </c>
      <c r="X402" t="s">
        <v>264</v>
      </c>
    </row>
    <row r="403" spans="21:24" x14ac:dyDescent="0.45">
      <c r="U403" t="s">
        <v>139</v>
      </c>
      <c r="V403" t="s">
        <v>672</v>
      </c>
      <c r="W403" t="s">
        <v>253</v>
      </c>
      <c r="X403" t="s">
        <v>264</v>
      </c>
    </row>
    <row r="404" spans="21:24" x14ac:dyDescent="0.45">
      <c r="U404" t="s">
        <v>139</v>
      </c>
      <c r="V404" t="s">
        <v>673</v>
      </c>
      <c r="W404" t="s">
        <v>253</v>
      </c>
      <c r="X404" t="s">
        <v>264</v>
      </c>
    </row>
    <row r="405" spans="21:24" x14ac:dyDescent="0.45">
      <c r="U405" t="s">
        <v>139</v>
      </c>
      <c r="V405" t="s">
        <v>674</v>
      </c>
      <c r="W405" t="s">
        <v>253</v>
      </c>
      <c r="X405" t="s">
        <v>264</v>
      </c>
    </row>
    <row r="406" spans="21:24" x14ac:dyDescent="0.45">
      <c r="U406" t="s">
        <v>139</v>
      </c>
      <c r="V406" t="s">
        <v>675</v>
      </c>
      <c r="W406" t="s">
        <v>253</v>
      </c>
      <c r="X406" t="s">
        <v>264</v>
      </c>
    </row>
    <row r="407" spans="21:24" x14ac:dyDescent="0.45">
      <c r="U407" t="s">
        <v>139</v>
      </c>
      <c r="V407" t="s">
        <v>676</v>
      </c>
      <c r="W407" t="s">
        <v>253</v>
      </c>
      <c r="X407" t="s">
        <v>264</v>
      </c>
    </row>
    <row r="408" spans="21:24" x14ac:dyDescent="0.45">
      <c r="U408" t="s">
        <v>139</v>
      </c>
      <c r="V408" t="s">
        <v>677</v>
      </c>
      <c r="W408" t="s">
        <v>253</v>
      </c>
      <c r="X408" t="s">
        <v>264</v>
      </c>
    </row>
    <row r="409" spans="21:24" x14ac:dyDescent="0.45">
      <c r="U409" t="s">
        <v>139</v>
      </c>
      <c r="V409" t="s">
        <v>678</v>
      </c>
      <c r="W409" t="s">
        <v>253</v>
      </c>
      <c r="X409" t="s">
        <v>264</v>
      </c>
    </row>
    <row r="410" spans="21:24" x14ac:dyDescent="0.45">
      <c r="U410" t="s">
        <v>139</v>
      </c>
      <c r="V410" t="s">
        <v>679</v>
      </c>
      <c r="W410" t="s">
        <v>253</v>
      </c>
      <c r="X410" t="s">
        <v>264</v>
      </c>
    </row>
    <row r="411" spans="21:24" x14ac:dyDescent="0.45">
      <c r="U411" t="s">
        <v>139</v>
      </c>
      <c r="V411" t="s">
        <v>680</v>
      </c>
      <c r="W411" t="s">
        <v>253</v>
      </c>
      <c r="X411" t="s">
        <v>264</v>
      </c>
    </row>
    <row r="412" spans="21:24" x14ac:dyDescent="0.45">
      <c r="U412" t="s">
        <v>139</v>
      </c>
      <c r="V412" t="s">
        <v>681</v>
      </c>
      <c r="W412" t="s">
        <v>253</v>
      </c>
      <c r="X412" t="s">
        <v>264</v>
      </c>
    </row>
    <row r="413" spans="21:24" x14ac:dyDescent="0.45">
      <c r="U413" t="s">
        <v>139</v>
      </c>
      <c r="V413" t="s">
        <v>682</v>
      </c>
      <c r="W413" t="s">
        <v>253</v>
      </c>
      <c r="X413" t="s">
        <v>264</v>
      </c>
    </row>
    <row r="414" spans="21:24" x14ac:dyDescent="0.45">
      <c r="U414" t="s">
        <v>139</v>
      </c>
      <c r="V414" t="s">
        <v>683</v>
      </c>
      <c r="W414" t="s">
        <v>253</v>
      </c>
      <c r="X414" t="s">
        <v>264</v>
      </c>
    </row>
    <row r="415" spans="21:24" x14ac:dyDescent="0.45">
      <c r="U415" t="s">
        <v>139</v>
      </c>
      <c r="V415" t="s">
        <v>684</v>
      </c>
      <c r="W415" t="s">
        <v>253</v>
      </c>
      <c r="X415" t="s">
        <v>264</v>
      </c>
    </row>
    <row r="416" spans="21:24" x14ac:dyDescent="0.45">
      <c r="U416" t="s">
        <v>139</v>
      </c>
      <c r="V416" t="s">
        <v>685</v>
      </c>
      <c r="W416" t="s">
        <v>253</v>
      </c>
      <c r="X416" t="s">
        <v>264</v>
      </c>
    </row>
    <row r="417" spans="21:24" x14ac:dyDescent="0.45">
      <c r="U417" t="s">
        <v>139</v>
      </c>
      <c r="V417" t="s">
        <v>686</v>
      </c>
      <c r="W417" t="s">
        <v>253</v>
      </c>
      <c r="X417" t="s">
        <v>264</v>
      </c>
    </row>
    <row r="418" spans="21:24" x14ac:dyDescent="0.45">
      <c r="U418" t="s">
        <v>139</v>
      </c>
      <c r="V418" t="s">
        <v>687</v>
      </c>
      <c r="W418" t="s">
        <v>253</v>
      </c>
      <c r="X418" t="s">
        <v>264</v>
      </c>
    </row>
    <row r="419" spans="21:24" x14ac:dyDescent="0.45">
      <c r="U419" t="s">
        <v>139</v>
      </c>
      <c r="V419" t="s">
        <v>688</v>
      </c>
      <c r="W419" t="s">
        <v>253</v>
      </c>
      <c r="X419" t="s">
        <v>264</v>
      </c>
    </row>
    <row r="420" spans="21:24" x14ac:dyDescent="0.45">
      <c r="U420" t="s">
        <v>139</v>
      </c>
      <c r="V420" t="s">
        <v>689</v>
      </c>
      <c r="W420" t="s">
        <v>253</v>
      </c>
      <c r="X420" t="s">
        <v>264</v>
      </c>
    </row>
    <row r="421" spans="21:24" x14ac:dyDescent="0.45">
      <c r="U421" t="s">
        <v>139</v>
      </c>
      <c r="V421" t="s">
        <v>690</v>
      </c>
      <c r="W421" t="s">
        <v>253</v>
      </c>
      <c r="X421" t="s">
        <v>264</v>
      </c>
    </row>
    <row r="422" spans="21:24" x14ac:dyDescent="0.45">
      <c r="U422" t="s">
        <v>139</v>
      </c>
      <c r="V422" t="s">
        <v>691</v>
      </c>
      <c r="W422" t="s">
        <v>692</v>
      </c>
      <c r="X422" t="s">
        <v>264</v>
      </c>
    </row>
    <row r="423" spans="21:24" x14ac:dyDescent="0.45">
      <c r="U423" t="s">
        <v>139</v>
      </c>
      <c r="V423" t="s">
        <v>693</v>
      </c>
      <c r="W423" t="s">
        <v>692</v>
      </c>
      <c r="X423" t="s">
        <v>264</v>
      </c>
    </row>
    <row r="424" spans="21:24" x14ac:dyDescent="0.45">
      <c r="U424" t="s">
        <v>139</v>
      </c>
      <c r="V424" t="s">
        <v>694</v>
      </c>
      <c r="W424" t="s">
        <v>692</v>
      </c>
      <c r="X424" t="s">
        <v>264</v>
      </c>
    </row>
    <row r="425" spans="21:24" x14ac:dyDescent="0.45">
      <c r="U425" t="s">
        <v>139</v>
      </c>
      <c r="V425" t="s">
        <v>695</v>
      </c>
      <c r="W425" t="s">
        <v>692</v>
      </c>
      <c r="X425" t="s">
        <v>264</v>
      </c>
    </row>
    <row r="426" spans="21:24" x14ac:dyDescent="0.45">
      <c r="U426" t="s">
        <v>139</v>
      </c>
      <c r="V426" t="s">
        <v>696</v>
      </c>
      <c r="W426" t="s">
        <v>692</v>
      </c>
      <c r="X426" t="s">
        <v>264</v>
      </c>
    </row>
    <row r="427" spans="21:24" x14ac:dyDescent="0.45">
      <c r="U427" t="s">
        <v>139</v>
      </c>
      <c r="V427" t="s">
        <v>697</v>
      </c>
      <c r="W427" t="s">
        <v>692</v>
      </c>
      <c r="X427" t="s">
        <v>264</v>
      </c>
    </row>
    <row r="428" spans="21:24" x14ac:dyDescent="0.45">
      <c r="U428" t="s">
        <v>139</v>
      </c>
      <c r="V428" t="s">
        <v>698</v>
      </c>
      <c r="W428" t="s">
        <v>692</v>
      </c>
      <c r="X428" t="s">
        <v>264</v>
      </c>
    </row>
    <row r="429" spans="21:24" x14ac:dyDescent="0.45">
      <c r="U429" t="s">
        <v>139</v>
      </c>
      <c r="V429" t="s">
        <v>699</v>
      </c>
      <c r="W429" t="s">
        <v>692</v>
      </c>
      <c r="X429" t="s">
        <v>264</v>
      </c>
    </row>
    <row r="430" spans="21:24" x14ac:dyDescent="0.45">
      <c r="U430" t="s">
        <v>139</v>
      </c>
      <c r="V430" t="s">
        <v>700</v>
      </c>
      <c r="W430" t="s">
        <v>692</v>
      </c>
      <c r="X430" t="s">
        <v>264</v>
      </c>
    </row>
    <row r="431" spans="21:24" x14ac:dyDescent="0.45">
      <c r="U431" t="s">
        <v>139</v>
      </c>
      <c r="V431" t="s">
        <v>701</v>
      </c>
      <c r="W431" t="s">
        <v>692</v>
      </c>
      <c r="X431" t="s">
        <v>264</v>
      </c>
    </row>
    <row r="432" spans="21:24" x14ac:dyDescent="0.45">
      <c r="U432" t="s">
        <v>139</v>
      </c>
      <c r="V432" t="s">
        <v>702</v>
      </c>
      <c r="W432" t="s">
        <v>692</v>
      </c>
      <c r="X432" t="s">
        <v>264</v>
      </c>
    </row>
    <row r="433" spans="21:24" x14ac:dyDescent="0.45">
      <c r="U433" t="s">
        <v>139</v>
      </c>
      <c r="V433" t="s">
        <v>703</v>
      </c>
      <c r="W433" t="s">
        <v>692</v>
      </c>
      <c r="X433" t="s">
        <v>264</v>
      </c>
    </row>
    <row r="434" spans="21:24" x14ac:dyDescent="0.45">
      <c r="U434" t="s">
        <v>139</v>
      </c>
      <c r="V434" t="s">
        <v>704</v>
      </c>
      <c r="W434" t="s">
        <v>692</v>
      </c>
      <c r="X434" t="s">
        <v>264</v>
      </c>
    </row>
    <row r="435" spans="21:24" x14ac:dyDescent="0.45">
      <c r="U435" t="s">
        <v>139</v>
      </c>
      <c r="V435" t="s">
        <v>705</v>
      </c>
      <c r="W435" t="s">
        <v>692</v>
      </c>
      <c r="X435" t="s">
        <v>264</v>
      </c>
    </row>
    <row r="436" spans="21:24" x14ac:dyDescent="0.45">
      <c r="U436" t="s">
        <v>139</v>
      </c>
      <c r="V436" t="s">
        <v>706</v>
      </c>
      <c r="W436" t="s">
        <v>692</v>
      </c>
      <c r="X436" t="s">
        <v>264</v>
      </c>
    </row>
    <row r="437" spans="21:24" x14ac:dyDescent="0.45">
      <c r="U437" t="s">
        <v>139</v>
      </c>
      <c r="V437" t="s">
        <v>707</v>
      </c>
      <c r="W437" t="s">
        <v>692</v>
      </c>
      <c r="X437" t="s">
        <v>264</v>
      </c>
    </row>
    <row r="438" spans="21:24" x14ac:dyDescent="0.45">
      <c r="U438" t="s">
        <v>139</v>
      </c>
      <c r="V438" t="s">
        <v>708</v>
      </c>
      <c r="W438" t="s">
        <v>692</v>
      </c>
      <c r="X438" t="s">
        <v>264</v>
      </c>
    </row>
    <row r="439" spans="21:24" x14ac:dyDescent="0.45">
      <c r="U439" t="s">
        <v>139</v>
      </c>
      <c r="V439" t="s">
        <v>709</v>
      </c>
      <c r="W439" t="s">
        <v>692</v>
      </c>
      <c r="X439" t="s">
        <v>264</v>
      </c>
    </row>
    <row r="440" spans="21:24" x14ac:dyDescent="0.45">
      <c r="U440" t="s">
        <v>139</v>
      </c>
      <c r="V440" t="s">
        <v>710</v>
      </c>
      <c r="W440" t="s">
        <v>692</v>
      </c>
      <c r="X440" t="s">
        <v>264</v>
      </c>
    </row>
    <row r="441" spans="21:24" x14ac:dyDescent="0.45">
      <c r="U441" t="s">
        <v>139</v>
      </c>
      <c r="V441" t="s">
        <v>711</v>
      </c>
      <c r="W441" t="s">
        <v>712</v>
      </c>
      <c r="X441" t="s">
        <v>264</v>
      </c>
    </row>
    <row r="442" spans="21:24" x14ac:dyDescent="0.45">
      <c r="U442" t="s">
        <v>139</v>
      </c>
      <c r="V442" t="s">
        <v>713</v>
      </c>
      <c r="W442" t="s">
        <v>712</v>
      </c>
      <c r="X442" t="s">
        <v>264</v>
      </c>
    </row>
    <row r="443" spans="21:24" x14ac:dyDescent="0.45">
      <c r="U443" t="s">
        <v>139</v>
      </c>
      <c r="V443" t="s">
        <v>714</v>
      </c>
      <c r="W443" t="s">
        <v>712</v>
      </c>
      <c r="X443" t="s">
        <v>264</v>
      </c>
    </row>
    <row r="444" spans="21:24" x14ac:dyDescent="0.45">
      <c r="U444" t="s">
        <v>139</v>
      </c>
      <c r="V444" t="s">
        <v>715</v>
      </c>
      <c r="W444" t="s">
        <v>712</v>
      </c>
      <c r="X444" t="s">
        <v>264</v>
      </c>
    </row>
    <row r="445" spans="21:24" x14ac:dyDescent="0.45">
      <c r="U445" t="s">
        <v>139</v>
      </c>
      <c r="V445" t="s">
        <v>716</v>
      </c>
      <c r="W445" t="s">
        <v>712</v>
      </c>
      <c r="X445" t="s">
        <v>264</v>
      </c>
    </row>
    <row r="446" spans="21:24" x14ac:dyDescent="0.45">
      <c r="U446" t="s">
        <v>139</v>
      </c>
      <c r="V446" t="s">
        <v>717</v>
      </c>
      <c r="W446" t="s">
        <v>712</v>
      </c>
      <c r="X446" t="s">
        <v>264</v>
      </c>
    </row>
    <row r="447" spans="21:24" x14ac:dyDescent="0.45">
      <c r="U447" t="s">
        <v>139</v>
      </c>
      <c r="V447" t="s">
        <v>718</v>
      </c>
      <c r="W447" t="s">
        <v>712</v>
      </c>
      <c r="X447" t="s">
        <v>264</v>
      </c>
    </row>
    <row r="448" spans="21:24" x14ac:dyDescent="0.45">
      <c r="U448" t="s">
        <v>139</v>
      </c>
      <c r="V448" t="s">
        <v>719</v>
      </c>
      <c r="W448" t="s">
        <v>712</v>
      </c>
      <c r="X448" t="s">
        <v>264</v>
      </c>
    </row>
    <row r="449" spans="21:24" x14ac:dyDescent="0.45">
      <c r="U449" t="s">
        <v>139</v>
      </c>
      <c r="V449" t="s">
        <v>720</v>
      </c>
      <c r="W449" t="s">
        <v>712</v>
      </c>
      <c r="X449" t="s">
        <v>264</v>
      </c>
    </row>
    <row r="450" spans="21:24" x14ac:dyDescent="0.45">
      <c r="U450" t="s">
        <v>139</v>
      </c>
      <c r="V450" t="s">
        <v>721</v>
      </c>
      <c r="W450" t="s">
        <v>712</v>
      </c>
      <c r="X450" t="s">
        <v>264</v>
      </c>
    </row>
    <row r="451" spans="21:24" x14ac:dyDescent="0.45">
      <c r="U451" t="s">
        <v>139</v>
      </c>
      <c r="V451" t="s">
        <v>722</v>
      </c>
      <c r="W451" t="s">
        <v>712</v>
      </c>
      <c r="X451" t="s">
        <v>264</v>
      </c>
    </row>
    <row r="452" spans="21:24" x14ac:dyDescent="0.45">
      <c r="U452" t="s">
        <v>139</v>
      </c>
      <c r="V452" t="s">
        <v>723</v>
      </c>
      <c r="W452" t="s">
        <v>712</v>
      </c>
      <c r="X452" t="s">
        <v>264</v>
      </c>
    </row>
    <row r="453" spans="21:24" x14ac:dyDescent="0.45">
      <c r="U453" t="s">
        <v>139</v>
      </c>
      <c r="V453" t="s">
        <v>724</v>
      </c>
      <c r="W453" t="s">
        <v>712</v>
      </c>
      <c r="X453" t="s">
        <v>264</v>
      </c>
    </row>
    <row r="454" spans="21:24" x14ac:dyDescent="0.45">
      <c r="U454" t="s">
        <v>139</v>
      </c>
      <c r="V454" t="s">
        <v>725</v>
      </c>
      <c r="W454" t="s">
        <v>712</v>
      </c>
      <c r="X454" t="s">
        <v>264</v>
      </c>
    </row>
    <row r="455" spans="21:24" x14ac:dyDescent="0.45">
      <c r="U455" t="s">
        <v>139</v>
      </c>
      <c r="V455" t="s">
        <v>726</v>
      </c>
      <c r="W455" t="s">
        <v>712</v>
      </c>
      <c r="X455" t="s">
        <v>264</v>
      </c>
    </row>
    <row r="456" spans="21:24" x14ac:dyDescent="0.45">
      <c r="U456" t="s">
        <v>139</v>
      </c>
      <c r="V456" t="s">
        <v>727</v>
      </c>
      <c r="W456" t="s">
        <v>712</v>
      </c>
      <c r="X456" t="s">
        <v>264</v>
      </c>
    </row>
    <row r="457" spans="21:24" x14ac:dyDescent="0.45">
      <c r="U457" t="s">
        <v>139</v>
      </c>
      <c r="V457" t="s">
        <v>728</v>
      </c>
      <c r="W457" t="s">
        <v>712</v>
      </c>
      <c r="X457" t="s">
        <v>264</v>
      </c>
    </row>
    <row r="458" spans="21:24" x14ac:dyDescent="0.45">
      <c r="U458" t="s">
        <v>139</v>
      </c>
      <c r="V458" t="s">
        <v>729</v>
      </c>
      <c r="W458" t="s">
        <v>712</v>
      </c>
      <c r="X458" t="s">
        <v>264</v>
      </c>
    </row>
    <row r="459" spans="21:24" x14ac:dyDescent="0.45">
      <c r="U459" t="s">
        <v>139</v>
      </c>
      <c r="V459" t="s">
        <v>730</v>
      </c>
      <c r="W459" t="s">
        <v>712</v>
      </c>
      <c r="X459" t="s">
        <v>264</v>
      </c>
    </row>
    <row r="460" spans="21:24" x14ac:dyDescent="0.45">
      <c r="U460" t="s">
        <v>139</v>
      </c>
      <c r="V460" t="s">
        <v>731</v>
      </c>
      <c r="W460" t="s">
        <v>252</v>
      </c>
      <c r="X460" t="s">
        <v>264</v>
      </c>
    </row>
    <row r="461" spans="21:24" x14ac:dyDescent="0.45">
      <c r="U461" t="s">
        <v>139</v>
      </c>
      <c r="V461" t="s">
        <v>732</v>
      </c>
      <c r="W461" t="s">
        <v>252</v>
      </c>
      <c r="X461" t="s">
        <v>264</v>
      </c>
    </row>
    <row r="462" spans="21:24" x14ac:dyDescent="0.45">
      <c r="U462" t="s">
        <v>139</v>
      </c>
      <c r="V462" t="s">
        <v>733</v>
      </c>
      <c r="W462" t="s">
        <v>252</v>
      </c>
      <c r="X462" t="s">
        <v>264</v>
      </c>
    </row>
    <row r="463" spans="21:24" x14ac:dyDescent="0.45">
      <c r="U463" t="s">
        <v>139</v>
      </c>
      <c r="V463" t="s">
        <v>734</v>
      </c>
      <c r="W463" t="s">
        <v>252</v>
      </c>
      <c r="X463" t="s">
        <v>264</v>
      </c>
    </row>
    <row r="464" spans="21:24" x14ac:dyDescent="0.45">
      <c r="U464" t="s">
        <v>139</v>
      </c>
      <c r="V464" t="s">
        <v>735</v>
      </c>
      <c r="W464" t="s">
        <v>252</v>
      </c>
      <c r="X464" t="s">
        <v>264</v>
      </c>
    </row>
    <row r="465" spans="21:24" x14ac:dyDescent="0.45">
      <c r="U465" t="s">
        <v>139</v>
      </c>
      <c r="V465" t="s">
        <v>736</v>
      </c>
      <c r="W465" t="s">
        <v>252</v>
      </c>
      <c r="X465" t="s">
        <v>264</v>
      </c>
    </row>
    <row r="466" spans="21:24" x14ac:dyDescent="0.45">
      <c r="U466" t="s">
        <v>139</v>
      </c>
      <c r="V466" t="s">
        <v>737</v>
      </c>
      <c r="W466" t="s">
        <v>252</v>
      </c>
      <c r="X466" t="s">
        <v>264</v>
      </c>
    </row>
    <row r="467" spans="21:24" x14ac:dyDescent="0.45">
      <c r="U467" t="s">
        <v>139</v>
      </c>
      <c r="V467" t="s">
        <v>738</v>
      </c>
      <c r="W467" t="s">
        <v>252</v>
      </c>
      <c r="X467" t="s">
        <v>264</v>
      </c>
    </row>
    <row r="468" spans="21:24" x14ac:dyDescent="0.45">
      <c r="U468" t="s">
        <v>139</v>
      </c>
      <c r="V468" t="s">
        <v>739</v>
      </c>
      <c r="W468" t="s">
        <v>252</v>
      </c>
      <c r="X468" t="s">
        <v>264</v>
      </c>
    </row>
    <row r="469" spans="21:24" x14ac:dyDescent="0.45">
      <c r="U469" t="s">
        <v>139</v>
      </c>
      <c r="V469" t="s">
        <v>740</v>
      </c>
      <c r="W469" t="s">
        <v>252</v>
      </c>
      <c r="X469" t="s">
        <v>264</v>
      </c>
    </row>
    <row r="470" spans="21:24" x14ac:dyDescent="0.45">
      <c r="U470" t="s">
        <v>139</v>
      </c>
      <c r="V470" t="s">
        <v>741</v>
      </c>
      <c r="W470" t="s">
        <v>252</v>
      </c>
      <c r="X470" t="s">
        <v>264</v>
      </c>
    </row>
    <row r="471" spans="21:24" x14ac:dyDescent="0.45">
      <c r="U471" t="s">
        <v>139</v>
      </c>
      <c r="V471" t="s">
        <v>742</v>
      </c>
      <c r="W471" t="s">
        <v>252</v>
      </c>
      <c r="X471" t="s">
        <v>264</v>
      </c>
    </row>
    <row r="472" spans="21:24" x14ac:dyDescent="0.45">
      <c r="U472" t="s">
        <v>139</v>
      </c>
      <c r="V472" t="s">
        <v>743</v>
      </c>
      <c r="W472" t="s">
        <v>252</v>
      </c>
      <c r="X472" t="s">
        <v>264</v>
      </c>
    </row>
    <row r="473" spans="21:24" x14ac:dyDescent="0.45">
      <c r="U473" t="s">
        <v>139</v>
      </c>
      <c r="V473" t="s">
        <v>744</v>
      </c>
      <c r="W473" t="s">
        <v>252</v>
      </c>
      <c r="X473" t="s">
        <v>264</v>
      </c>
    </row>
    <row r="474" spans="21:24" x14ac:dyDescent="0.45">
      <c r="U474" t="s">
        <v>139</v>
      </c>
      <c r="V474" t="s">
        <v>745</v>
      </c>
      <c r="W474" t="s">
        <v>252</v>
      </c>
      <c r="X474" t="s">
        <v>264</v>
      </c>
    </row>
    <row r="475" spans="21:24" x14ac:dyDescent="0.45">
      <c r="U475" t="s">
        <v>139</v>
      </c>
      <c r="V475" t="s">
        <v>746</v>
      </c>
      <c r="W475" t="s">
        <v>252</v>
      </c>
      <c r="X475" t="s">
        <v>264</v>
      </c>
    </row>
    <row r="476" spans="21:24" x14ac:dyDescent="0.45">
      <c r="U476" t="s">
        <v>139</v>
      </c>
      <c r="V476" t="s">
        <v>747</v>
      </c>
      <c r="W476" t="s">
        <v>252</v>
      </c>
      <c r="X476" t="s">
        <v>264</v>
      </c>
    </row>
    <row r="477" spans="21:24" x14ac:dyDescent="0.45">
      <c r="U477" t="s">
        <v>139</v>
      </c>
      <c r="V477" t="s">
        <v>748</v>
      </c>
      <c r="W477" t="s">
        <v>252</v>
      </c>
      <c r="X477" t="s">
        <v>264</v>
      </c>
    </row>
    <row r="478" spans="21:24" x14ac:dyDescent="0.45">
      <c r="U478" t="s">
        <v>139</v>
      </c>
      <c r="V478" t="s">
        <v>749</v>
      </c>
      <c r="W478" t="s">
        <v>252</v>
      </c>
      <c r="X478" t="s">
        <v>264</v>
      </c>
    </row>
    <row r="479" spans="21:24" x14ac:dyDescent="0.45">
      <c r="U479" t="s">
        <v>139</v>
      </c>
      <c r="V479" t="s">
        <v>750</v>
      </c>
      <c r="W479" t="s">
        <v>263</v>
      </c>
      <c r="X479" t="s">
        <v>264</v>
      </c>
    </row>
    <row r="480" spans="21:24" x14ac:dyDescent="0.45">
      <c r="U480" t="s">
        <v>139</v>
      </c>
      <c r="V480" t="s">
        <v>750</v>
      </c>
      <c r="W480" t="s">
        <v>263</v>
      </c>
      <c r="X480" t="s">
        <v>248</v>
      </c>
    </row>
    <row r="481" spans="21:24" x14ac:dyDescent="0.45">
      <c r="U481" t="s">
        <v>139</v>
      </c>
      <c r="V481" t="s">
        <v>751</v>
      </c>
      <c r="W481" t="s">
        <v>263</v>
      </c>
      <c r="X481" t="s">
        <v>264</v>
      </c>
    </row>
    <row r="482" spans="21:24" x14ac:dyDescent="0.45">
      <c r="U482" t="s">
        <v>139</v>
      </c>
      <c r="V482" t="s">
        <v>751</v>
      </c>
      <c r="W482" t="s">
        <v>263</v>
      </c>
      <c r="X482" t="s">
        <v>248</v>
      </c>
    </row>
    <row r="483" spans="21:24" x14ac:dyDescent="0.45">
      <c r="U483" t="s">
        <v>139</v>
      </c>
      <c r="V483" t="s">
        <v>752</v>
      </c>
      <c r="W483" t="s">
        <v>250</v>
      </c>
      <c r="X483" t="s">
        <v>264</v>
      </c>
    </row>
    <row r="484" spans="21:24" x14ac:dyDescent="0.45">
      <c r="U484" t="s">
        <v>139</v>
      </c>
      <c r="V484" t="s">
        <v>752</v>
      </c>
      <c r="W484" t="s">
        <v>250</v>
      </c>
      <c r="X484" t="s">
        <v>248</v>
      </c>
    </row>
    <row r="485" spans="21:24" x14ac:dyDescent="0.45">
      <c r="U485" t="s">
        <v>139</v>
      </c>
      <c r="V485" t="s">
        <v>753</v>
      </c>
      <c r="W485" t="s">
        <v>250</v>
      </c>
      <c r="X485" t="s">
        <v>264</v>
      </c>
    </row>
    <row r="486" spans="21:24" x14ac:dyDescent="0.45">
      <c r="U486" t="s">
        <v>139</v>
      </c>
      <c r="V486" t="s">
        <v>753</v>
      </c>
      <c r="W486" t="s">
        <v>250</v>
      </c>
      <c r="X486" t="s">
        <v>248</v>
      </c>
    </row>
    <row r="487" spans="21:24" x14ac:dyDescent="0.45">
      <c r="U487" t="s">
        <v>139</v>
      </c>
      <c r="V487" t="s">
        <v>754</v>
      </c>
      <c r="W487" t="s">
        <v>303</v>
      </c>
      <c r="X487" t="s">
        <v>264</v>
      </c>
    </row>
    <row r="488" spans="21:24" x14ac:dyDescent="0.45">
      <c r="U488" t="s">
        <v>139</v>
      </c>
      <c r="V488" t="s">
        <v>754</v>
      </c>
      <c r="W488" t="s">
        <v>303</v>
      </c>
      <c r="X488" t="s">
        <v>248</v>
      </c>
    </row>
    <row r="489" spans="21:24" x14ac:dyDescent="0.45">
      <c r="U489" t="s">
        <v>139</v>
      </c>
      <c r="V489" t="s">
        <v>755</v>
      </c>
      <c r="W489" t="s">
        <v>303</v>
      </c>
      <c r="X489" t="s">
        <v>264</v>
      </c>
    </row>
    <row r="490" spans="21:24" x14ac:dyDescent="0.45">
      <c r="U490" t="s">
        <v>139</v>
      </c>
      <c r="V490" t="s">
        <v>755</v>
      </c>
      <c r="W490" t="s">
        <v>303</v>
      </c>
      <c r="X490" t="s">
        <v>248</v>
      </c>
    </row>
    <row r="491" spans="21:24" x14ac:dyDescent="0.45">
      <c r="U491" t="s">
        <v>139</v>
      </c>
      <c r="V491" t="s">
        <v>756</v>
      </c>
      <c r="W491" t="s">
        <v>254</v>
      </c>
      <c r="X491" t="s">
        <v>264</v>
      </c>
    </row>
    <row r="492" spans="21:24" x14ac:dyDescent="0.45">
      <c r="U492" t="s">
        <v>139</v>
      </c>
      <c r="V492" t="s">
        <v>756</v>
      </c>
      <c r="W492" t="s">
        <v>254</v>
      </c>
      <c r="X492" t="s">
        <v>248</v>
      </c>
    </row>
    <row r="493" spans="21:24" x14ac:dyDescent="0.45">
      <c r="U493" t="s">
        <v>139</v>
      </c>
      <c r="V493" t="s">
        <v>757</v>
      </c>
      <c r="W493" t="s">
        <v>254</v>
      </c>
      <c r="X493" t="s">
        <v>264</v>
      </c>
    </row>
    <row r="494" spans="21:24" x14ac:dyDescent="0.45">
      <c r="U494" t="s">
        <v>139</v>
      </c>
      <c r="V494" t="s">
        <v>757</v>
      </c>
      <c r="W494" t="s">
        <v>254</v>
      </c>
      <c r="X494" t="s">
        <v>248</v>
      </c>
    </row>
    <row r="495" spans="21:24" x14ac:dyDescent="0.45">
      <c r="U495" t="s">
        <v>139</v>
      </c>
      <c r="V495" t="s">
        <v>758</v>
      </c>
      <c r="W495" t="s">
        <v>251</v>
      </c>
      <c r="X495" t="s">
        <v>264</v>
      </c>
    </row>
    <row r="496" spans="21:24" x14ac:dyDescent="0.45">
      <c r="U496" t="s">
        <v>139</v>
      </c>
      <c r="V496" t="s">
        <v>758</v>
      </c>
      <c r="W496" t="s">
        <v>251</v>
      </c>
      <c r="X496" t="s">
        <v>248</v>
      </c>
    </row>
    <row r="497" spans="21:24" x14ac:dyDescent="0.45">
      <c r="U497" t="s">
        <v>139</v>
      </c>
      <c r="V497" t="s">
        <v>759</v>
      </c>
      <c r="W497" t="s">
        <v>251</v>
      </c>
      <c r="X497" t="s">
        <v>264</v>
      </c>
    </row>
    <row r="498" spans="21:24" x14ac:dyDescent="0.45">
      <c r="U498" t="s">
        <v>139</v>
      </c>
      <c r="V498" t="s">
        <v>759</v>
      </c>
      <c r="W498" t="s">
        <v>251</v>
      </c>
      <c r="X498" t="s">
        <v>248</v>
      </c>
    </row>
    <row r="499" spans="21:24" x14ac:dyDescent="0.45">
      <c r="U499" t="s">
        <v>139</v>
      </c>
      <c r="V499" t="s">
        <v>760</v>
      </c>
      <c r="W499" t="s">
        <v>249</v>
      </c>
      <c r="X499" t="s">
        <v>264</v>
      </c>
    </row>
    <row r="500" spans="21:24" x14ac:dyDescent="0.45">
      <c r="U500" t="s">
        <v>139</v>
      </c>
      <c r="V500" t="s">
        <v>760</v>
      </c>
      <c r="W500" t="s">
        <v>249</v>
      </c>
      <c r="X500" t="s">
        <v>248</v>
      </c>
    </row>
    <row r="501" spans="21:24" x14ac:dyDescent="0.45">
      <c r="U501" t="s">
        <v>139</v>
      </c>
      <c r="V501" t="s">
        <v>761</v>
      </c>
      <c r="W501" t="s">
        <v>249</v>
      </c>
      <c r="X501" t="s">
        <v>264</v>
      </c>
    </row>
    <row r="502" spans="21:24" x14ac:dyDescent="0.45">
      <c r="U502" t="s">
        <v>139</v>
      </c>
      <c r="V502" t="s">
        <v>761</v>
      </c>
      <c r="W502" t="s">
        <v>249</v>
      </c>
      <c r="X502" t="s">
        <v>248</v>
      </c>
    </row>
    <row r="503" spans="21:24" x14ac:dyDescent="0.45">
      <c r="U503" t="s">
        <v>139</v>
      </c>
      <c r="V503" t="s">
        <v>762</v>
      </c>
      <c r="W503" t="s">
        <v>247</v>
      </c>
      <c r="X503" t="s">
        <v>264</v>
      </c>
    </row>
    <row r="504" spans="21:24" x14ac:dyDescent="0.45">
      <c r="U504" t="s">
        <v>139</v>
      </c>
      <c r="V504" t="s">
        <v>762</v>
      </c>
      <c r="W504" t="s">
        <v>247</v>
      </c>
      <c r="X504" t="s">
        <v>248</v>
      </c>
    </row>
    <row r="505" spans="21:24" x14ac:dyDescent="0.45">
      <c r="U505" t="s">
        <v>139</v>
      </c>
      <c r="V505" t="s">
        <v>763</v>
      </c>
      <c r="W505" t="s">
        <v>247</v>
      </c>
      <c r="X505" t="s">
        <v>264</v>
      </c>
    </row>
    <row r="506" spans="21:24" x14ac:dyDescent="0.45">
      <c r="U506" t="s">
        <v>139</v>
      </c>
      <c r="V506" t="s">
        <v>763</v>
      </c>
      <c r="W506" t="s">
        <v>247</v>
      </c>
      <c r="X506" t="s">
        <v>248</v>
      </c>
    </row>
    <row r="507" spans="21:24" x14ac:dyDescent="0.45">
      <c r="U507" t="s">
        <v>139</v>
      </c>
      <c r="V507" t="s">
        <v>764</v>
      </c>
      <c r="W507" t="s">
        <v>259</v>
      </c>
      <c r="X507" t="s">
        <v>264</v>
      </c>
    </row>
    <row r="508" spans="21:24" x14ac:dyDescent="0.45">
      <c r="U508" t="s">
        <v>139</v>
      </c>
      <c r="V508" t="s">
        <v>764</v>
      </c>
      <c r="W508" t="s">
        <v>259</v>
      </c>
      <c r="X508" t="s">
        <v>248</v>
      </c>
    </row>
    <row r="509" spans="21:24" x14ac:dyDescent="0.45">
      <c r="U509" t="s">
        <v>139</v>
      </c>
      <c r="V509" t="s">
        <v>765</v>
      </c>
      <c r="W509" t="s">
        <v>259</v>
      </c>
      <c r="X509" t="s">
        <v>264</v>
      </c>
    </row>
    <row r="510" spans="21:24" x14ac:dyDescent="0.45">
      <c r="U510" t="s">
        <v>139</v>
      </c>
      <c r="V510" t="s">
        <v>765</v>
      </c>
      <c r="W510" t="s">
        <v>259</v>
      </c>
      <c r="X510" t="s">
        <v>248</v>
      </c>
    </row>
    <row r="511" spans="21:24" x14ac:dyDescent="0.45">
      <c r="U511" t="s">
        <v>139</v>
      </c>
      <c r="V511" t="s">
        <v>766</v>
      </c>
      <c r="W511" t="s">
        <v>258</v>
      </c>
      <c r="X511" t="s">
        <v>264</v>
      </c>
    </row>
    <row r="512" spans="21:24" x14ac:dyDescent="0.45">
      <c r="U512" t="s">
        <v>139</v>
      </c>
      <c r="V512" t="s">
        <v>766</v>
      </c>
      <c r="W512" t="s">
        <v>258</v>
      </c>
      <c r="X512" t="s">
        <v>248</v>
      </c>
    </row>
    <row r="513" spans="21:24" x14ac:dyDescent="0.45">
      <c r="U513" t="s">
        <v>139</v>
      </c>
      <c r="V513" t="s">
        <v>767</v>
      </c>
      <c r="W513" t="s">
        <v>258</v>
      </c>
      <c r="X513" t="s">
        <v>264</v>
      </c>
    </row>
    <row r="514" spans="21:24" x14ac:dyDescent="0.45">
      <c r="U514" t="s">
        <v>139</v>
      </c>
      <c r="V514" t="s">
        <v>767</v>
      </c>
      <c r="W514" t="s">
        <v>258</v>
      </c>
      <c r="X514" t="s">
        <v>248</v>
      </c>
    </row>
    <row r="515" spans="21:24" x14ac:dyDescent="0.45">
      <c r="U515" t="s">
        <v>139</v>
      </c>
      <c r="V515" t="s">
        <v>768</v>
      </c>
      <c r="W515" t="s">
        <v>256</v>
      </c>
      <c r="X515" t="s">
        <v>264</v>
      </c>
    </row>
    <row r="516" spans="21:24" x14ac:dyDescent="0.45">
      <c r="U516" t="s">
        <v>139</v>
      </c>
      <c r="V516" t="s">
        <v>768</v>
      </c>
      <c r="W516" t="s">
        <v>256</v>
      </c>
      <c r="X516" t="s">
        <v>248</v>
      </c>
    </row>
    <row r="517" spans="21:24" x14ac:dyDescent="0.45">
      <c r="U517" t="s">
        <v>139</v>
      </c>
      <c r="V517" t="s">
        <v>769</v>
      </c>
      <c r="W517" t="s">
        <v>256</v>
      </c>
      <c r="X517" t="s">
        <v>264</v>
      </c>
    </row>
    <row r="518" spans="21:24" x14ac:dyDescent="0.45">
      <c r="U518" t="s">
        <v>139</v>
      </c>
      <c r="V518" t="s">
        <v>769</v>
      </c>
      <c r="W518" t="s">
        <v>256</v>
      </c>
      <c r="X518" t="s">
        <v>248</v>
      </c>
    </row>
    <row r="519" spans="21:24" x14ac:dyDescent="0.45">
      <c r="U519" t="s">
        <v>139</v>
      </c>
      <c r="V519" t="s">
        <v>770</v>
      </c>
      <c r="W519" t="s">
        <v>456</v>
      </c>
      <c r="X519" t="s">
        <v>264</v>
      </c>
    </row>
    <row r="520" spans="21:24" x14ac:dyDescent="0.45">
      <c r="U520" t="s">
        <v>139</v>
      </c>
      <c r="V520" t="s">
        <v>770</v>
      </c>
      <c r="W520" t="s">
        <v>456</v>
      </c>
      <c r="X520" t="s">
        <v>248</v>
      </c>
    </row>
    <row r="521" spans="21:24" x14ac:dyDescent="0.45">
      <c r="U521" t="s">
        <v>139</v>
      </c>
      <c r="V521" t="s">
        <v>771</v>
      </c>
      <c r="W521" t="s">
        <v>456</v>
      </c>
      <c r="X521" t="s">
        <v>264</v>
      </c>
    </row>
    <row r="522" spans="21:24" x14ac:dyDescent="0.45">
      <c r="U522" t="s">
        <v>139</v>
      </c>
      <c r="V522" t="s">
        <v>771</v>
      </c>
      <c r="W522" t="s">
        <v>456</v>
      </c>
      <c r="X522" t="s">
        <v>248</v>
      </c>
    </row>
    <row r="523" spans="21:24" x14ac:dyDescent="0.45">
      <c r="U523" t="s">
        <v>139</v>
      </c>
      <c r="V523" t="s">
        <v>772</v>
      </c>
      <c r="W523" t="s">
        <v>260</v>
      </c>
      <c r="X523" t="s">
        <v>264</v>
      </c>
    </row>
    <row r="524" spans="21:24" x14ac:dyDescent="0.45">
      <c r="U524" t="s">
        <v>139</v>
      </c>
      <c r="V524" t="s">
        <v>772</v>
      </c>
      <c r="W524" t="s">
        <v>260</v>
      </c>
      <c r="X524" t="s">
        <v>248</v>
      </c>
    </row>
    <row r="525" spans="21:24" x14ac:dyDescent="0.45">
      <c r="U525" t="s">
        <v>139</v>
      </c>
      <c r="V525" t="s">
        <v>773</v>
      </c>
      <c r="W525" t="s">
        <v>260</v>
      </c>
      <c r="X525" t="s">
        <v>264</v>
      </c>
    </row>
    <row r="526" spans="21:24" x14ac:dyDescent="0.45">
      <c r="U526" t="s">
        <v>139</v>
      </c>
      <c r="V526" t="s">
        <v>773</v>
      </c>
      <c r="W526" t="s">
        <v>260</v>
      </c>
      <c r="X526" t="s">
        <v>248</v>
      </c>
    </row>
    <row r="527" spans="21:24" x14ac:dyDescent="0.45">
      <c r="U527" t="s">
        <v>139</v>
      </c>
      <c r="V527" t="s">
        <v>774</v>
      </c>
      <c r="W527" t="s">
        <v>495</v>
      </c>
      <c r="X527" t="s">
        <v>264</v>
      </c>
    </row>
    <row r="528" spans="21:24" x14ac:dyDescent="0.45">
      <c r="U528" t="s">
        <v>139</v>
      </c>
      <c r="V528" t="s">
        <v>774</v>
      </c>
      <c r="W528" t="s">
        <v>495</v>
      </c>
      <c r="X528" t="s">
        <v>248</v>
      </c>
    </row>
    <row r="529" spans="21:24" x14ac:dyDescent="0.45">
      <c r="U529" t="s">
        <v>139</v>
      </c>
      <c r="V529" t="s">
        <v>775</v>
      </c>
      <c r="W529" t="s">
        <v>495</v>
      </c>
      <c r="X529" t="s">
        <v>264</v>
      </c>
    </row>
    <row r="530" spans="21:24" x14ac:dyDescent="0.45">
      <c r="U530" t="s">
        <v>139</v>
      </c>
      <c r="V530" t="s">
        <v>775</v>
      </c>
      <c r="W530" t="s">
        <v>495</v>
      </c>
      <c r="X530" t="s">
        <v>248</v>
      </c>
    </row>
    <row r="531" spans="21:24" x14ac:dyDescent="0.45">
      <c r="U531" t="s">
        <v>139</v>
      </c>
      <c r="V531" t="s">
        <v>776</v>
      </c>
      <c r="W531" t="s">
        <v>515</v>
      </c>
      <c r="X531" t="s">
        <v>264</v>
      </c>
    </row>
    <row r="532" spans="21:24" x14ac:dyDescent="0.45">
      <c r="U532" t="s">
        <v>139</v>
      </c>
      <c r="V532" t="s">
        <v>776</v>
      </c>
      <c r="W532" t="s">
        <v>515</v>
      </c>
      <c r="X532" t="s">
        <v>248</v>
      </c>
    </row>
    <row r="533" spans="21:24" x14ac:dyDescent="0.45">
      <c r="U533" t="s">
        <v>139</v>
      </c>
      <c r="V533" t="s">
        <v>777</v>
      </c>
      <c r="W533" t="s">
        <v>515</v>
      </c>
      <c r="X533" t="s">
        <v>264</v>
      </c>
    </row>
    <row r="534" spans="21:24" x14ac:dyDescent="0.45">
      <c r="U534" t="s">
        <v>139</v>
      </c>
      <c r="V534" t="s">
        <v>777</v>
      </c>
      <c r="W534" t="s">
        <v>515</v>
      </c>
      <c r="X534" t="s">
        <v>248</v>
      </c>
    </row>
    <row r="535" spans="21:24" x14ac:dyDescent="0.45">
      <c r="U535" t="s">
        <v>139</v>
      </c>
      <c r="V535" t="s">
        <v>778</v>
      </c>
      <c r="W535" t="s">
        <v>535</v>
      </c>
      <c r="X535" t="s">
        <v>264</v>
      </c>
    </row>
    <row r="536" spans="21:24" x14ac:dyDescent="0.45">
      <c r="U536" t="s">
        <v>139</v>
      </c>
      <c r="V536" t="s">
        <v>778</v>
      </c>
      <c r="W536" t="s">
        <v>535</v>
      </c>
      <c r="X536" t="s">
        <v>248</v>
      </c>
    </row>
    <row r="537" spans="21:24" x14ac:dyDescent="0.45">
      <c r="U537" t="s">
        <v>139</v>
      </c>
      <c r="V537" t="s">
        <v>779</v>
      </c>
      <c r="W537" t="s">
        <v>535</v>
      </c>
      <c r="X537" t="s">
        <v>264</v>
      </c>
    </row>
    <row r="538" spans="21:24" x14ac:dyDescent="0.45">
      <c r="U538" t="s">
        <v>139</v>
      </c>
      <c r="V538" t="s">
        <v>779</v>
      </c>
      <c r="W538" t="s">
        <v>535</v>
      </c>
      <c r="X538" t="s">
        <v>248</v>
      </c>
    </row>
    <row r="539" spans="21:24" x14ac:dyDescent="0.45">
      <c r="U539" t="s">
        <v>139</v>
      </c>
      <c r="V539" t="s">
        <v>780</v>
      </c>
      <c r="W539" t="s">
        <v>555</v>
      </c>
      <c r="X539" t="s">
        <v>264</v>
      </c>
    </row>
    <row r="540" spans="21:24" x14ac:dyDescent="0.45">
      <c r="U540" t="s">
        <v>139</v>
      </c>
      <c r="V540" t="s">
        <v>780</v>
      </c>
      <c r="W540" t="s">
        <v>555</v>
      </c>
      <c r="X540" t="s">
        <v>248</v>
      </c>
    </row>
    <row r="541" spans="21:24" x14ac:dyDescent="0.45">
      <c r="U541" t="s">
        <v>139</v>
      </c>
      <c r="V541" t="s">
        <v>781</v>
      </c>
      <c r="W541" t="s">
        <v>555</v>
      </c>
      <c r="X541" t="s">
        <v>264</v>
      </c>
    </row>
    <row r="542" spans="21:24" x14ac:dyDescent="0.45">
      <c r="U542" t="s">
        <v>139</v>
      </c>
      <c r="V542" t="s">
        <v>781</v>
      </c>
      <c r="W542" t="s">
        <v>555</v>
      </c>
      <c r="X542" t="s">
        <v>248</v>
      </c>
    </row>
    <row r="543" spans="21:24" x14ac:dyDescent="0.45">
      <c r="U543" t="s">
        <v>139</v>
      </c>
      <c r="V543" t="s">
        <v>782</v>
      </c>
      <c r="W543" t="s">
        <v>575</v>
      </c>
      <c r="X543" t="s">
        <v>264</v>
      </c>
    </row>
    <row r="544" spans="21:24" x14ac:dyDescent="0.45">
      <c r="U544" t="s">
        <v>139</v>
      </c>
      <c r="V544" t="s">
        <v>782</v>
      </c>
      <c r="W544" t="s">
        <v>575</v>
      </c>
      <c r="X544" t="s">
        <v>248</v>
      </c>
    </row>
    <row r="545" spans="21:24" x14ac:dyDescent="0.45">
      <c r="U545" t="s">
        <v>139</v>
      </c>
      <c r="V545" t="s">
        <v>783</v>
      </c>
      <c r="W545" t="s">
        <v>575</v>
      </c>
      <c r="X545" t="s">
        <v>264</v>
      </c>
    </row>
    <row r="546" spans="21:24" x14ac:dyDescent="0.45">
      <c r="U546" t="s">
        <v>139</v>
      </c>
      <c r="V546" t="s">
        <v>783</v>
      </c>
      <c r="W546" t="s">
        <v>575</v>
      </c>
      <c r="X546" t="s">
        <v>248</v>
      </c>
    </row>
    <row r="547" spans="21:24" x14ac:dyDescent="0.45">
      <c r="U547" t="s">
        <v>139</v>
      </c>
      <c r="V547" t="s">
        <v>784</v>
      </c>
      <c r="W547" t="s">
        <v>255</v>
      </c>
      <c r="X547" t="s">
        <v>264</v>
      </c>
    </row>
    <row r="548" spans="21:24" x14ac:dyDescent="0.45">
      <c r="U548" t="s">
        <v>139</v>
      </c>
      <c r="V548" t="s">
        <v>784</v>
      </c>
      <c r="W548" t="s">
        <v>255</v>
      </c>
      <c r="X548" t="s">
        <v>248</v>
      </c>
    </row>
    <row r="549" spans="21:24" x14ac:dyDescent="0.45">
      <c r="U549" t="s">
        <v>139</v>
      </c>
      <c r="V549" t="s">
        <v>785</v>
      </c>
      <c r="W549" t="s">
        <v>255</v>
      </c>
      <c r="X549" t="s">
        <v>264</v>
      </c>
    </row>
    <row r="550" spans="21:24" x14ac:dyDescent="0.45">
      <c r="U550" t="s">
        <v>139</v>
      </c>
      <c r="V550" t="s">
        <v>785</v>
      </c>
      <c r="W550" t="s">
        <v>255</v>
      </c>
      <c r="X550" t="s">
        <v>248</v>
      </c>
    </row>
    <row r="551" spans="21:24" x14ac:dyDescent="0.45">
      <c r="U551" t="s">
        <v>139</v>
      </c>
      <c r="V551" t="s">
        <v>786</v>
      </c>
      <c r="W551" t="s">
        <v>614</v>
      </c>
      <c r="X551" t="s">
        <v>264</v>
      </c>
    </row>
    <row r="552" spans="21:24" x14ac:dyDescent="0.45">
      <c r="U552" t="s">
        <v>139</v>
      </c>
      <c r="V552" t="s">
        <v>786</v>
      </c>
      <c r="W552" t="s">
        <v>614</v>
      </c>
      <c r="X552" t="s">
        <v>248</v>
      </c>
    </row>
    <row r="553" spans="21:24" x14ac:dyDescent="0.45">
      <c r="U553" t="s">
        <v>139</v>
      </c>
      <c r="V553" t="s">
        <v>787</v>
      </c>
      <c r="W553" t="s">
        <v>614</v>
      </c>
      <c r="X553" t="s">
        <v>264</v>
      </c>
    </row>
    <row r="554" spans="21:24" x14ac:dyDescent="0.45">
      <c r="U554" t="s">
        <v>139</v>
      </c>
      <c r="V554" t="s">
        <v>787</v>
      </c>
      <c r="W554" t="s">
        <v>614</v>
      </c>
      <c r="X554" t="s">
        <v>248</v>
      </c>
    </row>
    <row r="555" spans="21:24" x14ac:dyDescent="0.45">
      <c r="U555" t="s">
        <v>139</v>
      </c>
      <c r="V555" t="s">
        <v>788</v>
      </c>
      <c r="W555" t="s">
        <v>257</v>
      </c>
      <c r="X555" t="s">
        <v>264</v>
      </c>
    </row>
    <row r="556" spans="21:24" x14ac:dyDescent="0.45">
      <c r="U556" t="s">
        <v>139</v>
      </c>
      <c r="V556" t="s">
        <v>788</v>
      </c>
      <c r="W556" t="s">
        <v>257</v>
      </c>
      <c r="X556" t="s">
        <v>248</v>
      </c>
    </row>
    <row r="557" spans="21:24" x14ac:dyDescent="0.45">
      <c r="U557" t="s">
        <v>139</v>
      </c>
      <c r="V557" t="s">
        <v>789</v>
      </c>
      <c r="W557" t="s">
        <v>257</v>
      </c>
      <c r="X557" t="s">
        <v>264</v>
      </c>
    </row>
    <row r="558" spans="21:24" x14ac:dyDescent="0.45">
      <c r="U558" t="s">
        <v>139</v>
      </c>
      <c r="V558" t="s">
        <v>789</v>
      </c>
      <c r="W558" t="s">
        <v>257</v>
      </c>
      <c r="X558" t="s">
        <v>248</v>
      </c>
    </row>
    <row r="559" spans="21:24" x14ac:dyDescent="0.45">
      <c r="U559" t="s">
        <v>139</v>
      </c>
      <c r="V559" t="s">
        <v>790</v>
      </c>
      <c r="W559" t="s">
        <v>653</v>
      </c>
      <c r="X559" t="s">
        <v>264</v>
      </c>
    </row>
    <row r="560" spans="21:24" x14ac:dyDescent="0.45">
      <c r="U560" t="s">
        <v>139</v>
      </c>
      <c r="V560" t="s">
        <v>790</v>
      </c>
      <c r="W560" t="s">
        <v>653</v>
      </c>
      <c r="X560" t="s">
        <v>248</v>
      </c>
    </row>
    <row r="561" spans="21:24" x14ac:dyDescent="0.45">
      <c r="U561" t="s">
        <v>139</v>
      </c>
      <c r="V561" t="s">
        <v>791</v>
      </c>
      <c r="W561" t="s">
        <v>653</v>
      </c>
      <c r="X561" t="s">
        <v>264</v>
      </c>
    </row>
    <row r="562" spans="21:24" x14ac:dyDescent="0.45">
      <c r="U562" t="s">
        <v>139</v>
      </c>
      <c r="V562" t="s">
        <v>791</v>
      </c>
      <c r="W562" t="s">
        <v>653</v>
      </c>
      <c r="X562" t="s">
        <v>248</v>
      </c>
    </row>
    <row r="563" spans="21:24" x14ac:dyDescent="0.45">
      <c r="U563" t="s">
        <v>139</v>
      </c>
      <c r="V563" t="s">
        <v>792</v>
      </c>
      <c r="W563" t="s">
        <v>253</v>
      </c>
      <c r="X563" t="s">
        <v>264</v>
      </c>
    </row>
    <row r="564" spans="21:24" x14ac:dyDescent="0.45">
      <c r="U564" t="s">
        <v>139</v>
      </c>
      <c r="V564" t="s">
        <v>792</v>
      </c>
      <c r="W564" t="s">
        <v>253</v>
      </c>
      <c r="X564" t="s">
        <v>248</v>
      </c>
    </row>
    <row r="565" spans="21:24" x14ac:dyDescent="0.45">
      <c r="U565" t="s">
        <v>139</v>
      </c>
      <c r="V565" t="s">
        <v>793</v>
      </c>
      <c r="W565" t="s">
        <v>253</v>
      </c>
      <c r="X565" t="s">
        <v>264</v>
      </c>
    </row>
    <row r="566" spans="21:24" x14ac:dyDescent="0.45">
      <c r="U566" t="s">
        <v>139</v>
      </c>
      <c r="V566" t="s">
        <v>793</v>
      </c>
      <c r="W566" t="s">
        <v>253</v>
      </c>
      <c r="X566" t="s">
        <v>248</v>
      </c>
    </row>
    <row r="567" spans="21:24" x14ac:dyDescent="0.45">
      <c r="U567" t="s">
        <v>139</v>
      </c>
      <c r="V567" t="s">
        <v>794</v>
      </c>
      <c r="W567" t="s">
        <v>692</v>
      </c>
      <c r="X567" t="s">
        <v>264</v>
      </c>
    </row>
    <row r="568" spans="21:24" x14ac:dyDescent="0.45">
      <c r="U568" t="s">
        <v>139</v>
      </c>
      <c r="V568" t="s">
        <v>794</v>
      </c>
      <c r="W568" t="s">
        <v>692</v>
      </c>
      <c r="X568" t="s">
        <v>248</v>
      </c>
    </row>
    <row r="569" spans="21:24" x14ac:dyDescent="0.45">
      <c r="U569" t="s">
        <v>139</v>
      </c>
      <c r="V569" t="s">
        <v>795</v>
      </c>
      <c r="W569" t="s">
        <v>692</v>
      </c>
      <c r="X569" t="s">
        <v>264</v>
      </c>
    </row>
    <row r="570" spans="21:24" x14ac:dyDescent="0.45">
      <c r="U570" t="s">
        <v>139</v>
      </c>
      <c r="V570" t="s">
        <v>795</v>
      </c>
      <c r="W570" t="s">
        <v>692</v>
      </c>
      <c r="X570" t="s">
        <v>248</v>
      </c>
    </row>
    <row r="571" spans="21:24" x14ac:dyDescent="0.45">
      <c r="U571" t="s">
        <v>139</v>
      </c>
      <c r="V571" t="s">
        <v>796</v>
      </c>
      <c r="W571" t="s">
        <v>712</v>
      </c>
      <c r="X571" t="s">
        <v>264</v>
      </c>
    </row>
    <row r="572" spans="21:24" x14ac:dyDescent="0.45">
      <c r="U572" t="s">
        <v>139</v>
      </c>
      <c r="V572" t="s">
        <v>796</v>
      </c>
      <c r="W572" t="s">
        <v>712</v>
      </c>
      <c r="X572" t="s">
        <v>248</v>
      </c>
    </row>
    <row r="573" spans="21:24" x14ac:dyDescent="0.45">
      <c r="U573" t="s">
        <v>139</v>
      </c>
      <c r="V573" t="s">
        <v>797</v>
      </c>
      <c r="W573" t="s">
        <v>712</v>
      </c>
      <c r="X573" t="s">
        <v>264</v>
      </c>
    </row>
    <row r="574" spans="21:24" x14ac:dyDescent="0.45">
      <c r="U574" t="s">
        <v>139</v>
      </c>
      <c r="V574" t="s">
        <v>797</v>
      </c>
      <c r="W574" t="s">
        <v>712</v>
      </c>
      <c r="X574" t="s">
        <v>248</v>
      </c>
    </row>
    <row r="575" spans="21:24" x14ac:dyDescent="0.45">
      <c r="U575" t="s">
        <v>139</v>
      </c>
      <c r="V575" t="s">
        <v>798</v>
      </c>
      <c r="W575" t="s">
        <v>252</v>
      </c>
      <c r="X575" t="s">
        <v>264</v>
      </c>
    </row>
    <row r="576" spans="21:24" x14ac:dyDescent="0.45">
      <c r="U576" t="s">
        <v>139</v>
      </c>
      <c r="V576" t="s">
        <v>798</v>
      </c>
      <c r="W576" t="s">
        <v>252</v>
      </c>
      <c r="X576" t="s">
        <v>248</v>
      </c>
    </row>
    <row r="577" spans="21:24" x14ac:dyDescent="0.45">
      <c r="U577" t="s">
        <v>139</v>
      </c>
      <c r="V577" t="s">
        <v>799</v>
      </c>
      <c r="W577" t="s">
        <v>252</v>
      </c>
      <c r="X577" t="s">
        <v>264</v>
      </c>
    </row>
    <row r="578" spans="21:24" x14ac:dyDescent="0.45">
      <c r="U578" t="s">
        <v>139</v>
      </c>
      <c r="V578" t="s">
        <v>799</v>
      </c>
      <c r="W578" t="s">
        <v>252</v>
      </c>
      <c r="X578" t="s">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32C2-2D56-4CB8-9000-F0C30D5A0F56}">
  <dimension ref="B9:L64"/>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ht="409.5" x14ac:dyDescent="0.45">
      <c r="B11">
        <v>2028</v>
      </c>
      <c r="C11" t="s">
        <v>98</v>
      </c>
      <c r="D11" t="s">
        <v>99</v>
      </c>
      <c r="E11">
        <v>1.18</v>
      </c>
      <c r="F11" t="s">
        <v>100</v>
      </c>
      <c r="G11" t="s">
        <v>101</v>
      </c>
      <c r="H11" t="s">
        <v>102</v>
      </c>
      <c r="I11" s="13">
        <v>43891</v>
      </c>
      <c r="J11" t="s">
        <v>103</v>
      </c>
      <c r="K11" t="s">
        <v>104</v>
      </c>
      <c r="L11" s="14" t="s">
        <v>105</v>
      </c>
    </row>
    <row r="12" spans="2:12" x14ac:dyDescent="0.45">
      <c r="B12">
        <v>2030</v>
      </c>
      <c r="C12" t="s">
        <v>98</v>
      </c>
      <c r="D12" t="s">
        <v>99</v>
      </c>
      <c r="E12">
        <v>0</v>
      </c>
      <c r="F12" t="s">
        <v>100</v>
      </c>
      <c r="G12" t="s">
        <v>106</v>
      </c>
      <c r="H12" t="s">
        <v>102</v>
      </c>
      <c r="I12" s="13">
        <v>45251</v>
      </c>
      <c r="J12" t="s">
        <v>107</v>
      </c>
      <c r="K12" t="s">
        <v>108</v>
      </c>
      <c r="L12" t="s">
        <v>109</v>
      </c>
    </row>
    <row r="13" spans="2:12" ht="409.5" x14ac:dyDescent="0.45">
      <c r="B13">
        <v>2028</v>
      </c>
      <c r="C13" t="s">
        <v>110</v>
      </c>
      <c r="D13" t="s">
        <v>99</v>
      </c>
      <c r="E13">
        <v>26.4</v>
      </c>
      <c r="F13" t="s">
        <v>100</v>
      </c>
      <c r="G13" t="s">
        <v>101</v>
      </c>
      <c r="H13" t="s">
        <v>102</v>
      </c>
      <c r="I13" s="13">
        <v>43891</v>
      </c>
      <c r="J13" t="s">
        <v>103</v>
      </c>
      <c r="K13" t="s">
        <v>104</v>
      </c>
      <c r="L13" s="14" t="s">
        <v>105</v>
      </c>
    </row>
    <row r="14" spans="2:12" ht="409.5" x14ac:dyDescent="0.45">
      <c r="B14">
        <v>2030</v>
      </c>
      <c r="C14" t="s">
        <v>110</v>
      </c>
      <c r="D14" t="s">
        <v>99</v>
      </c>
      <c r="E14">
        <v>0</v>
      </c>
      <c r="F14" t="s">
        <v>100</v>
      </c>
      <c r="G14" t="s">
        <v>106</v>
      </c>
      <c r="H14" t="s">
        <v>102</v>
      </c>
      <c r="I14" s="13">
        <v>45483</v>
      </c>
      <c r="J14" t="s">
        <v>111</v>
      </c>
      <c r="K14" t="s">
        <v>112</v>
      </c>
      <c r="L14" s="14" t="s">
        <v>113</v>
      </c>
    </row>
    <row r="15" spans="2:12" x14ac:dyDescent="0.45">
      <c r="B15">
        <v>2030</v>
      </c>
      <c r="C15" t="s">
        <v>110</v>
      </c>
      <c r="D15" t="s">
        <v>99</v>
      </c>
      <c r="E15">
        <v>26.3</v>
      </c>
      <c r="F15" t="s">
        <v>100</v>
      </c>
      <c r="G15" t="s">
        <v>106</v>
      </c>
      <c r="H15" t="s">
        <v>102</v>
      </c>
      <c r="I15" s="13">
        <v>45251</v>
      </c>
      <c r="J15" t="s">
        <v>107</v>
      </c>
      <c r="K15" t="s">
        <v>108</v>
      </c>
      <c r="L15" t="s">
        <v>109</v>
      </c>
    </row>
    <row r="16" spans="2:12" ht="409.5" x14ac:dyDescent="0.45">
      <c r="B16">
        <v>2028</v>
      </c>
      <c r="C16" t="s">
        <v>114</v>
      </c>
      <c r="D16" t="s">
        <v>99</v>
      </c>
      <c r="E16">
        <v>5.2</v>
      </c>
      <c r="F16" t="s">
        <v>100</v>
      </c>
      <c r="G16" t="s">
        <v>101</v>
      </c>
      <c r="H16" t="s">
        <v>102</v>
      </c>
      <c r="I16" s="13">
        <v>43891</v>
      </c>
      <c r="J16" t="s">
        <v>103</v>
      </c>
      <c r="K16" t="s">
        <v>104</v>
      </c>
      <c r="L16" s="14" t="s">
        <v>105</v>
      </c>
    </row>
    <row r="17" spans="2:12" ht="409.5" x14ac:dyDescent="0.45">
      <c r="B17">
        <v>2030</v>
      </c>
      <c r="C17" t="s">
        <v>114</v>
      </c>
      <c r="D17" t="s">
        <v>99</v>
      </c>
      <c r="E17">
        <v>3.6</v>
      </c>
      <c r="F17" t="s">
        <v>100</v>
      </c>
      <c r="G17" t="s">
        <v>106</v>
      </c>
      <c r="H17" t="s">
        <v>102</v>
      </c>
      <c r="I17" s="13">
        <v>45483</v>
      </c>
      <c r="J17" t="s">
        <v>111</v>
      </c>
      <c r="K17" t="s">
        <v>112</v>
      </c>
      <c r="L17" s="14" t="s">
        <v>113</v>
      </c>
    </row>
    <row r="18" spans="2:12" x14ac:dyDescent="0.45">
      <c r="B18">
        <v>2030</v>
      </c>
      <c r="C18" t="s">
        <v>114</v>
      </c>
      <c r="D18" t="s">
        <v>99</v>
      </c>
      <c r="E18">
        <v>3.6</v>
      </c>
      <c r="F18" t="s">
        <v>100</v>
      </c>
      <c r="G18" t="s">
        <v>106</v>
      </c>
      <c r="H18" t="s">
        <v>102</v>
      </c>
      <c r="I18" s="13">
        <v>45251</v>
      </c>
      <c r="J18" t="s">
        <v>107</v>
      </c>
      <c r="K18" t="s">
        <v>108</v>
      </c>
      <c r="L18" t="s">
        <v>109</v>
      </c>
    </row>
    <row r="19" spans="2:12" ht="171" x14ac:dyDescent="0.45">
      <c r="B19">
        <v>2030</v>
      </c>
      <c r="C19" t="s">
        <v>114</v>
      </c>
      <c r="D19" t="s">
        <v>99</v>
      </c>
      <c r="E19">
        <v>3.6</v>
      </c>
      <c r="F19" t="s">
        <v>100</v>
      </c>
      <c r="G19" t="s">
        <v>115</v>
      </c>
      <c r="H19" t="s">
        <v>116</v>
      </c>
      <c r="I19" s="13">
        <v>45108</v>
      </c>
      <c r="J19" t="s">
        <v>117</v>
      </c>
      <c r="K19" t="s">
        <v>118</v>
      </c>
      <c r="L19" s="14" t="s">
        <v>119</v>
      </c>
    </row>
    <row r="20" spans="2:12" ht="171" x14ac:dyDescent="0.45">
      <c r="B20">
        <v>2030</v>
      </c>
      <c r="C20" t="s">
        <v>120</v>
      </c>
      <c r="D20" t="s">
        <v>99</v>
      </c>
      <c r="E20">
        <v>30</v>
      </c>
      <c r="F20" t="s">
        <v>100</v>
      </c>
      <c r="G20" t="s">
        <v>115</v>
      </c>
      <c r="H20" t="s">
        <v>116</v>
      </c>
      <c r="I20" s="13">
        <v>45108</v>
      </c>
      <c r="J20" t="s">
        <v>117</v>
      </c>
      <c r="K20" t="s">
        <v>118</v>
      </c>
      <c r="L20" s="14" t="s">
        <v>119</v>
      </c>
    </row>
    <row r="21" spans="2:12" ht="409.5" x14ac:dyDescent="0.45">
      <c r="B21">
        <v>2030</v>
      </c>
      <c r="C21" t="s">
        <v>120</v>
      </c>
      <c r="D21" t="s">
        <v>99</v>
      </c>
      <c r="E21">
        <v>33</v>
      </c>
      <c r="F21" t="s">
        <v>100</v>
      </c>
      <c r="G21" t="s">
        <v>106</v>
      </c>
      <c r="H21" t="s">
        <v>102</v>
      </c>
      <c r="I21" s="13">
        <v>45483</v>
      </c>
      <c r="J21" t="s">
        <v>111</v>
      </c>
      <c r="K21" t="s">
        <v>112</v>
      </c>
      <c r="L21" s="14" t="s">
        <v>113</v>
      </c>
    </row>
    <row r="22" spans="2:12" x14ac:dyDescent="0.45">
      <c r="B22">
        <v>2030</v>
      </c>
      <c r="C22" t="s">
        <v>120</v>
      </c>
      <c r="D22" t="s">
        <v>99</v>
      </c>
      <c r="E22">
        <v>33</v>
      </c>
      <c r="F22" t="s">
        <v>100</v>
      </c>
      <c r="G22" t="s">
        <v>106</v>
      </c>
      <c r="H22" t="s">
        <v>102</v>
      </c>
      <c r="I22" s="13">
        <v>45251</v>
      </c>
      <c r="J22" t="s">
        <v>107</v>
      </c>
      <c r="K22" t="s">
        <v>108</v>
      </c>
      <c r="L22" t="s">
        <v>109</v>
      </c>
    </row>
    <row r="23" spans="2:12" ht="409.5" x14ac:dyDescent="0.45">
      <c r="B23">
        <v>2028</v>
      </c>
      <c r="C23" t="s">
        <v>120</v>
      </c>
      <c r="D23" t="s">
        <v>99</v>
      </c>
      <c r="E23">
        <v>33.200000000000003</v>
      </c>
      <c r="F23" t="s">
        <v>100</v>
      </c>
      <c r="G23" t="s">
        <v>101</v>
      </c>
      <c r="H23" t="s">
        <v>102</v>
      </c>
      <c r="I23" s="13">
        <v>43891</v>
      </c>
      <c r="J23" t="s">
        <v>103</v>
      </c>
      <c r="K23" t="s">
        <v>104</v>
      </c>
      <c r="L23" s="14" t="s">
        <v>105</v>
      </c>
    </row>
    <row r="24" spans="2:12" ht="409.5" x14ac:dyDescent="0.45">
      <c r="B24">
        <v>2028</v>
      </c>
      <c r="C24" t="s">
        <v>121</v>
      </c>
      <c r="D24" t="s">
        <v>99</v>
      </c>
      <c r="E24">
        <v>2.4E-2</v>
      </c>
      <c r="F24" t="s">
        <v>100</v>
      </c>
      <c r="G24" t="s">
        <v>101</v>
      </c>
      <c r="H24" t="s">
        <v>102</v>
      </c>
      <c r="I24" s="13">
        <v>43891</v>
      </c>
      <c r="J24" t="s">
        <v>103</v>
      </c>
      <c r="K24" t="s">
        <v>104</v>
      </c>
      <c r="L24" s="14" t="s">
        <v>105</v>
      </c>
    </row>
    <row r="25" spans="2:12" ht="409.5" x14ac:dyDescent="0.45">
      <c r="B25">
        <v>2028</v>
      </c>
      <c r="C25" t="s">
        <v>122</v>
      </c>
      <c r="D25" t="s">
        <v>99</v>
      </c>
      <c r="E25">
        <v>35.1</v>
      </c>
      <c r="F25" t="s">
        <v>100</v>
      </c>
      <c r="G25" t="s">
        <v>101</v>
      </c>
      <c r="H25" t="s">
        <v>102</v>
      </c>
      <c r="I25" s="13">
        <v>43891</v>
      </c>
      <c r="J25" t="s">
        <v>103</v>
      </c>
      <c r="K25" t="s">
        <v>104</v>
      </c>
      <c r="L25" s="14" t="s">
        <v>105</v>
      </c>
    </row>
    <row r="26" spans="2:12" ht="409.5" x14ac:dyDescent="0.45">
      <c r="B26">
        <v>2030</v>
      </c>
      <c r="C26" t="s">
        <v>122</v>
      </c>
      <c r="D26" t="s">
        <v>99</v>
      </c>
      <c r="E26">
        <v>54</v>
      </c>
      <c r="F26" t="s">
        <v>100</v>
      </c>
      <c r="G26" t="s">
        <v>106</v>
      </c>
      <c r="H26" t="s">
        <v>102</v>
      </c>
      <c r="I26" s="13">
        <v>45483</v>
      </c>
      <c r="J26" t="s">
        <v>111</v>
      </c>
      <c r="K26" t="s">
        <v>112</v>
      </c>
      <c r="L26" s="14" t="s">
        <v>113</v>
      </c>
    </row>
    <row r="27" spans="2:12" x14ac:dyDescent="0.45">
      <c r="B27">
        <v>2030</v>
      </c>
      <c r="C27" t="s">
        <v>122</v>
      </c>
      <c r="D27" t="s">
        <v>99</v>
      </c>
      <c r="E27">
        <v>54</v>
      </c>
      <c r="F27" t="s">
        <v>100</v>
      </c>
      <c r="G27" t="s">
        <v>106</v>
      </c>
      <c r="H27" t="s">
        <v>102</v>
      </c>
      <c r="I27" s="13">
        <v>45251</v>
      </c>
      <c r="J27" t="s">
        <v>107</v>
      </c>
      <c r="K27" t="s">
        <v>108</v>
      </c>
      <c r="L27" t="s">
        <v>109</v>
      </c>
    </row>
    <row r="28" spans="2:12" ht="171" x14ac:dyDescent="0.45">
      <c r="B28">
        <v>2030</v>
      </c>
      <c r="C28" t="s">
        <v>122</v>
      </c>
      <c r="D28" t="s">
        <v>99</v>
      </c>
      <c r="E28">
        <v>52</v>
      </c>
      <c r="F28" t="s">
        <v>100</v>
      </c>
      <c r="G28" t="s">
        <v>115</v>
      </c>
      <c r="H28" t="s">
        <v>116</v>
      </c>
      <c r="I28" s="13">
        <v>45108</v>
      </c>
      <c r="J28" t="s">
        <v>117</v>
      </c>
      <c r="K28" t="s">
        <v>118</v>
      </c>
      <c r="L28" s="14" t="s">
        <v>119</v>
      </c>
    </row>
    <row r="29" spans="2:12" ht="409.5" x14ac:dyDescent="0.45">
      <c r="B29">
        <v>2030</v>
      </c>
      <c r="C29" t="s">
        <v>123</v>
      </c>
      <c r="D29" t="s">
        <v>124</v>
      </c>
      <c r="E29">
        <v>22.51</v>
      </c>
      <c r="F29" t="s">
        <v>100</v>
      </c>
      <c r="G29" t="s">
        <v>106</v>
      </c>
      <c r="H29" t="s">
        <v>102</v>
      </c>
      <c r="I29" s="13">
        <v>45483</v>
      </c>
      <c r="J29" t="s">
        <v>111</v>
      </c>
      <c r="K29" t="s">
        <v>112</v>
      </c>
      <c r="L29" s="14" t="s">
        <v>113</v>
      </c>
    </row>
    <row r="30" spans="2:12" x14ac:dyDescent="0.45">
      <c r="B30">
        <v>2030</v>
      </c>
      <c r="C30" t="s">
        <v>125</v>
      </c>
      <c r="D30" t="s">
        <v>124</v>
      </c>
      <c r="E30">
        <v>27</v>
      </c>
      <c r="F30" t="s">
        <v>100</v>
      </c>
      <c r="G30" t="s">
        <v>126</v>
      </c>
      <c r="H30" t="s">
        <v>102</v>
      </c>
      <c r="I30" s="13">
        <v>45089</v>
      </c>
      <c r="J30" t="s">
        <v>127</v>
      </c>
      <c r="K30" t="s">
        <v>128</v>
      </c>
      <c r="L30" t="s">
        <v>129</v>
      </c>
    </row>
    <row r="31" spans="2:12" x14ac:dyDescent="0.45">
      <c r="B31">
        <v>2030</v>
      </c>
      <c r="C31" t="s">
        <v>125</v>
      </c>
      <c r="D31" t="s">
        <v>124</v>
      </c>
      <c r="F31" t="s">
        <v>100</v>
      </c>
      <c r="G31" t="s">
        <v>106</v>
      </c>
      <c r="H31" t="s">
        <v>102</v>
      </c>
      <c r="I31" s="13">
        <v>45251</v>
      </c>
      <c r="J31" t="s">
        <v>107</v>
      </c>
      <c r="K31" t="s">
        <v>108</v>
      </c>
      <c r="L31" t="s">
        <v>109</v>
      </c>
    </row>
    <row r="32" spans="2:12" ht="409.5" x14ac:dyDescent="0.45">
      <c r="B32">
        <v>2030</v>
      </c>
      <c r="C32" t="s">
        <v>110</v>
      </c>
      <c r="D32" t="s">
        <v>124</v>
      </c>
      <c r="E32">
        <v>54</v>
      </c>
      <c r="F32" t="s">
        <v>100</v>
      </c>
      <c r="G32" t="s">
        <v>106</v>
      </c>
      <c r="H32" t="s">
        <v>102</v>
      </c>
      <c r="I32" s="13">
        <v>45483</v>
      </c>
      <c r="J32" t="s">
        <v>111</v>
      </c>
      <c r="K32" t="s">
        <v>112</v>
      </c>
      <c r="L32" s="14" t="s">
        <v>113</v>
      </c>
    </row>
    <row r="33" spans="2:12" x14ac:dyDescent="0.45">
      <c r="B33">
        <v>2030</v>
      </c>
      <c r="C33" t="s">
        <v>110</v>
      </c>
      <c r="D33" t="s">
        <v>124</v>
      </c>
      <c r="E33">
        <v>58</v>
      </c>
      <c r="F33" t="s">
        <v>100</v>
      </c>
      <c r="G33" t="s">
        <v>126</v>
      </c>
      <c r="H33" t="s">
        <v>102</v>
      </c>
      <c r="I33" s="13">
        <v>45089</v>
      </c>
      <c r="J33" t="s">
        <v>127</v>
      </c>
      <c r="K33" t="s">
        <v>128</v>
      </c>
      <c r="L33" t="s">
        <v>129</v>
      </c>
    </row>
    <row r="34" spans="2:12" x14ac:dyDescent="0.45">
      <c r="B34">
        <v>2030</v>
      </c>
      <c r="C34" t="s">
        <v>110</v>
      </c>
      <c r="D34" t="s">
        <v>124</v>
      </c>
      <c r="E34">
        <v>14</v>
      </c>
      <c r="F34" t="s">
        <v>100</v>
      </c>
      <c r="G34" t="s">
        <v>106</v>
      </c>
      <c r="H34" t="s">
        <v>102</v>
      </c>
      <c r="I34" s="13">
        <v>45251</v>
      </c>
      <c r="J34" t="s">
        <v>107</v>
      </c>
      <c r="K34" t="s">
        <v>108</v>
      </c>
      <c r="L34" t="s">
        <v>109</v>
      </c>
    </row>
    <row r="35" spans="2:12" ht="409.5" x14ac:dyDescent="0.45">
      <c r="B35">
        <v>2030</v>
      </c>
      <c r="C35" t="s">
        <v>130</v>
      </c>
      <c r="D35" t="s">
        <v>124</v>
      </c>
      <c r="E35">
        <v>343.34</v>
      </c>
      <c r="F35" t="s">
        <v>100</v>
      </c>
      <c r="G35" t="s">
        <v>106</v>
      </c>
      <c r="H35" t="s">
        <v>102</v>
      </c>
      <c r="I35" s="13">
        <v>45483</v>
      </c>
      <c r="J35" t="s">
        <v>111</v>
      </c>
      <c r="K35" t="s">
        <v>112</v>
      </c>
      <c r="L35" s="14" t="s">
        <v>113</v>
      </c>
    </row>
    <row r="36" spans="2:12" x14ac:dyDescent="0.45">
      <c r="B36">
        <v>2030</v>
      </c>
      <c r="C36" t="s">
        <v>130</v>
      </c>
      <c r="D36" t="s">
        <v>124</v>
      </c>
      <c r="E36">
        <v>361</v>
      </c>
      <c r="F36" t="s">
        <v>100</v>
      </c>
      <c r="G36" t="s">
        <v>126</v>
      </c>
      <c r="H36" t="s">
        <v>102</v>
      </c>
      <c r="I36" s="13">
        <v>45089</v>
      </c>
      <c r="J36" t="s">
        <v>127</v>
      </c>
      <c r="K36" t="s">
        <v>128</v>
      </c>
      <c r="L36" t="s">
        <v>129</v>
      </c>
    </row>
    <row r="37" spans="2:12" x14ac:dyDescent="0.45">
      <c r="B37">
        <v>2030</v>
      </c>
      <c r="C37" t="s">
        <v>114</v>
      </c>
      <c r="D37" t="s">
        <v>124</v>
      </c>
      <c r="E37">
        <v>18</v>
      </c>
      <c r="F37" t="s">
        <v>100</v>
      </c>
      <c r="G37" t="s">
        <v>126</v>
      </c>
      <c r="H37" t="s">
        <v>102</v>
      </c>
      <c r="I37" s="13">
        <v>45089</v>
      </c>
      <c r="J37" t="s">
        <v>127</v>
      </c>
      <c r="K37" t="s">
        <v>128</v>
      </c>
      <c r="L37" t="s">
        <v>129</v>
      </c>
    </row>
    <row r="38" spans="2:12" ht="409.5" x14ac:dyDescent="0.45">
      <c r="B38">
        <v>2030</v>
      </c>
      <c r="C38" t="s">
        <v>114</v>
      </c>
      <c r="D38" t="s">
        <v>124</v>
      </c>
      <c r="E38">
        <v>14</v>
      </c>
      <c r="F38" t="s">
        <v>100</v>
      </c>
      <c r="G38" t="s">
        <v>106</v>
      </c>
      <c r="H38" t="s">
        <v>102</v>
      </c>
      <c r="I38" s="13">
        <v>45483</v>
      </c>
      <c r="J38" t="s">
        <v>111</v>
      </c>
      <c r="K38" t="s">
        <v>112</v>
      </c>
      <c r="L38" s="14" t="s">
        <v>113</v>
      </c>
    </row>
    <row r="39" spans="2:12" x14ac:dyDescent="0.45">
      <c r="B39">
        <v>2030</v>
      </c>
      <c r="C39" t="s">
        <v>114</v>
      </c>
      <c r="D39" t="s">
        <v>124</v>
      </c>
      <c r="E39">
        <v>54</v>
      </c>
      <c r="F39" t="s">
        <v>100</v>
      </c>
      <c r="G39" t="s">
        <v>106</v>
      </c>
      <c r="H39" t="s">
        <v>102</v>
      </c>
      <c r="I39" s="13">
        <v>45251</v>
      </c>
      <c r="J39" t="s">
        <v>107</v>
      </c>
      <c r="K39" t="s">
        <v>108</v>
      </c>
      <c r="L39" t="s">
        <v>109</v>
      </c>
    </row>
    <row r="40" spans="2:12" ht="409.5" x14ac:dyDescent="0.45">
      <c r="B40">
        <v>2030</v>
      </c>
      <c r="C40" t="s">
        <v>120</v>
      </c>
      <c r="D40" t="s">
        <v>124</v>
      </c>
      <c r="E40">
        <v>64</v>
      </c>
      <c r="F40" t="s">
        <v>100</v>
      </c>
      <c r="G40" t="s">
        <v>106</v>
      </c>
      <c r="H40" t="s">
        <v>102</v>
      </c>
      <c r="I40" s="13">
        <v>45483</v>
      </c>
      <c r="J40" t="s">
        <v>111</v>
      </c>
      <c r="K40" t="s">
        <v>112</v>
      </c>
      <c r="L40" s="14" t="s">
        <v>113</v>
      </c>
    </row>
    <row r="41" spans="2:12" x14ac:dyDescent="0.45">
      <c r="B41">
        <v>2030</v>
      </c>
      <c r="C41" t="s">
        <v>120</v>
      </c>
      <c r="D41" t="s">
        <v>124</v>
      </c>
      <c r="E41">
        <v>65</v>
      </c>
      <c r="F41" t="s">
        <v>100</v>
      </c>
      <c r="G41" t="s">
        <v>126</v>
      </c>
      <c r="H41" t="s">
        <v>102</v>
      </c>
      <c r="I41" s="13">
        <v>45089</v>
      </c>
      <c r="J41" t="s">
        <v>127</v>
      </c>
      <c r="K41" t="s">
        <v>128</v>
      </c>
      <c r="L41" t="s">
        <v>129</v>
      </c>
    </row>
    <row r="42" spans="2:12" x14ac:dyDescent="0.45">
      <c r="B42">
        <v>2030</v>
      </c>
      <c r="C42" t="s">
        <v>120</v>
      </c>
      <c r="D42" t="s">
        <v>124</v>
      </c>
      <c r="E42">
        <v>64</v>
      </c>
      <c r="F42" t="s">
        <v>100</v>
      </c>
      <c r="G42" t="s">
        <v>106</v>
      </c>
      <c r="H42" t="s">
        <v>102</v>
      </c>
      <c r="I42" s="13">
        <v>45251</v>
      </c>
      <c r="J42" t="s">
        <v>107</v>
      </c>
      <c r="K42" t="s">
        <v>108</v>
      </c>
      <c r="L42" t="s">
        <v>109</v>
      </c>
    </row>
    <row r="43" spans="2:12" x14ac:dyDescent="0.45">
      <c r="B43">
        <v>2030</v>
      </c>
      <c r="C43" t="s">
        <v>121</v>
      </c>
      <c r="D43" t="s">
        <v>124</v>
      </c>
      <c r="E43">
        <v>10</v>
      </c>
      <c r="F43" t="s">
        <v>100</v>
      </c>
      <c r="G43" t="s">
        <v>126</v>
      </c>
      <c r="H43" t="s">
        <v>102</v>
      </c>
      <c r="I43" s="13">
        <v>45089</v>
      </c>
      <c r="J43" t="s">
        <v>127</v>
      </c>
      <c r="K43" t="s">
        <v>128</v>
      </c>
      <c r="L43" t="s">
        <v>129</v>
      </c>
    </row>
    <row r="44" spans="2:12" x14ac:dyDescent="0.45">
      <c r="B44">
        <v>2030</v>
      </c>
      <c r="C44" t="s">
        <v>121</v>
      </c>
      <c r="D44" t="s">
        <v>124</v>
      </c>
      <c r="F44" t="s">
        <v>100</v>
      </c>
      <c r="G44" t="s">
        <v>106</v>
      </c>
      <c r="H44" t="s">
        <v>102</v>
      </c>
      <c r="I44" s="13">
        <v>45251</v>
      </c>
      <c r="J44" t="s">
        <v>107</v>
      </c>
      <c r="K44" t="s">
        <v>108</v>
      </c>
      <c r="L44" t="s">
        <v>109</v>
      </c>
    </row>
    <row r="45" spans="2:12" ht="409.5" x14ac:dyDescent="0.45">
      <c r="B45">
        <v>2030</v>
      </c>
      <c r="C45" t="s">
        <v>122</v>
      </c>
      <c r="D45" t="s">
        <v>124</v>
      </c>
      <c r="E45">
        <v>65</v>
      </c>
      <c r="F45" t="s">
        <v>100</v>
      </c>
      <c r="G45" t="s">
        <v>106</v>
      </c>
      <c r="H45" t="s">
        <v>102</v>
      </c>
      <c r="I45" s="13">
        <v>45483</v>
      </c>
      <c r="J45" t="s">
        <v>111</v>
      </c>
      <c r="K45" t="s">
        <v>112</v>
      </c>
      <c r="L45" s="14" t="s">
        <v>113</v>
      </c>
    </row>
    <row r="46" spans="2:12" x14ac:dyDescent="0.45">
      <c r="B46">
        <v>2030</v>
      </c>
      <c r="C46" t="s">
        <v>122</v>
      </c>
      <c r="D46" t="s">
        <v>124</v>
      </c>
      <c r="E46">
        <v>65</v>
      </c>
      <c r="F46" t="s">
        <v>100</v>
      </c>
      <c r="G46" t="s">
        <v>106</v>
      </c>
      <c r="H46" t="s">
        <v>102</v>
      </c>
      <c r="I46" s="13">
        <v>45251</v>
      </c>
      <c r="J46" t="s">
        <v>107</v>
      </c>
      <c r="K46" t="s">
        <v>108</v>
      </c>
      <c r="L46" t="s">
        <v>109</v>
      </c>
    </row>
    <row r="47" spans="2:12" x14ac:dyDescent="0.45">
      <c r="B47">
        <v>2030</v>
      </c>
      <c r="C47" t="s">
        <v>122</v>
      </c>
      <c r="D47" t="s">
        <v>124</v>
      </c>
      <c r="E47">
        <v>53</v>
      </c>
      <c r="F47" t="s">
        <v>100</v>
      </c>
      <c r="G47" t="s">
        <v>126</v>
      </c>
      <c r="H47" t="s">
        <v>102</v>
      </c>
      <c r="I47" s="13">
        <v>45089</v>
      </c>
      <c r="J47" t="s">
        <v>127</v>
      </c>
      <c r="K47" t="s">
        <v>128</v>
      </c>
      <c r="L47" t="s">
        <v>129</v>
      </c>
    </row>
    <row r="48" spans="2:12" ht="409.5" x14ac:dyDescent="0.45">
      <c r="B48">
        <v>2030</v>
      </c>
      <c r="C48" t="s">
        <v>123</v>
      </c>
      <c r="D48" t="s">
        <v>131</v>
      </c>
      <c r="E48">
        <v>4</v>
      </c>
      <c r="F48" t="s">
        <v>100</v>
      </c>
      <c r="G48" t="s">
        <v>106</v>
      </c>
      <c r="H48" t="s">
        <v>102</v>
      </c>
      <c r="I48" s="13">
        <v>45483</v>
      </c>
      <c r="J48" t="s">
        <v>111</v>
      </c>
      <c r="K48" t="s">
        <v>112</v>
      </c>
      <c r="L48" s="14" t="s">
        <v>113</v>
      </c>
    </row>
    <row r="49" spans="2:12" ht="409.5" x14ac:dyDescent="0.45">
      <c r="B49">
        <v>2030</v>
      </c>
      <c r="C49" t="s">
        <v>125</v>
      </c>
      <c r="D49" t="s">
        <v>131</v>
      </c>
      <c r="F49" t="s">
        <v>100</v>
      </c>
      <c r="G49" t="s">
        <v>106</v>
      </c>
      <c r="H49" t="s">
        <v>102</v>
      </c>
      <c r="I49" s="13">
        <v>45483</v>
      </c>
      <c r="J49" t="s">
        <v>111</v>
      </c>
      <c r="K49" t="s">
        <v>112</v>
      </c>
      <c r="L49" s="14" t="s">
        <v>113</v>
      </c>
    </row>
    <row r="50" spans="2:12" x14ac:dyDescent="0.45">
      <c r="B50">
        <v>2030</v>
      </c>
      <c r="C50" t="s">
        <v>125</v>
      </c>
      <c r="D50" t="s">
        <v>131</v>
      </c>
      <c r="E50">
        <v>4.5599999999999996</v>
      </c>
      <c r="F50" t="s">
        <v>100</v>
      </c>
      <c r="G50" t="s">
        <v>126</v>
      </c>
      <c r="H50" t="s">
        <v>102</v>
      </c>
      <c r="I50" s="13">
        <v>45089</v>
      </c>
      <c r="J50" t="s">
        <v>127</v>
      </c>
      <c r="K50" t="s">
        <v>128</v>
      </c>
      <c r="L50" t="s">
        <v>129</v>
      </c>
    </row>
    <row r="51" spans="2:12" x14ac:dyDescent="0.45">
      <c r="B51">
        <v>2030</v>
      </c>
      <c r="C51" t="s">
        <v>110</v>
      </c>
      <c r="D51" t="s">
        <v>131</v>
      </c>
      <c r="E51">
        <v>9.8000000000000007</v>
      </c>
      <c r="F51" t="s">
        <v>100</v>
      </c>
      <c r="G51" t="s">
        <v>126</v>
      </c>
      <c r="H51" t="s">
        <v>102</v>
      </c>
      <c r="I51" s="13">
        <v>45089</v>
      </c>
      <c r="J51" t="s">
        <v>127</v>
      </c>
      <c r="K51" t="s">
        <v>128</v>
      </c>
      <c r="L51" t="s">
        <v>129</v>
      </c>
    </row>
    <row r="52" spans="2:12" ht="409.5" x14ac:dyDescent="0.45">
      <c r="B52">
        <v>2030</v>
      </c>
      <c r="C52" t="s">
        <v>110</v>
      </c>
      <c r="D52" t="s">
        <v>131</v>
      </c>
      <c r="E52">
        <v>9.6</v>
      </c>
      <c r="F52" t="s">
        <v>100</v>
      </c>
      <c r="G52" t="s">
        <v>106</v>
      </c>
      <c r="H52" t="s">
        <v>102</v>
      </c>
      <c r="I52" s="13">
        <v>45483</v>
      </c>
      <c r="J52" t="s">
        <v>111</v>
      </c>
      <c r="K52" t="s">
        <v>112</v>
      </c>
      <c r="L52" s="14" t="s">
        <v>113</v>
      </c>
    </row>
    <row r="53" spans="2:12" ht="409.5" x14ac:dyDescent="0.45">
      <c r="B53">
        <v>2030</v>
      </c>
      <c r="C53" t="s">
        <v>130</v>
      </c>
      <c r="D53" t="s">
        <v>131</v>
      </c>
      <c r="E53">
        <v>61</v>
      </c>
      <c r="F53" t="s">
        <v>100</v>
      </c>
      <c r="G53" t="s">
        <v>106</v>
      </c>
      <c r="H53" t="s">
        <v>102</v>
      </c>
      <c r="I53" s="13">
        <v>45483</v>
      </c>
      <c r="J53" t="s">
        <v>111</v>
      </c>
      <c r="K53" t="s">
        <v>112</v>
      </c>
      <c r="L53" s="14" t="s">
        <v>113</v>
      </c>
    </row>
    <row r="54" spans="2:12" x14ac:dyDescent="0.45">
      <c r="B54">
        <v>2030</v>
      </c>
      <c r="C54" t="s">
        <v>130</v>
      </c>
      <c r="D54" t="s">
        <v>131</v>
      </c>
      <c r="E54">
        <v>60.98</v>
      </c>
      <c r="F54" t="s">
        <v>100</v>
      </c>
      <c r="G54" t="s">
        <v>126</v>
      </c>
      <c r="H54" t="s">
        <v>102</v>
      </c>
      <c r="I54" s="13">
        <v>45089</v>
      </c>
      <c r="J54" t="s">
        <v>127</v>
      </c>
      <c r="K54" t="s">
        <v>128</v>
      </c>
      <c r="L54" t="s">
        <v>129</v>
      </c>
    </row>
    <row r="55" spans="2:12" x14ac:dyDescent="0.45">
      <c r="B55">
        <v>2030</v>
      </c>
      <c r="C55" t="s">
        <v>114</v>
      </c>
      <c r="D55" t="s">
        <v>131</v>
      </c>
      <c r="E55">
        <v>3.04</v>
      </c>
      <c r="F55" t="s">
        <v>100</v>
      </c>
      <c r="G55" t="s">
        <v>126</v>
      </c>
      <c r="H55" t="s">
        <v>102</v>
      </c>
      <c r="I55" s="13">
        <v>45089</v>
      </c>
      <c r="J55" t="s">
        <v>127</v>
      </c>
      <c r="K55" t="s">
        <v>128</v>
      </c>
      <c r="L55" t="s">
        <v>129</v>
      </c>
    </row>
    <row r="56" spans="2:12" ht="409.5" x14ac:dyDescent="0.45">
      <c r="B56">
        <v>2030</v>
      </c>
      <c r="C56" t="s">
        <v>114</v>
      </c>
      <c r="D56" t="s">
        <v>131</v>
      </c>
      <c r="E56">
        <v>2.5</v>
      </c>
      <c r="F56" t="s">
        <v>100</v>
      </c>
      <c r="G56" t="s">
        <v>106</v>
      </c>
      <c r="H56" t="s">
        <v>102</v>
      </c>
      <c r="I56" s="13">
        <v>45483</v>
      </c>
      <c r="J56" t="s">
        <v>111</v>
      </c>
      <c r="K56" t="s">
        <v>112</v>
      </c>
      <c r="L56" s="14" t="s">
        <v>113</v>
      </c>
    </row>
    <row r="57" spans="2:12" x14ac:dyDescent="0.45">
      <c r="B57">
        <v>2030</v>
      </c>
      <c r="C57" t="s">
        <v>120</v>
      </c>
      <c r="D57" t="s">
        <v>131</v>
      </c>
      <c r="E57">
        <v>10.98</v>
      </c>
      <c r="F57" t="s">
        <v>100</v>
      </c>
      <c r="G57" t="s">
        <v>126</v>
      </c>
      <c r="H57" t="s">
        <v>102</v>
      </c>
      <c r="I57" s="13">
        <v>45089</v>
      </c>
      <c r="J57" t="s">
        <v>127</v>
      </c>
      <c r="K57" t="s">
        <v>128</v>
      </c>
      <c r="L57" t="s">
        <v>129</v>
      </c>
    </row>
    <row r="58" spans="2:12" ht="409.5" x14ac:dyDescent="0.45">
      <c r="B58">
        <v>2030</v>
      </c>
      <c r="C58" t="s">
        <v>120</v>
      </c>
      <c r="D58" t="s">
        <v>131</v>
      </c>
      <c r="E58">
        <v>11.4</v>
      </c>
      <c r="F58" t="s">
        <v>100</v>
      </c>
      <c r="G58" t="s">
        <v>106</v>
      </c>
      <c r="H58" t="s">
        <v>102</v>
      </c>
      <c r="I58" s="13">
        <v>45483</v>
      </c>
      <c r="J58" t="s">
        <v>111</v>
      </c>
      <c r="K58" t="s">
        <v>112</v>
      </c>
      <c r="L58" s="14" t="s">
        <v>113</v>
      </c>
    </row>
    <row r="59" spans="2:12" x14ac:dyDescent="0.45">
      <c r="B59">
        <v>2030</v>
      </c>
      <c r="C59" t="s">
        <v>121</v>
      </c>
      <c r="D59" t="s">
        <v>131</v>
      </c>
      <c r="E59">
        <v>1.69</v>
      </c>
      <c r="F59" t="s">
        <v>100</v>
      </c>
      <c r="G59" t="s">
        <v>126</v>
      </c>
      <c r="H59" t="s">
        <v>102</v>
      </c>
      <c r="I59" s="13">
        <v>45089</v>
      </c>
      <c r="J59" t="s">
        <v>127</v>
      </c>
      <c r="K59" t="s">
        <v>128</v>
      </c>
      <c r="L59" t="s">
        <v>129</v>
      </c>
    </row>
    <row r="60" spans="2:12" ht="409.5" x14ac:dyDescent="0.45">
      <c r="B60">
        <v>2030</v>
      </c>
      <c r="C60" t="s">
        <v>121</v>
      </c>
      <c r="D60" t="s">
        <v>131</v>
      </c>
      <c r="F60" t="s">
        <v>100</v>
      </c>
      <c r="G60" t="s">
        <v>106</v>
      </c>
      <c r="H60" t="s">
        <v>102</v>
      </c>
      <c r="I60" s="13">
        <v>45483</v>
      </c>
      <c r="J60" t="s">
        <v>111</v>
      </c>
      <c r="K60" t="s">
        <v>112</v>
      </c>
      <c r="L60" s="14" t="s">
        <v>113</v>
      </c>
    </row>
    <row r="61" spans="2:12" x14ac:dyDescent="0.45">
      <c r="B61">
        <v>2030</v>
      </c>
      <c r="C61" t="s">
        <v>122</v>
      </c>
      <c r="D61" t="s">
        <v>131</v>
      </c>
      <c r="E61">
        <v>8.9499999999999993</v>
      </c>
      <c r="F61" t="s">
        <v>100</v>
      </c>
      <c r="G61" t="s">
        <v>126</v>
      </c>
      <c r="H61" t="s">
        <v>102</v>
      </c>
      <c r="I61" s="13">
        <v>45089</v>
      </c>
      <c r="J61" t="s">
        <v>127</v>
      </c>
      <c r="K61" t="s">
        <v>128</v>
      </c>
      <c r="L61" t="s">
        <v>129</v>
      </c>
    </row>
    <row r="62" spans="2:12" ht="409.5" x14ac:dyDescent="0.45">
      <c r="B62">
        <v>2030</v>
      </c>
      <c r="C62" t="s">
        <v>122</v>
      </c>
      <c r="D62" t="s">
        <v>131</v>
      </c>
      <c r="E62">
        <v>11.5</v>
      </c>
      <c r="F62" t="s">
        <v>100</v>
      </c>
      <c r="G62" t="s">
        <v>106</v>
      </c>
      <c r="H62" t="s">
        <v>102</v>
      </c>
      <c r="I62" s="13">
        <v>45483</v>
      </c>
      <c r="J62" t="s">
        <v>111</v>
      </c>
      <c r="K62" t="s">
        <v>112</v>
      </c>
      <c r="L62" s="14" t="s">
        <v>113</v>
      </c>
    </row>
    <row r="63" spans="2:12" x14ac:dyDescent="0.45">
      <c r="B63">
        <v>2030</v>
      </c>
      <c r="C63" t="s">
        <v>98</v>
      </c>
      <c r="D63" t="s">
        <v>99</v>
      </c>
      <c r="E63">
        <v>2</v>
      </c>
      <c r="F63" t="s">
        <v>132</v>
      </c>
      <c r="G63" t="s">
        <v>133</v>
      </c>
      <c r="H63" t="s">
        <v>134</v>
      </c>
      <c r="I63" s="13">
        <v>44736</v>
      </c>
      <c r="J63" t="s">
        <v>135</v>
      </c>
      <c r="K63" t="s">
        <v>136</v>
      </c>
    </row>
    <row r="64" spans="2:12" x14ac:dyDescent="0.45">
      <c r="B64">
        <v>2030</v>
      </c>
      <c r="C64" t="s">
        <v>110</v>
      </c>
      <c r="D64" t="s">
        <v>99</v>
      </c>
      <c r="E64">
        <v>27</v>
      </c>
      <c r="F64" t="s">
        <v>132</v>
      </c>
      <c r="G64" t="s">
        <v>133</v>
      </c>
      <c r="H64" t="s">
        <v>134</v>
      </c>
      <c r="I64" s="13">
        <v>44736</v>
      </c>
      <c r="J64" t="s">
        <v>135</v>
      </c>
      <c r="K64"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0.43017039759438686</v>
      </c>
      <c r="H3" s="3">
        <v>0.56736863627070133</v>
      </c>
      <c r="I3" s="3">
        <v>0.46064340026918904</v>
      </c>
      <c r="J3" s="3">
        <v>0.70855841068035541</v>
      </c>
      <c r="V3" t="s">
        <v>1</v>
      </c>
    </row>
    <row r="4" spans="1:38" x14ac:dyDescent="0.45">
      <c r="A4" t="s">
        <v>43</v>
      </c>
      <c r="B4" t="s">
        <v>2</v>
      </c>
      <c r="C4" t="s">
        <v>3</v>
      </c>
      <c r="D4" t="s">
        <v>4</v>
      </c>
      <c r="F4" t="s">
        <v>5</v>
      </c>
      <c r="G4" s="3">
        <v>9.4315434766683762E-2</v>
      </c>
      <c r="H4" s="3">
        <v>0.43129337356808434</v>
      </c>
      <c r="I4" s="3"/>
      <c r="J4" s="3"/>
    </row>
    <row r="5" spans="1:38" x14ac:dyDescent="0.45">
      <c r="B5" t="s">
        <v>80</v>
      </c>
      <c r="C5" t="s">
        <v>38</v>
      </c>
      <c r="D5" s="4"/>
      <c r="F5" t="s">
        <v>8</v>
      </c>
      <c r="G5" s="3">
        <v>5.1995525945360881E-2</v>
      </c>
      <c r="H5" s="3">
        <v>0.29350540681363757</v>
      </c>
      <c r="I5" s="3"/>
      <c r="J5" s="3"/>
    </row>
    <row r="6" spans="1:38" x14ac:dyDescent="0.45">
      <c r="A6" s="5">
        <v>0.28000000000000003</v>
      </c>
      <c r="B6" t="s">
        <v>76</v>
      </c>
      <c r="C6" t="s">
        <v>7</v>
      </c>
      <c r="D6" s="4" t="str">
        <f>IFERROR(MIN(VLOOKUP(B6,$F$3:$J$11,5,FALSE),$A$6),"")</f>
        <v/>
      </c>
      <c r="F6" t="s">
        <v>83</v>
      </c>
      <c r="G6" s="3"/>
      <c r="H6" s="3"/>
      <c r="I6" s="3">
        <v>0.47682418559038953</v>
      </c>
      <c r="J6" s="3">
        <v>0.94150868710858548</v>
      </c>
      <c r="U6" t="s">
        <v>11</v>
      </c>
      <c r="AF6" t="s">
        <v>10</v>
      </c>
    </row>
    <row r="7" spans="1:38" x14ac:dyDescent="0.45">
      <c r="B7" t="s">
        <v>77</v>
      </c>
      <c r="C7" t="s">
        <v>7</v>
      </c>
      <c r="D7" s="4" t="str">
        <f t="shared" ref="D7" si="0">IFERROR(VLOOKUP(B7,$F$3:$J$11,5,FALSE),"")</f>
        <v/>
      </c>
      <c r="F7" t="s">
        <v>6</v>
      </c>
      <c r="G7" s="3">
        <v>0.21437075214370757</v>
      </c>
      <c r="H7" s="3">
        <v>0.35548689270581235</v>
      </c>
      <c r="I7" s="3">
        <v>0.22444913497305133</v>
      </c>
      <c r="J7" s="3">
        <v>0.35595105709784614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0.81480430837725581</v>
      </c>
      <c r="F8" t="s">
        <v>19</v>
      </c>
      <c r="G8" s="3">
        <v>0.54796379753989866</v>
      </c>
      <c r="H8" s="3">
        <v>0.81480430837725581</v>
      </c>
      <c r="I8" s="3">
        <v>0.54796572739577298</v>
      </c>
      <c r="J8" s="3">
        <v>0.8148025038364537</v>
      </c>
      <c r="U8" t="s">
        <v>20</v>
      </c>
      <c r="V8" t="s">
        <v>5</v>
      </c>
      <c r="W8" s="1" t="s">
        <v>21</v>
      </c>
      <c r="X8" s="2">
        <f>-1/8.76</f>
        <v>-0.11415525114155252</v>
      </c>
      <c r="Z8" s="2">
        <f>VLOOKUP(V8,$F$3:$J$11,3,FALSE)</f>
        <v>0.43129337356808434</v>
      </c>
      <c r="AA8" s="2">
        <f>Z8*$AB$1</f>
        <v>0.4744227109248928</v>
      </c>
      <c r="AB8">
        <v>0</v>
      </c>
      <c r="AC8">
        <v>3</v>
      </c>
      <c r="AF8" t="s">
        <v>22</v>
      </c>
      <c r="AG8" t="s">
        <v>5</v>
      </c>
      <c r="AH8">
        <f>-1/8.76</f>
        <v>-0.11415525114155252</v>
      </c>
      <c r="AI8" s="2">
        <f>VLOOKUP(AG8,$F$3:$J$11,2,FALSE)</f>
        <v>9.4315434766683762E-2</v>
      </c>
      <c r="AJ8">
        <f>AI8*$AD$1</f>
        <v>1.8863086953336754E-2</v>
      </c>
      <c r="AK8">
        <v>0</v>
      </c>
      <c r="AL8">
        <v>3</v>
      </c>
    </row>
    <row r="9" spans="1:38" x14ac:dyDescent="0.45">
      <c r="F9" t="s">
        <v>23</v>
      </c>
      <c r="G9" s="3">
        <v>0.57136468483735825</v>
      </c>
      <c r="H9" s="3">
        <v>1.4951856263648997</v>
      </c>
      <c r="I9" s="3">
        <v>3.0554855784857463E-2</v>
      </c>
      <c r="J9" s="3">
        <v>5.73174118940072E-2</v>
      </c>
      <c r="U9" t="s">
        <v>24</v>
      </c>
      <c r="V9" t="s">
        <v>8</v>
      </c>
      <c r="W9" s="1" t="s">
        <v>21</v>
      </c>
      <c r="X9" s="2">
        <f>-1/8.76</f>
        <v>-0.11415525114155252</v>
      </c>
      <c r="Z9" s="2">
        <f>VLOOKUP(V9,$F$3:$J$11,3,FALSE)</f>
        <v>0.29350540681363757</v>
      </c>
      <c r="AA9" s="2">
        <f>Z9*$AB$1</f>
        <v>0.32285594749500135</v>
      </c>
      <c r="AB9">
        <v>0</v>
      </c>
      <c r="AC9">
        <v>3</v>
      </c>
      <c r="AF9" t="s">
        <v>25</v>
      </c>
      <c r="AG9" t="s">
        <v>8</v>
      </c>
      <c r="AH9">
        <f>-1/8.76</f>
        <v>-0.11415525114155252</v>
      </c>
      <c r="AI9" s="2">
        <f>VLOOKUP(AG9,$F$3:$J$11,2,FALSE)</f>
        <v>5.1995525945360881E-2</v>
      </c>
      <c r="AJ9">
        <f>AI9*$AD$1</f>
        <v>1.0399105189072177E-2</v>
      </c>
      <c r="AK9">
        <v>0</v>
      </c>
      <c r="AL9">
        <v>3</v>
      </c>
    </row>
    <row r="10" spans="1:38" ht="14.65" customHeight="1" x14ac:dyDescent="0.45">
      <c r="F10" t="s">
        <v>9</v>
      </c>
      <c r="G10" s="3">
        <v>5.7077625570776259E-2</v>
      </c>
      <c r="H10" s="3">
        <v>0.12935469333265309</v>
      </c>
      <c r="I10" s="3">
        <v>5.9492009132420094E-2</v>
      </c>
      <c r="J10" s="3">
        <v>0.15496417492770403</v>
      </c>
      <c r="AF10" t="s">
        <v>81</v>
      </c>
      <c r="AG10" t="s">
        <v>23</v>
      </c>
      <c r="AH10">
        <f>-1/8.76</f>
        <v>-0.11415525114155252</v>
      </c>
      <c r="AI10" s="2">
        <f>VLOOKUP(AG10,$F$3:$J$11,2,FALSE)</f>
        <v>0.57136468483735825</v>
      </c>
      <c r="AJ10" s="12">
        <f>AI10*$AD$1</f>
        <v>0.11427293696747165</v>
      </c>
      <c r="AK10">
        <v>0</v>
      </c>
      <c r="AL10">
        <v>3</v>
      </c>
    </row>
    <row r="11" spans="1:38" ht="14.65" customHeight="1" x14ac:dyDescent="0.45">
      <c r="F11" t="s">
        <v>84</v>
      </c>
      <c r="G11" s="3">
        <v>0.14269406392694065</v>
      </c>
      <c r="H11" s="3">
        <v>0.259420086117576</v>
      </c>
      <c r="I11" s="3">
        <v>0.14467676039413602</v>
      </c>
      <c r="J11" s="3">
        <v>0.26090977656805542</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153.5</v>
      </c>
      <c r="AC15">
        <v>3</v>
      </c>
      <c r="AE15" s="11">
        <f>SUMIFS(historical_data_long!$D$3:$D$626,historical_data_long!$A$3:$A$626,Veda!$V15,historical_data_long!$C$3:$C$626,"GW",historical_data_long!$B$3:$B$626,2022)</f>
        <v>61.4</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137</v>
      </c>
    </row>
    <row r="10" spans="2:10" x14ac:dyDescent="0.45">
      <c r="B10" t="s">
        <v>138</v>
      </c>
      <c r="C10" t="s">
        <v>63</v>
      </c>
      <c r="D10" t="s">
        <v>64</v>
      </c>
      <c r="E10" t="s">
        <v>65</v>
      </c>
      <c r="F10" t="s">
        <v>66</v>
      </c>
      <c r="G10" t="s">
        <v>67</v>
      </c>
      <c r="H10" t="s">
        <v>68</v>
      </c>
      <c r="I10" t="s">
        <v>69</v>
      </c>
      <c r="J10" t="s">
        <v>70</v>
      </c>
    </row>
    <row r="11" spans="2:10" x14ac:dyDescent="0.45">
      <c r="B11" t="s">
        <v>139</v>
      </c>
      <c r="C11">
        <v>12</v>
      </c>
      <c r="D11">
        <v>20</v>
      </c>
      <c r="E11">
        <v>8</v>
      </c>
      <c r="F11">
        <v>12</v>
      </c>
      <c r="G11">
        <v>0.2</v>
      </c>
      <c r="H11">
        <v>0.5</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12</v>
      </c>
      <c r="G20">
        <f>D11</f>
        <v>20</v>
      </c>
      <c r="H20">
        <v>4</v>
      </c>
    </row>
    <row r="21" spans="1:8" x14ac:dyDescent="0.45">
      <c r="A21" t="s">
        <v>12</v>
      </c>
      <c r="B21" t="str">
        <f t="shared" ref="B21:B23" si="0">"uce_buildrate_"&amp;A21</f>
        <v>uce_buildrate_wind</v>
      </c>
      <c r="C21" t="str">
        <f>A21&amp;"*"</f>
        <v>wind*</v>
      </c>
      <c r="D21" t="s">
        <v>74</v>
      </c>
      <c r="E21">
        <v>1</v>
      </c>
      <c r="F21">
        <f>E11</f>
        <v>8</v>
      </c>
      <c r="G21">
        <f>F11</f>
        <v>12</v>
      </c>
      <c r="H21">
        <v>4</v>
      </c>
    </row>
    <row r="22" spans="1:8" x14ac:dyDescent="0.45">
      <c r="A22" t="s">
        <v>6</v>
      </c>
      <c r="B22" t="str">
        <f t="shared" si="0"/>
        <v>uce_buildrate_hydro</v>
      </c>
      <c r="C22" t="str">
        <f t="shared" ref="C22:C23" si="1">A22</f>
        <v>hydro</v>
      </c>
      <c r="D22" t="s">
        <v>74</v>
      </c>
      <c r="E22">
        <v>1</v>
      </c>
      <c r="F22">
        <f>G11</f>
        <v>0.2</v>
      </c>
      <c r="G22">
        <f>H11</f>
        <v>0.5</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03"/>
  <sheetViews>
    <sheetView workbookViewId="0">
      <selection sqref="A1:D803"/>
    </sheetView>
  </sheetViews>
  <sheetFormatPr defaultRowHeight="14.25" x14ac:dyDescent="0.45"/>
  <sheetData>
    <row r="1" spans="1:4" x14ac:dyDescent="0.45">
      <c r="A1" t="s">
        <v>45</v>
      </c>
      <c r="B1" t="s">
        <v>51</v>
      </c>
      <c r="C1" t="s">
        <v>52</v>
      </c>
      <c r="D1" t="s">
        <v>53</v>
      </c>
    </row>
    <row r="2" spans="1:4" x14ac:dyDescent="0.45">
      <c r="A2" t="s">
        <v>5</v>
      </c>
      <c r="B2">
        <v>2000</v>
      </c>
      <c r="C2" t="s">
        <v>54</v>
      </c>
      <c r="D2">
        <v>27</v>
      </c>
    </row>
    <row r="3" spans="1:4" x14ac:dyDescent="0.45">
      <c r="A3" t="s">
        <v>8</v>
      </c>
      <c r="B3">
        <v>2000</v>
      </c>
      <c r="C3" t="s">
        <v>54</v>
      </c>
      <c r="D3">
        <v>11.51</v>
      </c>
    </row>
    <row r="4" spans="1:4" x14ac:dyDescent="0.45">
      <c r="A4" t="s">
        <v>6</v>
      </c>
      <c r="B4">
        <v>2000</v>
      </c>
      <c r="C4" t="s">
        <v>54</v>
      </c>
      <c r="D4">
        <v>64.78</v>
      </c>
    </row>
    <row r="5" spans="1:4" x14ac:dyDescent="0.45">
      <c r="A5" t="s">
        <v>19</v>
      </c>
      <c r="B5">
        <v>2000</v>
      </c>
      <c r="C5" t="s">
        <v>54</v>
      </c>
      <c r="D5">
        <v>415.16</v>
      </c>
    </row>
    <row r="6" spans="1:4" x14ac:dyDescent="0.45">
      <c r="A6" t="s">
        <v>23</v>
      </c>
      <c r="B6">
        <v>2000</v>
      </c>
      <c r="C6" t="s">
        <v>54</v>
      </c>
      <c r="D6">
        <v>11.06</v>
      </c>
    </row>
    <row r="7" spans="1:4" x14ac:dyDescent="0.45">
      <c r="A7" t="s">
        <v>5</v>
      </c>
      <c r="B7">
        <v>2001</v>
      </c>
      <c r="C7" t="s">
        <v>54</v>
      </c>
      <c r="D7">
        <v>20.48</v>
      </c>
    </row>
    <row r="8" spans="1:4" x14ac:dyDescent="0.45">
      <c r="A8" t="s">
        <v>8</v>
      </c>
      <c r="B8">
        <v>2001</v>
      </c>
      <c r="C8" t="s">
        <v>54</v>
      </c>
      <c r="D8">
        <v>15.15</v>
      </c>
    </row>
    <row r="9" spans="1:4" x14ac:dyDescent="0.45">
      <c r="A9" t="s">
        <v>6</v>
      </c>
      <c r="B9">
        <v>2001</v>
      </c>
      <c r="C9" t="s">
        <v>54</v>
      </c>
      <c r="D9">
        <v>72.62</v>
      </c>
    </row>
    <row r="10" spans="1:4" x14ac:dyDescent="0.45">
      <c r="A10" t="s">
        <v>19</v>
      </c>
      <c r="B10">
        <v>2001</v>
      </c>
      <c r="C10" t="s">
        <v>54</v>
      </c>
      <c r="D10">
        <v>421.08</v>
      </c>
    </row>
    <row r="11" spans="1:4" x14ac:dyDescent="0.45">
      <c r="A11" t="s">
        <v>23</v>
      </c>
      <c r="B11">
        <v>2001</v>
      </c>
      <c r="C11" t="s">
        <v>54</v>
      </c>
      <c r="D11">
        <v>9.8000000000000007</v>
      </c>
    </row>
    <row r="12" spans="1:4" x14ac:dyDescent="0.45">
      <c r="A12" t="s">
        <v>5</v>
      </c>
      <c r="B12">
        <v>2002</v>
      </c>
      <c r="C12" t="s">
        <v>54</v>
      </c>
      <c r="D12">
        <v>23.66</v>
      </c>
    </row>
    <row r="13" spans="1:4" x14ac:dyDescent="0.45">
      <c r="A13" t="s">
        <v>8</v>
      </c>
      <c r="B13">
        <v>2002</v>
      </c>
      <c r="C13" t="s">
        <v>54</v>
      </c>
      <c r="D13">
        <v>18.37</v>
      </c>
    </row>
    <row r="14" spans="1:4" x14ac:dyDescent="0.45">
      <c r="A14" t="s">
        <v>6</v>
      </c>
      <c r="B14">
        <v>2002</v>
      </c>
      <c r="C14" t="s">
        <v>54</v>
      </c>
      <c r="D14">
        <v>58.88</v>
      </c>
    </row>
    <row r="15" spans="1:4" x14ac:dyDescent="0.45">
      <c r="A15" t="s">
        <v>19</v>
      </c>
      <c r="B15">
        <v>2002</v>
      </c>
      <c r="C15" t="s">
        <v>54</v>
      </c>
      <c r="D15">
        <v>436.76</v>
      </c>
    </row>
    <row r="16" spans="1:4" x14ac:dyDescent="0.45">
      <c r="A16" t="s">
        <v>23</v>
      </c>
      <c r="B16">
        <v>2002</v>
      </c>
      <c r="C16" t="s">
        <v>54</v>
      </c>
      <c r="D16">
        <v>9.76</v>
      </c>
    </row>
    <row r="17" spans="1:4" x14ac:dyDescent="0.45">
      <c r="A17" t="s">
        <v>5</v>
      </c>
      <c r="B17">
        <v>2003</v>
      </c>
      <c r="C17" t="s">
        <v>54</v>
      </c>
      <c r="D17">
        <v>26.26</v>
      </c>
    </row>
    <row r="18" spans="1:4" x14ac:dyDescent="0.45">
      <c r="A18" t="s">
        <v>8</v>
      </c>
      <c r="B18">
        <v>2003</v>
      </c>
      <c r="C18" t="s">
        <v>54</v>
      </c>
      <c r="D18">
        <v>19.37</v>
      </c>
    </row>
    <row r="19" spans="1:4" x14ac:dyDescent="0.45">
      <c r="A19" t="s">
        <v>6</v>
      </c>
      <c r="B19">
        <v>2003</v>
      </c>
      <c r="C19" t="s">
        <v>54</v>
      </c>
      <c r="D19">
        <v>57.35</v>
      </c>
    </row>
    <row r="20" spans="1:4" x14ac:dyDescent="0.45">
      <c r="A20" t="s">
        <v>19</v>
      </c>
      <c r="B20">
        <v>2003</v>
      </c>
      <c r="C20" t="s">
        <v>54</v>
      </c>
      <c r="D20">
        <v>441.07</v>
      </c>
    </row>
    <row r="21" spans="1:4" x14ac:dyDescent="0.45">
      <c r="A21" t="s">
        <v>23</v>
      </c>
      <c r="B21">
        <v>2003</v>
      </c>
      <c r="C21" t="s">
        <v>54</v>
      </c>
      <c r="D21">
        <v>10.96</v>
      </c>
    </row>
    <row r="22" spans="1:4" x14ac:dyDescent="0.45">
      <c r="A22" t="s">
        <v>5</v>
      </c>
      <c r="B22">
        <v>2004</v>
      </c>
      <c r="C22" t="s">
        <v>54</v>
      </c>
      <c r="D22">
        <v>24.37</v>
      </c>
    </row>
    <row r="23" spans="1:4" x14ac:dyDescent="0.45">
      <c r="A23" t="s">
        <v>8</v>
      </c>
      <c r="B23">
        <v>2004</v>
      </c>
      <c r="C23" t="s">
        <v>54</v>
      </c>
      <c r="D23">
        <v>21.05</v>
      </c>
    </row>
    <row r="24" spans="1:4" x14ac:dyDescent="0.45">
      <c r="A24" t="s">
        <v>6</v>
      </c>
      <c r="B24">
        <v>2004</v>
      </c>
      <c r="C24" t="s">
        <v>54</v>
      </c>
      <c r="D24">
        <v>58.04</v>
      </c>
    </row>
    <row r="25" spans="1:4" x14ac:dyDescent="0.45">
      <c r="A25" t="s">
        <v>19</v>
      </c>
      <c r="B25">
        <v>2004</v>
      </c>
      <c r="C25" t="s">
        <v>54</v>
      </c>
      <c r="D25">
        <v>448.24</v>
      </c>
    </row>
    <row r="26" spans="1:4" x14ac:dyDescent="0.45">
      <c r="A26" t="s">
        <v>23</v>
      </c>
      <c r="B26">
        <v>2004</v>
      </c>
      <c r="C26" t="s">
        <v>54</v>
      </c>
      <c r="D26">
        <v>10.220000000000001</v>
      </c>
    </row>
    <row r="27" spans="1:4" x14ac:dyDescent="0.45">
      <c r="A27" t="s">
        <v>5</v>
      </c>
      <c r="B27">
        <v>2005</v>
      </c>
      <c r="C27" t="s">
        <v>54</v>
      </c>
      <c r="D27">
        <v>27.51</v>
      </c>
    </row>
    <row r="28" spans="1:4" x14ac:dyDescent="0.45">
      <c r="A28" t="s">
        <v>8</v>
      </c>
      <c r="B28">
        <v>2005</v>
      </c>
      <c r="C28" t="s">
        <v>54</v>
      </c>
      <c r="D28">
        <v>23.07</v>
      </c>
    </row>
    <row r="29" spans="1:4" x14ac:dyDescent="0.45">
      <c r="A29" t="s">
        <v>6</v>
      </c>
      <c r="B29">
        <v>2005</v>
      </c>
      <c r="C29" t="s">
        <v>54</v>
      </c>
      <c r="D29">
        <v>50.14</v>
      </c>
    </row>
    <row r="30" spans="1:4" x14ac:dyDescent="0.45">
      <c r="A30" t="s">
        <v>19</v>
      </c>
      <c r="B30">
        <v>2005</v>
      </c>
      <c r="C30" t="s">
        <v>54</v>
      </c>
      <c r="D30">
        <v>451.53</v>
      </c>
    </row>
    <row r="31" spans="1:4" x14ac:dyDescent="0.45">
      <c r="A31" t="s">
        <v>23</v>
      </c>
      <c r="B31">
        <v>2005</v>
      </c>
      <c r="C31" t="s">
        <v>54</v>
      </c>
      <c r="D31">
        <v>12.05</v>
      </c>
    </row>
    <row r="32" spans="1:4" x14ac:dyDescent="0.45">
      <c r="A32" t="s">
        <v>5</v>
      </c>
      <c r="B32">
        <v>2006</v>
      </c>
      <c r="C32" t="s">
        <v>54</v>
      </c>
      <c r="D32">
        <v>22.89</v>
      </c>
    </row>
    <row r="33" spans="1:4" x14ac:dyDescent="0.45">
      <c r="A33" t="s">
        <v>8</v>
      </c>
      <c r="B33">
        <v>2006</v>
      </c>
      <c r="C33" t="s">
        <v>54</v>
      </c>
      <c r="D33">
        <v>21.76</v>
      </c>
    </row>
    <row r="34" spans="1:4" x14ac:dyDescent="0.45">
      <c r="A34" t="s">
        <v>6</v>
      </c>
      <c r="B34">
        <v>2006</v>
      </c>
      <c r="C34" t="s">
        <v>54</v>
      </c>
      <c r="D34">
        <v>54.88</v>
      </c>
    </row>
    <row r="35" spans="1:4" x14ac:dyDescent="0.45">
      <c r="A35" t="s">
        <v>19</v>
      </c>
      <c r="B35">
        <v>2006</v>
      </c>
      <c r="C35" t="s">
        <v>54</v>
      </c>
      <c r="D35">
        <v>450.19</v>
      </c>
    </row>
    <row r="36" spans="1:4" x14ac:dyDescent="0.45">
      <c r="A36" t="s">
        <v>23</v>
      </c>
      <c r="B36">
        <v>2006</v>
      </c>
      <c r="C36" t="s">
        <v>54</v>
      </c>
      <c r="D36">
        <v>11.55</v>
      </c>
    </row>
    <row r="37" spans="1:4" x14ac:dyDescent="0.45">
      <c r="A37" t="s">
        <v>5</v>
      </c>
      <c r="B37">
        <v>2007</v>
      </c>
      <c r="C37" t="s">
        <v>54</v>
      </c>
      <c r="D37">
        <v>24.45</v>
      </c>
    </row>
    <row r="38" spans="1:4" x14ac:dyDescent="0.45">
      <c r="A38" t="s">
        <v>8</v>
      </c>
      <c r="B38">
        <v>2007</v>
      </c>
      <c r="C38" t="s">
        <v>54</v>
      </c>
      <c r="D38">
        <v>21.99</v>
      </c>
    </row>
    <row r="39" spans="1:4" x14ac:dyDescent="0.45">
      <c r="A39" t="s">
        <v>6</v>
      </c>
      <c r="B39">
        <v>2007</v>
      </c>
      <c r="C39" t="s">
        <v>54</v>
      </c>
      <c r="D39">
        <v>55.99</v>
      </c>
    </row>
    <row r="40" spans="1:4" x14ac:dyDescent="0.45">
      <c r="A40" t="s">
        <v>19</v>
      </c>
      <c r="B40">
        <v>2007</v>
      </c>
      <c r="C40" t="s">
        <v>54</v>
      </c>
      <c r="D40">
        <v>439.73</v>
      </c>
    </row>
    <row r="41" spans="1:4" x14ac:dyDescent="0.45">
      <c r="A41" t="s">
        <v>23</v>
      </c>
      <c r="B41">
        <v>2007</v>
      </c>
      <c r="C41" t="s">
        <v>54</v>
      </c>
      <c r="D41">
        <v>11.37</v>
      </c>
    </row>
    <row r="42" spans="1:4" x14ac:dyDescent="0.45">
      <c r="A42" t="s">
        <v>5</v>
      </c>
      <c r="B42">
        <v>2008</v>
      </c>
      <c r="C42" t="s">
        <v>54</v>
      </c>
      <c r="D42">
        <v>23.06</v>
      </c>
    </row>
    <row r="43" spans="1:4" x14ac:dyDescent="0.45">
      <c r="A43" t="s">
        <v>8</v>
      </c>
      <c r="B43">
        <v>2008</v>
      </c>
      <c r="C43" t="s">
        <v>54</v>
      </c>
      <c r="D43">
        <v>21.88</v>
      </c>
    </row>
    <row r="44" spans="1:4" x14ac:dyDescent="0.45">
      <c r="A44" t="s">
        <v>6</v>
      </c>
      <c r="B44">
        <v>2008</v>
      </c>
      <c r="C44" t="s">
        <v>54</v>
      </c>
      <c r="D44">
        <v>62.16</v>
      </c>
    </row>
    <row r="45" spans="1:4" x14ac:dyDescent="0.45">
      <c r="A45" t="s">
        <v>19</v>
      </c>
      <c r="B45">
        <v>2008</v>
      </c>
      <c r="C45" t="s">
        <v>54</v>
      </c>
      <c r="D45">
        <v>439.45</v>
      </c>
    </row>
    <row r="46" spans="1:4" x14ac:dyDescent="0.45">
      <c r="A46" t="s">
        <v>23</v>
      </c>
      <c r="B46">
        <v>2008</v>
      </c>
      <c r="C46" t="s">
        <v>54</v>
      </c>
      <c r="D46">
        <v>10.26</v>
      </c>
    </row>
    <row r="47" spans="1:4" x14ac:dyDescent="0.45">
      <c r="A47" t="s">
        <v>5</v>
      </c>
      <c r="B47">
        <v>2009</v>
      </c>
      <c r="C47" t="s">
        <v>54</v>
      </c>
      <c r="D47">
        <v>21.67</v>
      </c>
    </row>
    <row r="48" spans="1:4" x14ac:dyDescent="0.45">
      <c r="A48" t="s">
        <v>8</v>
      </c>
      <c r="B48">
        <v>2009</v>
      </c>
      <c r="C48" t="s">
        <v>54</v>
      </c>
      <c r="D48">
        <v>20.5</v>
      </c>
    </row>
    <row r="49" spans="1:4" x14ac:dyDescent="0.45">
      <c r="A49" t="s">
        <v>6</v>
      </c>
      <c r="B49">
        <v>2009</v>
      </c>
      <c r="C49" t="s">
        <v>54</v>
      </c>
      <c r="D49">
        <v>55.49</v>
      </c>
    </row>
    <row r="50" spans="1:4" x14ac:dyDescent="0.45">
      <c r="A50" t="s">
        <v>19</v>
      </c>
      <c r="B50">
        <v>2009</v>
      </c>
      <c r="C50" t="s">
        <v>54</v>
      </c>
      <c r="D50">
        <v>409.74</v>
      </c>
    </row>
    <row r="51" spans="1:4" x14ac:dyDescent="0.45">
      <c r="A51" t="s">
        <v>23</v>
      </c>
      <c r="B51">
        <v>2009</v>
      </c>
      <c r="C51" t="s">
        <v>54</v>
      </c>
      <c r="D51">
        <v>8.81</v>
      </c>
    </row>
    <row r="52" spans="1:4" x14ac:dyDescent="0.45">
      <c r="A52" t="s">
        <v>5</v>
      </c>
      <c r="B52">
        <v>2010</v>
      </c>
      <c r="C52" t="s">
        <v>54</v>
      </c>
      <c r="D52">
        <v>23.36</v>
      </c>
    </row>
    <row r="53" spans="1:4" x14ac:dyDescent="0.45">
      <c r="A53" t="s">
        <v>8</v>
      </c>
      <c r="B53">
        <v>2010</v>
      </c>
      <c r="C53" t="s">
        <v>54</v>
      </c>
      <c r="D53">
        <v>23.76</v>
      </c>
    </row>
    <row r="54" spans="1:4" x14ac:dyDescent="0.45">
      <c r="A54" t="s">
        <v>6</v>
      </c>
      <c r="B54">
        <v>2010</v>
      </c>
      <c r="C54" t="s">
        <v>54</v>
      </c>
      <c r="D54">
        <v>61.2</v>
      </c>
    </row>
    <row r="55" spans="1:4" x14ac:dyDescent="0.45">
      <c r="A55" t="s">
        <v>19</v>
      </c>
      <c r="B55">
        <v>2010</v>
      </c>
      <c r="C55" t="s">
        <v>54</v>
      </c>
      <c r="D55">
        <v>428.52</v>
      </c>
    </row>
    <row r="56" spans="1:4" x14ac:dyDescent="0.45">
      <c r="A56" t="s">
        <v>23</v>
      </c>
      <c r="B56">
        <v>2010</v>
      </c>
      <c r="C56" t="s">
        <v>54</v>
      </c>
      <c r="D56">
        <v>10.039999999999999</v>
      </c>
    </row>
    <row r="57" spans="1:4" x14ac:dyDescent="0.45">
      <c r="A57" t="s">
        <v>5</v>
      </c>
      <c r="B57">
        <v>2011</v>
      </c>
      <c r="C57" t="s">
        <v>54</v>
      </c>
      <c r="D57">
        <v>17.39</v>
      </c>
    </row>
    <row r="58" spans="1:4" x14ac:dyDescent="0.45">
      <c r="A58" t="s">
        <v>8</v>
      </c>
      <c r="B58">
        <v>2011</v>
      </c>
      <c r="C58" t="s">
        <v>54</v>
      </c>
      <c r="D58">
        <v>29.49</v>
      </c>
    </row>
    <row r="59" spans="1:4" x14ac:dyDescent="0.45">
      <c r="A59" t="s">
        <v>6</v>
      </c>
      <c r="B59">
        <v>2011</v>
      </c>
      <c r="C59" t="s">
        <v>54</v>
      </c>
      <c r="D59">
        <v>45.74</v>
      </c>
    </row>
    <row r="60" spans="1:4" x14ac:dyDescent="0.45">
      <c r="A60" t="s">
        <v>19</v>
      </c>
      <c r="B60">
        <v>2011</v>
      </c>
      <c r="C60" t="s">
        <v>54</v>
      </c>
      <c r="D60">
        <v>442.39</v>
      </c>
    </row>
    <row r="61" spans="1:4" x14ac:dyDescent="0.45">
      <c r="A61" t="s">
        <v>23</v>
      </c>
      <c r="B61">
        <v>2011</v>
      </c>
      <c r="C61" t="s">
        <v>54</v>
      </c>
      <c r="D61">
        <v>12.13</v>
      </c>
    </row>
    <row r="62" spans="1:4" x14ac:dyDescent="0.45">
      <c r="A62" t="s">
        <v>5</v>
      </c>
      <c r="B62">
        <v>2012</v>
      </c>
      <c r="C62" t="s">
        <v>54</v>
      </c>
      <c r="D62">
        <v>21.46</v>
      </c>
    </row>
    <row r="63" spans="1:4" x14ac:dyDescent="0.45">
      <c r="A63" t="s">
        <v>8</v>
      </c>
      <c r="B63">
        <v>2012</v>
      </c>
      <c r="C63" t="s">
        <v>54</v>
      </c>
      <c r="D63">
        <v>22.75</v>
      </c>
    </row>
    <row r="64" spans="1:4" x14ac:dyDescent="0.45">
      <c r="A64" t="s">
        <v>6</v>
      </c>
      <c r="B64">
        <v>2012</v>
      </c>
      <c r="C64" t="s">
        <v>54</v>
      </c>
      <c r="D64">
        <v>59.83</v>
      </c>
    </row>
    <row r="65" spans="1:4" x14ac:dyDescent="0.45">
      <c r="A65" t="s">
        <v>19</v>
      </c>
      <c r="B65">
        <v>2012</v>
      </c>
      <c r="C65" t="s">
        <v>54</v>
      </c>
      <c r="D65">
        <v>425.41</v>
      </c>
    </row>
    <row r="66" spans="1:4" x14ac:dyDescent="0.45">
      <c r="A66" t="s">
        <v>23</v>
      </c>
      <c r="B66">
        <v>2012</v>
      </c>
      <c r="C66" t="s">
        <v>54</v>
      </c>
      <c r="D66">
        <v>12.71</v>
      </c>
    </row>
    <row r="67" spans="1:4" x14ac:dyDescent="0.45">
      <c r="A67" t="s">
        <v>5</v>
      </c>
      <c r="B67">
        <v>2013</v>
      </c>
      <c r="C67" t="s">
        <v>54</v>
      </c>
      <c r="D67">
        <v>23.84</v>
      </c>
    </row>
    <row r="68" spans="1:4" x14ac:dyDescent="0.45">
      <c r="A68" t="s">
        <v>8</v>
      </c>
      <c r="B68">
        <v>2013</v>
      </c>
      <c r="C68" t="s">
        <v>54</v>
      </c>
      <c r="D68">
        <v>18.39</v>
      </c>
    </row>
    <row r="69" spans="1:4" x14ac:dyDescent="0.45">
      <c r="A69" t="s">
        <v>6</v>
      </c>
      <c r="B69">
        <v>2013</v>
      </c>
      <c r="C69" t="s">
        <v>54</v>
      </c>
      <c r="D69">
        <v>71.92</v>
      </c>
    </row>
    <row r="70" spans="1:4" x14ac:dyDescent="0.45">
      <c r="A70" t="s">
        <v>19</v>
      </c>
      <c r="B70">
        <v>2013</v>
      </c>
      <c r="C70" t="s">
        <v>54</v>
      </c>
      <c r="D70">
        <v>423.68</v>
      </c>
    </row>
    <row r="71" spans="1:4" x14ac:dyDescent="0.45">
      <c r="A71" t="s">
        <v>23</v>
      </c>
      <c r="B71">
        <v>2013</v>
      </c>
      <c r="C71" t="s">
        <v>54</v>
      </c>
      <c r="D71">
        <v>11.41</v>
      </c>
    </row>
    <row r="72" spans="1:4" x14ac:dyDescent="0.45">
      <c r="A72" t="s">
        <v>5</v>
      </c>
      <c r="B72">
        <v>2014</v>
      </c>
      <c r="C72" t="s">
        <v>54</v>
      </c>
      <c r="D72">
        <v>11.26</v>
      </c>
    </row>
    <row r="73" spans="1:4" x14ac:dyDescent="0.45">
      <c r="A73" t="s">
        <v>8</v>
      </c>
      <c r="B73">
        <v>2014</v>
      </c>
      <c r="C73" t="s">
        <v>54</v>
      </c>
      <c r="D73">
        <v>13.16</v>
      </c>
    </row>
    <row r="74" spans="1:4" x14ac:dyDescent="0.45">
      <c r="A74" t="s">
        <v>6</v>
      </c>
      <c r="B74">
        <v>2014</v>
      </c>
      <c r="C74" t="s">
        <v>54</v>
      </c>
      <c r="D74">
        <v>63.77</v>
      </c>
    </row>
    <row r="75" spans="1:4" x14ac:dyDescent="0.45">
      <c r="A75" t="s">
        <v>19</v>
      </c>
      <c r="B75">
        <v>2014</v>
      </c>
      <c r="C75" t="s">
        <v>54</v>
      </c>
      <c r="D75">
        <v>436.48</v>
      </c>
    </row>
    <row r="76" spans="1:4" x14ac:dyDescent="0.45">
      <c r="A76" t="s">
        <v>23</v>
      </c>
      <c r="B76">
        <v>2014</v>
      </c>
      <c r="C76" t="s">
        <v>54</v>
      </c>
      <c r="D76">
        <v>11.34</v>
      </c>
    </row>
    <row r="77" spans="1:4" x14ac:dyDescent="0.45">
      <c r="A77" t="s">
        <v>5</v>
      </c>
      <c r="B77">
        <v>2015</v>
      </c>
      <c r="C77" t="s">
        <v>54</v>
      </c>
      <c r="D77">
        <v>11.89</v>
      </c>
    </row>
    <row r="78" spans="1:4" x14ac:dyDescent="0.45">
      <c r="A78" t="s">
        <v>8</v>
      </c>
      <c r="B78">
        <v>2015</v>
      </c>
      <c r="C78" t="s">
        <v>54</v>
      </c>
      <c r="D78">
        <v>21.14</v>
      </c>
    </row>
    <row r="79" spans="1:4" x14ac:dyDescent="0.45">
      <c r="A79" t="s">
        <v>6</v>
      </c>
      <c r="B79">
        <v>2015</v>
      </c>
      <c r="C79" t="s">
        <v>54</v>
      </c>
      <c r="D79">
        <v>55.56</v>
      </c>
    </row>
    <row r="80" spans="1:4" x14ac:dyDescent="0.45">
      <c r="A80" t="s">
        <v>19</v>
      </c>
      <c r="B80">
        <v>2015</v>
      </c>
      <c r="C80" t="s">
        <v>54</v>
      </c>
      <c r="D80">
        <v>437.43</v>
      </c>
    </row>
    <row r="81" spans="1:4" x14ac:dyDescent="0.45">
      <c r="A81" t="s">
        <v>23</v>
      </c>
      <c r="B81">
        <v>2015</v>
      </c>
      <c r="C81" t="s">
        <v>54</v>
      </c>
      <c r="D81">
        <v>11.81</v>
      </c>
    </row>
    <row r="82" spans="1:4" x14ac:dyDescent="0.45">
      <c r="A82" t="s">
        <v>5</v>
      </c>
      <c r="B82">
        <v>2016</v>
      </c>
      <c r="C82" t="s">
        <v>54</v>
      </c>
      <c r="D82">
        <v>10.23</v>
      </c>
    </row>
    <row r="83" spans="1:4" x14ac:dyDescent="0.45">
      <c r="A83" t="s">
        <v>8</v>
      </c>
      <c r="B83">
        <v>2016</v>
      </c>
      <c r="C83" t="s">
        <v>54</v>
      </c>
      <c r="D83">
        <v>34.97</v>
      </c>
    </row>
    <row r="84" spans="1:4" x14ac:dyDescent="0.45">
      <c r="A84" t="s">
        <v>6</v>
      </c>
      <c r="B84">
        <v>2016</v>
      </c>
      <c r="C84" t="s">
        <v>54</v>
      </c>
      <c r="D84">
        <v>60.84</v>
      </c>
    </row>
    <row r="85" spans="1:4" x14ac:dyDescent="0.45">
      <c r="A85" t="s">
        <v>19</v>
      </c>
      <c r="B85">
        <v>2016</v>
      </c>
      <c r="C85" t="s">
        <v>54</v>
      </c>
      <c r="D85">
        <v>403.2</v>
      </c>
    </row>
    <row r="86" spans="1:4" x14ac:dyDescent="0.45">
      <c r="A86" t="s">
        <v>23</v>
      </c>
      <c r="B86">
        <v>2016</v>
      </c>
      <c r="C86" t="s">
        <v>54</v>
      </c>
      <c r="D86">
        <v>11.4</v>
      </c>
    </row>
    <row r="87" spans="1:4" x14ac:dyDescent="0.45">
      <c r="A87" t="s">
        <v>5</v>
      </c>
      <c r="B87">
        <v>2017</v>
      </c>
      <c r="C87" t="s">
        <v>54</v>
      </c>
      <c r="D87">
        <v>12.81</v>
      </c>
    </row>
    <row r="88" spans="1:4" x14ac:dyDescent="0.45">
      <c r="A88" t="s">
        <v>8</v>
      </c>
      <c r="B88">
        <v>2017</v>
      </c>
      <c r="C88" t="s">
        <v>54</v>
      </c>
      <c r="D88">
        <v>40.5</v>
      </c>
    </row>
    <row r="89" spans="1:4" x14ac:dyDescent="0.45">
      <c r="A89" t="s">
        <v>6</v>
      </c>
      <c r="B89">
        <v>2017</v>
      </c>
      <c r="C89" t="s">
        <v>54</v>
      </c>
      <c r="D89">
        <v>50</v>
      </c>
    </row>
    <row r="90" spans="1:4" x14ac:dyDescent="0.45">
      <c r="A90" t="s">
        <v>19</v>
      </c>
      <c r="B90">
        <v>2017</v>
      </c>
      <c r="C90" t="s">
        <v>54</v>
      </c>
      <c r="D90">
        <v>398.36</v>
      </c>
    </row>
    <row r="91" spans="1:4" x14ac:dyDescent="0.45">
      <c r="A91" t="s">
        <v>23</v>
      </c>
      <c r="B91">
        <v>2017</v>
      </c>
      <c r="C91" t="s">
        <v>54</v>
      </c>
      <c r="D91">
        <v>12.12</v>
      </c>
    </row>
    <row r="92" spans="1:4" x14ac:dyDescent="0.45">
      <c r="A92" t="s">
        <v>5</v>
      </c>
      <c r="B92">
        <v>2018</v>
      </c>
      <c r="C92" t="s">
        <v>54</v>
      </c>
      <c r="D92">
        <v>8.31</v>
      </c>
    </row>
    <row r="93" spans="1:4" x14ac:dyDescent="0.45">
      <c r="A93" t="s">
        <v>8</v>
      </c>
      <c r="B93">
        <v>2018</v>
      </c>
      <c r="C93" t="s">
        <v>54</v>
      </c>
      <c r="D93">
        <v>30.61</v>
      </c>
    </row>
    <row r="94" spans="1:4" x14ac:dyDescent="0.45">
      <c r="A94" t="s">
        <v>6</v>
      </c>
      <c r="B94">
        <v>2018</v>
      </c>
      <c r="C94" t="s">
        <v>54</v>
      </c>
      <c r="D94">
        <v>65.11</v>
      </c>
    </row>
    <row r="95" spans="1:4" x14ac:dyDescent="0.45">
      <c r="A95" t="s">
        <v>19</v>
      </c>
      <c r="B95">
        <v>2018</v>
      </c>
      <c r="C95" t="s">
        <v>54</v>
      </c>
      <c r="D95">
        <v>412.94</v>
      </c>
    </row>
    <row r="96" spans="1:4" x14ac:dyDescent="0.45">
      <c r="A96" t="s">
        <v>23</v>
      </c>
      <c r="B96">
        <v>2018</v>
      </c>
      <c r="C96" t="s">
        <v>54</v>
      </c>
      <c r="D96">
        <v>10.56</v>
      </c>
    </row>
    <row r="97" spans="1:4" x14ac:dyDescent="0.45">
      <c r="A97" t="s">
        <v>5</v>
      </c>
      <c r="B97">
        <v>2019</v>
      </c>
      <c r="C97" t="s">
        <v>54</v>
      </c>
      <c r="D97">
        <v>3.64</v>
      </c>
    </row>
    <row r="98" spans="1:4" x14ac:dyDescent="0.45">
      <c r="A98" t="s">
        <v>8</v>
      </c>
      <c r="B98">
        <v>2019</v>
      </c>
      <c r="C98" t="s">
        <v>54</v>
      </c>
      <c r="D98">
        <v>39.31</v>
      </c>
    </row>
    <row r="99" spans="1:4" x14ac:dyDescent="0.45">
      <c r="A99" t="s">
        <v>6</v>
      </c>
      <c r="B99">
        <v>2019</v>
      </c>
      <c r="C99" t="s">
        <v>54</v>
      </c>
      <c r="D99">
        <v>56.91</v>
      </c>
    </row>
    <row r="100" spans="1:4" x14ac:dyDescent="0.45">
      <c r="A100" t="s">
        <v>19</v>
      </c>
      <c r="B100">
        <v>2019</v>
      </c>
      <c r="C100" t="s">
        <v>54</v>
      </c>
      <c r="D100">
        <v>399.01</v>
      </c>
    </row>
    <row r="101" spans="1:4" x14ac:dyDescent="0.45">
      <c r="A101" t="s">
        <v>23</v>
      </c>
      <c r="B101">
        <v>2019</v>
      </c>
      <c r="C101" t="s">
        <v>54</v>
      </c>
      <c r="D101">
        <v>10.71</v>
      </c>
    </row>
    <row r="102" spans="1:4" x14ac:dyDescent="0.45">
      <c r="A102" t="s">
        <v>5</v>
      </c>
      <c r="B102">
        <v>2020</v>
      </c>
      <c r="C102" t="s">
        <v>54</v>
      </c>
      <c r="D102">
        <v>3.09</v>
      </c>
    </row>
    <row r="103" spans="1:4" x14ac:dyDescent="0.45">
      <c r="A103" t="s">
        <v>8</v>
      </c>
      <c r="B103">
        <v>2020</v>
      </c>
      <c r="C103" t="s">
        <v>54</v>
      </c>
      <c r="D103">
        <v>35.25</v>
      </c>
    </row>
    <row r="104" spans="1:4" x14ac:dyDescent="0.45">
      <c r="A104" t="s">
        <v>6</v>
      </c>
      <c r="B104">
        <v>2020</v>
      </c>
      <c r="C104" t="s">
        <v>54</v>
      </c>
      <c r="D104">
        <v>62.59</v>
      </c>
    </row>
    <row r="105" spans="1:4" x14ac:dyDescent="0.45">
      <c r="A105" t="s">
        <v>19</v>
      </c>
      <c r="B105">
        <v>2020</v>
      </c>
      <c r="C105" t="s">
        <v>54</v>
      </c>
      <c r="D105">
        <v>353.83</v>
      </c>
    </row>
    <row r="106" spans="1:4" x14ac:dyDescent="0.45">
      <c r="A106" t="s">
        <v>23</v>
      </c>
      <c r="B106">
        <v>2020</v>
      </c>
      <c r="C106" t="s">
        <v>54</v>
      </c>
      <c r="D106">
        <v>10.029999999999999</v>
      </c>
    </row>
    <row r="107" spans="1:4" x14ac:dyDescent="0.45">
      <c r="A107" t="s">
        <v>5</v>
      </c>
      <c r="B107">
        <v>2021</v>
      </c>
      <c r="C107" t="s">
        <v>54</v>
      </c>
      <c r="D107">
        <v>5.44</v>
      </c>
    </row>
    <row r="108" spans="1:4" x14ac:dyDescent="0.45">
      <c r="A108" t="s">
        <v>8</v>
      </c>
      <c r="B108">
        <v>2021</v>
      </c>
      <c r="C108" t="s">
        <v>54</v>
      </c>
      <c r="D108">
        <v>33.29</v>
      </c>
    </row>
    <row r="109" spans="1:4" x14ac:dyDescent="0.45">
      <c r="A109" t="s">
        <v>6</v>
      </c>
      <c r="B109">
        <v>2021</v>
      </c>
      <c r="C109" t="s">
        <v>54</v>
      </c>
      <c r="D109">
        <v>59.62</v>
      </c>
    </row>
    <row r="110" spans="1:4" x14ac:dyDescent="0.45">
      <c r="A110" t="s">
        <v>19</v>
      </c>
      <c r="B110">
        <v>2021</v>
      </c>
      <c r="C110" t="s">
        <v>54</v>
      </c>
      <c r="D110">
        <v>379.36</v>
      </c>
    </row>
    <row r="111" spans="1:4" x14ac:dyDescent="0.45">
      <c r="A111" t="s">
        <v>23</v>
      </c>
      <c r="B111">
        <v>2021</v>
      </c>
      <c r="C111" t="s">
        <v>54</v>
      </c>
      <c r="D111">
        <v>10.06</v>
      </c>
    </row>
    <row r="112" spans="1:4" x14ac:dyDescent="0.45">
      <c r="A112" t="s">
        <v>5</v>
      </c>
      <c r="B112">
        <v>2022</v>
      </c>
      <c r="C112" t="s">
        <v>54</v>
      </c>
      <c r="D112">
        <v>4.33</v>
      </c>
    </row>
    <row r="113" spans="1:4" x14ac:dyDescent="0.45">
      <c r="A113" t="s">
        <v>8</v>
      </c>
      <c r="B113">
        <v>2022</v>
      </c>
      <c r="C113" t="s">
        <v>54</v>
      </c>
      <c r="D113">
        <v>45.74</v>
      </c>
    </row>
    <row r="114" spans="1:4" x14ac:dyDescent="0.45">
      <c r="A114" t="s">
        <v>6</v>
      </c>
      <c r="B114">
        <v>2022</v>
      </c>
      <c r="C114" t="s">
        <v>54</v>
      </c>
      <c r="D114">
        <v>45.52</v>
      </c>
    </row>
    <row r="115" spans="1:4" x14ac:dyDescent="0.45">
      <c r="A115" t="s">
        <v>19</v>
      </c>
      <c r="B115">
        <v>2022</v>
      </c>
      <c r="C115" t="s">
        <v>54</v>
      </c>
      <c r="D115">
        <v>294.73</v>
      </c>
    </row>
    <row r="116" spans="1:4" x14ac:dyDescent="0.45">
      <c r="A116" t="s">
        <v>23</v>
      </c>
      <c r="B116">
        <v>2022</v>
      </c>
      <c r="C116" t="s">
        <v>54</v>
      </c>
      <c r="D116">
        <v>10.45</v>
      </c>
    </row>
    <row r="117" spans="1:4" x14ac:dyDescent="0.45">
      <c r="A117" t="s">
        <v>5</v>
      </c>
      <c r="B117">
        <v>2023</v>
      </c>
      <c r="C117" t="s">
        <v>54</v>
      </c>
      <c r="D117">
        <v>2.16</v>
      </c>
    </row>
    <row r="118" spans="1:4" x14ac:dyDescent="0.45">
      <c r="A118" t="s">
        <v>8</v>
      </c>
      <c r="B118">
        <v>2023</v>
      </c>
      <c r="C118" t="s">
        <v>54</v>
      </c>
      <c r="D118">
        <v>31.43</v>
      </c>
    </row>
    <row r="119" spans="1:4" x14ac:dyDescent="0.45">
      <c r="A119" t="s">
        <v>6</v>
      </c>
      <c r="B119">
        <v>2023</v>
      </c>
      <c r="C119" t="s">
        <v>54</v>
      </c>
      <c r="D119">
        <v>53.19</v>
      </c>
    </row>
    <row r="120" spans="1:4" x14ac:dyDescent="0.45">
      <c r="A120" t="s">
        <v>19</v>
      </c>
      <c r="B120">
        <v>2023</v>
      </c>
      <c r="C120" t="s">
        <v>54</v>
      </c>
      <c r="D120">
        <v>335.65</v>
      </c>
    </row>
    <row r="121" spans="1:4" x14ac:dyDescent="0.45">
      <c r="A121" t="s">
        <v>23</v>
      </c>
      <c r="B121">
        <v>2023</v>
      </c>
      <c r="C121" t="s">
        <v>54</v>
      </c>
      <c r="D121">
        <v>9.7100000000000009</v>
      </c>
    </row>
    <row r="122" spans="1:4" x14ac:dyDescent="0.45">
      <c r="A122" t="s">
        <v>5</v>
      </c>
      <c r="B122">
        <v>2000</v>
      </c>
      <c r="C122" t="s">
        <v>55</v>
      </c>
      <c r="D122">
        <v>8.4</v>
      </c>
    </row>
    <row r="123" spans="1:4" x14ac:dyDescent="0.45">
      <c r="A123" t="s">
        <v>8</v>
      </c>
      <c r="B123">
        <v>2000</v>
      </c>
      <c r="C123" t="s">
        <v>55</v>
      </c>
      <c r="D123">
        <v>25.27</v>
      </c>
    </row>
    <row r="124" spans="1:4" x14ac:dyDescent="0.45">
      <c r="A124" t="s">
        <v>6</v>
      </c>
      <c r="B124">
        <v>2000</v>
      </c>
      <c r="C124" t="s">
        <v>55</v>
      </c>
      <c r="D124">
        <v>23.3</v>
      </c>
    </row>
    <row r="125" spans="1:4" x14ac:dyDescent="0.45">
      <c r="A125" t="s">
        <v>19</v>
      </c>
      <c r="B125">
        <v>2000</v>
      </c>
      <c r="C125" t="s">
        <v>55</v>
      </c>
      <c r="D125">
        <v>63.18</v>
      </c>
    </row>
    <row r="126" spans="1:4" x14ac:dyDescent="0.45">
      <c r="A126" t="s">
        <v>23</v>
      </c>
      <c r="B126">
        <v>2000</v>
      </c>
      <c r="C126" t="s">
        <v>55</v>
      </c>
      <c r="D126">
        <v>0.88</v>
      </c>
    </row>
    <row r="127" spans="1:4" x14ac:dyDescent="0.45">
      <c r="A127" t="s">
        <v>5</v>
      </c>
      <c r="B127">
        <v>2001</v>
      </c>
      <c r="C127" t="s">
        <v>55</v>
      </c>
      <c r="D127">
        <v>8.4</v>
      </c>
    </row>
    <row r="128" spans="1:4" x14ac:dyDescent="0.45">
      <c r="A128" t="s">
        <v>8</v>
      </c>
      <c r="B128">
        <v>2001</v>
      </c>
      <c r="C128" t="s">
        <v>55</v>
      </c>
      <c r="D128">
        <v>26.17</v>
      </c>
    </row>
    <row r="129" spans="1:4" x14ac:dyDescent="0.45">
      <c r="A129" t="s">
        <v>6</v>
      </c>
      <c r="B129">
        <v>2001</v>
      </c>
      <c r="C129" t="s">
        <v>55</v>
      </c>
      <c r="D129">
        <v>23.32</v>
      </c>
    </row>
    <row r="130" spans="1:4" x14ac:dyDescent="0.45">
      <c r="A130" t="s">
        <v>19</v>
      </c>
      <c r="B130">
        <v>2001</v>
      </c>
      <c r="C130" t="s">
        <v>55</v>
      </c>
      <c r="D130">
        <v>63.18</v>
      </c>
    </row>
    <row r="131" spans="1:4" x14ac:dyDescent="0.45">
      <c r="A131" t="s">
        <v>23</v>
      </c>
      <c r="B131">
        <v>2001</v>
      </c>
      <c r="C131" t="s">
        <v>55</v>
      </c>
      <c r="D131">
        <v>0.88</v>
      </c>
    </row>
    <row r="132" spans="1:4" x14ac:dyDescent="0.45">
      <c r="A132" t="s">
        <v>5</v>
      </c>
      <c r="B132">
        <v>2002</v>
      </c>
      <c r="C132" t="s">
        <v>55</v>
      </c>
      <c r="D132">
        <v>8.4</v>
      </c>
    </row>
    <row r="133" spans="1:4" x14ac:dyDescent="0.45">
      <c r="A133" t="s">
        <v>8</v>
      </c>
      <c r="B133">
        <v>2002</v>
      </c>
      <c r="C133" t="s">
        <v>55</v>
      </c>
      <c r="D133">
        <v>26.91</v>
      </c>
    </row>
    <row r="134" spans="1:4" x14ac:dyDescent="0.45">
      <c r="A134" t="s">
        <v>6</v>
      </c>
      <c r="B134">
        <v>2002</v>
      </c>
      <c r="C134" t="s">
        <v>55</v>
      </c>
      <c r="D134">
        <v>23.42</v>
      </c>
    </row>
    <row r="135" spans="1:4" x14ac:dyDescent="0.45">
      <c r="A135" t="s">
        <v>19</v>
      </c>
      <c r="B135">
        <v>2002</v>
      </c>
      <c r="C135" t="s">
        <v>55</v>
      </c>
      <c r="D135">
        <v>63.27</v>
      </c>
    </row>
    <row r="136" spans="1:4" x14ac:dyDescent="0.45">
      <c r="A136" t="s">
        <v>23</v>
      </c>
      <c r="B136">
        <v>2002</v>
      </c>
      <c r="C136" t="s">
        <v>55</v>
      </c>
      <c r="D136">
        <v>0.88</v>
      </c>
    </row>
    <row r="137" spans="1:4" x14ac:dyDescent="0.45">
      <c r="A137" t="s">
        <v>5</v>
      </c>
      <c r="B137">
        <v>2003</v>
      </c>
      <c r="C137" t="s">
        <v>55</v>
      </c>
      <c r="D137">
        <v>8.4</v>
      </c>
    </row>
    <row r="138" spans="1:4" x14ac:dyDescent="0.45">
      <c r="A138" t="s">
        <v>8</v>
      </c>
      <c r="B138">
        <v>2003</v>
      </c>
      <c r="C138" t="s">
        <v>55</v>
      </c>
      <c r="D138">
        <v>26.51</v>
      </c>
    </row>
    <row r="139" spans="1:4" x14ac:dyDescent="0.45">
      <c r="A139" t="s">
        <v>6</v>
      </c>
      <c r="B139">
        <v>2003</v>
      </c>
      <c r="C139" t="s">
        <v>55</v>
      </c>
      <c r="D139">
        <v>23.43</v>
      </c>
    </row>
    <row r="140" spans="1:4" x14ac:dyDescent="0.45">
      <c r="A140" t="s">
        <v>19</v>
      </c>
      <c r="B140">
        <v>2003</v>
      </c>
      <c r="C140" t="s">
        <v>55</v>
      </c>
      <c r="D140">
        <v>63.36</v>
      </c>
    </row>
    <row r="141" spans="1:4" x14ac:dyDescent="0.45">
      <c r="A141" t="s">
        <v>23</v>
      </c>
      <c r="B141">
        <v>2003</v>
      </c>
      <c r="C141" t="s">
        <v>55</v>
      </c>
      <c r="D141">
        <v>0.88</v>
      </c>
    </row>
    <row r="142" spans="1:4" x14ac:dyDescent="0.45">
      <c r="A142" t="s">
        <v>5</v>
      </c>
      <c r="B142">
        <v>2004</v>
      </c>
      <c r="C142" t="s">
        <v>55</v>
      </c>
      <c r="D142">
        <v>8.4499999999999993</v>
      </c>
    </row>
    <row r="143" spans="1:4" x14ac:dyDescent="0.45">
      <c r="A143" t="s">
        <v>8</v>
      </c>
      <c r="B143">
        <v>2004</v>
      </c>
      <c r="C143" t="s">
        <v>55</v>
      </c>
      <c r="D143">
        <v>26.17</v>
      </c>
    </row>
    <row r="144" spans="1:4" x14ac:dyDescent="0.45">
      <c r="A144" t="s">
        <v>6</v>
      </c>
      <c r="B144">
        <v>2004</v>
      </c>
      <c r="C144" t="s">
        <v>55</v>
      </c>
      <c r="D144">
        <v>23.32</v>
      </c>
    </row>
    <row r="145" spans="1:4" x14ac:dyDescent="0.45">
      <c r="A145" t="s">
        <v>19</v>
      </c>
      <c r="B145">
        <v>2004</v>
      </c>
      <c r="C145" t="s">
        <v>55</v>
      </c>
      <c r="D145">
        <v>63.36</v>
      </c>
    </row>
    <row r="146" spans="1:4" x14ac:dyDescent="0.45">
      <c r="A146" t="s">
        <v>23</v>
      </c>
      <c r="B146">
        <v>2004</v>
      </c>
      <c r="C146" t="s">
        <v>55</v>
      </c>
      <c r="D146">
        <v>0.92</v>
      </c>
    </row>
    <row r="147" spans="1:4" x14ac:dyDescent="0.45">
      <c r="A147" t="s">
        <v>5</v>
      </c>
      <c r="B147">
        <v>2005</v>
      </c>
      <c r="C147" t="s">
        <v>55</v>
      </c>
      <c r="D147">
        <v>7.72</v>
      </c>
    </row>
    <row r="148" spans="1:4" x14ac:dyDescent="0.45">
      <c r="A148" t="s">
        <v>8</v>
      </c>
      <c r="B148">
        <v>2005</v>
      </c>
      <c r="C148" t="s">
        <v>55</v>
      </c>
      <c r="D148">
        <v>25.45</v>
      </c>
    </row>
    <row r="149" spans="1:4" x14ac:dyDescent="0.45">
      <c r="A149" t="s">
        <v>6</v>
      </c>
      <c r="B149">
        <v>2005</v>
      </c>
      <c r="C149" t="s">
        <v>55</v>
      </c>
      <c r="D149">
        <v>23.33</v>
      </c>
    </row>
    <row r="150" spans="1:4" x14ac:dyDescent="0.45">
      <c r="A150" t="s">
        <v>19</v>
      </c>
      <c r="B150">
        <v>2005</v>
      </c>
      <c r="C150" t="s">
        <v>55</v>
      </c>
      <c r="D150">
        <v>63.26</v>
      </c>
    </row>
    <row r="151" spans="1:4" x14ac:dyDescent="0.45">
      <c r="A151" t="s">
        <v>23</v>
      </c>
      <c r="B151">
        <v>2005</v>
      </c>
      <c r="C151" t="s">
        <v>55</v>
      </c>
      <c r="D151">
        <v>0.92</v>
      </c>
    </row>
    <row r="152" spans="1:4" x14ac:dyDescent="0.45">
      <c r="A152" t="s">
        <v>5</v>
      </c>
      <c r="B152">
        <v>2006</v>
      </c>
      <c r="C152" t="s">
        <v>55</v>
      </c>
      <c r="D152">
        <v>7.53</v>
      </c>
    </row>
    <row r="153" spans="1:4" x14ac:dyDescent="0.45">
      <c r="A153" t="s">
        <v>8</v>
      </c>
      <c r="B153">
        <v>2006</v>
      </c>
      <c r="C153" t="s">
        <v>55</v>
      </c>
      <c r="D153">
        <v>24.64</v>
      </c>
    </row>
    <row r="154" spans="1:4" x14ac:dyDescent="0.45">
      <c r="A154" t="s">
        <v>6</v>
      </c>
      <c r="B154">
        <v>2006</v>
      </c>
      <c r="C154" t="s">
        <v>55</v>
      </c>
      <c r="D154">
        <v>23.34</v>
      </c>
    </row>
    <row r="155" spans="1:4" x14ac:dyDescent="0.45">
      <c r="A155" t="s">
        <v>19</v>
      </c>
      <c r="B155">
        <v>2006</v>
      </c>
      <c r="C155" t="s">
        <v>55</v>
      </c>
      <c r="D155">
        <v>63.26</v>
      </c>
    </row>
    <row r="156" spans="1:4" x14ac:dyDescent="0.45">
      <c r="A156" t="s">
        <v>23</v>
      </c>
      <c r="B156">
        <v>2006</v>
      </c>
      <c r="C156" t="s">
        <v>55</v>
      </c>
      <c r="D156">
        <v>0.92</v>
      </c>
    </row>
    <row r="157" spans="1:4" x14ac:dyDescent="0.45">
      <c r="A157" t="s">
        <v>5</v>
      </c>
      <c r="B157">
        <v>2007</v>
      </c>
      <c r="C157" t="s">
        <v>55</v>
      </c>
      <c r="D157">
        <v>7.53</v>
      </c>
    </row>
    <row r="158" spans="1:4" x14ac:dyDescent="0.45">
      <c r="A158" t="s">
        <v>8</v>
      </c>
      <c r="B158">
        <v>2007</v>
      </c>
      <c r="C158" t="s">
        <v>55</v>
      </c>
      <c r="D158">
        <v>24.37</v>
      </c>
    </row>
    <row r="159" spans="1:4" x14ac:dyDescent="0.45">
      <c r="A159" t="s">
        <v>6</v>
      </c>
      <c r="B159">
        <v>2007</v>
      </c>
      <c r="C159" t="s">
        <v>55</v>
      </c>
      <c r="D159">
        <v>23.35</v>
      </c>
    </row>
    <row r="160" spans="1:4" x14ac:dyDescent="0.45">
      <c r="A160" t="s">
        <v>19</v>
      </c>
      <c r="B160">
        <v>2007</v>
      </c>
      <c r="C160" t="s">
        <v>55</v>
      </c>
      <c r="D160">
        <v>63.26</v>
      </c>
    </row>
    <row r="161" spans="1:4" x14ac:dyDescent="0.45">
      <c r="A161" t="s">
        <v>23</v>
      </c>
      <c r="B161">
        <v>2007</v>
      </c>
      <c r="C161" t="s">
        <v>55</v>
      </c>
      <c r="D161">
        <v>1.04</v>
      </c>
    </row>
    <row r="162" spans="1:4" x14ac:dyDescent="0.45">
      <c r="A162" t="s">
        <v>5</v>
      </c>
      <c r="B162">
        <v>2008</v>
      </c>
      <c r="C162" t="s">
        <v>55</v>
      </c>
      <c r="D162">
        <v>7.63</v>
      </c>
    </row>
    <row r="163" spans="1:4" x14ac:dyDescent="0.45">
      <c r="A163" t="s">
        <v>8</v>
      </c>
      <c r="B163">
        <v>2008</v>
      </c>
      <c r="C163" t="s">
        <v>55</v>
      </c>
      <c r="D163">
        <v>24.23</v>
      </c>
    </row>
    <row r="164" spans="1:4" x14ac:dyDescent="0.45">
      <c r="A164" t="s">
        <v>6</v>
      </c>
      <c r="B164">
        <v>2008</v>
      </c>
      <c r="C164" t="s">
        <v>55</v>
      </c>
      <c r="D164">
        <v>23.31</v>
      </c>
    </row>
    <row r="165" spans="1:4" x14ac:dyDescent="0.45">
      <c r="A165" t="s">
        <v>19</v>
      </c>
      <c r="B165">
        <v>2008</v>
      </c>
      <c r="C165" t="s">
        <v>55</v>
      </c>
      <c r="D165">
        <v>63.26</v>
      </c>
    </row>
    <row r="166" spans="1:4" x14ac:dyDescent="0.45">
      <c r="A166" t="s">
        <v>23</v>
      </c>
      <c r="B166">
        <v>2008</v>
      </c>
      <c r="C166" t="s">
        <v>55</v>
      </c>
      <c r="D166">
        <v>1.48</v>
      </c>
    </row>
    <row r="167" spans="1:4" x14ac:dyDescent="0.45">
      <c r="A167" t="s">
        <v>5</v>
      </c>
      <c r="B167">
        <v>2009</v>
      </c>
      <c r="C167" t="s">
        <v>55</v>
      </c>
      <c r="D167">
        <v>7.63</v>
      </c>
    </row>
    <row r="168" spans="1:4" x14ac:dyDescent="0.45">
      <c r="A168" t="s">
        <v>8</v>
      </c>
      <c r="B168">
        <v>2009</v>
      </c>
      <c r="C168" t="s">
        <v>55</v>
      </c>
      <c r="D168">
        <v>25.82</v>
      </c>
    </row>
    <row r="169" spans="1:4" x14ac:dyDescent="0.45">
      <c r="A169" t="s">
        <v>6</v>
      </c>
      <c r="B169">
        <v>2009</v>
      </c>
      <c r="C169" t="s">
        <v>55</v>
      </c>
      <c r="D169">
        <v>23.4</v>
      </c>
    </row>
    <row r="170" spans="1:4" x14ac:dyDescent="0.45">
      <c r="A170" t="s">
        <v>19</v>
      </c>
      <c r="B170">
        <v>2009</v>
      </c>
      <c r="C170" t="s">
        <v>55</v>
      </c>
      <c r="D170">
        <v>63.13</v>
      </c>
    </row>
    <row r="171" spans="1:4" x14ac:dyDescent="0.45">
      <c r="A171" t="s">
        <v>23</v>
      </c>
      <c r="B171">
        <v>2009</v>
      </c>
      <c r="C171" t="s">
        <v>55</v>
      </c>
      <c r="D171">
        <v>1.68</v>
      </c>
    </row>
    <row r="172" spans="1:4" x14ac:dyDescent="0.45">
      <c r="A172" t="s">
        <v>5</v>
      </c>
      <c r="B172">
        <v>2010</v>
      </c>
      <c r="C172" t="s">
        <v>55</v>
      </c>
      <c r="D172">
        <v>7.63</v>
      </c>
    </row>
    <row r="173" spans="1:4" x14ac:dyDescent="0.45">
      <c r="A173" t="s">
        <v>8</v>
      </c>
      <c r="B173">
        <v>2010</v>
      </c>
      <c r="C173" t="s">
        <v>55</v>
      </c>
      <c r="D173">
        <v>27.02</v>
      </c>
    </row>
    <row r="174" spans="1:4" x14ac:dyDescent="0.45">
      <c r="A174" t="s">
        <v>6</v>
      </c>
      <c r="B174">
        <v>2010</v>
      </c>
      <c r="C174" t="s">
        <v>55</v>
      </c>
      <c r="D174">
        <v>23.62</v>
      </c>
    </row>
    <row r="175" spans="1:4" x14ac:dyDescent="0.45">
      <c r="A175" t="s">
        <v>19</v>
      </c>
      <c r="B175">
        <v>2010</v>
      </c>
      <c r="C175" t="s">
        <v>55</v>
      </c>
      <c r="D175">
        <v>63.13</v>
      </c>
    </row>
    <row r="176" spans="1:4" x14ac:dyDescent="0.45">
      <c r="A176" t="s">
        <v>23</v>
      </c>
      <c r="B176">
        <v>2010</v>
      </c>
      <c r="C176" t="s">
        <v>55</v>
      </c>
      <c r="D176">
        <v>1.72</v>
      </c>
    </row>
    <row r="177" spans="1:4" x14ac:dyDescent="0.45">
      <c r="A177" t="s">
        <v>5</v>
      </c>
      <c r="B177">
        <v>2011</v>
      </c>
      <c r="C177" t="s">
        <v>55</v>
      </c>
      <c r="D177">
        <v>7.63</v>
      </c>
    </row>
    <row r="178" spans="1:4" x14ac:dyDescent="0.45">
      <c r="A178" t="s">
        <v>8</v>
      </c>
      <c r="B178">
        <v>2011</v>
      </c>
      <c r="C178" t="s">
        <v>55</v>
      </c>
      <c r="D178">
        <v>26.74</v>
      </c>
    </row>
    <row r="179" spans="1:4" x14ac:dyDescent="0.45">
      <c r="A179" t="s">
        <v>6</v>
      </c>
      <c r="B179">
        <v>2011</v>
      </c>
      <c r="C179" t="s">
        <v>55</v>
      </c>
      <c r="D179">
        <v>23.83</v>
      </c>
    </row>
    <row r="180" spans="1:4" x14ac:dyDescent="0.45">
      <c r="A180" t="s">
        <v>19</v>
      </c>
      <c r="B180">
        <v>2011</v>
      </c>
      <c r="C180" t="s">
        <v>55</v>
      </c>
      <c r="D180">
        <v>63.13</v>
      </c>
    </row>
    <row r="181" spans="1:4" x14ac:dyDescent="0.45">
      <c r="A181" t="s">
        <v>23</v>
      </c>
      <c r="B181">
        <v>2011</v>
      </c>
      <c r="C181" t="s">
        <v>55</v>
      </c>
      <c r="D181">
        <v>1.72</v>
      </c>
    </row>
    <row r="182" spans="1:4" x14ac:dyDescent="0.45">
      <c r="A182" t="s">
        <v>5</v>
      </c>
      <c r="B182">
        <v>2012</v>
      </c>
      <c r="C182" t="s">
        <v>55</v>
      </c>
      <c r="D182">
        <v>7.9</v>
      </c>
    </row>
    <row r="183" spans="1:4" x14ac:dyDescent="0.45">
      <c r="A183" t="s">
        <v>8</v>
      </c>
      <c r="B183">
        <v>2012</v>
      </c>
      <c r="C183" t="s">
        <v>55</v>
      </c>
      <c r="D183">
        <v>27.69</v>
      </c>
    </row>
    <row r="184" spans="1:4" x14ac:dyDescent="0.45">
      <c r="A184" t="s">
        <v>6</v>
      </c>
      <c r="B184">
        <v>2012</v>
      </c>
      <c r="C184" t="s">
        <v>55</v>
      </c>
      <c r="D184">
        <v>23.85</v>
      </c>
    </row>
    <row r="185" spans="1:4" x14ac:dyDescent="0.45">
      <c r="A185" t="s">
        <v>19</v>
      </c>
      <c r="B185">
        <v>2012</v>
      </c>
      <c r="C185" t="s">
        <v>55</v>
      </c>
      <c r="D185">
        <v>63.13</v>
      </c>
    </row>
    <row r="186" spans="1:4" x14ac:dyDescent="0.45">
      <c r="A186" t="s">
        <v>23</v>
      </c>
      <c r="B186">
        <v>2012</v>
      </c>
      <c r="C186" t="s">
        <v>55</v>
      </c>
      <c r="D186">
        <v>1.72</v>
      </c>
    </row>
    <row r="187" spans="1:4" x14ac:dyDescent="0.45">
      <c r="A187" t="s">
        <v>5</v>
      </c>
      <c r="B187">
        <v>2013</v>
      </c>
      <c r="C187" t="s">
        <v>55</v>
      </c>
      <c r="D187">
        <v>6.31</v>
      </c>
    </row>
    <row r="188" spans="1:4" x14ac:dyDescent="0.45">
      <c r="A188" t="s">
        <v>8</v>
      </c>
      <c r="B188">
        <v>2013</v>
      </c>
      <c r="C188" t="s">
        <v>55</v>
      </c>
      <c r="D188">
        <v>25.52</v>
      </c>
    </row>
    <row r="189" spans="1:4" x14ac:dyDescent="0.45">
      <c r="A189" t="s">
        <v>6</v>
      </c>
      <c r="B189">
        <v>2013</v>
      </c>
      <c r="C189" t="s">
        <v>55</v>
      </c>
      <c r="D189">
        <v>23.84</v>
      </c>
    </row>
    <row r="190" spans="1:4" x14ac:dyDescent="0.45">
      <c r="A190" t="s">
        <v>19</v>
      </c>
      <c r="B190">
        <v>2013</v>
      </c>
      <c r="C190" t="s">
        <v>55</v>
      </c>
      <c r="D190">
        <v>63.13</v>
      </c>
    </row>
    <row r="191" spans="1:4" x14ac:dyDescent="0.45">
      <c r="A191" t="s">
        <v>23</v>
      </c>
      <c r="B191">
        <v>2013</v>
      </c>
      <c r="C191" t="s">
        <v>55</v>
      </c>
      <c r="D191">
        <v>1.72</v>
      </c>
    </row>
    <row r="192" spans="1:4" x14ac:dyDescent="0.45">
      <c r="A192" t="s">
        <v>5</v>
      </c>
      <c r="B192">
        <v>2014</v>
      </c>
      <c r="C192" t="s">
        <v>55</v>
      </c>
      <c r="D192">
        <v>5.8</v>
      </c>
    </row>
    <row r="193" spans="1:4" x14ac:dyDescent="0.45">
      <c r="A193" t="s">
        <v>8</v>
      </c>
      <c r="B193">
        <v>2014</v>
      </c>
      <c r="C193" t="s">
        <v>55</v>
      </c>
      <c r="D193">
        <v>23.75</v>
      </c>
    </row>
    <row r="194" spans="1:4" x14ac:dyDescent="0.45">
      <c r="A194" t="s">
        <v>6</v>
      </c>
      <c r="B194">
        <v>2014</v>
      </c>
      <c r="C194" t="s">
        <v>55</v>
      </c>
      <c r="D194">
        <v>23.8</v>
      </c>
    </row>
    <row r="195" spans="1:4" x14ac:dyDescent="0.45">
      <c r="A195" t="s">
        <v>19</v>
      </c>
      <c r="B195">
        <v>2014</v>
      </c>
      <c r="C195" t="s">
        <v>55</v>
      </c>
      <c r="D195">
        <v>63.13</v>
      </c>
    </row>
    <row r="196" spans="1:4" x14ac:dyDescent="0.45">
      <c r="A196" t="s">
        <v>23</v>
      </c>
      <c r="B196">
        <v>2014</v>
      </c>
      <c r="C196" t="s">
        <v>55</v>
      </c>
      <c r="D196">
        <v>1.85</v>
      </c>
    </row>
    <row r="197" spans="1:4" x14ac:dyDescent="0.45">
      <c r="A197" t="s">
        <v>5</v>
      </c>
      <c r="B197">
        <v>2015</v>
      </c>
      <c r="C197" t="s">
        <v>55</v>
      </c>
      <c r="D197">
        <v>3.74</v>
      </c>
    </row>
    <row r="198" spans="1:4" x14ac:dyDescent="0.45">
      <c r="A198" t="s">
        <v>8</v>
      </c>
      <c r="B198">
        <v>2015</v>
      </c>
      <c r="C198" t="s">
        <v>55</v>
      </c>
      <c r="D198">
        <v>23.66</v>
      </c>
    </row>
    <row r="199" spans="1:4" x14ac:dyDescent="0.45">
      <c r="A199" t="s">
        <v>6</v>
      </c>
      <c r="B199">
        <v>2015</v>
      </c>
      <c r="C199" t="s">
        <v>55</v>
      </c>
      <c r="D199">
        <v>23.82</v>
      </c>
    </row>
    <row r="200" spans="1:4" x14ac:dyDescent="0.45">
      <c r="A200" t="s">
        <v>19</v>
      </c>
      <c r="B200">
        <v>2015</v>
      </c>
      <c r="C200" t="s">
        <v>55</v>
      </c>
      <c r="D200">
        <v>63.13</v>
      </c>
    </row>
    <row r="201" spans="1:4" x14ac:dyDescent="0.45">
      <c r="A201" t="s">
        <v>23</v>
      </c>
      <c r="B201">
        <v>2015</v>
      </c>
      <c r="C201" t="s">
        <v>55</v>
      </c>
      <c r="D201">
        <v>1.89</v>
      </c>
    </row>
    <row r="202" spans="1:4" x14ac:dyDescent="0.45">
      <c r="A202" t="s">
        <v>5</v>
      </c>
      <c r="B202">
        <v>2016</v>
      </c>
      <c r="C202" t="s">
        <v>55</v>
      </c>
      <c r="D202">
        <v>3.74</v>
      </c>
    </row>
    <row r="203" spans="1:4" x14ac:dyDescent="0.45">
      <c r="A203" t="s">
        <v>8</v>
      </c>
      <c r="B203">
        <v>2016</v>
      </c>
      <c r="C203" t="s">
        <v>55</v>
      </c>
      <c r="D203">
        <v>22.55</v>
      </c>
    </row>
    <row r="204" spans="1:4" x14ac:dyDescent="0.45">
      <c r="A204" t="s">
        <v>6</v>
      </c>
      <c r="B204">
        <v>2016</v>
      </c>
      <c r="C204" t="s">
        <v>55</v>
      </c>
      <c r="D204">
        <v>23.89</v>
      </c>
    </row>
    <row r="205" spans="1:4" x14ac:dyDescent="0.45">
      <c r="A205" t="s">
        <v>19</v>
      </c>
      <c r="B205">
        <v>2016</v>
      </c>
      <c r="C205" t="s">
        <v>55</v>
      </c>
      <c r="D205">
        <v>63.13</v>
      </c>
    </row>
    <row r="206" spans="1:4" x14ac:dyDescent="0.45">
      <c r="A206" t="s">
        <v>23</v>
      </c>
      <c r="B206">
        <v>2016</v>
      </c>
      <c r="C206" t="s">
        <v>55</v>
      </c>
      <c r="D206">
        <v>1.89</v>
      </c>
    </row>
    <row r="207" spans="1:4" x14ac:dyDescent="0.45">
      <c r="A207" t="s">
        <v>5</v>
      </c>
      <c r="B207">
        <v>2017</v>
      </c>
      <c r="C207" t="s">
        <v>55</v>
      </c>
      <c r="D207">
        <v>3.74</v>
      </c>
    </row>
    <row r="208" spans="1:4" x14ac:dyDescent="0.45">
      <c r="A208" t="s">
        <v>8</v>
      </c>
      <c r="B208">
        <v>2017</v>
      </c>
      <c r="C208" t="s">
        <v>55</v>
      </c>
      <c r="D208">
        <v>19.52</v>
      </c>
    </row>
    <row r="209" spans="1:4" x14ac:dyDescent="0.45">
      <c r="A209" t="s">
        <v>6</v>
      </c>
      <c r="B209">
        <v>2017</v>
      </c>
      <c r="C209" t="s">
        <v>55</v>
      </c>
      <c r="D209">
        <v>23.98</v>
      </c>
    </row>
    <row r="210" spans="1:4" x14ac:dyDescent="0.45">
      <c r="A210" t="s">
        <v>19</v>
      </c>
      <c r="B210">
        <v>2017</v>
      </c>
      <c r="C210" t="s">
        <v>55</v>
      </c>
      <c r="D210">
        <v>63.13</v>
      </c>
    </row>
    <row r="211" spans="1:4" x14ac:dyDescent="0.45">
      <c r="A211" t="s">
        <v>23</v>
      </c>
      <c r="B211">
        <v>2017</v>
      </c>
      <c r="C211" t="s">
        <v>55</v>
      </c>
      <c r="D211">
        <v>1.89</v>
      </c>
    </row>
    <row r="212" spans="1:4" x14ac:dyDescent="0.45">
      <c r="A212" t="s">
        <v>5</v>
      </c>
      <c r="B212">
        <v>2018</v>
      </c>
      <c r="C212" t="s">
        <v>55</v>
      </c>
      <c r="D212">
        <v>3.74</v>
      </c>
    </row>
    <row r="213" spans="1:4" x14ac:dyDescent="0.45">
      <c r="A213" t="s">
        <v>8</v>
      </c>
      <c r="B213">
        <v>2018</v>
      </c>
      <c r="C213" t="s">
        <v>55</v>
      </c>
      <c r="D213">
        <v>18.809999999999999</v>
      </c>
    </row>
    <row r="214" spans="1:4" x14ac:dyDescent="0.45">
      <c r="A214" t="s">
        <v>6</v>
      </c>
      <c r="B214">
        <v>2018</v>
      </c>
      <c r="C214" t="s">
        <v>55</v>
      </c>
      <c r="D214">
        <v>24</v>
      </c>
    </row>
    <row r="215" spans="1:4" x14ac:dyDescent="0.45">
      <c r="A215" t="s">
        <v>19</v>
      </c>
      <c r="B215">
        <v>2018</v>
      </c>
      <c r="C215" t="s">
        <v>55</v>
      </c>
      <c r="D215">
        <v>63.13</v>
      </c>
    </row>
    <row r="216" spans="1:4" x14ac:dyDescent="0.45">
      <c r="A216" t="s">
        <v>23</v>
      </c>
      <c r="B216">
        <v>2018</v>
      </c>
      <c r="C216" t="s">
        <v>55</v>
      </c>
      <c r="D216">
        <v>1.89</v>
      </c>
    </row>
    <row r="217" spans="1:4" x14ac:dyDescent="0.45">
      <c r="A217" t="s">
        <v>5</v>
      </c>
      <c r="B217">
        <v>2019</v>
      </c>
      <c r="C217" t="s">
        <v>55</v>
      </c>
      <c r="D217">
        <v>3.74</v>
      </c>
    </row>
    <row r="218" spans="1:4" x14ac:dyDescent="0.45">
      <c r="A218" t="s">
        <v>8</v>
      </c>
      <c r="B218">
        <v>2019</v>
      </c>
      <c r="C218" t="s">
        <v>55</v>
      </c>
      <c r="D218">
        <v>17.11</v>
      </c>
    </row>
    <row r="219" spans="1:4" x14ac:dyDescent="0.45">
      <c r="A219" t="s">
        <v>6</v>
      </c>
      <c r="B219">
        <v>2019</v>
      </c>
      <c r="C219" t="s">
        <v>55</v>
      </c>
      <c r="D219">
        <v>24.14</v>
      </c>
    </row>
    <row r="220" spans="1:4" x14ac:dyDescent="0.45">
      <c r="A220" t="s">
        <v>19</v>
      </c>
      <c r="B220">
        <v>2019</v>
      </c>
      <c r="C220" t="s">
        <v>55</v>
      </c>
      <c r="D220">
        <v>63.13</v>
      </c>
    </row>
    <row r="221" spans="1:4" x14ac:dyDescent="0.45">
      <c r="A221" t="s">
        <v>23</v>
      </c>
      <c r="B221">
        <v>2019</v>
      </c>
      <c r="C221" t="s">
        <v>55</v>
      </c>
      <c r="D221">
        <v>1.89</v>
      </c>
    </row>
    <row r="222" spans="1:4" x14ac:dyDescent="0.45">
      <c r="A222" t="s">
        <v>5</v>
      </c>
      <c r="B222">
        <v>2020</v>
      </c>
      <c r="C222" t="s">
        <v>55</v>
      </c>
      <c r="D222">
        <v>3.74</v>
      </c>
    </row>
    <row r="223" spans="1:4" x14ac:dyDescent="0.45">
      <c r="A223" t="s">
        <v>8</v>
      </c>
      <c r="B223">
        <v>2020</v>
      </c>
      <c r="C223" t="s">
        <v>55</v>
      </c>
      <c r="D223">
        <v>17.39</v>
      </c>
    </row>
    <row r="224" spans="1:4" x14ac:dyDescent="0.45">
      <c r="A224" t="s">
        <v>6</v>
      </c>
      <c r="B224">
        <v>2020</v>
      </c>
      <c r="C224" t="s">
        <v>55</v>
      </c>
      <c r="D224">
        <v>24.23</v>
      </c>
    </row>
    <row r="225" spans="1:4" x14ac:dyDescent="0.45">
      <c r="A225" t="s">
        <v>19</v>
      </c>
      <c r="B225">
        <v>2020</v>
      </c>
      <c r="C225" t="s">
        <v>55</v>
      </c>
      <c r="D225">
        <v>61.4</v>
      </c>
    </row>
    <row r="226" spans="1:4" x14ac:dyDescent="0.45">
      <c r="A226" t="s">
        <v>23</v>
      </c>
      <c r="B226">
        <v>2020</v>
      </c>
      <c r="C226" t="s">
        <v>55</v>
      </c>
      <c r="D226">
        <v>1.94</v>
      </c>
    </row>
    <row r="227" spans="1:4" x14ac:dyDescent="0.45">
      <c r="A227" t="s">
        <v>5</v>
      </c>
      <c r="B227">
        <v>2021</v>
      </c>
      <c r="C227" t="s">
        <v>55</v>
      </c>
      <c r="D227">
        <v>3.11</v>
      </c>
    </row>
    <row r="228" spans="1:4" x14ac:dyDescent="0.45">
      <c r="A228" t="s">
        <v>8</v>
      </c>
      <c r="B228">
        <v>2021</v>
      </c>
      <c r="C228" t="s">
        <v>55</v>
      </c>
      <c r="D228">
        <v>17.25</v>
      </c>
    </row>
    <row r="229" spans="1:4" x14ac:dyDescent="0.45">
      <c r="A229" t="s">
        <v>6</v>
      </c>
      <c r="B229">
        <v>2021</v>
      </c>
      <c r="C229" t="s">
        <v>55</v>
      </c>
      <c r="D229">
        <v>24.26</v>
      </c>
    </row>
    <row r="230" spans="1:4" x14ac:dyDescent="0.45">
      <c r="A230" t="s">
        <v>19</v>
      </c>
      <c r="B230">
        <v>2021</v>
      </c>
      <c r="C230" t="s">
        <v>55</v>
      </c>
      <c r="D230">
        <v>61.4</v>
      </c>
    </row>
    <row r="231" spans="1:4" x14ac:dyDescent="0.45">
      <c r="A231" t="s">
        <v>23</v>
      </c>
      <c r="B231">
        <v>2021</v>
      </c>
      <c r="C231" t="s">
        <v>55</v>
      </c>
      <c r="D231">
        <v>1.94</v>
      </c>
    </row>
    <row r="232" spans="1:4" x14ac:dyDescent="0.45">
      <c r="A232" t="s">
        <v>5</v>
      </c>
      <c r="B232">
        <v>2022</v>
      </c>
      <c r="C232" t="s">
        <v>55</v>
      </c>
      <c r="D232">
        <v>2.5099999999999998</v>
      </c>
    </row>
    <row r="233" spans="1:4" x14ac:dyDescent="0.45">
      <c r="A233" t="s">
        <v>8</v>
      </c>
      <c r="B233">
        <v>2022</v>
      </c>
      <c r="C233" t="s">
        <v>55</v>
      </c>
      <c r="D233">
        <v>17.79</v>
      </c>
    </row>
    <row r="234" spans="1:4" x14ac:dyDescent="0.45">
      <c r="A234" t="s">
        <v>6</v>
      </c>
      <c r="B234">
        <v>2022</v>
      </c>
      <c r="C234" t="s">
        <v>55</v>
      </c>
      <c r="D234">
        <v>24.24</v>
      </c>
    </row>
    <row r="235" spans="1:4" x14ac:dyDescent="0.45">
      <c r="A235" t="s">
        <v>19</v>
      </c>
      <c r="B235">
        <v>2022</v>
      </c>
      <c r="C235" t="s">
        <v>55</v>
      </c>
      <c r="D235">
        <v>61.4</v>
      </c>
    </row>
    <row r="236" spans="1:4" x14ac:dyDescent="0.45">
      <c r="A236" t="s">
        <v>23</v>
      </c>
      <c r="B236">
        <v>2022</v>
      </c>
      <c r="C236" t="s">
        <v>55</v>
      </c>
      <c r="D236">
        <v>1.94</v>
      </c>
    </row>
    <row r="237" spans="1:4" x14ac:dyDescent="0.45">
      <c r="A237" t="s">
        <v>5</v>
      </c>
      <c r="B237">
        <v>2023</v>
      </c>
      <c r="C237" t="s">
        <v>55</v>
      </c>
      <c r="D237">
        <v>2.5099999999999998</v>
      </c>
    </row>
    <row r="238" spans="1:4" x14ac:dyDescent="0.45">
      <c r="A238" t="s">
        <v>8</v>
      </c>
      <c r="B238">
        <v>2023</v>
      </c>
      <c r="C238" t="s">
        <v>55</v>
      </c>
      <c r="D238">
        <v>18.5</v>
      </c>
    </row>
    <row r="239" spans="1:4" x14ac:dyDescent="0.45">
      <c r="A239" t="s">
        <v>6</v>
      </c>
      <c r="B239">
        <v>2023</v>
      </c>
      <c r="C239" t="s">
        <v>55</v>
      </c>
      <c r="D239">
        <v>24.14</v>
      </c>
    </row>
    <row r="240" spans="1:4" x14ac:dyDescent="0.45">
      <c r="A240" t="s">
        <v>19</v>
      </c>
      <c r="B240">
        <v>2023</v>
      </c>
      <c r="C240" t="s">
        <v>55</v>
      </c>
      <c r="D240">
        <v>61.4</v>
      </c>
    </row>
    <row r="241" spans="1:4" x14ac:dyDescent="0.45">
      <c r="A241" t="s">
        <v>23</v>
      </c>
      <c r="B241">
        <v>2023</v>
      </c>
      <c r="C241" t="s">
        <v>55</v>
      </c>
      <c r="D241">
        <v>1.94</v>
      </c>
    </row>
    <row r="242" spans="1:4" x14ac:dyDescent="0.45">
      <c r="A242" t="s">
        <v>50</v>
      </c>
      <c r="B242">
        <v>2000</v>
      </c>
      <c r="C242" t="s">
        <v>56</v>
      </c>
      <c r="D242">
        <v>0.54</v>
      </c>
    </row>
    <row r="243" spans="1:4" x14ac:dyDescent="0.45">
      <c r="A243" t="s">
        <v>5</v>
      </c>
      <c r="B243">
        <v>2000</v>
      </c>
      <c r="C243" t="s">
        <v>56</v>
      </c>
      <c r="D243">
        <v>26.09</v>
      </c>
    </row>
    <row r="244" spans="1:4" x14ac:dyDescent="0.45">
      <c r="A244" t="s">
        <v>8</v>
      </c>
      <c r="B244">
        <v>2000</v>
      </c>
      <c r="C244" t="s">
        <v>56</v>
      </c>
      <c r="D244">
        <v>5.01</v>
      </c>
    </row>
    <row r="245" spans="1:4" x14ac:dyDescent="0.45">
      <c r="A245" t="s">
        <v>6</v>
      </c>
      <c r="B245">
        <v>2000</v>
      </c>
      <c r="C245" t="s">
        <v>56</v>
      </c>
      <c r="D245">
        <v>1.54</v>
      </c>
    </row>
    <row r="246" spans="1:4" x14ac:dyDescent="0.45">
      <c r="A246" t="s">
        <v>19</v>
      </c>
      <c r="B246">
        <v>2000</v>
      </c>
      <c r="C246" t="s">
        <v>56</v>
      </c>
      <c r="D246">
        <v>2</v>
      </c>
    </row>
    <row r="247" spans="1:4" x14ac:dyDescent="0.45">
      <c r="A247" t="s">
        <v>23</v>
      </c>
      <c r="B247">
        <v>2000</v>
      </c>
      <c r="C247" t="s">
        <v>56</v>
      </c>
      <c r="D247">
        <v>7.28</v>
      </c>
    </row>
    <row r="248" spans="1:4" x14ac:dyDescent="0.45">
      <c r="A248" t="s">
        <v>50</v>
      </c>
      <c r="B248">
        <v>2000</v>
      </c>
      <c r="C248" t="s">
        <v>56</v>
      </c>
      <c r="D248">
        <v>0.02</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0.62</v>
      </c>
    </row>
    <row r="252" spans="1:4" x14ac:dyDescent="0.45">
      <c r="A252" t="s">
        <v>5</v>
      </c>
      <c r="B252">
        <v>2001</v>
      </c>
      <c r="C252" t="s">
        <v>56</v>
      </c>
      <c r="D252">
        <v>19.8</v>
      </c>
    </row>
    <row r="253" spans="1:4" x14ac:dyDescent="0.45">
      <c r="A253" t="s">
        <v>8</v>
      </c>
      <c r="B253">
        <v>2001</v>
      </c>
      <c r="C253" t="s">
        <v>56</v>
      </c>
      <c r="D253">
        <v>6.59</v>
      </c>
    </row>
    <row r="254" spans="1:4" x14ac:dyDescent="0.45">
      <c r="A254" t="s">
        <v>6</v>
      </c>
      <c r="B254">
        <v>2001</v>
      </c>
      <c r="C254" t="s">
        <v>56</v>
      </c>
      <c r="D254">
        <v>1.73</v>
      </c>
    </row>
    <row r="255" spans="1:4" x14ac:dyDescent="0.45">
      <c r="A255" t="s">
        <v>19</v>
      </c>
      <c r="B255">
        <v>2001</v>
      </c>
      <c r="C255" t="s">
        <v>56</v>
      </c>
      <c r="D255">
        <v>2.0299999999999998</v>
      </c>
    </row>
    <row r="256" spans="1:4" x14ac:dyDescent="0.45">
      <c r="A256" t="s">
        <v>23</v>
      </c>
      <c r="B256">
        <v>2001</v>
      </c>
      <c r="C256" t="s">
        <v>56</v>
      </c>
      <c r="D256">
        <v>6.45</v>
      </c>
    </row>
    <row r="257" spans="1:4" x14ac:dyDescent="0.45">
      <c r="A257" t="s">
        <v>50</v>
      </c>
      <c r="B257">
        <v>2001</v>
      </c>
      <c r="C257" t="s">
        <v>56</v>
      </c>
      <c r="D257">
        <v>0.02</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0.66</v>
      </c>
    </row>
    <row r="261" spans="1:4" x14ac:dyDescent="0.45">
      <c r="A261" t="s">
        <v>5</v>
      </c>
      <c r="B261">
        <v>2002</v>
      </c>
      <c r="C261" t="s">
        <v>56</v>
      </c>
      <c r="D261">
        <v>22.86</v>
      </c>
    </row>
    <row r="262" spans="1:4" x14ac:dyDescent="0.45">
      <c r="A262" t="s">
        <v>8</v>
      </c>
      <c r="B262">
        <v>2002</v>
      </c>
      <c r="C262" t="s">
        <v>56</v>
      </c>
      <c r="D262">
        <v>7.99</v>
      </c>
    </row>
    <row r="263" spans="1:4" x14ac:dyDescent="0.45">
      <c r="A263" t="s">
        <v>6</v>
      </c>
      <c r="B263">
        <v>2002</v>
      </c>
      <c r="C263" t="s">
        <v>56</v>
      </c>
      <c r="D263">
        <v>1.4</v>
      </c>
    </row>
    <row r="264" spans="1:4" x14ac:dyDescent="0.45">
      <c r="A264" t="s">
        <v>19</v>
      </c>
      <c r="B264">
        <v>2002</v>
      </c>
      <c r="C264" t="s">
        <v>56</v>
      </c>
      <c r="D264">
        <v>2.11</v>
      </c>
    </row>
    <row r="265" spans="1:4" x14ac:dyDescent="0.45">
      <c r="A265" t="s">
        <v>23</v>
      </c>
      <c r="B265">
        <v>2002</v>
      </c>
      <c r="C265" t="s">
        <v>56</v>
      </c>
      <c r="D265">
        <v>6.42</v>
      </c>
    </row>
    <row r="266" spans="1:4" x14ac:dyDescent="0.45">
      <c r="A266" t="s">
        <v>50</v>
      </c>
      <c r="B266">
        <v>2002</v>
      </c>
      <c r="C266" t="s">
        <v>56</v>
      </c>
      <c r="D266">
        <v>0.02</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0.7</v>
      </c>
    </row>
    <row r="270" spans="1:4" x14ac:dyDescent="0.45">
      <c r="A270" t="s">
        <v>5</v>
      </c>
      <c r="B270">
        <v>2003</v>
      </c>
      <c r="C270" t="s">
        <v>56</v>
      </c>
      <c r="D270">
        <v>25.36</v>
      </c>
    </row>
    <row r="271" spans="1:4" x14ac:dyDescent="0.45">
      <c r="A271" t="s">
        <v>8</v>
      </c>
      <c r="B271">
        <v>2003</v>
      </c>
      <c r="C271" t="s">
        <v>56</v>
      </c>
      <c r="D271">
        <v>8.43</v>
      </c>
    </row>
    <row r="272" spans="1:4" x14ac:dyDescent="0.45">
      <c r="A272" t="s">
        <v>6</v>
      </c>
      <c r="B272">
        <v>2003</v>
      </c>
      <c r="C272" t="s">
        <v>56</v>
      </c>
      <c r="D272">
        <v>1.36</v>
      </c>
    </row>
    <row r="273" spans="1:4" x14ac:dyDescent="0.45">
      <c r="A273" t="s">
        <v>19</v>
      </c>
      <c r="B273">
        <v>2003</v>
      </c>
      <c r="C273" t="s">
        <v>56</v>
      </c>
      <c r="D273">
        <v>2.13</v>
      </c>
    </row>
    <row r="274" spans="1:4" x14ac:dyDescent="0.45">
      <c r="A274" t="s">
        <v>23</v>
      </c>
      <c r="B274">
        <v>2003</v>
      </c>
      <c r="C274" t="s">
        <v>56</v>
      </c>
      <c r="D274">
        <v>7.21</v>
      </c>
    </row>
    <row r="275" spans="1:4" x14ac:dyDescent="0.45">
      <c r="A275" t="s">
        <v>50</v>
      </c>
      <c r="B275">
        <v>2003</v>
      </c>
      <c r="C275" t="s">
        <v>56</v>
      </c>
      <c r="D275">
        <v>0.02</v>
      </c>
    </row>
    <row r="276" spans="1:4" x14ac:dyDescent="0.45">
      <c r="A276" t="s">
        <v>9</v>
      </c>
      <c r="B276">
        <v>2003</v>
      </c>
      <c r="C276" t="s">
        <v>56</v>
      </c>
      <c r="D276">
        <v>0</v>
      </c>
    </row>
    <row r="277" spans="1:4" x14ac:dyDescent="0.45">
      <c r="A277" t="s">
        <v>84</v>
      </c>
      <c r="B277">
        <v>2003</v>
      </c>
      <c r="C277" t="s">
        <v>56</v>
      </c>
      <c r="D277">
        <v>0</v>
      </c>
    </row>
    <row r="278" spans="1:4" x14ac:dyDescent="0.45">
      <c r="A278" t="s">
        <v>50</v>
      </c>
      <c r="B278">
        <v>2004</v>
      </c>
      <c r="C278" t="s">
        <v>56</v>
      </c>
      <c r="D278">
        <v>0.72</v>
      </c>
    </row>
    <row r="279" spans="1:4" x14ac:dyDescent="0.45">
      <c r="A279" t="s">
        <v>5</v>
      </c>
      <c r="B279">
        <v>2004</v>
      </c>
      <c r="C279" t="s">
        <v>56</v>
      </c>
      <c r="D279">
        <v>23.54</v>
      </c>
    </row>
    <row r="280" spans="1:4" x14ac:dyDescent="0.45">
      <c r="A280" t="s">
        <v>8</v>
      </c>
      <c r="B280">
        <v>2004</v>
      </c>
      <c r="C280" t="s">
        <v>56</v>
      </c>
      <c r="D280">
        <v>9.16</v>
      </c>
    </row>
    <row r="281" spans="1:4" x14ac:dyDescent="0.45">
      <c r="A281" t="s">
        <v>6</v>
      </c>
      <c r="B281">
        <v>2004</v>
      </c>
      <c r="C281" t="s">
        <v>56</v>
      </c>
      <c r="D281">
        <v>1.38</v>
      </c>
    </row>
    <row r="282" spans="1:4" x14ac:dyDescent="0.45">
      <c r="A282" t="s">
        <v>19</v>
      </c>
      <c r="B282">
        <v>2004</v>
      </c>
      <c r="C282" t="s">
        <v>56</v>
      </c>
      <c r="D282">
        <v>2.16</v>
      </c>
    </row>
    <row r="283" spans="1:4" x14ac:dyDescent="0.45">
      <c r="A283" t="s">
        <v>23</v>
      </c>
      <c r="B283">
        <v>2004</v>
      </c>
      <c r="C283" t="s">
        <v>56</v>
      </c>
      <c r="D283">
        <v>6.72</v>
      </c>
    </row>
    <row r="284" spans="1:4" x14ac:dyDescent="0.45">
      <c r="A284" t="s">
        <v>50</v>
      </c>
      <c r="B284">
        <v>2004</v>
      </c>
      <c r="C284" t="s">
        <v>56</v>
      </c>
      <c r="D284">
        <v>0.02</v>
      </c>
    </row>
    <row r="285" spans="1:4" x14ac:dyDescent="0.45">
      <c r="A285" t="s">
        <v>9</v>
      </c>
      <c r="B285">
        <v>2004</v>
      </c>
      <c r="C285" t="s">
        <v>56</v>
      </c>
      <c r="D285">
        <v>0</v>
      </c>
    </row>
    <row r="286" spans="1:4" x14ac:dyDescent="0.45">
      <c r="A286" t="s">
        <v>84</v>
      </c>
      <c r="B286">
        <v>2004</v>
      </c>
      <c r="C286" t="s">
        <v>56</v>
      </c>
      <c r="D286">
        <v>0.01</v>
      </c>
    </row>
    <row r="287" spans="1:4" x14ac:dyDescent="0.45">
      <c r="A287" t="s">
        <v>50</v>
      </c>
      <c r="B287">
        <v>2005</v>
      </c>
      <c r="C287" t="s">
        <v>56</v>
      </c>
      <c r="D287">
        <v>0.73</v>
      </c>
    </row>
    <row r="288" spans="1:4" x14ac:dyDescent="0.45">
      <c r="A288" t="s">
        <v>5</v>
      </c>
      <c r="B288">
        <v>2005</v>
      </c>
      <c r="C288" t="s">
        <v>56</v>
      </c>
      <c r="D288">
        <v>26.58</v>
      </c>
    </row>
    <row r="289" spans="1:4" x14ac:dyDescent="0.45">
      <c r="A289" t="s">
        <v>8</v>
      </c>
      <c r="B289">
        <v>2005</v>
      </c>
      <c r="C289" t="s">
        <v>56</v>
      </c>
      <c r="D289">
        <v>10.039999999999999</v>
      </c>
    </row>
    <row r="290" spans="1:4" x14ac:dyDescent="0.45">
      <c r="A290" t="s">
        <v>6</v>
      </c>
      <c r="B290">
        <v>2005</v>
      </c>
      <c r="C290" t="s">
        <v>56</v>
      </c>
      <c r="D290">
        <v>1.19</v>
      </c>
    </row>
    <row r="291" spans="1:4" x14ac:dyDescent="0.45">
      <c r="A291" t="s">
        <v>19</v>
      </c>
      <c r="B291">
        <v>2005</v>
      </c>
      <c r="C291" t="s">
        <v>56</v>
      </c>
      <c r="D291">
        <v>2.1800000000000002</v>
      </c>
    </row>
    <row r="292" spans="1:4" x14ac:dyDescent="0.45">
      <c r="A292" t="s">
        <v>23</v>
      </c>
      <c r="B292">
        <v>2005</v>
      </c>
      <c r="C292" t="s">
        <v>56</v>
      </c>
      <c r="D292">
        <v>7.93</v>
      </c>
    </row>
    <row r="293" spans="1:4" x14ac:dyDescent="0.45">
      <c r="A293" t="s">
        <v>50</v>
      </c>
      <c r="B293">
        <v>2005</v>
      </c>
      <c r="C293" t="s">
        <v>56</v>
      </c>
      <c r="D293">
        <v>0.02</v>
      </c>
    </row>
    <row r="294" spans="1:4" x14ac:dyDescent="0.45">
      <c r="A294" t="s">
        <v>9</v>
      </c>
      <c r="B294">
        <v>2005</v>
      </c>
      <c r="C294" t="s">
        <v>56</v>
      </c>
      <c r="D294">
        <v>0</v>
      </c>
    </row>
    <row r="295" spans="1:4" x14ac:dyDescent="0.45">
      <c r="A295" t="s">
        <v>84</v>
      </c>
      <c r="B295">
        <v>2005</v>
      </c>
      <c r="C295" t="s">
        <v>56</v>
      </c>
      <c r="D295">
        <v>0.01</v>
      </c>
    </row>
    <row r="296" spans="1:4" x14ac:dyDescent="0.45">
      <c r="A296" t="s">
        <v>50</v>
      </c>
      <c r="B296">
        <v>2006</v>
      </c>
      <c r="C296" t="s">
        <v>56</v>
      </c>
      <c r="D296">
        <v>0.73</v>
      </c>
    </row>
    <row r="297" spans="1:4" x14ac:dyDescent="0.45">
      <c r="A297" t="s">
        <v>5</v>
      </c>
      <c r="B297">
        <v>2006</v>
      </c>
      <c r="C297" t="s">
        <v>56</v>
      </c>
      <c r="D297">
        <v>22.12</v>
      </c>
    </row>
    <row r="298" spans="1:4" x14ac:dyDescent="0.45">
      <c r="A298" t="s">
        <v>8</v>
      </c>
      <c r="B298">
        <v>2006</v>
      </c>
      <c r="C298" t="s">
        <v>56</v>
      </c>
      <c r="D298">
        <v>9.4700000000000006</v>
      </c>
    </row>
    <row r="299" spans="1:4" x14ac:dyDescent="0.45">
      <c r="A299" t="s">
        <v>6</v>
      </c>
      <c r="B299">
        <v>2006</v>
      </c>
      <c r="C299" t="s">
        <v>56</v>
      </c>
      <c r="D299">
        <v>1.3</v>
      </c>
    </row>
    <row r="300" spans="1:4" x14ac:dyDescent="0.45">
      <c r="A300" t="s">
        <v>19</v>
      </c>
      <c r="B300">
        <v>2006</v>
      </c>
      <c r="C300" t="s">
        <v>56</v>
      </c>
      <c r="D300">
        <v>2.17</v>
      </c>
    </row>
    <row r="301" spans="1:4" x14ac:dyDescent="0.45">
      <c r="A301" t="s">
        <v>23</v>
      </c>
      <c r="B301">
        <v>2006</v>
      </c>
      <c r="C301" t="s">
        <v>56</v>
      </c>
      <c r="D301">
        <v>7.6</v>
      </c>
    </row>
    <row r="302" spans="1:4" x14ac:dyDescent="0.45">
      <c r="A302" t="s">
        <v>50</v>
      </c>
      <c r="B302">
        <v>2006</v>
      </c>
      <c r="C302" t="s">
        <v>56</v>
      </c>
      <c r="D302">
        <v>0.02</v>
      </c>
    </row>
    <row r="303" spans="1:4" x14ac:dyDescent="0.45">
      <c r="A303" t="s">
        <v>9</v>
      </c>
      <c r="B303">
        <v>2006</v>
      </c>
      <c r="C303" t="s">
        <v>56</v>
      </c>
      <c r="D303">
        <v>0</v>
      </c>
    </row>
    <row r="304" spans="1:4" x14ac:dyDescent="0.45">
      <c r="A304" t="s">
        <v>84</v>
      </c>
      <c r="B304">
        <v>2006</v>
      </c>
      <c r="C304" t="s">
        <v>56</v>
      </c>
      <c r="D304">
        <v>0.03</v>
      </c>
    </row>
    <row r="305" spans="1:4" x14ac:dyDescent="0.45">
      <c r="A305" t="s">
        <v>50</v>
      </c>
      <c r="B305">
        <v>2007</v>
      </c>
      <c r="C305" t="s">
        <v>56</v>
      </c>
      <c r="D305">
        <v>0.81</v>
      </c>
    </row>
    <row r="306" spans="1:4" x14ac:dyDescent="0.45">
      <c r="A306" t="s">
        <v>5</v>
      </c>
      <c r="B306">
        <v>2007</v>
      </c>
      <c r="C306" t="s">
        <v>56</v>
      </c>
      <c r="D306">
        <v>23.63</v>
      </c>
    </row>
    <row r="307" spans="1:4" x14ac:dyDescent="0.45">
      <c r="A307" t="s">
        <v>8</v>
      </c>
      <c r="B307">
        <v>2007</v>
      </c>
      <c r="C307" t="s">
        <v>56</v>
      </c>
      <c r="D307">
        <v>9.57</v>
      </c>
    </row>
    <row r="308" spans="1:4" x14ac:dyDescent="0.45">
      <c r="A308" t="s">
        <v>6</v>
      </c>
      <c r="B308">
        <v>2007</v>
      </c>
      <c r="C308" t="s">
        <v>56</v>
      </c>
      <c r="D308">
        <v>1.33</v>
      </c>
    </row>
    <row r="309" spans="1:4" x14ac:dyDescent="0.45">
      <c r="A309" t="s">
        <v>19</v>
      </c>
      <c r="B309">
        <v>2007</v>
      </c>
      <c r="C309" t="s">
        <v>56</v>
      </c>
      <c r="D309">
        <v>2.12</v>
      </c>
    </row>
    <row r="310" spans="1:4" x14ac:dyDescent="0.45">
      <c r="A310" t="s">
        <v>23</v>
      </c>
      <c r="B310">
        <v>2007</v>
      </c>
      <c r="C310" t="s">
        <v>56</v>
      </c>
      <c r="D310">
        <v>7.48</v>
      </c>
    </row>
    <row r="311" spans="1:4" x14ac:dyDescent="0.45">
      <c r="A311" t="s">
        <v>50</v>
      </c>
      <c r="B311">
        <v>2007</v>
      </c>
      <c r="C311" t="s">
        <v>56</v>
      </c>
      <c r="D311">
        <v>0.02</v>
      </c>
    </row>
    <row r="312" spans="1:4" x14ac:dyDescent="0.45">
      <c r="A312" t="s">
        <v>9</v>
      </c>
      <c r="B312">
        <v>2007</v>
      </c>
      <c r="C312" t="s">
        <v>56</v>
      </c>
      <c r="D312">
        <v>0</v>
      </c>
    </row>
    <row r="313" spans="1:4" x14ac:dyDescent="0.45">
      <c r="A313" t="s">
        <v>84</v>
      </c>
      <c r="B313">
        <v>2007</v>
      </c>
      <c r="C313" t="s">
        <v>56</v>
      </c>
      <c r="D313">
        <v>0.05</v>
      </c>
    </row>
    <row r="314" spans="1:4" x14ac:dyDescent="0.45">
      <c r="A314" t="s">
        <v>50</v>
      </c>
      <c r="B314">
        <v>2008</v>
      </c>
      <c r="C314" t="s">
        <v>56</v>
      </c>
      <c r="D314">
        <v>0.86</v>
      </c>
    </row>
    <row r="315" spans="1:4" x14ac:dyDescent="0.45">
      <c r="A315" t="s">
        <v>5</v>
      </c>
      <c r="B315">
        <v>2008</v>
      </c>
      <c r="C315" t="s">
        <v>56</v>
      </c>
      <c r="D315">
        <v>22.29</v>
      </c>
    </row>
    <row r="316" spans="1:4" x14ac:dyDescent="0.45">
      <c r="A316" t="s">
        <v>8</v>
      </c>
      <c r="B316">
        <v>2008</v>
      </c>
      <c r="C316" t="s">
        <v>56</v>
      </c>
      <c r="D316">
        <v>9.52</v>
      </c>
    </row>
    <row r="317" spans="1:4" x14ac:dyDescent="0.45">
      <c r="A317" t="s">
        <v>6</v>
      </c>
      <c r="B317">
        <v>2008</v>
      </c>
      <c r="C317" t="s">
        <v>56</v>
      </c>
      <c r="D317">
        <v>1.48</v>
      </c>
    </row>
    <row r="318" spans="1:4" x14ac:dyDescent="0.45">
      <c r="A318" t="s">
        <v>19</v>
      </c>
      <c r="B318">
        <v>2008</v>
      </c>
      <c r="C318" t="s">
        <v>56</v>
      </c>
      <c r="D318">
        <v>2.12</v>
      </c>
    </row>
    <row r="319" spans="1:4" x14ac:dyDescent="0.45">
      <c r="A319" t="s">
        <v>23</v>
      </c>
      <c r="B319">
        <v>2008</v>
      </c>
      <c r="C319" t="s">
        <v>56</v>
      </c>
      <c r="D319">
        <v>6.75</v>
      </c>
    </row>
    <row r="320" spans="1:4" x14ac:dyDescent="0.45">
      <c r="A320" t="s">
        <v>50</v>
      </c>
      <c r="B320">
        <v>2008</v>
      </c>
      <c r="C320" t="s">
        <v>56</v>
      </c>
      <c r="D320">
        <v>0.02</v>
      </c>
    </row>
    <row r="321" spans="1:4" x14ac:dyDescent="0.45">
      <c r="A321" t="s">
        <v>9</v>
      </c>
      <c r="B321">
        <v>2008</v>
      </c>
      <c r="C321" t="s">
        <v>56</v>
      </c>
      <c r="D321">
        <v>0</v>
      </c>
    </row>
    <row r="322" spans="1:4" x14ac:dyDescent="0.45">
      <c r="A322" t="s">
        <v>84</v>
      </c>
      <c r="B322">
        <v>2008</v>
      </c>
      <c r="C322" t="s">
        <v>56</v>
      </c>
      <c r="D322">
        <v>7.0000000000000007E-2</v>
      </c>
    </row>
    <row r="323" spans="1:4" x14ac:dyDescent="0.45">
      <c r="A323" t="s">
        <v>50</v>
      </c>
      <c r="B323">
        <v>2009</v>
      </c>
      <c r="C323" t="s">
        <v>56</v>
      </c>
      <c r="D323">
        <v>0.89</v>
      </c>
    </row>
    <row r="324" spans="1:4" x14ac:dyDescent="0.45">
      <c r="A324" t="s">
        <v>5</v>
      </c>
      <c r="B324">
        <v>2009</v>
      </c>
      <c r="C324" t="s">
        <v>56</v>
      </c>
      <c r="D324">
        <v>20.94</v>
      </c>
    </row>
    <row r="325" spans="1:4" x14ac:dyDescent="0.45">
      <c r="A325" t="s">
        <v>8</v>
      </c>
      <c r="B325">
        <v>2009</v>
      </c>
      <c r="C325" t="s">
        <v>56</v>
      </c>
      <c r="D325">
        <v>8.92</v>
      </c>
    </row>
    <row r="326" spans="1:4" x14ac:dyDescent="0.45">
      <c r="A326" t="s">
        <v>6</v>
      </c>
      <c r="B326">
        <v>2009</v>
      </c>
      <c r="C326" t="s">
        <v>56</v>
      </c>
      <c r="D326">
        <v>1.32</v>
      </c>
    </row>
    <row r="327" spans="1:4" x14ac:dyDescent="0.45">
      <c r="A327" t="s">
        <v>19</v>
      </c>
      <c r="B327">
        <v>2009</v>
      </c>
      <c r="C327" t="s">
        <v>56</v>
      </c>
      <c r="D327">
        <v>1.98</v>
      </c>
    </row>
    <row r="328" spans="1:4" x14ac:dyDescent="0.45">
      <c r="A328" t="s">
        <v>23</v>
      </c>
      <c r="B328">
        <v>2009</v>
      </c>
      <c r="C328" t="s">
        <v>56</v>
      </c>
      <c r="D328">
        <v>5.8</v>
      </c>
    </row>
    <row r="329" spans="1:4" x14ac:dyDescent="0.45">
      <c r="A329" t="s">
        <v>50</v>
      </c>
      <c r="B329">
        <v>2009</v>
      </c>
      <c r="C329" t="s">
        <v>56</v>
      </c>
      <c r="D329">
        <v>0.02</v>
      </c>
    </row>
    <row r="330" spans="1:4" x14ac:dyDescent="0.45">
      <c r="A330" t="s">
        <v>9</v>
      </c>
      <c r="B330">
        <v>2009</v>
      </c>
      <c r="C330" t="s">
        <v>56</v>
      </c>
      <c r="D330">
        <v>0.01</v>
      </c>
    </row>
    <row r="331" spans="1:4" x14ac:dyDescent="0.45">
      <c r="A331" t="s">
        <v>84</v>
      </c>
      <c r="B331">
        <v>2009</v>
      </c>
      <c r="C331" t="s">
        <v>56</v>
      </c>
      <c r="D331">
        <v>0.1</v>
      </c>
    </row>
    <row r="332" spans="1:4" x14ac:dyDescent="0.45">
      <c r="A332" t="s">
        <v>50</v>
      </c>
      <c r="B332">
        <v>2010</v>
      </c>
      <c r="C332" t="s">
        <v>56</v>
      </c>
      <c r="D332">
        <v>0.96</v>
      </c>
    </row>
    <row r="333" spans="1:4" x14ac:dyDescent="0.45">
      <c r="A333" t="s">
        <v>5</v>
      </c>
      <c r="B333">
        <v>2010</v>
      </c>
      <c r="C333" t="s">
        <v>56</v>
      </c>
      <c r="D333">
        <v>22.58</v>
      </c>
    </row>
    <row r="334" spans="1:4" x14ac:dyDescent="0.45">
      <c r="A334" t="s">
        <v>8</v>
      </c>
      <c r="B334">
        <v>2010</v>
      </c>
      <c r="C334" t="s">
        <v>56</v>
      </c>
      <c r="D334">
        <v>10.34</v>
      </c>
    </row>
    <row r="335" spans="1:4" x14ac:dyDescent="0.45">
      <c r="A335" t="s">
        <v>6</v>
      </c>
      <c r="B335">
        <v>2010</v>
      </c>
      <c r="C335" t="s">
        <v>56</v>
      </c>
      <c r="D335">
        <v>1.45</v>
      </c>
    </row>
    <row r="336" spans="1:4" x14ac:dyDescent="0.45">
      <c r="A336" t="s">
        <v>19</v>
      </c>
      <c r="B336">
        <v>2010</v>
      </c>
      <c r="C336" t="s">
        <v>56</v>
      </c>
      <c r="D336">
        <v>2.0699999999999998</v>
      </c>
    </row>
    <row r="337" spans="1:4" x14ac:dyDescent="0.45">
      <c r="A337" t="s">
        <v>23</v>
      </c>
      <c r="B337">
        <v>2010</v>
      </c>
      <c r="C337" t="s">
        <v>56</v>
      </c>
      <c r="D337">
        <v>6.61</v>
      </c>
    </row>
    <row r="338" spans="1:4" x14ac:dyDescent="0.45">
      <c r="A338" t="s">
        <v>50</v>
      </c>
      <c r="B338">
        <v>2010</v>
      </c>
      <c r="C338" t="s">
        <v>56</v>
      </c>
      <c r="D338">
        <v>0.02</v>
      </c>
    </row>
    <row r="339" spans="1:4" x14ac:dyDescent="0.45">
      <c r="A339" t="s">
        <v>9</v>
      </c>
      <c r="B339">
        <v>2010</v>
      </c>
      <c r="C339" t="s">
        <v>56</v>
      </c>
      <c r="D339">
        <v>0.03</v>
      </c>
    </row>
    <row r="340" spans="1:4" x14ac:dyDescent="0.45">
      <c r="A340" t="s">
        <v>84</v>
      </c>
      <c r="B340">
        <v>2010</v>
      </c>
      <c r="C340" t="s">
        <v>56</v>
      </c>
      <c r="D340">
        <v>0.12</v>
      </c>
    </row>
    <row r="341" spans="1:4" x14ac:dyDescent="0.45">
      <c r="A341" t="s">
        <v>50</v>
      </c>
      <c r="B341">
        <v>2011</v>
      </c>
      <c r="C341" t="s">
        <v>56</v>
      </c>
      <c r="D341">
        <v>1.0900000000000001</v>
      </c>
    </row>
    <row r="342" spans="1:4" x14ac:dyDescent="0.45">
      <c r="A342" t="s">
        <v>5</v>
      </c>
      <c r="B342">
        <v>2011</v>
      </c>
      <c r="C342" t="s">
        <v>56</v>
      </c>
      <c r="D342">
        <v>16.809999999999999</v>
      </c>
    </row>
    <row r="343" spans="1:4" x14ac:dyDescent="0.45">
      <c r="A343" t="s">
        <v>8</v>
      </c>
      <c r="B343">
        <v>2011</v>
      </c>
      <c r="C343" t="s">
        <v>56</v>
      </c>
      <c r="D343">
        <v>12.83</v>
      </c>
    </row>
    <row r="344" spans="1:4" x14ac:dyDescent="0.45">
      <c r="A344" t="s">
        <v>6</v>
      </c>
      <c r="B344">
        <v>2011</v>
      </c>
      <c r="C344" t="s">
        <v>56</v>
      </c>
      <c r="D344">
        <v>1.0900000000000001</v>
      </c>
    </row>
    <row r="345" spans="1:4" x14ac:dyDescent="0.45">
      <c r="A345" t="s">
        <v>19</v>
      </c>
      <c r="B345">
        <v>2011</v>
      </c>
      <c r="C345" t="s">
        <v>56</v>
      </c>
      <c r="D345">
        <v>2.13</v>
      </c>
    </row>
    <row r="346" spans="1:4" x14ac:dyDescent="0.45">
      <c r="A346" t="s">
        <v>23</v>
      </c>
      <c r="B346">
        <v>2011</v>
      </c>
      <c r="C346" t="s">
        <v>56</v>
      </c>
      <c r="D346">
        <v>7.98</v>
      </c>
    </row>
    <row r="347" spans="1:4" x14ac:dyDescent="0.45">
      <c r="A347" t="s">
        <v>50</v>
      </c>
      <c r="B347">
        <v>2011</v>
      </c>
      <c r="C347" t="s">
        <v>56</v>
      </c>
      <c r="D347">
        <v>0.02</v>
      </c>
    </row>
    <row r="348" spans="1:4" x14ac:dyDescent="0.45">
      <c r="A348" t="s">
        <v>9</v>
      </c>
      <c r="B348">
        <v>2011</v>
      </c>
      <c r="C348" t="s">
        <v>56</v>
      </c>
      <c r="D348">
        <v>0.11</v>
      </c>
    </row>
    <row r="349" spans="1:4" x14ac:dyDescent="0.45">
      <c r="A349" t="s">
        <v>84</v>
      </c>
      <c r="B349">
        <v>2011</v>
      </c>
      <c r="C349" t="s">
        <v>56</v>
      </c>
      <c r="D349">
        <v>0.15</v>
      </c>
    </row>
    <row r="350" spans="1:4" x14ac:dyDescent="0.45">
      <c r="A350" t="s">
        <v>50</v>
      </c>
      <c r="B350">
        <v>2012</v>
      </c>
      <c r="C350" t="s">
        <v>56</v>
      </c>
      <c r="D350">
        <v>1.1499999999999999</v>
      </c>
    </row>
    <row r="351" spans="1:4" x14ac:dyDescent="0.45">
      <c r="A351" t="s">
        <v>5</v>
      </c>
      <c r="B351">
        <v>2012</v>
      </c>
      <c r="C351" t="s">
        <v>56</v>
      </c>
      <c r="D351">
        <v>20.74</v>
      </c>
    </row>
    <row r="352" spans="1:4" x14ac:dyDescent="0.45">
      <c r="A352" t="s">
        <v>8</v>
      </c>
      <c r="B352">
        <v>2012</v>
      </c>
      <c r="C352" t="s">
        <v>56</v>
      </c>
      <c r="D352">
        <v>9.9</v>
      </c>
    </row>
    <row r="353" spans="1:4" x14ac:dyDescent="0.45">
      <c r="A353" t="s">
        <v>6</v>
      </c>
      <c r="B353">
        <v>2012</v>
      </c>
      <c r="C353" t="s">
        <v>56</v>
      </c>
      <c r="D353">
        <v>1.42</v>
      </c>
    </row>
    <row r="354" spans="1:4" x14ac:dyDescent="0.45">
      <c r="A354" t="s">
        <v>19</v>
      </c>
      <c r="B354">
        <v>2012</v>
      </c>
      <c r="C354" t="s">
        <v>56</v>
      </c>
      <c r="D354">
        <v>2.0499999999999998</v>
      </c>
    </row>
    <row r="355" spans="1:4" x14ac:dyDescent="0.45">
      <c r="A355" t="s">
        <v>23</v>
      </c>
      <c r="B355">
        <v>2012</v>
      </c>
      <c r="C355" t="s">
        <v>56</v>
      </c>
      <c r="D355">
        <v>8.36</v>
      </c>
    </row>
    <row r="356" spans="1:4" x14ac:dyDescent="0.45">
      <c r="A356" t="s">
        <v>50</v>
      </c>
      <c r="B356">
        <v>2012</v>
      </c>
      <c r="C356" t="s">
        <v>56</v>
      </c>
      <c r="D356">
        <v>0.02</v>
      </c>
    </row>
    <row r="357" spans="1:4" x14ac:dyDescent="0.45">
      <c r="A357" t="s">
        <v>9</v>
      </c>
      <c r="B357">
        <v>2012</v>
      </c>
      <c r="C357" t="s">
        <v>56</v>
      </c>
      <c r="D357">
        <v>0.21</v>
      </c>
    </row>
    <row r="358" spans="1:4" x14ac:dyDescent="0.45">
      <c r="A358" t="s">
        <v>84</v>
      </c>
      <c r="B358">
        <v>2012</v>
      </c>
      <c r="C358" t="s">
        <v>56</v>
      </c>
      <c r="D358">
        <v>0.19</v>
      </c>
    </row>
    <row r="359" spans="1:4" x14ac:dyDescent="0.45">
      <c r="A359" t="s">
        <v>50</v>
      </c>
      <c r="B359">
        <v>2013</v>
      </c>
      <c r="C359" t="s">
        <v>56</v>
      </c>
      <c r="D359">
        <v>1.23</v>
      </c>
    </row>
    <row r="360" spans="1:4" x14ac:dyDescent="0.45">
      <c r="A360" t="s">
        <v>5</v>
      </c>
      <c r="B360">
        <v>2013</v>
      </c>
      <c r="C360" t="s">
        <v>56</v>
      </c>
      <c r="D360">
        <v>23.03</v>
      </c>
    </row>
    <row r="361" spans="1:4" x14ac:dyDescent="0.45">
      <c r="A361" t="s">
        <v>8</v>
      </c>
      <c r="B361">
        <v>2013</v>
      </c>
      <c r="C361" t="s">
        <v>56</v>
      </c>
      <c r="D361">
        <v>8</v>
      </c>
    </row>
    <row r="362" spans="1:4" x14ac:dyDescent="0.45">
      <c r="A362" t="s">
        <v>6</v>
      </c>
      <c r="B362">
        <v>2013</v>
      </c>
      <c r="C362" t="s">
        <v>56</v>
      </c>
      <c r="D362">
        <v>1.71</v>
      </c>
    </row>
    <row r="363" spans="1:4" x14ac:dyDescent="0.45">
      <c r="A363" t="s">
        <v>19</v>
      </c>
      <c r="B363">
        <v>2013</v>
      </c>
      <c r="C363" t="s">
        <v>56</v>
      </c>
      <c r="D363">
        <v>2.04</v>
      </c>
    </row>
    <row r="364" spans="1:4" x14ac:dyDescent="0.45">
      <c r="A364" t="s">
        <v>23</v>
      </c>
      <c r="B364">
        <v>2013</v>
      </c>
      <c r="C364" t="s">
        <v>56</v>
      </c>
      <c r="D364">
        <v>7.51</v>
      </c>
    </row>
    <row r="365" spans="1:4" x14ac:dyDescent="0.45">
      <c r="A365" t="s">
        <v>50</v>
      </c>
      <c r="B365">
        <v>2013</v>
      </c>
      <c r="C365" t="s">
        <v>56</v>
      </c>
      <c r="D365">
        <v>0.02</v>
      </c>
    </row>
    <row r="366" spans="1:4" x14ac:dyDescent="0.45">
      <c r="A366" t="s">
        <v>9</v>
      </c>
      <c r="B366">
        <v>2013</v>
      </c>
      <c r="C366" t="s">
        <v>56</v>
      </c>
      <c r="D366">
        <v>0.25</v>
      </c>
    </row>
    <row r="367" spans="1:4" x14ac:dyDescent="0.45">
      <c r="A367" t="s">
        <v>84</v>
      </c>
      <c r="B367">
        <v>2013</v>
      </c>
      <c r="C367" t="s">
        <v>56</v>
      </c>
      <c r="D367">
        <v>0.2</v>
      </c>
    </row>
    <row r="368" spans="1:4" x14ac:dyDescent="0.45">
      <c r="A368" t="s">
        <v>50</v>
      </c>
      <c r="B368">
        <v>2014</v>
      </c>
      <c r="C368" t="s">
        <v>56</v>
      </c>
      <c r="D368">
        <v>1.3</v>
      </c>
    </row>
    <row r="369" spans="1:4" x14ac:dyDescent="0.45">
      <c r="A369" t="s">
        <v>5</v>
      </c>
      <c r="B369">
        <v>2014</v>
      </c>
      <c r="C369" t="s">
        <v>56</v>
      </c>
      <c r="D369">
        <v>10.88</v>
      </c>
    </row>
    <row r="370" spans="1:4" x14ac:dyDescent="0.45">
      <c r="A370" t="s">
        <v>8</v>
      </c>
      <c r="B370">
        <v>2014</v>
      </c>
      <c r="C370" t="s">
        <v>56</v>
      </c>
      <c r="D370">
        <v>5.73</v>
      </c>
    </row>
    <row r="371" spans="1:4" x14ac:dyDescent="0.45">
      <c r="A371" t="s">
        <v>6</v>
      </c>
      <c r="B371">
        <v>2014</v>
      </c>
      <c r="C371" t="s">
        <v>56</v>
      </c>
      <c r="D371">
        <v>1.52</v>
      </c>
    </row>
    <row r="372" spans="1:4" x14ac:dyDescent="0.45">
      <c r="A372" t="s">
        <v>19</v>
      </c>
      <c r="B372">
        <v>2014</v>
      </c>
      <c r="C372" t="s">
        <v>56</v>
      </c>
      <c r="D372">
        <v>2.11</v>
      </c>
    </row>
    <row r="373" spans="1:4" x14ac:dyDescent="0.45">
      <c r="A373" t="s">
        <v>23</v>
      </c>
      <c r="B373">
        <v>2014</v>
      </c>
      <c r="C373" t="s">
        <v>56</v>
      </c>
      <c r="D373">
        <v>7.46</v>
      </c>
    </row>
    <row r="374" spans="1:4" x14ac:dyDescent="0.45">
      <c r="A374" t="s">
        <v>50</v>
      </c>
      <c r="B374">
        <v>2014</v>
      </c>
      <c r="C374" t="s">
        <v>56</v>
      </c>
      <c r="D374">
        <v>0.02</v>
      </c>
    </row>
    <row r="375" spans="1:4" x14ac:dyDescent="0.45">
      <c r="A375" t="s">
        <v>9</v>
      </c>
      <c r="B375">
        <v>2014</v>
      </c>
      <c r="C375" t="s">
        <v>56</v>
      </c>
      <c r="D375">
        <v>0.3</v>
      </c>
    </row>
    <row r="376" spans="1:4" x14ac:dyDescent="0.45">
      <c r="A376" t="s">
        <v>84</v>
      </c>
      <c r="B376">
        <v>2014</v>
      </c>
      <c r="C376" t="s">
        <v>56</v>
      </c>
      <c r="D376">
        <v>0.21</v>
      </c>
    </row>
    <row r="377" spans="1:4" x14ac:dyDescent="0.45">
      <c r="A377" t="s">
        <v>50</v>
      </c>
      <c r="B377">
        <v>2015</v>
      </c>
      <c r="C377" t="s">
        <v>56</v>
      </c>
      <c r="D377">
        <v>1.41</v>
      </c>
    </row>
    <row r="378" spans="1:4" x14ac:dyDescent="0.45">
      <c r="A378" t="s">
        <v>5</v>
      </c>
      <c r="B378">
        <v>2015</v>
      </c>
      <c r="C378" t="s">
        <v>56</v>
      </c>
      <c r="D378">
        <v>11.48</v>
      </c>
    </row>
    <row r="379" spans="1:4" x14ac:dyDescent="0.45">
      <c r="A379" t="s">
        <v>8</v>
      </c>
      <c r="B379">
        <v>2015</v>
      </c>
      <c r="C379" t="s">
        <v>56</v>
      </c>
      <c r="D379">
        <v>9.1999999999999993</v>
      </c>
    </row>
    <row r="380" spans="1:4" x14ac:dyDescent="0.45">
      <c r="A380" t="s">
        <v>6</v>
      </c>
      <c r="B380">
        <v>2015</v>
      </c>
      <c r="C380" t="s">
        <v>56</v>
      </c>
      <c r="D380">
        <v>1.32</v>
      </c>
    </row>
    <row r="381" spans="1:4" x14ac:dyDescent="0.45">
      <c r="A381" t="s">
        <v>19</v>
      </c>
      <c r="B381">
        <v>2015</v>
      </c>
      <c r="C381" t="s">
        <v>56</v>
      </c>
      <c r="D381">
        <v>2.11</v>
      </c>
    </row>
    <row r="382" spans="1:4" x14ac:dyDescent="0.45">
      <c r="A382" t="s">
        <v>23</v>
      </c>
      <c r="B382">
        <v>2015</v>
      </c>
      <c r="C382" t="s">
        <v>56</v>
      </c>
      <c r="D382">
        <v>7.77</v>
      </c>
    </row>
    <row r="383" spans="1:4" x14ac:dyDescent="0.45">
      <c r="A383" t="s">
        <v>50</v>
      </c>
      <c r="B383">
        <v>2015</v>
      </c>
      <c r="C383" t="s">
        <v>56</v>
      </c>
      <c r="D383">
        <v>0.02</v>
      </c>
    </row>
    <row r="384" spans="1:4" x14ac:dyDescent="0.45">
      <c r="A384" t="s">
        <v>9</v>
      </c>
      <c r="B384">
        <v>2015</v>
      </c>
      <c r="C384" t="s">
        <v>56</v>
      </c>
      <c r="D384">
        <v>0.37</v>
      </c>
    </row>
    <row r="385" spans="1:4" x14ac:dyDescent="0.45">
      <c r="A385" t="s">
        <v>84</v>
      </c>
      <c r="B385">
        <v>2015</v>
      </c>
      <c r="C385" t="s">
        <v>56</v>
      </c>
      <c r="D385">
        <v>0.26</v>
      </c>
    </row>
    <row r="386" spans="1:4" x14ac:dyDescent="0.45">
      <c r="A386" t="s">
        <v>50</v>
      </c>
      <c r="B386">
        <v>2016</v>
      </c>
      <c r="C386" t="s">
        <v>56</v>
      </c>
      <c r="D386">
        <v>1.63</v>
      </c>
    </row>
    <row r="387" spans="1:4" x14ac:dyDescent="0.45">
      <c r="A387" t="s">
        <v>5</v>
      </c>
      <c r="B387">
        <v>2016</v>
      </c>
      <c r="C387" t="s">
        <v>56</v>
      </c>
      <c r="D387">
        <v>9.8699999999999992</v>
      </c>
    </row>
    <row r="388" spans="1:4" x14ac:dyDescent="0.45">
      <c r="A388" t="s">
        <v>8</v>
      </c>
      <c r="B388">
        <v>2016</v>
      </c>
      <c r="C388" t="s">
        <v>56</v>
      </c>
      <c r="D388">
        <v>15.22</v>
      </c>
    </row>
    <row r="389" spans="1:4" x14ac:dyDescent="0.45">
      <c r="A389" t="s">
        <v>6</v>
      </c>
      <c r="B389">
        <v>2016</v>
      </c>
      <c r="C389" t="s">
        <v>56</v>
      </c>
      <c r="D389">
        <v>1.45</v>
      </c>
    </row>
    <row r="390" spans="1:4" x14ac:dyDescent="0.45">
      <c r="A390" t="s">
        <v>19</v>
      </c>
      <c r="B390">
        <v>2016</v>
      </c>
      <c r="C390" t="s">
        <v>56</v>
      </c>
      <c r="D390">
        <v>1.95</v>
      </c>
    </row>
    <row r="391" spans="1:4" x14ac:dyDescent="0.45">
      <c r="A391" t="s">
        <v>23</v>
      </c>
      <c r="B391">
        <v>2016</v>
      </c>
      <c r="C391" t="s">
        <v>56</v>
      </c>
      <c r="D391">
        <v>7.5</v>
      </c>
    </row>
    <row r="392" spans="1:4" x14ac:dyDescent="0.45">
      <c r="A392" t="s">
        <v>50</v>
      </c>
      <c r="B392">
        <v>2016</v>
      </c>
      <c r="C392" t="s">
        <v>56</v>
      </c>
      <c r="D392">
        <v>0.02</v>
      </c>
    </row>
    <row r="393" spans="1:4" x14ac:dyDescent="0.45">
      <c r="A393" t="s">
        <v>9</v>
      </c>
      <c r="B393">
        <v>2016</v>
      </c>
      <c r="C393" t="s">
        <v>56</v>
      </c>
      <c r="D393">
        <v>0.41</v>
      </c>
    </row>
    <row r="394" spans="1:4" x14ac:dyDescent="0.45">
      <c r="A394" t="s">
        <v>84</v>
      </c>
      <c r="B394">
        <v>2016</v>
      </c>
      <c r="C394" t="s">
        <v>56</v>
      </c>
      <c r="D394">
        <v>0.26</v>
      </c>
    </row>
    <row r="395" spans="1:4" x14ac:dyDescent="0.45">
      <c r="A395" t="s">
        <v>50</v>
      </c>
      <c r="B395">
        <v>2017</v>
      </c>
      <c r="C395" t="s">
        <v>56</v>
      </c>
      <c r="D395">
        <v>1.68</v>
      </c>
    </row>
    <row r="396" spans="1:4" x14ac:dyDescent="0.45">
      <c r="A396" t="s">
        <v>5</v>
      </c>
      <c r="B396">
        <v>2017</v>
      </c>
      <c r="C396" t="s">
        <v>56</v>
      </c>
      <c r="D396">
        <v>12.36</v>
      </c>
    </row>
    <row r="397" spans="1:4" x14ac:dyDescent="0.45">
      <c r="A397" t="s">
        <v>8</v>
      </c>
      <c r="B397">
        <v>2017</v>
      </c>
      <c r="C397" t="s">
        <v>56</v>
      </c>
      <c r="D397">
        <v>17.62</v>
      </c>
    </row>
    <row r="398" spans="1:4" x14ac:dyDescent="0.45">
      <c r="A398" t="s">
        <v>6</v>
      </c>
      <c r="B398">
        <v>2017</v>
      </c>
      <c r="C398" t="s">
        <v>56</v>
      </c>
      <c r="D398">
        <v>1.19</v>
      </c>
    </row>
    <row r="399" spans="1:4" x14ac:dyDescent="0.45">
      <c r="A399" t="s">
        <v>19</v>
      </c>
      <c r="B399">
        <v>2017</v>
      </c>
      <c r="C399" t="s">
        <v>56</v>
      </c>
      <c r="D399">
        <v>1.92</v>
      </c>
    </row>
    <row r="400" spans="1:4" x14ac:dyDescent="0.45">
      <c r="A400" t="s">
        <v>23</v>
      </c>
      <c r="B400">
        <v>2017</v>
      </c>
      <c r="C400" t="s">
        <v>56</v>
      </c>
      <c r="D400">
        <v>7.97</v>
      </c>
    </row>
    <row r="401" spans="1:4" x14ac:dyDescent="0.45">
      <c r="A401" t="s">
        <v>50</v>
      </c>
      <c r="B401">
        <v>2017</v>
      </c>
      <c r="C401" t="s">
        <v>56</v>
      </c>
      <c r="D401">
        <v>0.02</v>
      </c>
    </row>
    <row r="402" spans="1:4" x14ac:dyDescent="0.45">
      <c r="A402" t="s">
        <v>9</v>
      </c>
      <c r="B402">
        <v>2017</v>
      </c>
      <c r="C402" t="s">
        <v>56</v>
      </c>
      <c r="D402">
        <v>0.46</v>
      </c>
    </row>
    <row r="403" spans="1:4" x14ac:dyDescent="0.45">
      <c r="A403" t="s">
        <v>84</v>
      </c>
      <c r="B403">
        <v>2017</v>
      </c>
      <c r="C403" t="s">
        <v>56</v>
      </c>
      <c r="D403">
        <v>0.3</v>
      </c>
    </row>
    <row r="404" spans="1:4" x14ac:dyDescent="0.45">
      <c r="A404" t="s">
        <v>50</v>
      </c>
      <c r="B404">
        <v>2018</v>
      </c>
      <c r="C404" t="s">
        <v>56</v>
      </c>
      <c r="D404">
        <v>1.81</v>
      </c>
    </row>
    <row r="405" spans="1:4" x14ac:dyDescent="0.45">
      <c r="A405" t="s">
        <v>5</v>
      </c>
      <c r="B405">
        <v>2018</v>
      </c>
      <c r="C405" t="s">
        <v>56</v>
      </c>
      <c r="D405">
        <v>8.02</v>
      </c>
    </row>
    <row r="406" spans="1:4" x14ac:dyDescent="0.45">
      <c r="A406" t="s">
        <v>8</v>
      </c>
      <c r="B406">
        <v>2018</v>
      </c>
      <c r="C406" t="s">
        <v>56</v>
      </c>
      <c r="D406">
        <v>13.32</v>
      </c>
    </row>
    <row r="407" spans="1:4" x14ac:dyDescent="0.45">
      <c r="A407" t="s">
        <v>6</v>
      </c>
      <c r="B407">
        <v>2018</v>
      </c>
      <c r="C407" t="s">
        <v>56</v>
      </c>
      <c r="D407">
        <v>1.55</v>
      </c>
    </row>
    <row r="408" spans="1:4" x14ac:dyDescent="0.45">
      <c r="A408" t="s">
        <v>19</v>
      </c>
      <c r="B408">
        <v>2018</v>
      </c>
      <c r="C408" t="s">
        <v>56</v>
      </c>
      <c r="D408">
        <v>1.99</v>
      </c>
    </row>
    <row r="409" spans="1:4" x14ac:dyDescent="0.45">
      <c r="A409" t="s">
        <v>23</v>
      </c>
      <c r="B409">
        <v>2018</v>
      </c>
      <c r="C409" t="s">
        <v>56</v>
      </c>
      <c r="D409">
        <v>6.95</v>
      </c>
    </row>
    <row r="410" spans="1:4" x14ac:dyDescent="0.45">
      <c r="A410" t="s">
        <v>50</v>
      </c>
      <c r="B410">
        <v>2018</v>
      </c>
      <c r="C410" t="s">
        <v>56</v>
      </c>
      <c r="D410">
        <v>0.02</v>
      </c>
    </row>
    <row r="411" spans="1:4" x14ac:dyDescent="0.45">
      <c r="A411" t="s">
        <v>9</v>
      </c>
      <c r="B411">
        <v>2018</v>
      </c>
      <c r="C411" t="s">
        <v>56</v>
      </c>
      <c r="D411">
        <v>0.51</v>
      </c>
    </row>
    <row r="412" spans="1:4" x14ac:dyDescent="0.45">
      <c r="A412" t="s">
        <v>84</v>
      </c>
      <c r="B412">
        <v>2018</v>
      </c>
      <c r="C412" t="s">
        <v>56</v>
      </c>
      <c r="D412">
        <v>0.35</v>
      </c>
    </row>
    <row r="413" spans="1:4" x14ac:dyDescent="0.45">
      <c r="A413" t="s">
        <v>50</v>
      </c>
      <c r="B413">
        <v>2019</v>
      </c>
      <c r="C413" t="s">
        <v>56</v>
      </c>
      <c r="D413">
        <v>1.87</v>
      </c>
    </row>
    <row r="414" spans="1:4" x14ac:dyDescent="0.45">
      <c r="A414" t="s">
        <v>5</v>
      </c>
      <c r="B414">
        <v>2019</v>
      </c>
      <c r="C414" t="s">
        <v>56</v>
      </c>
      <c r="D414">
        <v>3.51</v>
      </c>
    </row>
    <row r="415" spans="1:4" x14ac:dyDescent="0.45">
      <c r="A415" t="s">
        <v>8</v>
      </c>
      <c r="B415">
        <v>2019</v>
      </c>
      <c r="C415" t="s">
        <v>56</v>
      </c>
      <c r="D415">
        <v>17.11</v>
      </c>
    </row>
    <row r="416" spans="1:4" x14ac:dyDescent="0.45">
      <c r="A416" t="s">
        <v>6</v>
      </c>
      <c r="B416">
        <v>2019</v>
      </c>
      <c r="C416" t="s">
        <v>56</v>
      </c>
      <c r="D416">
        <v>1.35</v>
      </c>
    </row>
    <row r="417" spans="1:4" x14ac:dyDescent="0.45">
      <c r="A417" t="s">
        <v>19</v>
      </c>
      <c r="B417">
        <v>2019</v>
      </c>
      <c r="C417" t="s">
        <v>56</v>
      </c>
      <c r="D417">
        <v>1.93</v>
      </c>
    </row>
    <row r="418" spans="1:4" x14ac:dyDescent="0.45">
      <c r="A418" t="s">
        <v>23</v>
      </c>
      <c r="B418">
        <v>2019</v>
      </c>
      <c r="C418" t="s">
        <v>56</v>
      </c>
      <c r="D418">
        <v>7.05</v>
      </c>
    </row>
    <row r="419" spans="1:4" x14ac:dyDescent="0.45">
      <c r="A419" t="s">
        <v>50</v>
      </c>
      <c r="B419">
        <v>2019</v>
      </c>
      <c r="C419" t="s">
        <v>56</v>
      </c>
      <c r="D419">
        <v>0.02</v>
      </c>
    </row>
    <row r="420" spans="1:4" x14ac:dyDescent="0.45">
      <c r="A420" t="s">
        <v>9</v>
      </c>
      <c r="B420">
        <v>2019</v>
      </c>
      <c r="C420" t="s">
        <v>56</v>
      </c>
      <c r="D420">
        <v>0.57999999999999996</v>
      </c>
    </row>
    <row r="421" spans="1:4" x14ac:dyDescent="0.45">
      <c r="A421" t="s">
        <v>84</v>
      </c>
      <c r="B421">
        <v>2019</v>
      </c>
      <c r="C421" t="s">
        <v>56</v>
      </c>
      <c r="D421">
        <v>0.43</v>
      </c>
    </row>
    <row r="422" spans="1:4" x14ac:dyDescent="0.45">
      <c r="A422" t="s">
        <v>50</v>
      </c>
      <c r="B422">
        <v>2020</v>
      </c>
      <c r="C422" t="s">
        <v>56</v>
      </c>
      <c r="D422">
        <v>1.89</v>
      </c>
    </row>
    <row r="423" spans="1:4" x14ac:dyDescent="0.45">
      <c r="A423" t="s">
        <v>5</v>
      </c>
      <c r="B423">
        <v>2020</v>
      </c>
      <c r="C423" t="s">
        <v>56</v>
      </c>
      <c r="D423">
        <v>2.98</v>
      </c>
    </row>
    <row r="424" spans="1:4" x14ac:dyDescent="0.45">
      <c r="A424" t="s">
        <v>8</v>
      </c>
      <c r="B424">
        <v>2020</v>
      </c>
      <c r="C424" t="s">
        <v>56</v>
      </c>
      <c r="D424">
        <v>15.34</v>
      </c>
    </row>
    <row r="425" spans="1:4" x14ac:dyDescent="0.45">
      <c r="A425" t="s">
        <v>6</v>
      </c>
      <c r="B425">
        <v>2020</v>
      </c>
      <c r="C425" t="s">
        <v>56</v>
      </c>
      <c r="D425">
        <v>1.49</v>
      </c>
    </row>
    <row r="426" spans="1:4" x14ac:dyDescent="0.45">
      <c r="A426" t="s">
        <v>19</v>
      </c>
      <c r="B426">
        <v>2020</v>
      </c>
      <c r="C426" t="s">
        <v>56</v>
      </c>
      <c r="D426">
        <v>1.71</v>
      </c>
    </row>
    <row r="427" spans="1:4" x14ac:dyDescent="0.45">
      <c r="A427" t="s">
        <v>23</v>
      </c>
      <c r="B427">
        <v>2020</v>
      </c>
      <c r="C427" t="s">
        <v>56</v>
      </c>
      <c r="D427">
        <v>6.6</v>
      </c>
    </row>
    <row r="428" spans="1:4" x14ac:dyDescent="0.45">
      <c r="A428" t="s">
        <v>50</v>
      </c>
      <c r="B428">
        <v>2020</v>
      </c>
      <c r="C428" t="s">
        <v>56</v>
      </c>
      <c r="D428">
        <v>0.02</v>
      </c>
    </row>
    <row r="429" spans="1:4" x14ac:dyDescent="0.45">
      <c r="A429" t="s">
        <v>9</v>
      </c>
      <c r="B429">
        <v>2020</v>
      </c>
      <c r="C429" t="s">
        <v>56</v>
      </c>
      <c r="D429">
        <v>0.63</v>
      </c>
    </row>
    <row r="430" spans="1:4" x14ac:dyDescent="0.45">
      <c r="A430" t="s">
        <v>84</v>
      </c>
      <c r="B430">
        <v>2020</v>
      </c>
      <c r="C430" t="s">
        <v>56</v>
      </c>
      <c r="D430">
        <v>0.49</v>
      </c>
    </row>
    <row r="431" spans="1:4" x14ac:dyDescent="0.45">
      <c r="A431" t="s">
        <v>50</v>
      </c>
      <c r="B431">
        <v>2021</v>
      </c>
      <c r="C431" t="s">
        <v>56</v>
      </c>
      <c r="D431">
        <v>2.0699999999999998</v>
      </c>
    </row>
    <row r="432" spans="1:4" x14ac:dyDescent="0.45">
      <c r="A432" t="s">
        <v>5</v>
      </c>
      <c r="B432">
        <v>2021</v>
      </c>
      <c r="C432" t="s">
        <v>56</v>
      </c>
      <c r="D432">
        <v>5.25</v>
      </c>
    </row>
    <row r="433" spans="1:4" x14ac:dyDescent="0.45">
      <c r="A433" t="s">
        <v>8</v>
      </c>
      <c r="B433">
        <v>2021</v>
      </c>
      <c r="C433" t="s">
        <v>56</v>
      </c>
      <c r="D433">
        <v>14.49</v>
      </c>
    </row>
    <row r="434" spans="1:4" x14ac:dyDescent="0.45">
      <c r="A434" t="s">
        <v>6</v>
      </c>
      <c r="B434">
        <v>2021</v>
      </c>
      <c r="C434" t="s">
        <v>56</v>
      </c>
      <c r="D434">
        <v>1.42</v>
      </c>
    </row>
    <row r="435" spans="1:4" x14ac:dyDescent="0.45">
      <c r="A435" t="s">
        <v>19</v>
      </c>
      <c r="B435">
        <v>2021</v>
      </c>
      <c r="C435" t="s">
        <v>56</v>
      </c>
      <c r="D435">
        <v>1.83</v>
      </c>
    </row>
    <row r="436" spans="1:4" x14ac:dyDescent="0.45">
      <c r="A436" t="s">
        <v>23</v>
      </c>
      <c r="B436">
        <v>2021</v>
      </c>
      <c r="C436" t="s">
        <v>56</v>
      </c>
      <c r="D436">
        <v>6.62</v>
      </c>
    </row>
    <row r="437" spans="1:4" x14ac:dyDescent="0.45">
      <c r="A437" t="s">
        <v>50</v>
      </c>
      <c r="B437">
        <v>2021</v>
      </c>
      <c r="C437" t="s">
        <v>56</v>
      </c>
      <c r="D437">
        <v>0.02</v>
      </c>
    </row>
    <row r="438" spans="1:4" x14ac:dyDescent="0.45">
      <c r="A438" t="s">
        <v>9</v>
      </c>
      <c r="B438">
        <v>2021</v>
      </c>
      <c r="C438" t="s">
        <v>56</v>
      </c>
      <c r="D438">
        <v>0.73</v>
      </c>
    </row>
    <row r="439" spans="1:4" x14ac:dyDescent="0.45">
      <c r="A439" t="s">
        <v>84</v>
      </c>
      <c r="B439">
        <v>2021</v>
      </c>
      <c r="C439" t="s">
        <v>56</v>
      </c>
      <c r="D439">
        <v>0.45</v>
      </c>
    </row>
    <row r="440" spans="1:4" x14ac:dyDescent="0.45">
      <c r="A440" t="s">
        <v>50</v>
      </c>
      <c r="B440">
        <v>2022</v>
      </c>
      <c r="C440" t="s">
        <v>56</v>
      </c>
      <c r="D440">
        <v>2.11</v>
      </c>
    </row>
    <row r="441" spans="1:4" x14ac:dyDescent="0.45">
      <c r="A441" t="s">
        <v>5</v>
      </c>
      <c r="B441">
        <v>2022</v>
      </c>
      <c r="C441" t="s">
        <v>56</v>
      </c>
      <c r="D441">
        <v>4.18</v>
      </c>
    </row>
    <row r="442" spans="1:4" x14ac:dyDescent="0.45">
      <c r="A442" t="s">
        <v>8</v>
      </c>
      <c r="B442">
        <v>2022</v>
      </c>
      <c r="C442" t="s">
        <v>56</v>
      </c>
      <c r="D442">
        <v>19.899999999999999</v>
      </c>
    </row>
    <row r="443" spans="1:4" x14ac:dyDescent="0.45">
      <c r="A443" t="s">
        <v>6</v>
      </c>
      <c r="B443">
        <v>2022</v>
      </c>
      <c r="C443" t="s">
        <v>56</v>
      </c>
      <c r="D443">
        <v>1.08</v>
      </c>
    </row>
    <row r="444" spans="1:4" x14ac:dyDescent="0.45">
      <c r="A444" t="s">
        <v>19</v>
      </c>
      <c r="B444">
        <v>2022</v>
      </c>
      <c r="C444" t="s">
        <v>56</v>
      </c>
      <c r="D444">
        <v>1.42</v>
      </c>
    </row>
    <row r="445" spans="1:4" x14ac:dyDescent="0.45">
      <c r="A445" t="s">
        <v>23</v>
      </c>
      <c r="B445">
        <v>2022</v>
      </c>
      <c r="C445" t="s">
        <v>56</v>
      </c>
      <c r="D445">
        <v>6.88</v>
      </c>
    </row>
    <row r="446" spans="1:4" x14ac:dyDescent="0.45">
      <c r="A446" t="s">
        <v>50</v>
      </c>
      <c r="B446">
        <v>2022</v>
      </c>
      <c r="C446" t="s">
        <v>56</v>
      </c>
      <c r="D446">
        <v>0.02</v>
      </c>
    </row>
    <row r="447" spans="1:4" x14ac:dyDescent="0.45">
      <c r="A447" t="s">
        <v>9</v>
      </c>
      <c r="B447">
        <v>2022</v>
      </c>
      <c r="C447" t="s">
        <v>56</v>
      </c>
      <c r="D447">
        <v>0.93</v>
      </c>
    </row>
    <row r="448" spans="1:4" x14ac:dyDescent="0.45">
      <c r="A448" t="s">
        <v>84</v>
      </c>
      <c r="B448">
        <v>2022</v>
      </c>
      <c r="C448" t="s">
        <v>56</v>
      </c>
      <c r="D448">
        <v>0.47</v>
      </c>
    </row>
    <row r="449" spans="1:4" x14ac:dyDescent="0.45">
      <c r="A449" t="s">
        <v>50</v>
      </c>
      <c r="B449">
        <v>2023</v>
      </c>
      <c r="C449" t="s">
        <v>56</v>
      </c>
      <c r="D449">
        <v>2.0499999999999998</v>
      </c>
    </row>
    <row r="450" spans="1:4" x14ac:dyDescent="0.45">
      <c r="A450" t="s">
        <v>5</v>
      </c>
      <c r="B450">
        <v>2023</v>
      </c>
      <c r="C450" t="s">
        <v>56</v>
      </c>
      <c r="D450">
        <v>2.08</v>
      </c>
    </row>
    <row r="451" spans="1:4" x14ac:dyDescent="0.45">
      <c r="A451" t="s">
        <v>8</v>
      </c>
      <c r="B451">
        <v>2023</v>
      </c>
      <c r="C451" t="s">
        <v>56</v>
      </c>
      <c r="D451">
        <v>13.68</v>
      </c>
    </row>
    <row r="452" spans="1:4" x14ac:dyDescent="0.45">
      <c r="A452" t="s">
        <v>6</v>
      </c>
      <c r="B452">
        <v>2023</v>
      </c>
      <c r="C452" t="s">
        <v>56</v>
      </c>
      <c r="D452">
        <v>1.26</v>
      </c>
    </row>
    <row r="453" spans="1:4" x14ac:dyDescent="0.45">
      <c r="A453" t="s">
        <v>19</v>
      </c>
      <c r="B453">
        <v>2023</v>
      </c>
      <c r="C453" t="s">
        <v>56</v>
      </c>
      <c r="D453">
        <v>1.62</v>
      </c>
    </row>
    <row r="454" spans="1:4" x14ac:dyDescent="0.45">
      <c r="A454" t="s">
        <v>23</v>
      </c>
      <c r="B454">
        <v>2023</v>
      </c>
      <c r="C454" t="s">
        <v>56</v>
      </c>
      <c r="D454">
        <v>6.39</v>
      </c>
    </row>
    <row r="455" spans="1:4" x14ac:dyDescent="0.45">
      <c r="A455" t="s">
        <v>50</v>
      </c>
      <c r="B455">
        <v>2023</v>
      </c>
      <c r="C455" t="s">
        <v>56</v>
      </c>
      <c r="D455">
        <v>0.02</v>
      </c>
    </row>
    <row r="456" spans="1:4" x14ac:dyDescent="0.45">
      <c r="A456" t="s">
        <v>9</v>
      </c>
      <c r="B456">
        <v>2023</v>
      </c>
      <c r="C456" t="s">
        <v>56</v>
      </c>
      <c r="D456">
        <v>1.1000000000000001</v>
      </c>
    </row>
    <row r="457" spans="1:4" x14ac:dyDescent="0.45">
      <c r="A457" t="s">
        <v>84</v>
      </c>
      <c r="B457">
        <v>2023</v>
      </c>
      <c r="C457" t="s">
        <v>56</v>
      </c>
      <c r="D457">
        <v>0.6</v>
      </c>
    </row>
    <row r="458" spans="1:4" x14ac:dyDescent="0.45">
      <c r="A458" t="s">
        <v>9</v>
      </c>
      <c r="B458">
        <v>2018</v>
      </c>
      <c r="C458" t="s">
        <v>55</v>
      </c>
      <c r="D458">
        <v>9.0316399999999994</v>
      </c>
    </row>
    <row r="459" spans="1:4" x14ac:dyDescent="0.45">
      <c r="A459" t="s">
        <v>9</v>
      </c>
      <c r="B459">
        <v>2019</v>
      </c>
      <c r="C459" t="s">
        <v>55</v>
      </c>
      <c r="D459">
        <v>10.01318</v>
      </c>
    </row>
    <row r="460" spans="1:4" x14ac:dyDescent="0.45">
      <c r="A460" t="s">
        <v>9</v>
      </c>
      <c r="B460">
        <v>2020</v>
      </c>
      <c r="C460" t="s">
        <v>55</v>
      </c>
      <c r="D460">
        <v>11.133255999999999</v>
      </c>
    </row>
    <row r="461" spans="1:4" x14ac:dyDescent="0.45">
      <c r="A461" t="s">
        <v>9</v>
      </c>
      <c r="B461">
        <v>2021</v>
      </c>
      <c r="C461" t="s">
        <v>55</v>
      </c>
      <c r="D461">
        <v>13.446042</v>
      </c>
    </row>
    <row r="462" spans="1:4" x14ac:dyDescent="0.45">
      <c r="A462" t="s">
        <v>9</v>
      </c>
      <c r="B462">
        <v>2022</v>
      </c>
      <c r="C462" t="s">
        <v>55</v>
      </c>
      <c r="D462">
        <v>14.721789000000001</v>
      </c>
    </row>
    <row r="463" spans="1:4" x14ac:dyDescent="0.45">
      <c r="A463" t="s">
        <v>9</v>
      </c>
      <c r="B463">
        <v>2023</v>
      </c>
      <c r="C463" t="s">
        <v>55</v>
      </c>
      <c r="D463">
        <v>17.399135999999999</v>
      </c>
    </row>
    <row r="464" spans="1:4" x14ac:dyDescent="0.45">
      <c r="A464" t="s">
        <v>9</v>
      </c>
      <c r="B464">
        <v>2024</v>
      </c>
      <c r="C464" t="s">
        <v>55</v>
      </c>
      <c r="D464">
        <v>21.528088</v>
      </c>
    </row>
    <row r="465" spans="1:4" x14ac:dyDescent="0.45">
      <c r="A465" t="s">
        <v>9</v>
      </c>
      <c r="B465">
        <v>2011</v>
      </c>
      <c r="C465" t="s">
        <v>55</v>
      </c>
      <c r="D465">
        <v>2.9885770000000003</v>
      </c>
    </row>
    <row r="466" spans="1:4" x14ac:dyDescent="0.45">
      <c r="A466" t="s">
        <v>9</v>
      </c>
      <c r="B466">
        <v>2012</v>
      </c>
      <c r="C466" t="s">
        <v>55</v>
      </c>
      <c r="D466">
        <v>4.3007569999999999</v>
      </c>
    </row>
    <row r="467" spans="1:4" x14ac:dyDescent="0.45">
      <c r="A467" t="s">
        <v>9</v>
      </c>
      <c r="B467">
        <v>2013</v>
      </c>
      <c r="C467" t="s">
        <v>55</v>
      </c>
      <c r="D467">
        <v>5.1602830000000006</v>
      </c>
    </row>
    <row r="468" spans="1:4" x14ac:dyDescent="0.45">
      <c r="A468" t="s">
        <v>9</v>
      </c>
      <c r="B468">
        <v>2014</v>
      </c>
      <c r="C468" t="s">
        <v>55</v>
      </c>
      <c r="D468">
        <v>5.8614049999999995</v>
      </c>
    </row>
    <row r="469" spans="1:4" x14ac:dyDescent="0.45">
      <c r="A469" t="s">
        <v>9</v>
      </c>
      <c r="B469">
        <v>2015</v>
      </c>
      <c r="C469" t="s">
        <v>55</v>
      </c>
      <c r="D469">
        <v>6.8195389999999998</v>
      </c>
    </row>
    <row r="470" spans="1:4" x14ac:dyDescent="0.45">
      <c r="A470" t="s">
        <v>9</v>
      </c>
      <c r="B470">
        <v>2016</v>
      </c>
      <c r="C470" t="s">
        <v>55</v>
      </c>
      <c r="D470">
        <v>7.3190770000000001</v>
      </c>
    </row>
    <row r="471" spans="1:4" x14ac:dyDescent="0.45">
      <c r="A471" t="s">
        <v>9</v>
      </c>
      <c r="B471">
        <v>2017</v>
      </c>
      <c r="C471" t="s">
        <v>55</v>
      </c>
      <c r="D471">
        <v>8.1004109999999994</v>
      </c>
    </row>
    <row r="472" spans="1:4" x14ac:dyDescent="0.45">
      <c r="A472" t="s">
        <v>9</v>
      </c>
      <c r="B472">
        <v>2004</v>
      </c>
      <c r="C472" t="s">
        <v>55</v>
      </c>
      <c r="D472">
        <v>1.0999999999999999E-2</v>
      </c>
    </row>
    <row r="473" spans="1:4" x14ac:dyDescent="0.45">
      <c r="A473" t="s">
        <v>9</v>
      </c>
      <c r="B473">
        <v>2005</v>
      </c>
      <c r="C473" t="s">
        <v>55</v>
      </c>
      <c r="D473">
        <v>1.2999999999999999E-2</v>
      </c>
    </row>
    <row r="474" spans="1:4" x14ac:dyDescent="0.45">
      <c r="A474" t="s">
        <v>9</v>
      </c>
      <c r="B474">
        <v>2006</v>
      </c>
      <c r="C474" t="s">
        <v>55</v>
      </c>
      <c r="D474">
        <v>1.4999999999999999E-2</v>
      </c>
    </row>
    <row r="475" spans="1:4" x14ac:dyDescent="0.45">
      <c r="A475" t="s">
        <v>9</v>
      </c>
      <c r="B475">
        <v>2007</v>
      </c>
      <c r="C475" t="s">
        <v>55</v>
      </c>
      <c r="D475">
        <v>2.5999999999999999E-2</v>
      </c>
    </row>
    <row r="476" spans="1:4" x14ac:dyDescent="0.45">
      <c r="A476" t="s">
        <v>9</v>
      </c>
      <c r="B476">
        <v>2008</v>
      </c>
      <c r="C476" t="s">
        <v>55</v>
      </c>
      <c r="D476">
        <v>0.08</v>
      </c>
    </row>
    <row r="477" spans="1:4" x14ac:dyDescent="0.45">
      <c r="A477" t="s">
        <v>9</v>
      </c>
      <c r="B477">
        <v>2009</v>
      </c>
      <c r="C477" t="s">
        <v>55</v>
      </c>
      <c r="D477">
        <v>0.27700000000000002</v>
      </c>
    </row>
    <row r="478" spans="1:4" x14ac:dyDescent="0.45">
      <c r="A478" t="s">
        <v>9</v>
      </c>
      <c r="B478">
        <v>2010</v>
      </c>
      <c r="C478" t="s">
        <v>55</v>
      </c>
      <c r="D478">
        <v>1.044</v>
      </c>
    </row>
    <row r="479" spans="1:4" x14ac:dyDescent="0.45">
      <c r="A479" t="s">
        <v>9</v>
      </c>
      <c r="B479">
        <v>2000</v>
      </c>
      <c r="C479" t="s">
        <v>55</v>
      </c>
      <c r="D479">
        <v>7.0000000000000001E-3</v>
      </c>
    </row>
    <row r="480" spans="1:4" x14ac:dyDescent="0.45">
      <c r="A480" t="s">
        <v>9</v>
      </c>
      <c r="B480">
        <v>2001</v>
      </c>
      <c r="C480" t="s">
        <v>55</v>
      </c>
      <c r="D480">
        <v>7.0000000000000001E-3</v>
      </c>
    </row>
    <row r="481" spans="1:4" x14ac:dyDescent="0.45">
      <c r="A481" t="s">
        <v>9</v>
      </c>
      <c r="B481">
        <v>2002</v>
      </c>
      <c r="C481" t="s">
        <v>55</v>
      </c>
      <c r="D481">
        <v>8.0000000000000002E-3</v>
      </c>
    </row>
    <row r="482" spans="1:4" x14ac:dyDescent="0.45">
      <c r="A482" t="s">
        <v>9</v>
      </c>
      <c r="B482">
        <v>2003</v>
      </c>
      <c r="C482" t="s">
        <v>55</v>
      </c>
      <c r="D482">
        <v>8.9999999999999993E-3</v>
      </c>
    </row>
    <row r="483" spans="1:4" x14ac:dyDescent="0.45">
      <c r="A483" t="s">
        <v>9</v>
      </c>
      <c r="B483">
        <v>2002</v>
      </c>
      <c r="C483" t="s">
        <v>54</v>
      </c>
      <c r="D483">
        <v>7.1040000000000001E-3</v>
      </c>
    </row>
    <row r="484" spans="1:4" x14ac:dyDescent="0.45">
      <c r="A484" t="s">
        <v>9</v>
      </c>
      <c r="B484">
        <v>2003</v>
      </c>
      <c r="C484" t="s">
        <v>54</v>
      </c>
      <c r="D484">
        <v>7.7670000000000005E-3</v>
      </c>
    </row>
    <row r="485" spans="1:4" x14ac:dyDescent="0.45">
      <c r="A485" t="s">
        <v>9</v>
      </c>
      <c r="B485">
        <v>2004</v>
      </c>
      <c r="C485" t="s">
        <v>54</v>
      </c>
      <c r="D485">
        <v>8.4480000000000006E-3</v>
      </c>
    </row>
    <row r="486" spans="1:4" x14ac:dyDescent="0.45">
      <c r="A486" t="s">
        <v>9</v>
      </c>
      <c r="B486">
        <v>2005</v>
      </c>
      <c r="C486" t="s">
        <v>54</v>
      </c>
      <c r="D486">
        <v>1.0501E-2</v>
      </c>
    </row>
    <row r="487" spans="1:4" x14ac:dyDescent="0.45">
      <c r="A487" t="s">
        <v>9</v>
      </c>
      <c r="B487">
        <v>2006</v>
      </c>
      <c r="C487" t="s">
        <v>54</v>
      </c>
      <c r="D487">
        <v>1.2102999999999999E-2</v>
      </c>
    </row>
    <row r="488" spans="1:4" x14ac:dyDescent="0.45">
      <c r="A488" t="s">
        <v>9</v>
      </c>
      <c r="B488">
        <v>2007</v>
      </c>
      <c r="C488" t="s">
        <v>54</v>
      </c>
      <c r="D488">
        <v>1.7572000000000001E-2</v>
      </c>
    </row>
    <row r="489" spans="1:4" x14ac:dyDescent="0.45">
      <c r="A489" t="s">
        <v>9</v>
      </c>
      <c r="B489">
        <v>2008</v>
      </c>
      <c r="C489" t="s">
        <v>54</v>
      </c>
      <c r="D489">
        <v>4.1692E-2</v>
      </c>
    </row>
    <row r="490" spans="1:4" x14ac:dyDescent="0.45">
      <c r="A490" t="s">
        <v>9</v>
      </c>
      <c r="B490">
        <v>2009</v>
      </c>
      <c r="C490" t="s">
        <v>54</v>
      </c>
      <c r="D490">
        <v>0.17397100000000001</v>
      </c>
    </row>
    <row r="491" spans="1:4" x14ac:dyDescent="0.45">
      <c r="A491" t="s">
        <v>9</v>
      </c>
      <c r="B491">
        <v>2010</v>
      </c>
      <c r="C491" t="s">
        <v>54</v>
      </c>
      <c r="D491">
        <v>0.62</v>
      </c>
    </row>
    <row r="492" spans="1:4" x14ac:dyDescent="0.45">
      <c r="A492" t="s">
        <v>9</v>
      </c>
      <c r="B492">
        <v>2011</v>
      </c>
      <c r="C492" t="s">
        <v>54</v>
      </c>
      <c r="D492">
        <v>2.333809</v>
      </c>
    </row>
    <row r="493" spans="1:4" x14ac:dyDescent="0.45">
      <c r="A493" t="s">
        <v>9</v>
      </c>
      <c r="B493">
        <v>2012</v>
      </c>
      <c r="C493" t="s">
        <v>54</v>
      </c>
      <c r="D493">
        <v>4.4279390000000003</v>
      </c>
    </row>
    <row r="494" spans="1:4" x14ac:dyDescent="0.45">
      <c r="A494" t="s">
        <v>9</v>
      </c>
      <c r="B494">
        <v>2013</v>
      </c>
      <c r="C494" t="s">
        <v>54</v>
      </c>
      <c r="D494">
        <v>5.1935979999999997</v>
      </c>
    </row>
    <row r="495" spans="1:4" x14ac:dyDescent="0.45">
      <c r="A495" t="s">
        <v>9</v>
      </c>
      <c r="B495">
        <v>2014</v>
      </c>
      <c r="C495" t="s">
        <v>54</v>
      </c>
      <c r="D495">
        <v>6.3916199999999996</v>
      </c>
    </row>
    <row r="496" spans="1:4" x14ac:dyDescent="0.45">
      <c r="A496" t="s">
        <v>9</v>
      </c>
      <c r="B496">
        <v>2015</v>
      </c>
      <c r="C496" t="s">
        <v>54</v>
      </c>
      <c r="D496">
        <v>7.7538210000000003</v>
      </c>
    </row>
    <row r="497" spans="1:4" x14ac:dyDescent="0.45">
      <c r="A497" t="s">
        <v>9</v>
      </c>
      <c r="B497">
        <v>2016</v>
      </c>
      <c r="C497" t="s">
        <v>54</v>
      </c>
      <c r="D497">
        <v>8.6599590000000006</v>
      </c>
    </row>
    <row r="498" spans="1:4" x14ac:dyDescent="0.45">
      <c r="A498" t="s">
        <v>9</v>
      </c>
      <c r="B498">
        <v>2017</v>
      </c>
      <c r="C498" t="s">
        <v>54</v>
      </c>
      <c r="D498">
        <v>9.586608</v>
      </c>
    </row>
    <row r="499" spans="1:4" x14ac:dyDescent="0.45">
      <c r="A499" t="s">
        <v>9</v>
      </c>
      <c r="B499">
        <v>2018</v>
      </c>
      <c r="C499" t="s">
        <v>54</v>
      </c>
      <c r="D499">
        <v>10.808149999999999</v>
      </c>
    </row>
    <row r="500" spans="1:4" x14ac:dyDescent="0.45">
      <c r="A500" t="s">
        <v>9</v>
      </c>
      <c r="B500">
        <v>2019</v>
      </c>
      <c r="C500" t="s">
        <v>54</v>
      </c>
      <c r="D500">
        <v>12.165281999999999</v>
      </c>
    </row>
    <row r="501" spans="1:4" x14ac:dyDescent="0.45">
      <c r="A501" t="s">
        <v>9</v>
      </c>
      <c r="B501">
        <v>2020</v>
      </c>
      <c r="C501" t="s">
        <v>54</v>
      </c>
      <c r="D501">
        <v>13.189172000000001</v>
      </c>
    </row>
    <row r="502" spans="1:4" x14ac:dyDescent="0.45">
      <c r="A502" t="s">
        <v>9</v>
      </c>
      <c r="B502">
        <v>2021</v>
      </c>
      <c r="C502" t="s">
        <v>54</v>
      </c>
      <c r="D502">
        <v>15.356909999999999</v>
      </c>
    </row>
    <row r="503" spans="1:4" x14ac:dyDescent="0.45">
      <c r="A503" t="s">
        <v>9</v>
      </c>
      <c r="B503">
        <v>2022</v>
      </c>
      <c r="C503" t="s">
        <v>54</v>
      </c>
      <c r="D503">
        <v>19.984625000000001</v>
      </c>
    </row>
    <row r="504" spans="1:4" x14ac:dyDescent="0.45">
      <c r="A504" t="s">
        <v>9</v>
      </c>
      <c r="B504">
        <v>2000</v>
      </c>
      <c r="C504" t="s">
        <v>54</v>
      </c>
      <c r="D504">
        <v>5.2230000000000002E-3</v>
      </c>
    </row>
    <row r="505" spans="1:4" x14ac:dyDescent="0.45">
      <c r="A505" t="s">
        <v>9</v>
      </c>
      <c r="B505">
        <v>2001</v>
      </c>
      <c r="C505" t="s">
        <v>54</v>
      </c>
      <c r="D505">
        <v>6.1609999999999998E-3</v>
      </c>
    </row>
    <row r="506" spans="1:4" x14ac:dyDescent="0.45">
      <c r="A506" t="s">
        <v>84</v>
      </c>
      <c r="B506">
        <v>2018</v>
      </c>
      <c r="C506" t="s">
        <v>55</v>
      </c>
      <c r="D506">
        <v>14.887343000000001</v>
      </c>
    </row>
    <row r="507" spans="1:4" x14ac:dyDescent="0.45">
      <c r="A507" t="s">
        <v>84</v>
      </c>
      <c r="B507">
        <v>2019</v>
      </c>
      <c r="C507" t="s">
        <v>55</v>
      </c>
      <c r="D507">
        <v>16.412551999999998</v>
      </c>
    </row>
    <row r="508" spans="1:4" x14ac:dyDescent="0.45">
      <c r="A508" t="s">
        <v>84</v>
      </c>
      <c r="B508">
        <v>2020</v>
      </c>
      <c r="C508" t="s">
        <v>55</v>
      </c>
      <c r="D508">
        <v>17.520973000000001</v>
      </c>
    </row>
    <row r="509" spans="1:4" x14ac:dyDescent="0.45">
      <c r="A509" t="s">
        <v>84</v>
      </c>
      <c r="B509">
        <v>2021</v>
      </c>
      <c r="C509" t="s">
        <v>55</v>
      </c>
      <c r="D509">
        <v>18.536821</v>
      </c>
    </row>
    <row r="510" spans="1:4" x14ac:dyDescent="0.45">
      <c r="A510" t="s">
        <v>84</v>
      </c>
      <c r="B510">
        <v>2022</v>
      </c>
      <c r="C510" t="s">
        <v>55</v>
      </c>
      <c r="D510">
        <v>20.334375000000001</v>
      </c>
    </row>
    <row r="511" spans="1:4" x14ac:dyDescent="0.45">
      <c r="A511" t="s">
        <v>84</v>
      </c>
      <c r="B511">
        <v>2023</v>
      </c>
      <c r="C511" t="s">
        <v>55</v>
      </c>
      <c r="D511">
        <v>21.645114000000003</v>
      </c>
    </row>
    <row r="512" spans="1:4" x14ac:dyDescent="0.45">
      <c r="A512" t="s">
        <v>84</v>
      </c>
      <c r="B512">
        <v>2024</v>
      </c>
      <c r="C512" t="s">
        <v>55</v>
      </c>
      <c r="D512">
        <v>23.105114</v>
      </c>
    </row>
    <row r="513" spans="1:4" x14ac:dyDescent="0.45">
      <c r="A513" t="s">
        <v>84</v>
      </c>
      <c r="B513">
        <v>2011</v>
      </c>
      <c r="C513" t="s">
        <v>55</v>
      </c>
      <c r="D513">
        <v>6.7472160000000008</v>
      </c>
    </row>
    <row r="514" spans="1:4" x14ac:dyDescent="0.45">
      <c r="A514" t="s">
        <v>84</v>
      </c>
      <c r="B514">
        <v>2012</v>
      </c>
      <c r="C514" t="s">
        <v>55</v>
      </c>
      <c r="D514">
        <v>7.5966959999999997</v>
      </c>
    </row>
    <row r="515" spans="1:4" x14ac:dyDescent="0.45">
      <c r="A515" t="s">
        <v>84</v>
      </c>
      <c r="B515">
        <v>2013</v>
      </c>
      <c r="C515" t="s">
        <v>55</v>
      </c>
      <c r="D515">
        <v>8.1493310000000001</v>
      </c>
    </row>
    <row r="516" spans="1:4" x14ac:dyDescent="0.45">
      <c r="A516" t="s">
        <v>84</v>
      </c>
      <c r="B516">
        <v>2014</v>
      </c>
      <c r="C516" t="s">
        <v>55</v>
      </c>
      <c r="D516">
        <v>9.1905950000000001</v>
      </c>
    </row>
    <row r="517" spans="1:4" x14ac:dyDescent="0.45">
      <c r="A517" t="s">
        <v>84</v>
      </c>
      <c r="B517">
        <v>2015</v>
      </c>
      <c r="C517" t="s">
        <v>55</v>
      </c>
      <c r="D517">
        <v>10.287347</v>
      </c>
    </row>
    <row r="518" spans="1:4" x14ac:dyDescent="0.45">
      <c r="A518" t="s">
        <v>84</v>
      </c>
      <c r="B518">
        <v>2016</v>
      </c>
      <c r="C518" t="s">
        <v>55</v>
      </c>
      <c r="D518">
        <v>11.555762000000001</v>
      </c>
    </row>
    <row r="519" spans="1:4" x14ac:dyDescent="0.45">
      <c r="A519" t="s">
        <v>84</v>
      </c>
      <c r="B519">
        <v>2017</v>
      </c>
      <c r="C519" t="s">
        <v>55</v>
      </c>
      <c r="D519">
        <v>13.488552</v>
      </c>
    </row>
    <row r="520" spans="1:4" x14ac:dyDescent="0.45">
      <c r="A520" t="s">
        <v>84</v>
      </c>
      <c r="B520">
        <v>2004</v>
      </c>
      <c r="C520" t="s">
        <v>55</v>
      </c>
      <c r="D520">
        <v>0.35799999999999998</v>
      </c>
    </row>
    <row r="521" spans="1:4" x14ac:dyDescent="0.45">
      <c r="A521" t="s">
        <v>84</v>
      </c>
      <c r="B521">
        <v>2005</v>
      </c>
      <c r="C521" t="s">
        <v>55</v>
      </c>
      <c r="D521">
        <v>0.69</v>
      </c>
    </row>
    <row r="522" spans="1:4" x14ac:dyDescent="0.45">
      <c r="A522" t="s">
        <v>84</v>
      </c>
      <c r="B522">
        <v>2006</v>
      </c>
      <c r="C522" t="s">
        <v>55</v>
      </c>
      <c r="D522">
        <v>1.4119999999999999</v>
      </c>
    </row>
    <row r="523" spans="1:4" x14ac:dyDescent="0.45">
      <c r="A523" t="s">
        <v>84</v>
      </c>
      <c r="B523">
        <v>2007</v>
      </c>
      <c r="C523" t="s">
        <v>55</v>
      </c>
      <c r="D523">
        <v>2.2229999999999999</v>
      </c>
    </row>
    <row r="524" spans="1:4" x14ac:dyDescent="0.45">
      <c r="A524" t="s">
        <v>84</v>
      </c>
      <c r="B524">
        <v>2008</v>
      </c>
      <c r="C524" t="s">
        <v>55</v>
      </c>
      <c r="D524">
        <v>3.403</v>
      </c>
    </row>
    <row r="525" spans="1:4" x14ac:dyDescent="0.45">
      <c r="A525" t="s">
        <v>84</v>
      </c>
      <c r="B525">
        <v>2009</v>
      </c>
      <c r="C525" t="s">
        <v>55</v>
      </c>
      <c r="D525">
        <v>4.5819999999999999</v>
      </c>
    </row>
    <row r="526" spans="1:4" x14ac:dyDescent="0.45">
      <c r="A526" t="s">
        <v>84</v>
      </c>
      <c r="B526">
        <v>2010</v>
      </c>
      <c r="C526" t="s">
        <v>55</v>
      </c>
      <c r="D526">
        <v>5.9119999999999999</v>
      </c>
    </row>
    <row r="527" spans="1:4" x14ac:dyDescent="0.45">
      <c r="A527" t="s">
        <v>84</v>
      </c>
      <c r="B527">
        <v>2000</v>
      </c>
      <c r="C527" t="s">
        <v>55</v>
      </c>
      <c r="D527">
        <v>3.7999999999999999E-2</v>
      </c>
    </row>
    <row r="528" spans="1:4" x14ac:dyDescent="0.45">
      <c r="A528" t="s">
        <v>84</v>
      </c>
      <c r="B528">
        <v>2001</v>
      </c>
      <c r="C528" t="s">
        <v>55</v>
      </c>
      <c r="D528">
        <v>6.6000000000000003E-2</v>
      </c>
    </row>
    <row r="529" spans="1:4" x14ac:dyDescent="0.45">
      <c r="A529" t="s">
        <v>84</v>
      </c>
      <c r="B529">
        <v>2002</v>
      </c>
      <c r="C529" t="s">
        <v>55</v>
      </c>
      <c r="D529">
        <v>0.13800000000000001</v>
      </c>
    </row>
    <row r="530" spans="1:4" x14ac:dyDescent="0.45">
      <c r="A530" t="s">
        <v>84</v>
      </c>
      <c r="B530">
        <v>2003</v>
      </c>
      <c r="C530" t="s">
        <v>55</v>
      </c>
      <c r="D530">
        <v>0.218</v>
      </c>
    </row>
    <row r="531" spans="1:4" x14ac:dyDescent="0.45">
      <c r="A531" t="s">
        <v>84</v>
      </c>
      <c r="B531">
        <v>2002</v>
      </c>
      <c r="C531" t="s">
        <v>54</v>
      </c>
      <c r="D531">
        <v>0.26558999999999999</v>
      </c>
    </row>
    <row r="532" spans="1:4" x14ac:dyDescent="0.45">
      <c r="A532" t="s">
        <v>84</v>
      </c>
      <c r="B532">
        <v>2003</v>
      </c>
      <c r="C532" t="s">
        <v>54</v>
      </c>
      <c r="D532">
        <v>0.38774999999999998</v>
      </c>
    </row>
    <row r="533" spans="1:4" x14ac:dyDescent="0.45">
      <c r="A533" t="s">
        <v>84</v>
      </c>
      <c r="B533">
        <v>2004</v>
      </c>
      <c r="C533" t="s">
        <v>54</v>
      </c>
      <c r="D533">
        <v>0.59484999999999999</v>
      </c>
    </row>
    <row r="534" spans="1:4" x14ac:dyDescent="0.45">
      <c r="A534" t="s">
        <v>84</v>
      </c>
      <c r="B534">
        <v>2005</v>
      </c>
      <c r="C534" t="s">
        <v>54</v>
      </c>
      <c r="D534">
        <v>0.96257000000000004</v>
      </c>
    </row>
    <row r="535" spans="1:4" x14ac:dyDescent="0.45">
      <c r="A535" t="s">
        <v>84</v>
      </c>
      <c r="B535">
        <v>2006</v>
      </c>
      <c r="C535" t="s">
        <v>54</v>
      </c>
      <c r="D535">
        <v>2.1825799999999997</v>
      </c>
    </row>
    <row r="536" spans="1:4" x14ac:dyDescent="0.45">
      <c r="A536" t="s">
        <v>84</v>
      </c>
      <c r="B536">
        <v>2007</v>
      </c>
      <c r="C536" t="s">
        <v>54</v>
      </c>
      <c r="D536">
        <v>4.0701100000000006</v>
      </c>
    </row>
    <row r="537" spans="1:4" x14ac:dyDescent="0.45">
      <c r="A537" t="s">
        <v>84</v>
      </c>
      <c r="B537">
        <v>2008</v>
      </c>
      <c r="C537" t="s">
        <v>54</v>
      </c>
      <c r="D537">
        <v>5.69421</v>
      </c>
    </row>
    <row r="538" spans="1:4" x14ac:dyDescent="0.45">
      <c r="A538" t="s">
        <v>84</v>
      </c>
      <c r="B538">
        <v>2009</v>
      </c>
      <c r="C538" t="s">
        <v>54</v>
      </c>
      <c r="D538">
        <v>7.9115699999999993</v>
      </c>
    </row>
    <row r="539" spans="1:4" x14ac:dyDescent="0.45">
      <c r="A539" t="s">
        <v>84</v>
      </c>
      <c r="B539">
        <v>2010</v>
      </c>
      <c r="C539" t="s">
        <v>54</v>
      </c>
      <c r="D539">
        <v>9.9449900000000007</v>
      </c>
    </row>
    <row r="540" spans="1:4" x14ac:dyDescent="0.45">
      <c r="A540" t="s">
        <v>84</v>
      </c>
      <c r="B540">
        <v>2011</v>
      </c>
      <c r="C540" t="s">
        <v>54</v>
      </c>
      <c r="D540">
        <v>12.371619000000001</v>
      </c>
    </row>
    <row r="541" spans="1:4" x14ac:dyDescent="0.45">
      <c r="A541" t="s">
        <v>84</v>
      </c>
      <c r="B541">
        <v>2012</v>
      </c>
      <c r="C541" t="s">
        <v>54</v>
      </c>
      <c r="D541">
        <v>15.1784</v>
      </c>
    </row>
    <row r="542" spans="1:4" x14ac:dyDescent="0.45">
      <c r="A542" t="s">
        <v>84</v>
      </c>
      <c r="B542">
        <v>2013</v>
      </c>
      <c r="C542" t="s">
        <v>54</v>
      </c>
      <c r="D542">
        <v>16.137004999999998</v>
      </c>
    </row>
    <row r="543" spans="1:4" x14ac:dyDescent="0.45">
      <c r="A543" t="s">
        <v>84</v>
      </c>
      <c r="B543">
        <v>2014</v>
      </c>
      <c r="C543" t="s">
        <v>54</v>
      </c>
      <c r="D543">
        <v>17.323777</v>
      </c>
    </row>
    <row r="544" spans="1:4" x14ac:dyDescent="0.45">
      <c r="A544" t="s">
        <v>84</v>
      </c>
      <c r="B544">
        <v>2015</v>
      </c>
      <c r="C544" t="s">
        <v>54</v>
      </c>
      <c r="D544">
        <v>21.420601999999999</v>
      </c>
    </row>
    <row r="545" spans="1:4" x14ac:dyDescent="0.45">
      <c r="A545" t="s">
        <v>84</v>
      </c>
      <c r="B545">
        <v>2016</v>
      </c>
      <c r="C545" t="s">
        <v>54</v>
      </c>
      <c r="D545">
        <v>21.380984999999999</v>
      </c>
    </row>
    <row r="546" spans="1:4" x14ac:dyDescent="0.45">
      <c r="A546" t="s">
        <v>84</v>
      </c>
      <c r="B546">
        <v>2017</v>
      </c>
      <c r="C546" t="s">
        <v>54</v>
      </c>
      <c r="D546">
        <v>24.609437000000003</v>
      </c>
    </row>
    <row r="547" spans="1:4" x14ac:dyDescent="0.45">
      <c r="A547" t="s">
        <v>84</v>
      </c>
      <c r="B547">
        <v>2018</v>
      </c>
      <c r="C547" t="s">
        <v>54</v>
      </c>
      <c r="D547">
        <v>28.598595</v>
      </c>
    </row>
    <row r="548" spans="1:4" x14ac:dyDescent="0.45">
      <c r="A548" t="s">
        <v>84</v>
      </c>
      <c r="B548">
        <v>2019</v>
      </c>
      <c r="C548" t="s">
        <v>54</v>
      </c>
      <c r="D548">
        <v>34.721682999999999</v>
      </c>
    </row>
    <row r="549" spans="1:4" x14ac:dyDescent="0.45">
      <c r="A549" t="s">
        <v>84</v>
      </c>
      <c r="B549">
        <v>2020</v>
      </c>
      <c r="C549" t="s">
        <v>54</v>
      </c>
      <c r="D549">
        <v>40.045404000000005</v>
      </c>
    </row>
    <row r="550" spans="1:4" x14ac:dyDescent="0.45">
      <c r="A550" t="s">
        <v>84</v>
      </c>
      <c r="B550">
        <v>2021</v>
      </c>
      <c r="C550" t="s">
        <v>54</v>
      </c>
      <c r="D550">
        <v>37.119413000000002</v>
      </c>
    </row>
    <row r="551" spans="1:4" x14ac:dyDescent="0.45">
      <c r="A551" t="s">
        <v>84</v>
      </c>
      <c r="B551">
        <v>2022</v>
      </c>
      <c r="C551" t="s">
        <v>54</v>
      </c>
      <c r="D551">
        <v>38.004227</v>
      </c>
    </row>
    <row r="552" spans="1:4" x14ac:dyDescent="0.45">
      <c r="A552" t="s">
        <v>84</v>
      </c>
      <c r="B552">
        <v>2000</v>
      </c>
      <c r="C552" t="s">
        <v>54</v>
      </c>
      <c r="D552">
        <v>4.8159999999999994E-2</v>
      </c>
    </row>
    <row r="553" spans="1:4" x14ac:dyDescent="0.45">
      <c r="A553" t="s">
        <v>84</v>
      </c>
      <c r="B553">
        <v>2001</v>
      </c>
      <c r="C553" t="s">
        <v>54</v>
      </c>
      <c r="D553">
        <v>0.13124</v>
      </c>
    </row>
    <row r="554" spans="1:4" x14ac:dyDescent="0.45">
      <c r="A554" t="s">
        <v>85</v>
      </c>
      <c r="B554">
        <v>2018</v>
      </c>
      <c r="C554" t="s">
        <v>55</v>
      </c>
      <c r="D554">
        <v>1.2800000000000001E-2</v>
      </c>
    </row>
    <row r="555" spans="1:4" x14ac:dyDescent="0.45">
      <c r="A555" t="s">
        <v>85</v>
      </c>
      <c r="B555">
        <v>2019</v>
      </c>
      <c r="C555" t="s">
        <v>55</v>
      </c>
      <c r="D555">
        <v>1.43E-2</v>
      </c>
    </row>
    <row r="556" spans="1:4" x14ac:dyDescent="0.45">
      <c r="A556" t="s">
        <v>85</v>
      </c>
      <c r="B556">
        <v>2020</v>
      </c>
      <c r="C556" t="s">
        <v>55</v>
      </c>
      <c r="D556">
        <v>1.43E-2</v>
      </c>
    </row>
    <row r="557" spans="1:4" x14ac:dyDescent="0.45">
      <c r="A557" t="s">
        <v>85</v>
      </c>
      <c r="B557">
        <v>2021</v>
      </c>
      <c r="C557" t="s">
        <v>55</v>
      </c>
      <c r="D557">
        <v>1.43E-2</v>
      </c>
    </row>
    <row r="558" spans="1:4" x14ac:dyDescent="0.45">
      <c r="A558" t="s">
        <v>85</v>
      </c>
      <c r="B558">
        <v>2022</v>
      </c>
      <c r="C558" t="s">
        <v>55</v>
      </c>
      <c r="D558">
        <v>0.50080000000000002</v>
      </c>
    </row>
    <row r="559" spans="1:4" x14ac:dyDescent="0.45">
      <c r="A559" t="s">
        <v>85</v>
      </c>
      <c r="B559">
        <v>2023</v>
      </c>
      <c r="C559" t="s">
        <v>55</v>
      </c>
      <c r="D559">
        <v>1.4864999999999999</v>
      </c>
    </row>
    <row r="560" spans="1:4" x14ac:dyDescent="0.45">
      <c r="A560" t="s">
        <v>85</v>
      </c>
      <c r="B560">
        <v>2024</v>
      </c>
      <c r="C560" t="s">
        <v>55</v>
      </c>
      <c r="D560">
        <v>1.4864999999999999</v>
      </c>
    </row>
    <row r="561" spans="1:4" x14ac:dyDescent="0.45">
      <c r="A561" t="s">
        <v>85</v>
      </c>
      <c r="B561">
        <v>2011</v>
      </c>
      <c r="C561" t="s">
        <v>55</v>
      </c>
      <c r="D561">
        <v>1.0800000000000001E-2</v>
      </c>
    </row>
    <row r="562" spans="1:4" x14ac:dyDescent="0.45">
      <c r="A562" t="s">
        <v>85</v>
      </c>
      <c r="B562">
        <v>2012</v>
      </c>
      <c r="C562" t="s">
        <v>55</v>
      </c>
      <c r="D562">
        <v>1.0800000000000001E-2</v>
      </c>
    </row>
    <row r="563" spans="1:4" x14ac:dyDescent="0.45">
      <c r="A563" t="s">
        <v>85</v>
      </c>
      <c r="B563">
        <v>2013</v>
      </c>
      <c r="C563" t="s">
        <v>55</v>
      </c>
      <c r="D563">
        <v>1.0800000000000001E-2</v>
      </c>
    </row>
    <row r="564" spans="1:4" x14ac:dyDescent="0.45">
      <c r="A564" t="s">
        <v>85</v>
      </c>
      <c r="B564">
        <v>2014</v>
      </c>
      <c r="C564" t="s">
        <v>55</v>
      </c>
      <c r="D564">
        <v>1.0800000000000001E-2</v>
      </c>
    </row>
    <row r="565" spans="1:4" x14ac:dyDescent="0.45">
      <c r="A565" t="s">
        <v>85</v>
      </c>
      <c r="B565">
        <v>2015</v>
      </c>
      <c r="C565" t="s">
        <v>55</v>
      </c>
      <c r="D565">
        <v>1.0800000000000001E-2</v>
      </c>
    </row>
    <row r="566" spans="1:4" x14ac:dyDescent="0.45">
      <c r="A566" t="s">
        <v>85</v>
      </c>
      <c r="B566">
        <v>2016</v>
      </c>
      <c r="C566" t="s">
        <v>55</v>
      </c>
      <c r="D566">
        <v>1.0800000000000001E-2</v>
      </c>
    </row>
    <row r="567" spans="1:4" x14ac:dyDescent="0.45">
      <c r="A567" t="s">
        <v>85</v>
      </c>
      <c r="B567">
        <v>2017</v>
      </c>
      <c r="C567" t="s">
        <v>55</v>
      </c>
      <c r="D567">
        <v>1.0800000000000001E-2</v>
      </c>
    </row>
    <row r="568" spans="1:4" x14ac:dyDescent="0.45">
      <c r="A568" t="s">
        <v>50</v>
      </c>
      <c r="B568">
        <v>2018</v>
      </c>
      <c r="C568" t="s">
        <v>55</v>
      </c>
      <c r="D568">
        <v>0.82791400000000004</v>
      </c>
    </row>
    <row r="569" spans="1:4" x14ac:dyDescent="0.45">
      <c r="A569" t="s">
        <v>50</v>
      </c>
      <c r="B569">
        <v>2019</v>
      </c>
      <c r="C569" t="s">
        <v>55</v>
      </c>
      <c r="D569">
        <v>0.87468600000000007</v>
      </c>
    </row>
    <row r="570" spans="1:4" x14ac:dyDescent="0.45">
      <c r="A570" t="s">
        <v>50</v>
      </c>
      <c r="B570">
        <v>2020</v>
      </c>
      <c r="C570" t="s">
        <v>55</v>
      </c>
      <c r="D570">
        <v>0.80964999999999998</v>
      </c>
    </row>
    <row r="571" spans="1:4" x14ac:dyDescent="0.45">
      <c r="A571" t="s">
        <v>50</v>
      </c>
      <c r="B571">
        <v>2021</v>
      </c>
      <c r="C571" t="s">
        <v>55</v>
      </c>
      <c r="D571">
        <v>0.89884000000000008</v>
      </c>
    </row>
    <row r="572" spans="1:4" x14ac:dyDescent="0.45">
      <c r="A572" t="s">
        <v>50</v>
      </c>
      <c r="B572">
        <v>2022</v>
      </c>
      <c r="C572" t="s">
        <v>55</v>
      </c>
      <c r="D572">
        <v>0.91115000000000002</v>
      </c>
    </row>
    <row r="573" spans="1:4" x14ac:dyDescent="0.45">
      <c r="A573" t="s">
        <v>50</v>
      </c>
      <c r="B573">
        <v>2023</v>
      </c>
      <c r="C573" t="s">
        <v>55</v>
      </c>
      <c r="D573">
        <v>1.027439</v>
      </c>
    </row>
    <row r="574" spans="1:4" x14ac:dyDescent="0.45">
      <c r="A574" t="s">
        <v>50</v>
      </c>
      <c r="B574">
        <v>2024</v>
      </c>
      <c r="C574" t="s">
        <v>55</v>
      </c>
      <c r="D574">
        <v>2.2884389999999999</v>
      </c>
    </row>
    <row r="575" spans="1:4" x14ac:dyDescent="0.45">
      <c r="A575" t="s">
        <v>50</v>
      </c>
      <c r="B575">
        <v>2018</v>
      </c>
      <c r="C575" t="s">
        <v>55</v>
      </c>
      <c r="D575">
        <v>0.60668800000000001</v>
      </c>
    </row>
    <row r="576" spans="1:4" x14ac:dyDescent="0.45">
      <c r="A576" t="s">
        <v>50</v>
      </c>
      <c r="B576">
        <v>2019</v>
      </c>
      <c r="C576" t="s">
        <v>55</v>
      </c>
      <c r="D576">
        <v>0.60780000000000001</v>
      </c>
    </row>
    <row r="577" spans="1:4" x14ac:dyDescent="0.45">
      <c r="A577" t="s">
        <v>50</v>
      </c>
      <c r="B577">
        <v>2020</v>
      </c>
      <c r="C577" t="s">
        <v>55</v>
      </c>
      <c r="D577">
        <v>0.55477599999999994</v>
      </c>
    </row>
    <row r="578" spans="1:4" x14ac:dyDescent="0.45">
      <c r="A578" t="s">
        <v>50</v>
      </c>
      <c r="B578">
        <v>2021</v>
      </c>
      <c r="C578" t="s">
        <v>55</v>
      </c>
      <c r="D578">
        <v>0.56581199999999998</v>
      </c>
    </row>
    <row r="579" spans="1:4" x14ac:dyDescent="0.45">
      <c r="A579" t="s">
        <v>50</v>
      </c>
      <c r="B579">
        <v>2022</v>
      </c>
      <c r="C579" t="s">
        <v>55</v>
      </c>
      <c r="D579">
        <v>0.57664000000000004</v>
      </c>
    </row>
    <row r="580" spans="1:4" x14ac:dyDescent="0.45">
      <c r="A580" t="s">
        <v>50</v>
      </c>
      <c r="B580">
        <v>2023</v>
      </c>
      <c r="C580" t="s">
        <v>55</v>
      </c>
      <c r="D580">
        <v>0.486014</v>
      </c>
    </row>
    <row r="581" spans="1:4" x14ac:dyDescent="0.45">
      <c r="A581" t="s">
        <v>50</v>
      </c>
      <c r="B581">
        <v>2024</v>
      </c>
      <c r="C581" t="s">
        <v>55</v>
      </c>
      <c r="D581">
        <v>0.486014</v>
      </c>
    </row>
    <row r="582" spans="1:4" x14ac:dyDescent="0.45">
      <c r="A582" t="s">
        <v>50</v>
      </c>
      <c r="B582">
        <v>2018</v>
      </c>
      <c r="C582" t="s">
        <v>55</v>
      </c>
      <c r="D582">
        <v>5.0000000000000002E-5</v>
      </c>
    </row>
    <row r="583" spans="1:4" x14ac:dyDescent="0.45">
      <c r="A583" t="s">
        <v>50</v>
      </c>
      <c r="B583">
        <v>2019</v>
      </c>
      <c r="C583" t="s">
        <v>55</v>
      </c>
      <c r="D583">
        <v>1.3800000000000002E-4</v>
      </c>
    </row>
    <row r="584" spans="1:4" x14ac:dyDescent="0.45">
      <c r="A584" t="s">
        <v>50</v>
      </c>
      <c r="B584">
        <v>2020</v>
      </c>
      <c r="C584" t="s">
        <v>55</v>
      </c>
      <c r="D584">
        <v>1.457E-2</v>
      </c>
    </row>
    <row r="585" spans="1:4" x14ac:dyDescent="0.45">
      <c r="A585" t="s">
        <v>50</v>
      </c>
      <c r="B585">
        <v>2021</v>
      </c>
      <c r="C585" t="s">
        <v>55</v>
      </c>
      <c r="D585">
        <v>9.7479999999999997E-3</v>
      </c>
    </row>
    <row r="586" spans="1:4" x14ac:dyDescent="0.45">
      <c r="A586" t="s">
        <v>50</v>
      </c>
      <c r="B586">
        <v>2022</v>
      </c>
      <c r="C586" t="s">
        <v>55</v>
      </c>
      <c r="D586">
        <v>1.0746E-2</v>
      </c>
    </row>
    <row r="587" spans="1:4" x14ac:dyDescent="0.45">
      <c r="A587" t="s">
        <v>50</v>
      </c>
      <c r="B587">
        <v>2023</v>
      </c>
      <c r="C587" t="s">
        <v>55</v>
      </c>
      <c r="D587">
        <v>6.0060000000000001E-3</v>
      </c>
    </row>
    <row r="588" spans="1:4" x14ac:dyDescent="0.45">
      <c r="A588" t="s">
        <v>50</v>
      </c>
      <c r="B588">
        <v>2024</v>
      </c>
      <c r="C588" t="s">
        <v>55</v>
      </c>
      <c r="D588">
        <v>6.0060000000000001E-3</v>
      </c>
    </row>
    <row r="589" spans="1:4" x14ac:dyDescent="0.45">
      <c r="A589" t="s">
        <v>50</v>
      </c>
      <c r="B589">
        <v>2018</v>
      </c>
      <c r="C589" t="s">
        <v>55</v>
      </c>
      <c r="D589">
        <v>0.48985899999999999</v>
      </c>
    </row>
    <row r="590" spans="1:4" x14ac:dyDescent="0.45">
      <c r="A590" t="s">
        <v>50</v>
      </c>
      <c r="B590">
        <v>2019</v>
      </c>
      <c r="C590" t="s">
        <v>55</v>
      </c>
      <c r="D590">
        <v>0.52553899999999998</v>
      </c>
    </row>
    <row r="591" spans="1:4" x14ac:dyDescent="0.45">
      <c r="A591" t="s">
        <v>50</v>
      </c>
      <c r="B591">
        <v>2020</v>
      </c>
      <c r="C591" t="s">
        <v>55</v>
      </c>
      <c r="D591">
        <v>0.552782</v>
      </c>
    </row>
    <row r="592" spans="1:4" x14ac:dyDescent="0.45">
      <c r="A592" t="s">
        <v>50</v>
      </c>
      <c r="B592">
        <v>2021</v>
      </c>
      <c r="C592" t="s">
        <v>55</v>
      </c>
      <c r="D592">
        <v>0.57195600000000002</v>
      </c>
    </row>
    <row r="593" spans="1:4" x14ac:dyDescent="0.45">
      <c r="A593" t="s">
        <v>50</v>
      </c>
      <c r="B593">
        <v>2022</v>
      </c>
      <c r="C593" t="s">
        <v>55</v>
      </c>
      <c r="D593">
        <v>0.56000000000000005</v>
      </c>
    </row>
    <row r="594" spans="1:4" x14ac:dyDescent="0.45">
      <c r="A594" t="s">
        <v>50</v>
      </c>
      <c r="B594">
        <v>2023</v>
      </c>
      <c r="C594" t="s">
        <v>55</v>
      </c>
      <c r="D594">
        <v>0.57099999999999995</v>
      </c>
    </row>
    <row r="595" spans="1:4" x14ac:dyDescent="0.45">
      <c r="A595" t="s">
        <v>50</v>
      </c>
      <c r="B595">
        <v>2024</v>
      </c>
      <c r="C595" t="s">
        <v>55</v>
      </c>
      <c r="D595">
        <v>0.57099999999999995</v>
      </c>
    </row>
    <row r="596" spans="1:4" x14ac:dyDescent="0.45">
      <c r="A596" t="s">
        <v>50</v>
      </c>
      <c r="B596">
        <v>2011</v>
      </c>
      <c r="C596" t="s">
        <v>55</v>
      </c>
      <c r="D596">
        <v>0.331845</v>
      </c>
    </row>
    <row r="597" spans="1:4" x14ac:dyDescent="0.45">
      <c r="A597" t="s">
        <v>50</v>
      </c>
      <c r="B597">
        <v>2012</v>
      </c>
      <c r="C597" t="s">
        <v>55</v>
      </c>
      <c r="D597">
        <v>0.361873</v>
      </c>
    </row>
    <row r="598" spans="1:4" x14ac:dyDescent="0.45">
      <c r="A598" t="s">
        <v>50</v>
      </c>
      <c r="B598">
        <v>2013</v>
      </c>
      <c r="C598" t="s">
        <v>55</v>
      </c>
      <c r="D598">
        <v>0.45027800000000001</v>
      </c>
    </row>
    <row r="599" spans="1:4" x14ac:dyDescent="0.45">
      <c r="A599" t="s">
        <v>50</v>
      </c>
      <c r="B599">
        <v>2014</v>
      </c>
      <c r="C599" t="s">
        <v>55</v>
      </c>
      <c r="D599">
        <v>0.46410199999999996</v>
      </c>
    </row>
    <row r="600" spans="1:4" x14ac:dyDescent="0.45">
      <c r="A600" t="s">
        <v>50</v>
      </c>
      <c r="B600">
        <v>2015</v>
      </c>
      <c r="C600" t="s">
        <v>55</v>
      </c>
      <c r="D600">
        <v>0.52785700000000002</v>
      </c>
    </row>
    <row r="601" spans="1:4" x14ac:dyDescent="0.45">
      <c r="A601" t="s">
        <v>50</v>
      </c>
      <c r="B601">
        <v>2016</v>
      </c>
      <c r="C601" t="s">
        <v>55</v>
      </c>
      <c r="D601">
        <v>0.61156500000000003</v>
      </c>
    </row>
    <row r="602" spans="1:4" x14ac:dyDescent="0.45">
      <c r="A602" t="s">
        <v>50</v>
      </c>
      <c r="B602">
        <v>2017</v>
      </c>
      <c r="C602" t="s">
        <v>55</v>
      </c>
      <c r="D602">
        <v>0.62415200000000004</v>
      </c>
    </row>
    <row r="603" spans="1:4" x14ac:dyDescent="0.45">
      <c r="A603" t="s">
        <v>50</v>
      </c>
      <c r="B603">
        <v>2011</v>
      </c>
      <c r="C603" t="s">
        <v>55</v>
      </c>
      <c r="D603">
        <v>0.62316800000000006</v>
      </c>
    </row>
    <row r="604" spans="1:4" x14ac:dyDescent="0.45">
      <c r="A604" t="s">
        <v>50</v>
      </c>
      <c r="B604">
        <v>2012</v>
      </c>
      <c r="C604" t="s">
        <v>55</v>
      </c>
      <c r="D604">
        <v>0.65028399999999997</v>
      </c>
    </row>
    <row r="605" spans="1:4" x14ac:dyDescent="0.45">
      <c r="A605" t="s">
        <v>50</v>
      </c>
      <c r="B605">
        <v>2013</v>
      </c>
      <c r="C605" t="s">
        <v>55</v>
      </c>
      <c r="D605">
        <v>0.64563000000000004</v>
      </c>
    </row>
    <row r="606" spans="1:4" x14ac:dyDescent="0.45">
      <c r="A606" t="s">
        <v>50</v>
      </c>
      <c r="B606">
        <v>2014</v>
      </c>
      <c r="C606" t="s">
        <v>55</v>
      </c>
      <c r="D606">
        <v>0.643092</v>
      </c>
    </row>
    <row r="607" spans="1:4" x14ac:dyDescent="0.45">
      <c r="A607" t="s">
        <v>50</v>
      </c>
      <c r="B607">
        <v>2015</v>
      </c>
      <c r="C607" t="s">
        <v>55</v>
      </c>
      <c r="D607">
        <v>0.60240899999999997</v>
      </c>
    </row>
    <row r="608" spans="1:4" x14ac:dyDescent="0.45">
      <c r="A608" t="s">
        <v>50</v>
      </c>
      <c r="B608">
        <v>2016</v>
      </c>
      <c r="C608" t="s">
        <v>55</v>
      </c>
      <c r="D608">
        <v>0.61924599999999996</v>
      </c>
    </row>
    <row r="609" spans="1:4" x14ac:dyDescent="0.45">
      <c r="A609" t="s">
        <v>50</v>
      </c>
      <c r="B609">
        <v>2017</v>
      </c>
      <c r="C609" t="s">
        <v>55</v>
      </c>
      <c r="D609">
        <v>0.62384699999999993</v>
      </c>
    </row>
    <row r="610" spans="1:4" x14ac:dyDescent="0.45">
      <c r="A610" t="s">
        <v>50</v>
      </c>
      <c r="B610">
        <v>2015</v>
      </c>
      <c r="C610" t="s">
        <v>55</v>
      </c>
      <c r="D610">
        <v>2.6869999999999997E-3</v>
      </c>
    </row>
    <row r="611" spans="1:4" x14ac:dyDescent="0.45">
      <c r="A611" t="s">
        <v>50</v>
      </c>
      <c r="B611">
        <v>2016</v>
      </c>
      <c r="C611" t="s">
        <v>55</v>
      </c>
      <c r="D611">
        <v>3.65E-3</v>
      </c>
    </row>
    <row r="612" spans="1:4" x14ac:dyDescent="0.45">
      <c r="A612" t="s">
        <v>50</v>
      </c>
      <c r="B612">
        <v>2017</v>
      </c>
      <c r="C612" t="s">
        <v>55</v>
      </c>
      <c r="D612">
        <v>1.2799999999999999E-4</v>
      </c>
    </row>
    <row r="613" spans="1:4" x14ac:dyDescent="0.45">
      <c r="A613" t="s">
        <v>50</v>
      </c>
      <c r="B613">
        <v>2011</v>
      </c>
      <c r="C613" t="s">
        <v>55</v>
      </c>
      <c r="D613">
        <v>0.21992300000000001</v>
      </c>
    </row>
    <row r="614" spans="1:4" x14ac:dyDescent="0.45">
      <c r="A614" t="s">
        <v>50</v>
      </c>
      <c r="B614">
        <v>2012</v>
      </c>
      <c r="C614" t="s">
        <v>55</v>
      </c>
      <c r="D614">
        <v>0.26889100000000005</v>
      </c>
    </row>
    <row r="615" spans="1:4" x14ac:dyDescent="0.45">
      <c r="A615" t="s">
        <v>50</v>
      </c>
      <c r="B615">
        <v>2013</v>
      </c>
      <c r="C615" t="s">
        <v>55</v>
      </c>
      <c r="D615">
        <v>0.31204799999999999</v>
      </c>
    </row>
    <row r="616" spans="1:4" x14ac:dyDescent="0.45">
      <c r="A616" t="s">
        <v>50</v>
      </c>
      <c r="B616">
        <v>2014</v>
      </c>
      <c r="C616" t="s">
        <v>55</v>
      </c>
      <c r="D616">
        <v>0.35606700000000002</v>
      </c>
    </row>
    <row r="617" spans="1:4" x14ac:dyDescent="0.45">
      <c r="A617" t="s">
        <v>50</v>
      </c>
      <c r="B617">
        <v>2015</v>
      </c>
      <c r="C617" t="s">
        <v>55</v>
      </c>
      <c r="D617">
        <v>0.39832400000000001</v>
      </c>
    </row>
    <row r="618" spans="1:4" x14ac:dyDescent="0.45">
      <c r="A618" t="s">
        <v>50</v>
      </c>
      <c r="B618">
        <v>2016</v>
      </c>
      <c r="C618" t="s">
        <v>55</v>
      </c>
      <c r="D618">
        <v>0.42621199999999998</v>
      </c>
    </row>
    <row r="619" spans="1:4" x14ac:dyDescent="0.45">
      <c r="A619" t="s">
        <v>50</v>
      </c>
      <c r="B619">
        <v>2017</v>
      </c>
      <c r="C619" t="s">
        <v>55</v>
      </c>
      <c r="D619">
        <v>0.464314</v>
      </c>
    </row>
    <row r="620" spans="1:4" x14ac:dyDescent="0.45">
      <c r="A620" t="s">
        <v>50</v>
      </c>
      <c r="B620">
        <v>2004</v>
      </c>
      <c r="C620" t="s">
        <v>55</v>
      </c>
      <c r="D620">
        <v>0.20200000000000001</v>
      </c>
    </row>
    <row r="621" spans="1:4" x14ac:dyDescent="0.45">
      <c r="A621" t="s">
        <v>50</v>
      </c>
      <c r="B621">
        <v>2005</v>
      </c>
      <c r="C621" t="s">
        <v>55</v>
      </c>
      <c r="D621">
        <v>0.21099999999999999</v>
      </c>
    </row>
    <row r="622" spans="1:4" x14ac:dyDescent="0.45">
      <c r="A622" t="s">
        <v>50</v>
      </c>
      <c r="B622">
        <v>2006</v>
      </c>
      <c r="C622" t="s">
        <v>55</v>
      </c>
      <c r="D622">
        <v>0.21299999999999999</v>
      </c>
    </row>
    <row r="623" spans="1:4" x14ac:dyDescent="0.45">
      <c r="A623" t="s">
        <v>50</v>
      </c>
      <c r="B623">
        <v>2007</v>
      </c>
      <c r="C623" t="s">
        <v>55</v>
      </c>
      <c r="D623">
        <v>0.245</v>
      </c>
    </row>
    <row r="624" spans="1:4" x14ac:dyDescent="0.45">
      <c r="A624" t="s">
        <v>50</v>
      </c>
      <c r="B624">
        <v>2008</v>
      </c>
      <c r="C624" t="s">
        <v>55</v>
      </c>
      <c r="D624">
        <v>0.251</v>
      </c>
    </row>
    <row r="625" spans="1:4" x14ac:dyDescent="0.45">
      <c r="A625" t="s">
        <v>50</v>
      </c>
      <c r="B625">
        <v>2009</v>
      </c>
      <c r="C625" t="s">
        <v>55</v>
      </c>
      <c r="D625">
        <v>0.248</v>
      </c>
    </row>
    <row r="626" spans="1:4" x14ac:dyDescent="0.45">
      <c r="A626" t="s">
        <v>50</v>
      </c>
      <c r="B626">
        <v>2010</v>
      </c>
      <c r="C626" t="s">
        <v>55</v>
      </c>
      <c r="D626">
        <v>0.35299999999999998</v>
      </c>
    </row>
    <row r="627" spans="1:4" x14ac:dyDescent="0.45">
      <c r="A627" t="s">
        <v>50</v>
      </c>
      <c r="B627">
        <v>2004</v>
      </c>
      <c r="C627" t="s">
        <v>55</v>
      </c>
      <c r="D627">
        <v>0.33050000000000002</v>
      </c>
    </row>
    <row r="628" spans="1:4" x14ac:dyDescent="0.45">
      <c r="A628" t="s">
        <v>50</v>
      </c>
      <c r="B628">
        <v>2005</v>
      </c>
      <c r="C628" t="s">
        <v>55</v>
      </c>
      <c r="D628">
        <v>0.33800000000000002</v>
      </c>
    </row>
    <row r="629" spans="1:4" x14ac:dyDescent="0.45">
      <c r="A629" t="s">
        <v>50</v>
      </c>
      <c r="B629">
        <v>2006</v>
      </c>
      <c r="C629" t="s">
        <v>55</v>
      </c>
      <c r="D629">
        <v>0.36449999999999999</v>
      </c>
    </row>
    <row r="630" spans="1:4" x14ac:dyDescent="0.45">
      <c r="A630" t="s">
        <v>50</v>
      </c>
      <c r="B630">
        <v>2007</v>
      </c>
      <c r="C630" t="s">
        <v>55</v>
      </c>
      <c r="D630">
        <v>0.372</v>
      </c>
    </row>
    <row r="631" spans="1:4" x14ac:dyDescent="0.45">
      <c r="A631" t="s">
        <v>50</v>
      </c>
      <c r="B631">
        <v>2008</v>
      </c>
      <c r="C631" t="s">
        <v>55</v>
      </c>
      <c r="D631">
        <v>0.40949999999999998</v>
      </c>
    </row>
    <row r="632" spans="1:4" x14ac:dyDescent="0.45">
      <c r="A632" t="s">
        <v>50</v>
      </c>
      <c r="B632">
        <v>2009</v>
      </c>
      <c r="C632" t="s">
        <v>55</v>
      </c>
      <c r="D632">
        <v>0.41049999999999998</v>
      </c>
    </row>
    <row r="633" spans="1:4" x14ac:dyDescent="0.45">
      <c r="A633" t="s">
        <v>50</v>
      </c>
      <c r="B633">
        <v>2010</v>
      </c>
      <c r="C633" t="s">
        <v>55</v>
      </c>
      <c r="D633">
        <v>0.40350000000000003</v>
      </c>
    </row>
    <row r="634" spans="1:4" x14ac:dyDescent="0.45">
      <c r="A634" t="s">
        <v>50</v>
      </c>
      <c r="B634">
        <v>2004</v>
      </c>
      <c r="C634" t="s">
        <v>55</v>
      </c>
      <c r="D634">
        <v>7.2999999999999995E-2</v>
      </c>
    </row>
    <row r="635" spans="1:4" x14ac:dyDescent="0.45">
      <c r="A635" t="s">
        <v>50</v>
      </c>
      <c r="B635">
        <v>2005</v>
      </c>
      <c r="C635" t="s">
        <v>55</v>
      </c>
      <c r="D635">
        <v>8.4000000000000005E-2</v>
      </c>
    </row>
    <row r="636" spans="1:4" x14ac:dyDescent="0.45">
      <c r="A636" t="s">
        <v>50</v>
      </c>
      <c r="B636">
        <v>2006</v>
      </c>
      <c r="C636" t="s">
        <v>55</v>
      </c>
      <c r="D636">
        <v>0.09</v>
      </c>
    </row>
    <row r="637" spans="1:4" x14ac:dyDescent="0.45">
      <c r="A637" t="s">
        <v>50</v>
      </c>
      <c r="B637">
        <v>2007</v>
      </c>
      <c r="C637" t="s">
        <v>55</v>
      </c>
      <c r="D637">
        <v>0.107</v>
      </c>
    </row>
    <row r="638" spans="1:4" x14ac:dyDescent="0.45">
      <c r="A638" t="s">
        <v>50</v>
      </c>
      <c r="B638">
        <v>2008</v>
      </c>
      <c r="C638" t="s">
        <v>55</v>
      </c>
      <c r="D638">
        <v>0.127</v>
      </c>
    </row>
    <row r="639" spans="1:4" x14ac:dyDescent="0.45">
      <c r="A639" t="s">
        <v>50</v>
      </c>
      <c r="B639">
        <v>2009</v>
      </c>
      <c r="C639" t="s">
        <v>55</v>
      </c>
      <c r="D639">
        <v>0.159</v>
      </c>
    </row>
    <row r="640" spans="1:4" x14ac:dyDescent="0.45">
      <c r="A640" t="s">
        <v>50</v>
      </c>
      <c r="B640">
        <v>2010</v>
      </c>
      <c r="C640" t="s">
        <v>55</v>
      </c>
      <c r="D640">
        <v>0.17100000000000001</v>
      </c>
    </row>
    <row r="641" spans="1:4" x14ac:dyDescent="0.45">
      <c r="A641" t="s">
        <v>50</v>
      </c>
      <c r="B641">
        <v>2000</v>
      </c>
      <c r="C641" t="s">
        <v>55</v>
      </c>
      <c r="D641">
        <v>0.182</v>
      </c>
    </row>
    <row r="642" spans="1:4" x14ac:dyDescent="0.45">
      <c r="A642" t="s">
        <v>50</v>
      </c>
      <c r="B642">
        <v>2001</v>
      </c>
      <c r="C642" t="s">
        <v>55</v>
      </c>
      <c r="D642">
        <v>0.189</v>
      </c>
    </row>
    <row r="643" spans="1:4" x14ac:dyDescent="0.45">
      <c r="A643" t="s">
        <v>50</v>
      </c>
      <c r="B643">
        <v>2002</v>
      </c>
      <c r="C643" t="s">
        <v>55</v>
      </c>
      <c r="D643">
        <v>0.19</v>
      </c>
    </row>
    <row r="644" spans="1:4" x14ac:dyDescent="0.45">
      <c r="A644" t="s">
        <v>50</v>
      </c>
      <c r="B644">
        <v>2003</v>
      </c>
      <c r="C644" t="s">
        <v>55</v>
      </c>
      <c r="D644">
        <v>0.19</v>
      </c>
    </row>
    <row r="645" spans="1:4" x14ac:dyDescent="0.45">
      <c r="A645" t="s">
        <v>50</v>
      </c>
      <c r="B645">
        <v>2000</v>
      </c>
      <c r="C645" t="s">
        <v>55</v>
      </c>
      <c r="D645">
        <v>0.216</v>
      </c>
    </row>
    <row r="646" spans="1:4" x14ac:dyDescent="0.45">
      <c r="A646" t="s">
        <v>50</v>
      </c>
      <c r="B646">
        <v>2001</v>
      </c>
      <c r="C646" t="s">
        <v>55</v>
      </c>
      <c r="D646">
        <v>0.23499999999999999</v>
      </c>
    </row>
    <row r="647" spans="1:4" x14ac:dyDescent="0.45">
      <c r="A647" t="s">
        <v>50</v>
      </c>
      <c r="B647">
        <v>2002</v>
      </c>
      <c r="C647" t="s">
        <v>55</v>
      </c>
      <c r="D647">
        <v>0.27250000000000002</v>
      </c>
    </row>
    <row r="648" spans="1:4" x14ac:dyDescent="0.45">
      <c r="A648" t="s">
        <v>50</v>
      </c>
      <c r="B648">
        <v>2003</v>
      </c>
      <c r="C648" t="s">
        <v>55</v>
      </c>
      <c r="D648">
        <v>0.29249999999999998</v>
      </c>
    </row>
    <row r="649" spans="1:4" x14ac:dyDescent="0.45">
      <c r="A649" t="s">
        <v>50</v>
      </c>
      <c r="B649">
        <v>2000</v>
      </c>
      <c r="C649" t="s">
        <v>55</v>
      </c>
      <c r="D649">
        <v>3.4000000000000002E-2</v>
      </c>
    </row>
    <row r="650" spans="1:4" x14ac:dyDescent="0.45">
      <c r="A650" t="s">
        <v>50</v>
      </c>
      <c r="B650">
        <v>2001</v>
      </c>
      <c r="C650" t="s">
        <v>55</v>
      </c>
      <c r="D650">
        <v>3.5000000000000003E-2</v>
      </c>
    </row>
    <row r="651" spans="1:4" x14ac:dyDescent="0.45">
      <c r="A651" t="s">
        <v>50</v>
      </c>
      <c r="B651">
        <v>2002</v>
      </c>
      <c r="C651" t="s">
        <v>55</v>
      </c>
      <c r="D651">
        <v>6.6000000000000003E-2</v>
      </c>
    </row>
    <row r="652" spans="1:4" x14ac:dyDescent="0.45">
      <c r="A652" t="s">
        <v>50</v>
      </c>
      <c r="B652">
        <v>2003</v>
      </c>
      <c r="C652" t="s">
        <v>55</v>
      </c>
      <c r="D652">
        <v>6.9000000000000006E-2</v>
      </c>
    </row>
    <row r="653" spans="1:4" x14ac:dyDescent="0.45">
      <c r="A653" t="s">
        <v>50</v>
      </c>
      <c r="B653">
        <v>2002</v>
      </c>
      <c r="C653" t="s">
        <v>54</v>
      </c>
      <c r="D653">
        <v>1.109</v>
      </c>
    </row>
    <row r="654" spans="1:4" x14ac:dyDescent="0.45">
      <c r="A654" t="s">
        <v>50</v>
      </c>
      <c r="B654">
        <v>2003</v>
      </c>
      <c r="C654" t="s">
        <v>54</v>
      </c>
      <c r="D654">
        <v>1.133</v>
      </c>
    </row>
    <row r="655" spans="1:4" x14ac:dyDescent="0.45">
      <c r="A655" t="s">
        <v>50</v>
      </c>
      <c r="B655">
        <v>2004</v>
      </c>
      <c r="C655" t="s">
        <v>54</v>
      </c>
      <c r="D655">
        <v>1.1279999999999999</v>
      </c>
    </row>
    <row r="656" spans="1:4" x14ac:dyDescent="0.45">
      <c r="A656" t="s">
        <v>50</v>
      </c>
      <c r="B656">
        <v>2005</v>
      </c>
      <c r="C656" t="s">
        <v>54</v>
      </c>
      <c r="D656">
        <v>1.254</v>
      </c>
    </row>
    <row r="657" spans="1:4" x14ac:dyDescent="0.45">
      <c r="A657" t="s">
        <v>50</v>
      </c>
      <c r="B657">
        <v>2006</v>
      </c>
      <c r="C657" t="s">
        <v>54</v>
      </c>
      <c r="D657">
        <v>1.2470000000000001</v>
      </c>
    </row>
    <row r="658" spans="1:4" x14ac:dyDescent="0.45">
      <c r="A658" t="s">
        <v>50</v>
      </c>
      <c r="B658">
        <v>2007</v>
      </c>
      <c r="C658" t="s">
        <v>54</v>
      </c>
      <c r="D658">
        <v>1.3540000000000001</v>
      </c>
    </row>
    <row r="659" spans="1:4" x14ac:dyDescent="0.45">
      <c r="A659" t="s">
        <v>50</v>
      </c>
      <c r="B659">
        <v>2008</v>
      </c>
      <c r="C659" t="s">
        <v>54</v>
      </c>
      <c r="D659">
        <v>1.413</v>
      </c>
    </row>
    <row r="660" spans="1:4" x14ac:dyDescent="0.45">
      <c r="A660" t="s">
        <v>50</v>
      </c>
      <c r="B660">
        <v>2009</v>
      </c>
      <c r="C660" t="s">
        <v>54</v>
      </c>
      <c r="D660">
        <v>1.2350000000000001</v>
      </c>
    </row>
    <row r="661" spans="1:4" x14ac:dyDescent="0.45">
      <c r="A661" t="s">
        <v>50</v>
      </c>
      <c r="B661">
        <v>2010</v>
      </c>
      <c r="C661" t="s">
        <v>54</v>
      </c>
      <c r="D661">
        <v>1.4630000000000001</v>
      </c>
    </row>
    <row r="662" spans="1:4" x14ac:dyDescent="0.45">
      <c r="A662" t="s">
        <v>50</v>
      </c>
      <c r="B662">
        <v>2011</v>
      </c>
      <c r="C662" t="s">
        <v>54</v>
      </c>
      <c r="D662">
        <v>1.808595</v>
      </c>
    </row>
    <row r="663" spans="1:4" x14ac:dyDescent="0.45">
      <c r="A663" t="s">
        <v>50</v>
      </c>
      <c r="B663">
        <v>2012</v>
      </c>
      <c r="C663" t="s">
        <v>54</v>
      </c>
      <c r="D663">
        <v>1.852805</v>
      </c>
    </row>
    <row r="664" spans="1:4" x14ac:dyDescent="0.45">
      <c r="A664" t="s">
        <v>50</v>
      </c>
      <c r="B664">
        <v>2013</v>
      </c>
      <c r="C664" t="s">
        <v>54</v>
      </c>
      <c r="D664">
        <v>2.0118240000000003</v>
      </c>
    </row>
    <row r="665" spans="1:4" x14ac:dyDescent="0.45">
      <c r="A665" t="s">
        <v>50</v>
      </c>
      <c r="B665">
        <v>2014</v>
      </c>
      <c r="C665" t="s">
        <v>54</v>
      </c>
      <c r="D665">
        <v>2.3075100000000002</v>
      </c>
    </row>
    <row r="666" spans="1:4" x14ac:dyDescent="0.45">
      <c r="A666" t="s">
        <v>50</v>
      </c>
      <c r="B666">
        <v>2015</v>
      </c>
      <c r="C666" t="s">
        <v>54</v>
      </c>
      <c r="D666">
        <v>2.6652220000000004</v>
      </c>
    </row>
    <row r="667" spans="1:4" x14ac:dyDescent="0.45">
      <c r="A667" t="s">
        <v>50</v>
      </c>
      <c r="B667">
        <v>2016</v>
      </c>
      <c r="C667" t="s">
        <v>54</v>
      </c>
      <c r="D667">
        <v>3.407727</v>
      </c>
    </row>
    <row r="668" spans="1:4" x14ac:dyDescent="0.45">
      <c r="A668" t="s">
        <v>50</v>
      </c>
      <c r="B668">
        <v>2017</v>
      </c>
      <c r="C668" t="s">
        <v>54</v>
      </c>
      <c r="D668">
        <v>3.4622139999999999</v>
      </c>
    </row>
    <row r="669" spans="1:4" x14ac:dyDescent="0.45">
      <c r="A669" t="s">
        <v>50</v>
      </c>
      <c r="B669">
        <v>2018</v>
      </c>
      <c r="C669" t="s">
        <v>54</v>
      </c>
      <c r="D669">
        <v>3.8061350000000003</v>
      </c>
    </row>
    <row r="670" spans="1:4" x14ac:dyDescent="0.45">
      <c r="A670" t="s">
        <v>50</v>
      </c>
      <c r="B670">
        <v>2019</v>
      </c>
      <c r="C670" t="s">
        <v>54</v>
      </c>
      <c r="D670">
        <v>3.881748</v>
      </c>
    </row>
    <row r="671" spans="1:4" x14ac:dyDescent="0.45">
      <c r="A671" t="s">
        <v>50</v>
      </c>
      <c r="B671">
        <v>2020</v>
      </c>
      <c r="C671" t="s">
        <v>54</v>
      </c>
      <c r="D671">
        <v>3.854492</v>
      </c>
    </row>
    <row r="672" spans="1:4" x14ac:dyDescent="0.45">
      <c r="A672" t="s">
        <v>50</v>
      </c>
      <c r="B672">
        <v>2021</v>
      </c>
      <c r="C672" t="s">
        <v>54</v>
      </c>
      <c r="D672">
        <v>4.4233400000000005</v>
      </c>
    </row>
    <row r="673" spans="1:4" x14ac:dyDescent="0.45">
      <c r="A673" t="s">
        <v>50</v>
      </c>
      <c r="B673">
        <v>2022</v>
      </c>
      <c r="C673" t="s">
        <v>54</v>
      </c>
      <c r="D673">
        <v>4.6743410000000001</v>
      </c>
    </row>
    <row r="674" spans="1:4" x14ac:dyDescent="0.45">
      <c r="A674" t="s">
        <v>50</v>
      </c>
      <c r="B674">
        <v>2002</v>
      </c>
      <c r="C674" t="s">
        <v>54</v>
      </c>
      <c r="D674">
        <v>1.5369999999999999</v>
      </c>
    </row>
    <row r="675" spans="1:4" x14ac:dyDescent="0.45">
      <c r="A675" t="s">
        <v>50</v>
      </c>
      <c r="B675">
        <v>2003</v>
      </c>
      <c r="C675" t="s">
        <v>54</v>
      </c>
      <c r="D675">
        <v>1.647</v>
      </c>
    </row>
    <row r="676" spans="1:4" x14ac:dyDescent="0.45">
      <c r="A676" t="s">
        <v>50</v>
      </c>
      <c r="B676">
        <v>2004</v>
      </c>
      <c r="C676" t="s">
        <v>54</v>
      </c>
      <c r="D676">
        <v>1.7170000000000001</v>
      </c>
    </row>
    <row r="677" spans="1:4" x14ac:dyDescent="0.45">
      <c r="A677" t="s">
        <v>50</v>
      </c>
      <c r="B677">
        <v>2005</v>
      </c>
      <c r="C677" t="s">
        <v>54</v>
      </c>
      <c r="D677">
        <v>1.657</v>
      </c>
    </row>
    <row r="678" spans="1:4" x14ac:dyDescent="0.45">
      <c r="A678" t="s">
        <v>50</v>
      </c>
      <c r="B678">
        <v>2006</v>
      </c>
      <c r="C678" t="s">
        <v>54</v>
      </c>
      <c r="D678">
        <v>1.605</v>
      </c>
    </row>
    <row r="679" spans="1:4" x14ac:dyDescent="0.45">
      <c r="A679" t="s">
        <v>50</v>
      </c>
      <c r="B679">
        <v>2007</v>
      </c>
      <c r="C679" t="s">
        <v>54</v>
      </c>
      <c r="D679">
        <v>1.776</v>
      </c>
    </row>
    <row r="680" spans="1:4" x14ac:dyDescent="0.45">
      <c r="A680" t="s">
        <v>50</v>
      </c>
      <c r="B680">
        <v>2008</v>
      </c>
      <c r="C680" t="s">
        <v>54</v>
      </c>
      <c r="D680">
        <v>1.863</v>
      </c>
    </row>
    <row r="681" spans="1:4" x14ac:dyDescent="0.45">
      <c r="A681" t="s">
        <v>50</v>
      </c>
      <c r="B681">
        <v>2009</v>
      </c>
      <c r="C681" t="s">
        <v>54</v>
      </c>
      <c r="D681">
        <v>2.02</v>
      </c>
    </row>
    <row r="682" spans="1:4" x14ac:dyDescent="0.45">
      <c r="A682" t="s">
        <v>50</v>
      </c>
      <c r="B682">
        <v>2010</v>
      </c>
      <c r="C682" t="s">
        <v>54</v>
      </c>
      <c r="D682">
        <v>1.9730000000000001</v>
      </c>
    </row>
    <row r="683" spans="1:4" x14ac:dyDescent="0.45">
      <c r="A683" t="s">
        <v>50</v>
      </c>
      <c r="B683">
        <v>2011</v>
      </c>
      <c r="C683" t="s">
        <v>54</v>
      </c>
      <c r="D683">
        <v>2.0788409999999997</v>
      </c>
    </row>
    <row r="684" spans="1:4" x14ac:dyDescent="0.45">
      <c r="A684" t="s">
        <v>50</v>
      </c>
      <c r="B684">
        <v>2012</v>
      </c>
      <c r="C684" t="s">
        <v>54</v>
      </c>
      <c r="D684">
        <v>2.148129</v>
      </c>
    </row>
    <row r="685" spans="1:4" x14ac:dyDescent="0.45">
      <c r="A685" t="s">
        <v>50</v>
      </c>
      <c r="B685">
        <v>2013</v>
      </c>
      <c r="C685" t="s">
        <v>54</v>
      </c>
      <c r="D685">
        <v>2.1248860000000001</v>
      </c>
    </row>
    <row r="686" spans="1:4" x14ac:dyDescent="0.45">
      <c r="A686" t="s">
        <v>50</v>
      </c>
      <c r="B686">
        <v>2014</v>
      </c>
      <c r="C686" t="s">
        <v>54</v>
      </c>
      <c r="D686">
        <v>2.083755</v>
      </c>
    </row>
    <row r="687" spans="1:4" x14ac:dyDescent="0.45">
      <c r="A687" t="s">
        <v>50</v>
      </c>
      <c r="B687">
        <v>2015</v>
      </c>
      <c r="C687" t="s">
        <v>54</v>
      </c>
      <c r="D687">
        <v>2.0256720000000001</v>
      </c>
    </row>
    <row r="688" spans="1:4" x14ac:dyDescent="0.45">
      <c r="A688" t="s">
        <v>50</v>
      </c>
      <c r="B688">
        <v>2016</v>
      </c>
      <c r="C688" t="s">
        <v>54</v>
      </c>
      <c r="D688">
        <v>2.1218820000000003</v>
      </c>
    </row>
    <row r="689" spans="1:4" x14ac:dyDescent="0.45">
      <c r="A689" t="s">
        <v>50</v>
      </c>
      <c r="B689">
        <v>2017</v>
      </c>
      <c r="C689" t="s">
        <v>54</v>
      </c>
      <c r="D689">
        <v>2.2051340000000001</v>
      </c>
    </row>
    <row r="690" spans="1:4" x14ac:dyDescent="0.45">
      <c r="A690" t="s">
        <v>50</v>
      </c>
      <c r="B690">
        <v>2018</v>
      </c>
      <c r="C690" t="s">
        <v>54</v>
      </c>
      <c r="D690">
        <v>2.2021329999999999</v>
      </c>
    </row>
    <row r="691" spans="1:4" x14ac:dyDescent="0.45">
      <c r="A691" t="s">
        <v>50</v>
      </c>
      <c r="B691">
        <v>2019</v>
      </c>
      <c r="C691" t="s">
        <v>54</v>
      </c>
      <c r="D691">
        <v>2.1725979999999998</v>
      </c>
    </row>
    <row r="692" spans="1:4" x14ac:dyDescent="0.45">
      <c r="A692" t="s">
        <v>50</v>
      </c>
      <c r="B692">
        <v>2020</v>
      </c>
      <c r="C692" t="s">
        <v>54</v>
      </c>
      <c r="D692">
        <v>2.1373409999999997</v>
      </c>
    </row>
    <row r="693" spans="1:4" x14ac:dyDescent="0.45">
      <c r="A693" t="s">
        <v>50</v>
      </c>
      <c r="B693">
        <v>2021</v>
      </c>
      <c r="C693" t="s">
        <v>54</v>
      </c>
      <c r="D693">
        <v>2.124552</v>
      </c>
    </row>
    <row r="694" spans="1:4" x14ac:dyDescent="0.45">
      <c r="A694" t="s">
        <v>50</v>
      </c>
      <c r="B694">
        <v>2022</v>
      </c>
      <c r="C694" t="s">
        <v>54</v>
      </c>
      <c r="D694">
        <v>2.1137359999999998</v>
      </c>
    </row>
    <row r="695" spans="1:4" x14ac:dyDescent="0.45">
      <c r="A695" t="s">
        <v>50</v>
      </c>
      <c r="B695">
        <v>2015</v>
      </c>
      <c r="C695" t="s">
        <v>54</v>
      </c>
      <c r="D695">
        <v>1.0020000000000001E-3</v>
      </c>
    </row>
    <row r="696" spans="1:4" x14ac:dyDescent="0.45">
      <c r="A696" t="s">
        <v>50</v>
      </c>
      <c r="B696">
        <v>2016</v>
      </c>
      <c r="C696" t="s">
        <v>54</v>
      </c>
      <c r="D696">
        <v>1.6080000000000001E-3</v>
      </c>
    </row>
    <row r="697" spans="1:4" x14ac:dyDescent="0.45">
      <c r="A697" t="s">
        <v>50</v>
      </c>
      <c r="B697">
        <v>2017</v>
      </c>
      <c r="C697" t="s">
        <v>54</v>
      </c>
      <c r="D697">
        <v>2.0999999999999998E-4</v>
      </c>
    </row>
    <row r="698" spans="1:4" x14ac:dyDescent="0.45">
      <c r="A698" t="s">
        <v>50</v>
      </c>
      <c r="B698">
        <v>2018</v>
      </c>
      <c r="C698" t="s">
        <v>54</v>
      </c>
      <c r="D698">
        <v>1.63E-4</v>
      </c>
    </row>
    <row r="699" spans="1:4" x14ac:dyDescent="0.45">
      <c r="A699" t="s">
        <v>50</v>
      </c>
      <c r="B699">
        <v>2019</v>
      </c>
      <c r="C699" t="s">
        <v>54</v>
      </c>
      <c r="D699">
        <v>1.4899999999999999E-4</v>
      </c>
    </row>
    <row r="700" spans="1:4" x14ac:dyDescent="0.45">
      <c r="A700" t="s">
        <v>50</v>
      </c>
      <c r="B700">
        <v>2020</v>
      </c>
      <c r="C700" t="s">
        <v>54</v>
      </c>
      <c r="D700">
        <v>5.3840000000000008E-3</v>
      </c>
    </row>
    <row r="701" spans="1:4" x14ac:dyDescent="0.45">
      <c r="A701" t="s">
        <v>50</v>
      </c>
      <c r="B701">
        <v>2021</v>
      </c>
      <c r="C701" t="s">
        <v>54</v>
      </c>
      <c r="D701">
        <v>8.0579999999999992E-3</v>
      </c>
    </row>
    <row r="702" spans="1:4" x14ac:dyDescent="0.45">
      <c r="A702" t="s">
        <v>50</v>
      </c>
      <c r="B702">
        <v>2022</v>
      </c>
      <c r="C702" t="s">
        <v>54</v>
      </c>
      <c r="D702">
        <v>8.2710000000000006E-3</v>
      </c>
    </row>
    <row r="703" spans="1:4" x14ac:dyDescent="0.45">
      <c r="A703" t="s">
        <v>50</v>
      </c>
      <c r="B703">
        <v>2002</v>
      </c>
      <c r="C703" t="s">
        <v>54</v>
      </c>
      <c r="D703">
        <v>0.39700000000000002</v>
      </c>
    </row>
    <row r="704" spans="1:4" x14ac:dyDescent="0.45">
      <c r="A704" t="s">
        <v>50</v>
      </c>
      <c r="B704">
        <v>2003</v>
      </c>
      <c r="C704" t="s">
        <v>54</v>
      </c>
      <c r="D704">
        <v>0.44700000000000001</v>
      </c>
    </row>
    <row r="705" spans="1:4" x14ac:dyDescent="0.45">
      <c r="A705" t="s">
        <v>50</v>
      </c>
      <c r="B705">
        <v>2004</v>
      </c>
      <c r="C705" t="s">
        <v>54</v>
      </c>
      <c r="D705">
        <v>0.46700000000000003</v>
      </c>
    </row>
    <row r="706" spans="1:4" x14ac:dyDescent="0.45">
      <c r="A706" t="s">
        <v>50</v>
      </c>
      <c r="B706">
        <v>2005</v>
      </c>
      <c r="C706" t="s">
        <v>54</v>
      </c>
      <c r="D706">
        <v>0.48</v>
      </c>
    </row>
    <row r="707" spans="1:4" x14ac:dyDescent="0.45">
      <c r="A707" t="s">
        <v>50</v>
      </c>
      <c r="B707">
        <v>2006</v>
      </c>
      <c r="C707" t="s">
        <v>54</v>
      </c>
      <c r="D707">
        <v>0.52500000000000002</v>
      </c>
    </row>
    <row r="708" spans="1:4" x14ac:dyDescent="0.45">
      <c r="A708" t="s">
        <v>50</v>
      </c>
      <c r="B708">
        <v>2007</v>
      </c>
      <c r="C708" t="s">
        <v>54</v>
      </c>
      <c r="D708">
        <v>0.621</v>
      </c>
    </row>
    <row r="709" spans="1:4" x14ac:dyDescent="0.45">
      <c r="A709" t="s">
        <v>50</v>
      </c>
      <c r="B709">
        <v>2008</v>
      </c>
      <c r="C709" t="s">
        <v>54</v>
      </c>
      <c r="D709">
        <v>0.69499999999999995</v>
      </c>
    </row>
    <row r="710" spans="1:4" x14ac:dyDescent="0.45">
      <c r="A710" t="s">
        <v>50</v>
      </c>
      <c r="B710">
        <v>2009</v>
      </c>
      <c r="C710" t="s">
        <v>54</v>
      </c>
      <c r="D710">
        <v>0.875</v>
      </c>
    </row>
    <row r="711" spans="1:4" x14ac:dyDescent="0.45">
      <c r="A711" t="s">
        <v>50</v>
      </c>
      <c r="B711">
        <v>2010</v>
      </c>
      <c r="C711" t="s">
        <v>54</v>
      </c>
      <c r="D711">
        <v>1.0049999999999999</v>
      </c>
    </row>
    <row r="712" spans="1:4" x14ac:dyDescent="0.45">
      <c r="A712" t="s">
        <v>50</v>
      </c>
      <c r="B712">
        <v>2011</v>
      </c>
      <c r="C712" t="s">
        <v>54</v>
      </c>
      <c r="D712">
        <v>1.151675</v>
      </c>
    </row>
    <row r="713" spans="1:4" x14ac:dyDescent="0.45">
      <c r="A713" t="s">
        <v>50</v>
      </c>
      <c r="B713">
        <v>2012</v>
      </c>
      <c r="C713" t="s">
        <v>54</v>
      </c>
      <c r="D713">
        <v>1.296362</v>
      </c>
    </row>
    <row r="714" spans="1:4" x14ac:dyDescent="0.45">
      <c r="A714" t="s">
        <v>50</v>
      </c>
      <c r="B714">
        <v>2013</v>
      </c>
      <c r="C714" t="s">
        <v>54</v>
      </c>
      <c r="D714">
        <v>1.5447249999999999</v>
      </c>
    </row>
    <row r="715" spans="1:4" x14ac:dyDescent="0.45">
      <c r="A715" t="s">
        <v>50</v>
      </c>
      <c r="B715">
        <v>2014</v>
      </c>
      <c r="C715" t="s">
        <v>54</v>
      </c>
      <c r="D715">
        <v>1.5956400000000002</v>
      </c>
    </row>
    <row r="716" spans="1:4" x14ac:dyDescent="0.45">
      <c r="A716" t="s">
        <v>50</v>
      </c>
      <c r="B716">
        <v>2015</v>
      </c>
      <c r="C716" t="s">
        <v>54</v>
      </c>
      <c r="D716">
        <v>1.8338589999999999</v>
      </c>
    </row>
    <row r="717" spans="1:4" x14ac:dyDescent="0.45">
      <c r="A717" t="s">
        <v>50</v>
      </c>
      <c r="B717">
        <v>2016</v>
      </c>
      <c r="C717" t="s">
        <v>54</v>
      </c>
      <c r="D717">
        <v>1.991126</v>
      </c>
    </row>
    <row r="718" spans="1:4" x14ac:dyDescent="0.45">
      <c r="A718" t="s">
        <v>50</v>
      </c>
      <c r="B718">
        <v>2017</v>
      </c>
      <c r="C718" t="s">
        <v>54</v>
      </c>
      <c r="D718">
        <v>2.1136880000000002</v>
      </c>
    </row>
    <row r="719" spans="1:4" x14ac:dyDescent="0.45">
      <c r="A719" t="s">
        <v>50</v>
      </c>
      <c r="B719">
        <v>2018</v>
      </c>
      <c r="C719" t="s">
        <v>54</v>
      </c>
      <c r="D719">
        <v>2.3697539999999999</v>
      </c>
    </row>
    <row r="720" spans="1:4" x14ac:dyDescent="0.45">
      <c r="A720" t="s">
        <v>50</v>
      </c>
      <c r="B720">
        <v>2019</v>
      </c>
      <c r="C720" t="s">
        <v>54</v>
      </c>
      <c r="D720">
        <v>2.5895869999999999</v>
      </c>
    </row>
    <row r="721" spans="1:4" x14ac:dyDescent="0.45">
      <c r="A721" t="s">
        <v>50</v>
      </c>
      <c r="B721">
        <v>2020</v>
      </c>
      <c r="C721" t="s">
        <v>54</v>
      </c>
      <c r="D721">
        <v>2.766534</v>
      </c>
    </row>
    <row r="722" spans="1:4" x14ac:dyDescent="0.45">
      <c r="A722" t="s">
        <v>50</v>
      </c>
      <c r="B722">
        <v>2021</v>
      </c>
      <c r="C722" t="s">
        <v>54</v>
      </c>
      <c r="D722">
        <v>3.018637</v>
      </c>
    </row>
    <row r="723" spans="1:4" x14ac:dyDescent="0.45">
      <c r="A723" t="s">
        <v>50</v>
      </c>
      <c r="B723">
        <v>2022</v>
      </c>
      <c r="C723" t="s">
        <v>54</v>
      </c>
      <c r="D723">
        <v>2.9847159999999997</v>
      </c>
    </row>
    <row r="724" spans="1:4" x14ac:dyDescent="0.45">
      <c r="A724" t="s">
        <v>50</v>
      </c>
      <c r="B724">
        <v>2000</v>
      </c>
      <c r="C724" t="s">
        <v>54</v>
      </c>
      <c r="D724">
        <v>1.0900000000000001</v>
      </c>
    </row>
    <row r="725" spans="1:4" x14ac:dyDescent="0.45">
      <c r="A725" t="s">
        <v>50</v>
      </c>
      <c r="B725">
        <v>2001</v>
      </c>
      <c r="C725" t="s">
        <v>54</v>
      </c>
      <c r="D725">
        <v>1.044</v>
      </c>
    </row>
    <row r="726" spans="1:4" x14ac:dyDescent="0.45">
      <c r="A726" t="s">
        <v>50</v>
      </c>
      <c r="B726">
        <v>2000</v>
      </c>
      <c r="C726" t="s">
        <v>54</v>
      </c>
      <c r="D726">
        <v>1.081</v>
      </c>
    </row>
    <row r="727" spans="1:4" x14ac:dyDescent="0.45">
      <c r="A727" t="s">
        <v>50</v>
      </c>
      <c r="B727">
        <v>2001</v>
      </c>
      <c r="C727" t="s">
        <v>54</v>
      </c>
      <c r="D727">
        <v>1.4670000000000001</v>
      </c>
    </row>
    <row r="728" spans="1:4" x14ac:dyDescent="0.45">
      <c r="A728" t="s">
        <v>50</v>
      </c>
      <c r="B728">
        <v>2000</v>
      </c>
      <c r="C728" t="s">
        <v>54</v>
      </c>
      <c r="D728">
        <v>0.308</v>
      </c>
    </row>
    <row r="729" spans="1:4" x14ac:dyDescent="0.45">
      <c r="A729" t="s">
        <v>50</v>
      </c>
      <c r="B729">
        <v>2001</v>
      </c>
      <c r="C729" t="s">
        <v>54</v>
      </c>
      <c r="D729">
        <v>0.33800000000000002</v>
      </c>
    </row>
    <row r="730" spans="1:4" x14ac:dyDescent="0.45">
      <c r="A730" t="s">
        <v>83</v>
      </c>
      <c r="B730">
        <v>2018</v>
      </c>
      <c r="C730" t="s">
        <v>55</v>
      </c>
      <c r="D730">
        <v>1.6149999999999998E-2</v>
      </c>
    </row>
    <row r="731" spans="1:4" x14ac:dyDescent="0.45">
      <c r="A731" t="s">
        <v>83</v>
      </c>
      <c r="B731">
        <v>2019</v>
      </c>
      <c r="C731" t="s">
        <v>55</v>
      </c>
      <c r="D731">
        <v>1.6149999999999998E-2</v>
      </c>
    </row>
    <row r="732" spans="1:4" x14ac:dyDescent="0.45">
      <c r="A732" t="s">
        <v>83</v>
      </c>
      <c r="B732">
        <v>2020</v>
      </c>
      <c r="C732" t="s">
        <v>55</v>
      </c>
      <c r="D732">
        <v>1.6149999999999998E-2</v>
      </c>
    </row>
    <row r="733" spans="1:4" x14ac:dyDescent="0.45">
      <c r="A733" t="s">
        <v>83</v>
      </c>
      <c r="B733">
        <v>2021</v>
      </c>
      <c r="C733" t="s">
        <v>55</v>
      </c>
      <c r="D733">
        <v>1.6149999999999998E-2</v>
      </c>
    </row>
    <row r="734" spans="1:4" x14ac:dyDescent="0.45">
      <c r="A734" t="s">
        <v>83</v>
      </c>
      <c r="B734">
        <v>2022</v>
      </c>
      <c r="C734" t="s">
        <v>55</v>
      </c>
      <c r="D734">
        <v>1.6149999999999998E-2</v>
      </c>
    </row>
    <row r="735" spans="1:4" x14ac:dyDescent="0.45">
      <c r="A735" t="s">
        <v>83</v>
      </c>
      <c r="B735">
        <v>2023</v>
      </c>
      <c r="C735" t="s">
        <v>55</v>
      </c>
      <c r="D735">
        <v>1.6149999999999998E-2</v>
      </c>
    </row>
    <row r="736" spans="1:4" x14ac:dyDescent="0.45">
      <c r="A736" t="s">
        <v>83</v>
      </c>
      <c r="B736">
        <v>2024</v>
      </c>
      <c r="C736" t="s">
        <v>55</v>
      </c>
      <c r="D736">
        <v>1.6149999999999998E-2</v>
      </c>
    </row>
    <row r="737" spans="1:4" x14ac:dyDescent="0.45">
      <c r="A737" t="s">
        <v>83</v>
      </c>
      <c r="B737">
        <v>2011</v>
      </c>
      <c r="C737" t="s">
        <v>55</v>
      </c>
      <c r="D737">
        <v>1.49E-2</v>
      </c>
    </row>
    <row r="738" spans="1:4" x14ac:dyDescent="0.45">
      <c r="A738" t="s">
        <v>83</v>
      </c>
      <c r="B738">
        <v>2012</v>
      </c>
      <c r="C738" t="s">
        <v>55</v>
      </c>
      <c r="D738">
        <v>1.35E-2</v>
      </c>
    </row>
    <row r="739" spans="1:4" x14ac:dyDescent="0.45">
      <c r="A739" t="s">
        <v>83</v>
      </c>
      <c r="B739">
        <v>2013</v>
      </c>
      <c r="C739" t="s">
        <v>55</v>
      </c>
      <c r="D739">
        <v>1.4999999999999999E-2</v>
      </c>
    </row>
    <row r="740" spans="1:4" x14ac:dyDescent="0.45">
      <c r="A740" t="s">
        <v>83</v>
      </c>
      <c r="B740">
        <v>2014</v>
      </c>
      <c r="C740" t="s">
        <v>55</v>
      </c>
      <c r="D740">
        <v>1.4999999999999999E-2</v>
      </c>
    </row>
    <row r="741" spans="1:4" x14ac:dyDescent="0.45">
      <c r="A741" t="s">
        <v>83</v>
      </c>
      <c r="B741">
        <v>2015</v>
      </c>
      <c r="C741" t="s">
        <v>55</v>
      </c>
      <c r="D741">
        <v>1.4749999999999999E-2</v>
      </c>
    </row>
    <row r="742" spans="1:4" x14ac:dyDescent="0.45">
      <c r="A742" t="s">
        <v>83</v>
      </c>
      <c r="B742">
        <v>2016</v>
      </c>
      <c r="C742" t="s">
        <v>55</v>
      </c>
      <c r="D742">
        <v>1.6149999999999998E-2</v>
      </c>
    </row>
    <row r="743" spans="1:4" x14ac:dyDescent="0.45">
      <c r="A743" t="s">
        <v>83</v>
      </c>
      <c r="B743">
        <v>2017</v>
      </c>
      <c r="C743" t="s">
        <v>55</v>
      </c>
      <c r="D743">
        <v>1.6149999999999998E-2</v>
      </c>
    </row>
    <row r="744" spans="1:4" x14ac:dyDescent="0.45">
      <c r="A744" t="s">
        <v>83</v>
      </c>
      <c r="B744">
        <v>2011</v>
      </c>
      <c r="C744" t="s">
        <v>54</v>
      </c>
      <c r="D744">
        <v>6.2237000000000001E-2</v>
      </c>
    </row>
    <row r="745" spans="1:4" x14ac:dyDescent="0.45">
      <c r="A745" t="s">
        <v>83</v>
      </c>
      <c r="B745">
        <v>2012</v>
      </c>
      <c r="C745" t="s">
        <v>54</v>
      </c>
      <c r="D745">
        <v>5.6513000000000001E-2</v>
      </c>
    </row>
    <row r="746" spans="1:4" x14ac:dyDescent="0.45">
      <c r="A746" t="s">
        <v>83</v>
      </c>
      <c r="B746">
        <v>2013</v>
      </c>
      <c r="C746" t="s">
        <v>54</v>
      </c>
      <c r="D746">
        <v>9.0150999999999995E-2</v>
      </c>
    </row>
    <row r="747" spans="1:4" x14ac:dyDescent="0.45">
      <c r="A747" t="s">
        <v>83</v>
      </c>
      <c r="B747">
        <v>2014</v>
      </c>
      <c r="C747" t="s">
        <v>54</v>
      </c>
      <c r="D747">
        <v>8.3113000000000006E-2</v>
      </c>
    </row>
    <row r="748" spans="1:4" x14ac:dyDescent="0.45">
      <c r="A748" t="s">
        <v>83</v>
      </c>
      <c r="B748">
        <v>2015</v>
      </c>
      <c r="C748" t="s">
        <v>54</v>
      </c>
      <c r="D748">
        <v>9.1938999999999993E-2</v>
      </c>
    </row>
    <row r="749" spans="1:4" x14ac:dyDescent="0.45">
      <c r="A749" t="s">
        <v>83</v>
      </c>
      <c r="B749">
        <v>2016</v>
      </c>
      <c r="C749" t="s">
        <v>54</v>
      </c>
      <c r="D749">
        <v>9.7604999999999997E-2</v>
      </c>
    </row>
    <row r="750" spans="1:4" x14ac:dyDescent="0.45">
      <c r="A750" t="s">
        <v>83</v>
      </c>
      <c r="B750">
        <v>2017</v>
      </c>
      <c r="C750" t="s">
        <v>54</v>
      </c>
      <c r="D750">
        <v>0.13313</v>
      </c>
    </row>
    <row r="751" spans="1:4" x14ac:dyDescent="0.45">
      <c r="A751" t="s">
        <v>83</v>
      </c>
      <c r="B751">
        <v>2018</v>
      </c>
      <c r="C751" t="s">
        <v>54</v>
      </c>
      <c r="D751">
        <v>0.126975</v>
      </c>
    </row>
    <row r="752" spans="1:4" x14ac:dyDescent="0.45">
      <c r="A752" t="s">
        <v>83</v>
      </c>
      <c r="B752">
        <v>2019</v>
      </c>
      <c r="C752" t="s">
        <v>54</v>
      </c>
      <c r="D752">
        <v>0.12848599999999999</v>
      </c>
    </row>
    <row r="753" spans="1:4" x14ac:dyDescent="0.45">
      <c r="A753" t="s">
        <v>83</v>
      </c>
      <c r="B753">
        <v>2020</v>
      </c>
      <c r="C753" t="s">
        <v>54</v>
      </c>
      <c r="D753">
        <v>0.13319900000000001</v>
      </c>
    </row>
    <row r="754" spans="1:4" x14ac:dyDescent="0.45">
      <c r="A754" t="s">
        <v>83</v>
      </c>
      <c r="B754">
        <v>2021</v>
      </c>
      <c r="C754" t="s">
        <v>54</v>
      </c>
      <c r="D754">
        <v>0.10030800000000001</v>
      </c>
    </row>
    <row r="755" spans="1:4" x14ac:dyDescent="0.45">
      <c r="A755" t="s">
        <v>83</v>
      </c>
      <c r="B755">
        <v>2022</v>
      </c>
      <c r="C755" t="s">
        <v>54</v>
      </c>
      <c r="D755">
        <v>0.113595</v>
      </c>
    </row>
    <row r="756" spans="1:4" x14ac:dyDescent="0.45">
      <c r="A756" t="s">
        <v>58</v>
      </c>
      <c r="B756">
        <v>2000</v>
      </c>
      <c r="C756" t="s">
        <v>54</v>
      </c>
      <c r="D756">
        <v>0</v>
      </c>
    </row>
    <row r="757" spans="1:4" x14ac:dyDescent="0.45">
      <c r="A757" t="s">
        <v>57</v>
      </c>
      <c r="B757">
        <v>2000</v>
      </c>
      <c r="C757" t="s">
        <v>54</v>
      </c>
      <c r="D757">
        <v>69.48</v>
      </c>
    </row>
    <row r="758" spans="1:4" x14ac:dyDescent="0.45">
      <c r="A758" t="s">
        <v>58</v>
      </c>
      <c r="B758">
        <v>2001</v>
      </c>
      <c r="C758" t="s">
        <v>54</v>
      </c>
      <c r="D758">
        <v>0</v>
      </c>
    </row>
    <row r="759" spans="1:4" x14ac:dyDescent="0.45">
      <c r="A759" t="s">
        <v>57</v>
      </c>
      <c r="B759">
        <v>2001</v>
      </c>
      <c r="C759" t="s">
        <v>54</v>
      </c>
      <c r="D759">
        <v>68.39</v>
      </c>
    </row>
    <row r="760" spans="1:4" x14ac:dyDescent="0.45">
      <c r="A760" t="s">
        <v>58</v>
      </c>
      <c r="B760">
        <v>2002</v>
      </c>
      <c r="C760" t="s">
        <v>54</v>
      </c>
      <c r="D760">
        <v>0</v>
      </c>
    </row>
    <row r="761" spans="1:4" x14ac:dyDescent="0.45">
      <c r="A761" t="s">
        <v>57</v>
      </c>
      <c r="B761">
        <v>2002</v>
      </c>
      <c r="C761" t="s">
        <v>54</v>
      </c>
      <c r="D761">
        <v>77.03</v>
      </c>
    </row>
    <row r="762" spans="1:4" x14ac:dyDescent="0.45">
      <c r="A762" t="s">
        <v>58</v>
      </c>
      <c r="B762">
        <v>2003</v>
      </c>
      <c r="C762" t="s">
        <v>54</v>
      </c>
      <c r="D762">
        <v>0</v>
      </c>
    </row>
    <row r="763" spans="1:4" x14ac:dyDescent="0.45">
      <c r="A763" t="s">
        <v>57</v>
      </c>
      <c r="B763">
        <v>2003</v>
      </c>
      <c r="C763" t="s">
        <v>54</v>
      </c>
      <c r="D763">
        <v>66.41</v>
      </c>
    </row>
    <row r="764" spans="1:4" x14ac:dyDescent="0.45">
      <c r="A764" t="s">
        <v>58</v>
      </c>
      <c r="B764">
        <v>2004</v>
      </c>
      <c r="C764" t="s">
        <v>54</v>
      </c>
      <c r="D764">
        <v>0</v>
      </c>
    </row>
    <row r="765" spans="1:4" x14ac:dyDescent="0.45">
      <c r="A765" t="s">
        <v>57</v>
      </c>
      <c r="B765">
        <v>2004</v>
      </c>
      <c r="C765" t="s">
        <v>54</v>
      </c>
      <c r="D765">
        <v>61.91</v>
      </c>
    </row>
    <row r="766" spans="1:4" x14ac:dyDescent="0.45">
      <c r="A766" t="s">
        <v>58</v>
      </c>
      <c r="B766">
        <v>2005</v>
      </c>
      <c r="C766" t="s">
        <v>54</v>
      </c>
      <c r="D766">
        <v>0</v>
      </c>
    </row>
    <row r="767" spans="1:4" x14ac:dyDescent="0.45">
      <c r="A767" t="s">
        <v>57</v>
      </c>
      <c r="B767">
        <v>2005</v>
      </c>
      <c r="C767" t="s">
        <v>54</v>
      </c>
      <c r="D767">
        <v>60.33</v>
      </c>
    </row>
    <row r="768" spans="1:4" x14ac:dyDescent="0.45">
      <c r="A768" t="s">
        <v>58</v>
      </c>
      <c r="B768">
        <v>2006</v>
      </c>
      <c r="C768" t="s">
        <v>54</v>
      </c>
      <c r="D768">
        <v>0</v>
      </c>
    </row>
    <row r="769" spans="1:4" x14ac:dyDescent="0.45">
      <c r="A769" t="s">
        <v>57</v>
      </c>
      <c r="B769">
        <v>2006</v>
      </c>
      <c r="C769" t="s">
        <v>54</v>
      </c>
      <c r="D769">
        <v>63.34</v>
      </c>
    </row>
    <row r="770" spans="1:4" x14ac:dyDescent="0.45">
      <c r="A770" t="s">
        <v>58</v>
      </c>
      <c r="B770">
        <v>2007</v>
      </c>
      <c r="C770" t="s">
        <v>54</v>
      </c>
      <c r="D770">
        <v>0</v>
      </c>
    </row>
    <row r="771" spans="1:4" x14ac:dyDescent="0.45">
      <c r="A771" t="s">
        <v>57</v>
      </c>
      <c r="B771">
        <v>2007</v>
      </c>
      <c r="C771" t="s">
        <v>54</v>
      </c>
      <c r="D771">
        <v>56.81</v>
      </c>
    </row>
    <row r="772" spans="1:4" x14ac:dyDescent="0.45">
      <c r="A772" t="s">
        <v>58</v>
      </c>
      <c r="B772">
        <v>2008</v>
      </c>
      <c r="C772" t="s">
        <v>54</v>
      </c>
      <c r="D772">
        <v>0</v>
      </c>
    </row>
    <row r="773" spans="1:4" x14ac:dyDescent="0.45">
      <c r="A773" t="s">
        <v>57</v>
      </c>
      <c r="B773">
        <v>2008</v>
      </c>
      <c r="C773" t="s">
        <v>54</v>
      </c>
      <c r="D773">
        <v>47.99</v>
      </c>
    </row>
    <row r="774" spans="1:4" x14ac:dyDescent="0.45">
      <c r="A774" t="s">
        <v>58</v>
      </c>
      <c r="B774">
        <v>2009</v>
      </c>
      <c r="C774" t="s">
        <v>54</v>
      </c>
      <c r="D774">
        <v>0</v>
      </c>
    </row>
    <row r="775" spans="1:4" x14ac:dyDescent="0.45">
      <c r="A775" t="s">
        <v>57</v>
      </c>
      <c r="B775">
        <v>2009</v>
      </c>
      <c r="C775" t="s">
        <v>54</v>
      </c>
      <c r="D775">
        <v>25.93</v>
      </c>
    </row>
    <row r="776" spans="1:4" x14ac:dyDescent="0.45">
      <c r="A776" t="s">
        <v>58</v>
      </c>
      <c r="B776">
        <v>2010</v>
      </c>
      <c r="C776" t="s">
        <v>54</v>
      </c>
      <c r="D776">
        <v>0</v>
      </c>
    </row>
    <row r="777" spans="1:4" x14ac:dyDescent="0.45">
      <c r="A777" t="s">
        <v>57</v>
      </c>
      <c r="B777">
        <v>2010</v>
      </c>
      <c r="C777" t="s">
        <v>54</v>
      </c>
      <c r="D777">
        <v>30.71</v>
      </c>
    </row>
    <row r="778" spans="1:4" x14ac:dyDescent="0.45">
      <c r="A778" t="s">
        <v>58</v>
      </c>
      <c r="B778">
        <v>2011</v>
      </c>
      <c r="C778" t="s">
        <v>54</v>
      </c>
      <c r="D778">
        <v>0</v>
      </c>
    </row>
    <row r="779" spans="1:4" x14ac:dyDescent="0.45">
      <c r="A779" t="s">
        <v>57</v>
      </c>
      <c r="B779">
        <v>2011</v>
      </c>
      <c r="C779" t="s">
        <v>54</v>
      </c>
      <c r="D779">
        <v>56.41</v>
      </c>
    </row>
    <row r="780" spans="1:4" x14ac:dyDescent="0.45">
      <c r="A780" t="s">
        <v>58</v>
      </c>
      <c r="B780">
        <v>2012</v>
      </c>
      <c r="C780" t="s">
        <v>54</v>
      </c>
      <c r="D780">
        <v>0</v>
      </c>
    </row>
    <row r="781" spans="1:4" x14ac:dyDescent="0.45">
      <c r="A781" t="s">
        <v>57</v>
      </c>
      <c r="B781">
        <v>2012</v>
      </c>
      <c r="C781" t="s">
        <v>54</v>
      </c>
      <c r="D781">
        <v>44.52</v>
      </c>
    </row>
    <row r="782" spans="1:4" x14ac:dyDescent="0.45">
      <c r="A782" t="s">
        <v>58</v>
      </c>
      <c r="B782">
        <v>2013</v>
      </c>
      <c r="C782" t="s">
        <v>54</v>
      </c>
      <c r="D782">
        <v>0</v>
      </c>
    </row>
    <row r="783" spans="1:4" x14ac:dyDescent="0.45">
      <c r="A783" t="s">
        <v>57</v>
      </c>
      <c r="B783">
        <v>2013</v>
      </c>
      <c r="C783" t="s">
        <v>54</v>
      </c>
      <c r="D783">
        <v>48.46</v>
      </c>
    </row>
    <row r="784" spans="1:4" x14ac:dyDescent="0.45">
      <c r="A784" t="s">
        <v>58</v>
      </c>
      <c r="B784">
        <v>2014</v>
      </c>
      <c r="C784" t="s">
        <v>54</v>
      </c>
      <c r="D784">
        <v>0</v>
      </c>
    </row>
    <row r="785" spans="1:4" x14ac:dyDescent="0.45">
      <c r="A785" t="s">
        <v>57</v>
      </c>
      <c r="B785">
        <v>2014</v>
      </c>
      <c r="C785" t="s">
        <v>54</v>
      </c>
      <c r="D785">
        <v>67.19</v>
      </c>
    </row>
    <row r="786" spans="1:4" x14ac:dyDescent="0.45">
      <c r="A786" t="s">
        <v>58</v>
      </c>
      <c r="B786">
        <v>2015</v>
      </c>
      <c r="C786" t="s">
        <v>54</v>
      </c>
      <c r="D786">
        <v>0</v>
      </c>
    </row>
    <row r="787" spans="1:4" x14ac:dyDescent="0.45">
      <c r="A787" t="s">
        <v>57</v>
      </c>
      <c r="B787">
        <v>2015</v>
      </c>
      <c r="C787" t="s">
        <v>54</v>
      </c>
      <c r="D787">
        <v>64.06</v>
      </c>
    </row>
    <row r="788" spans="1:4" x14ac:dyDescent="0.45">
      <c r="A788" t="s">
        <v>58</v>
      </c>
      <c r="B788">
        <v>2016</v>
      </c>
      <c r="C788" t="s">
        <v>54</v>
      </c>
      <c r="D788">
        <v>0</v>
      </c>
    </row>
    <row r="789" spans="1:4" x14ac:dyDescent="0.45">
      <c r="A789" t="s">
        <v>57</v>
      </c>
      <c r="B789">
        <v>2016</v>
      </c>
      <c r="C789" t="s">
        <v>54</v>
      </c>
      <c r="D789">
        <v>41.5</v>
      </c>
    </row>
    <row r="790" spans="1:4" x14ac:dyDescent="0.45">
      <c r="A790" t="s">
        <v>58</v>
      </c>
      <c r="B790">
        <v>2017</v>
      </c>
      <c r="C790" t="s">
        <v>54</v>
      </c>
      <c r="D790">
        <v>0</v>
      </c>
    </row>
    <row r="791" spans="1:4" x14ac:dyDescent="0.45">
      <c r="A791" t="s">
        <v>57</v>
      </c>
      <c r="B791">
        <v>2017</v>
      </c>
      <c r="C791" t="s">
        <v>54</v>
      </c>
      <c r="D791">
        <v>40.130000000000003</v>
      </c>
    </row>
    <row r="792" spans="1:4" x14ac:dyDescent="0.45">
      <c r="A792" t="s">
        <v>58</v>
      </c>
      <c r="B792">
        <v>2018</v>
      </c>
      <c r="C792" t="s">
        <v>54</v>
      </c>
      <c r="D792">
        <v>0</v>
      </c>
    </row>
    <row r="793" spans="1:4" x14ac:dyDescent="0.45">
      <c r="A793" t="s">
        <v>57</v>
      </c>
      <c r="B793">
        <v>2018</v>
      </c>
      <c r="C793" t="s">
        <v>54</v>
      </c>
      <c r="D793">
        <v>62.97</v>
      </c>
    </row>
    <row r="794" spans="1:4" x14ac:dyDescent="0.45">
      <c r="A794" t="s">
        <v>58</v>
      </c>
      <c r="B794">
        <v>2019</v>
      </c>
      <c r="C794" t="s">
        <v>54</v>
      </c>
      <c r="D794">
        <v>0</v>
      </c>
    </row>
    <row r="795" spans="1:4" x14ac:dyDescent="0.45">
      <c r="A795" t="s">
        <v>57</v>
      </c>
      <c r="B795">
        <v>2019</v>
      </c>
      <c r="C795" t="s">
        <v>54</v>
      </c>
      <c r="D795">
        <v>57.67</v>
      </c>
    </row>
    <row r="796" spans="1:4" x14ac:dyDescent="0.45">
      <c r="A796" t="s">
        <v>58</v>
      </c>
      <c r="B796">
        <v>2020</v>
      </c>
      <c r="C796" t="s">
        <v>54</v>
      </c>
      <c r="D796">
        <v>0</v>
      </c>
    </row>
    <row r="797" spans="1:4" x14ac:dyDescent="0.45">
      <c r="A797" t="s">
        <v>57</v>
      </c>
      <c r="B797">
        <v>2020</v>
      </c>
      <c r="C797" t="s">
        <v>54</v>
      </c>
      <c r="D797">
        <v>45.04</v>
      </c>
    </row>
    <row r="798" spans="1:4" x14ac:dyDescent="0.45">
      <c r="A798" t="s">
        <v>58</v>
      </c>
      <c r="B798">
        <v>2021</v>
      </c>
      <c r="C798" t="s">
        <v>54</v>
      </c>
      <c r="D798">
        <v>0</v>
      </c>
    </row>
    <row r="799" spans="1:4" x14ac:dyDescent="0.45">
      <c r="A799" t="s">
        <v>57</v>
      </c>
      <c r="B799">
        <v>2021</v>
      </c>
      <c r="C799" t="s">
        <v>54</v>
      </c>
      <c r="D799">
        <v>44.89</v>
      </c>
    </row>
    <row r="800" spans="1:4" x14ac:dyDescent="0.45">
      <c r="A800" t="s">
        <v>58</v>
      </c>
      <c r="B800">
        <v>2022</v>
      </c>
      <c r="C800" t="s">
        <v>54</v>
      </c>
      <c r="D800">
        <v>14.94</v>
      </c>
    </row>
    <row r="801" spans="1:4" x14ac:dyDescent="0.45">
      <c r="A801" t="s">
        <v>57</v>
      </c>
      <c r="B801">
        <v>2022</v>
      </c>
      <c r="C801" t="s">
        <v>54</v>
      </c>
      <c r="D801">
        <v>0</v>
      </c>
    </row>
    <row r="802" spans="1:4" x14ac:dyDescent="0.45">
      <c r="A802" t="s">
        <v>58</v>
      </c>
      <c r="B802">
        <v>2023</v>
      </c>
      <c r="C802" t="s">
        <v>54</v>
      </c>
      <c r="D802">
        <v>0</v>
      </c>
    </row>
    <row r="803" spans="1:4" x14ac:dyDescent="0.45">
      <c r="A803" t="s">
        <v>57</v>
      </c>
      <c r="B803">
        <v>2023</v>
      </c>
      <c r="C803" t="s">
        <v>54</v>
      </c>
      <c r="D803">
        <v>50.34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ECF4-CBF1-405A-BB7D-4BA2A4334205}">
  <dimension ref="A1:I79"/>
  <sheetViews>
    <sheetView tabSelected="1" workbookViewId="0"/>
  </sheetViews>
  <sheetFormatPr defaultRowHeight="14.25" x14ac:dyDescent="0.45"/>
  <sheetData>
    <row r="1" spans="1:9" x14ac:dyDescent="0.45">
      <c r="C1" t="s">
        <v>809</v>
      </c>
    </row>
    <row r="3" spans="1:9" x14ac:dyDescent="0.45">
      <c r="C3" t="s">
        <v>37</v>
      </c>
      <c r="G3" t="s">
        <v>810</v>
      </c>
    </row>
    <row r="4" spans="1:9" x14ac:dyDescent="0.45">
      <c r="A4" t="s">
        <v>806</v>
      </c>
      <c r="B4" t="s">
        <v>71</v>
      </c>
      <c r="C4" t="s">
        <v>14</v>
      </c>
      <c r="D4" t="s">
        <v>811</v>
      </c>
      <c r="E4" t="s">
        <v>812</v>
      </c>
      <c r="G4" t="s">
        <v>71</v>
      </c>
      <c r="H4" t="s">
        <v>2</v>
      </c>
      <c r="I4" t="s">
        <v>811</v>
      </c>
    </row>
    <row r="5" spans="1:9" x14ac:dyDescent="0.45">
      <c r="A5" t="s">
        <v>813</v>
      </c>
      <c r="B5" t="s">
        <v>814</v>
      </c>
      <c r="C5" t="s">
        <v>815</v>
      </c>
      <c r="D5">
        <v>1</v>
      </c>
      <c r="E5">
        <v>2</v>
      </c>
      <c r="G5" t="s">
        <v>814</v>
      </c>
      <c r="H5" t="s">
        <v>815</v>
      </c>
      <c r="I5">
        <v>-1</v>
      </c>
    </row>
    <row r="6" spans="1:9" x14ac:dyDescent="0.45">
      <c r="A6" t="s">
        <v>813</v>
      </c>
      <c r="B6" t="s">
        <v>816</v>
      </c>
      <c r="C6" t="s">
        <v>817</v>
      </c>
      <c r="D6">
        <v>1</v>
      </c>
      <c r="E6">
        <v>2</v>
      </c>
      <c r="G6" t="s">
        <v>816</v>
      </c>
      <c r="H6" t="s">
        <v>817</v>
      </c>
      <c r="I6">
        <v>-1</v>
      </c>
    </row>
    <row r="7" spans="1:9" x14ac:dyDescent="0.45">
      <c r="A7" t="s">
        <v>813</v>
      </c>
      <c r="B7" t="s">
        <v>818</v>
      </c>
      <c r="C7" t="s">
        <v>819</v>
      </c>
      <c r="D7">
        <v>1</v>
      </c>
      <c r="E7">
        <v>2</v>
      </c>
      <c r="G7" t="s">
        <v>818</v>
      </c>
      <c r="H7" t="s">
        <v>819</v>
      </c>
      <c r="I7">
        <v>-1</v>
      </c>
    </row>
    <row r="8" spans="1:9" x14ac:dyDescent="0.45">
      <c r="A8" t="s">
        <v>813</v>
      </c>
      <c r="B8" t="s">
        <v>820</v>
      </c>
      <c r="C8" t="s">
        <v>821</v>
      </c>
      <c r="D8">
        <v>1</v>
      </c>
      <c r="E8">
        <v>2</v>
      </c>
      <c r="G8" t="s">
        <v>820</v>
      </c>
      <c r="H8" t="s">
        <v>821</v>
      </c>
      <c r="I8">
        <v>-1</v>
      </c>
    </row>
    <row r="9" spans="1:9" x14ac:dyDescent="0.45">
      <c r="A9" t="s">
        <v>813</v>
      </c>
      <c r="B9" t="s">
        <v>822</v>
      </c>
      <c r="C9" t="s">
        <v>823</v>
      </c>
      <c r="D9">
        <v>1</v>
      </c>
      <c r="E9">
        <v>2</v>
      </c>
      <c r="G9" t="s">
        <v>822</v>
      </c>
      <c r="H9" t="s">
        <v>823</v>
      </c>
      <c r="I9">
        <v>-1</v>
      </c>
    </row>
    <row r="10" spans="1:9" x14ac:dyDescent="0.45">
      <c r="A10" t="s">
        <v>813</v>
      </c>
      <c r="B10" t="s">
        <v>824</v>
      </c>
      <c r="C10" t="s">
        <v>825</v>
      </c>
      <c r="D10">
        <v>1</v>
      </c>
      <c r="E10">
        <v>2</v>
      </c>
      <c r="G10" t="s">
        <v>824</v>
      </c>
      <c r="H10" t="s">
        <v>825</v>
      </c>
      <c r="I10">
        <v>-1</v>
      </c>
    </row>
    <row r="11" spans="1:9" x14ac:dyDescent="0.45">
      <c r="A11" t="s">
        <v>813</v>
      </c>
      <c r="B11" t="s">
        <v>826</v>
      </c>
      <c r="C11" t="s">
        <v>827</v>
      </c>
      <c r="D11">
        <v>1</v>
      </c>
      <c r="E11">
        <v>2</v>
      </c>
      <c r="G11" t="s">
        <v>826</v>
      </c>
      <c r="H11" t="s">
        <v>827</v>
      </c>
      <c r="I11">
        <v>-1</v>
      </c>
    </row>
    <row r="12" spans="1:9" x14ac:dyDescent="0.45">
      <c r="A12" t="s">
        <v>813</v>
      </c>
      <c r="B12" t="s">
        <v>828</v>
      </c>
      <c r="C12" t="s">
        <v>829</v>
      </c>
      <c r="D12">
        <v>1</v>
      </c>
      <c r="E12">
        <v>2</v>
      </c>
      <c r="G12" t="s">
        <v>828</v>
      </c>
      <c r="H12" t="s">
        <v>829</v>
      </c>
      <c r="I12">
        <v>-1</v>
      </c>
    </row>
    <row r="13" spans="1:9" x14ac:dyDescent="0.45">
      <c r="A13" t="s">
        <v>813</v>
      </c>
      <c r="B13" t="s">
        <v>830</v>
      </c>
      <c r="C13" t="s">
        <v>831</v>
      </c>
      <c r="D13">
        <v>1</v>
      </c>
      <c r="E13">
        <v>2</v>
      </c>
      <c r="G13" t="s">
        <v>830</v>
      </c>
      <c r="H13" t="s">
        <v>831</v>
      </c>
      <c r="I13">
        <v>-1</v>
      </c>
    </row>
    <row r="14" spans="1:9" x14ac:dyDescent="0.45">
      <c r="A14" t="s">
        <v>813</v>
      </c>
      <c r="B14" t="s">
        <v>832</v>
      </c>
      <c r="C14" t="s">
        <v>833</v>
      </c>
      <c r="D14">
        <v>1</v>
      </c>
      <c r="E14">
        <v>2</v>
      </c>
      <c r="G14" t="s">
        <v>832</v>
      </c>
      <c r="H14" t="s">
        <v>833</v>
      </c>
      <c r="I14">
        <v>-1</v>
      </c>
    </row>
    <row r="15" spans="1:9" x14ac:dyDescent="0.45">
      <c r="A15" t="s">
        <v>813</v>
      </c>
      <c r="B15" t="s">
        <v>834</v>
      </c>
      <c r="C15" t="s">
        <v>835</v>
      </c>
      <c r="D15">
        <v>1</v>
      </c>
      <c r="E15">
        <v>2</v>
      </c>
      <c r="G15" t="s">
        <v>834</v>
      </c>
      <c r="H15" t="s">
        <v>835</v>
      </c>
      <c r="I15">
        <v>-1</v>
      </c>
    </row>
    <row r="16" spans="1:9" x14ac:dyDescent="0.45">
      <c r="A16" t="s">
        <v>813</v>
      </c>
      <c r="B16" t="s">
        <v>836</v>
      </c>
      <c r="C16" t="s">
        <v>837</v>
      </c>
      <c r="D16">
        <v>1</v>
      </c>
      <c r="E16">
        <v>2</v>
      </c>
      <c r="G16" t="s">
        <v>836</v>
      </c>
      <c r="H16" t="s">
        <v>837</v>
      </c>
      <c r="I16">
        <v>-1</v>
      </c>
    </row>
    <row r="17" spans="1:9" x14ac:dyDescent="0.45">
      <c r="A17" t="s">
        <v>813</v>
      </c>
      <c r="B17" t="s">
        <v>838</v>
      </c>
      <c r="C17" t="s">
        <v>839</v>
      </c>
      <c r="D17">
        <v>1</v>
      </c>
      <c r="E17">
        <v>2</v>
      </c>
      <c r="G17" t="s">
        <v>838</v>
      </c>
      <c r="H17" t="s">
        <v>839</v>
      </c>
      <c r="I17">
        <v>-1</v>
      </c>
    </row>
    <row r="18" spans="1:9" x14ac:dyDescent="0.45">
      <c r="A18" t="s">
        <v>813</v>
      </c>
      <c r="B18" t="s">
        <v>840</v>
      </c>
      <c r="C18" t="s">
        <v>841</v>
      </c>
      <c r="D18">
        <v>1</v>
      </c>
      <c r="E18">
        <v>2</v>
      </c>
      <c r="G18" t="s">
        <v>840</v>
      </c>
      <c r="H18" t="s">
        <v>841</v>
      </c>
      <c r="I18">
        <v>-1</v>
      </c>
    </row>
    <row r="19" spans="1:9" x14ac:dyDescent="0.45">
      <c r="A19" t="s">
        <v>813</v>
      </c>
      <c r="B19" t="s">
        <v>842</v>
      </c>
      <c r="C19" t="s">
        <v>843</v>
      </c>
      <c r="D19">
        <v>1</v>
      </c>
      <c r="E19">
        <v>2</v>
      </c>
      <c r="G19" t="s">
        <v>842</v>
      </c>
      <c r="H19" t="s">
        <v>843</v>
      </c>
      <c r="I19">
        <v>-1</v>
      </c>
    </row>
    <row r="20" spans="1:9" x14ac:dyDescent="0.45">
      <c r="A20" t="s">
        <v>813</v>
      </c>
      <c r="B20" t="s">
        <v>844</v>
      </c>
      <c r="C20" t="s">
        <v>845</v>
      </c>
      <c r="D20">
        <v>1</v>
      </c>
      <c r="E20">
        <v>2</v>
      </c>
      <c r="G20" t="s">
        <v>844</v>
      </c>
      <c r="H20" t="s">
        <v>845</v>
      </c>
      <c r="I20">
        <v>-1</v>
      </c>
    </row>
    <row r="21" spans="1:9" x14ac:dyDescent="0.45">
      <c r="A21" t="s">
        <v>813</v>
      </c>
      <c r="B21" t="s">
        <v>846</v>
      </c>
      <c r="C21" t="s">
        <v>847</v>
      </c>
      <c r="D21">
        <v>1</v>
      </c>
      <c r="E21">
        <v>2</v>
      </c>
      <c r="G21" t="s">
        <v>846</v>
      </c>
      <c r="H21" t="s">
        <v>847</v>
      </c>
      <c r="I21">
        <v>-1</v>
      </c>
    </row>
    <row r="22" spans="1:9" x14ac:dyDescent="0.45">
      <c r="A22" t="s">
        <v>813</v>
      </c>
      <c r="B22" t="s">
        <v>848</v>
      </c>
      <c r="C22" t="s">
        <v>849</v>
      </c>
      <c r="D22">
        <v>1</v>
      </c>
      <c r="E22">
        <v>2</v>
      </c>
      <c r="G22" t="s">
        <v>848</v>
      </c>
      <c r="H22" t="s">
        <v>849</v>
      </c>
      <c r="I22">
        <v>-1</v>
      </c>
    </row>
    <row r="23" spans="1:9" x14ac:dyDescent="0.45">
      <c r="A23" t="s">
        <v>813</v>
      </c>
      <c r="B23" t="s">
        <v>850</v>
      </c>
      <c r="C23" t="s">
        <v>851</v>
      </c>
      <c r="D23">
        <v>1</v>
      </c>
      <c r="E23">
        <v>2</v>
      </c>
      <c r="G23" t="s">
        <v>850</v>
      </c>
      <c r="H23" t="s">
        <v>851</v>
      </c>
      <c r="I23">
        <v>-1</v>
      </c>
    </row>
    <row r="24" spans="1:9" x14ac:dyDescent="0.45">
      <c r="A24" t="s">
        <v>813</v>
      </c>
      <c r="B24" t="s">
        <v>852</v>
      </c>
      <c r="C24" t="s">
        <v>853</v>
      </c>
      <c r="D24">
        <v>1</v>
      </c>
      <c r="E24">
        <v>2</v>
      </c>
      <c r="G24" t="s">
        <v>852</v>
      </c>
      <c r="H24" t="s">
        <v>853</v>
      </c>
      <c r="I24">
        <v>-1</v>
      </c>
    </row>
    <row r="25" spans="1:9" x14ac:dyDescent="0.45">
      <c r="A25" t="s">
        <v>813</v>
      </c>
      <c r="B25" t="s">
        <v>854</v>
      </c>
      <c r="C25" t="s">
        <v>855</v>
      </c>
      <c r="D25">
        <v>1</v>
      </c>
      <c r="E25">
        <v>2</v>
      </c>
      <c r="G25" t="s">
        <v>854</v>
      </c>
      <c r="H25" t="s">
        <v>855</v>
      </c>
      <c r="I25">
        <v>-1</v>
      </c>
    </row>
    <row r="26" spans="1:9" x14ac:dyDescent="0.45">
      <c r="A26" t="s">
        <v>813</v>
      </c>
      <c r="B26" t="s">
        <v>856</v>
      </c>
      <c r="C26" t="s">
        <v>857</v>
      </c>
      <c r="D26">
        <v>1</v>
      </c>
      <c r="E26">
        <v>2</v>
      </c>
      <c r="G26" t="s">
        <v>856</v>
      </c>
      <c r="H26" t="s">
        <v>857</v>
      </c>
      <c r="I26">
        <v>-1</v>
      </c>
    </row>
    <row r="27" spans="1:9" x14ac:dyDescent="0.45">
      <c r="A27" t="s">
        <v>813</v>
      </c>
      <c r="B27" t="s">
        <v>858</v>
      </c>
      <c r="C27" t="s">
        <v>859</v>
      </c>
      <c r="D27">
        <v>1</v>
      </c>
      <c r="E27">
        <v>2</v>
      </c>
      <c r="G27" t="s">
        <v>858</v>
      </c>
      <c r="H27" t="s">
        <v>859</v>
      </c>
      <c r="I27">
        <v>-1</v>
      </c>
    </row>
    <row r="28" spans="1:9" x14ac:dyDescent="0.45">
      <c r="A28" t="s">
        <v>813</v>
      </c>
      <c r="B28" t="s">
        <v>860</v>
      </c>
      <c r="C28" t="s">
        <v>861</v>
      </c>
      <c r="D28">
        <v>1</v>
      </c>
      <c r="E28">
        <v>2</v>
      </c>
      <c r="G28" t="s">
        <v>860</v>
      </c>
      <c r="H28" t="s">
        <v>861</v>
      </c>
      <c r="I28">
        <v>-1</v>
      </c>
    </row>
    <row r="29" spans="1:9" x14ac:dyDescent="0.45">
      <c r="A29" t="s">
        <v>813</v>
      </c>
      <c r="B29" t="s">
        <v>862</v>
      </c>
      <c r="C29" t="s">
        <v>863</v>
      </c>
      <c r="D29">
        <v>1</v>
      </c>
      <c r="E29">
        <v>2</v>
      </c>
      <c r="G29" t="s">
        <v>862</v>
      </c>
      <c r="H29" t="s">
        <v>863</v>
      </c>
      <c r="I29">
        <v>-1</v>
      </c>
    </row>
    <row r="30" spans="1:9" x14ac:dyDescent="0.45">
      <c r="A30" t="s">
        <v>813</v>
      </c>
      <c r="B30" t="s">
        <v>864</v>
      </c>
      <c r="C30" t="s">
        <v>865</v>
      </c>
      <c r="D30">
        <v>1</v>
      </c>
      <c r="E30">
        <v>2</v>
      </c>
      <c r="G30" t="s">
        <v>864</v>
      </c>
      <c r="H30" t="s">
        <v>865</v>
      </c>
      <c r="I30">
        <v>-1</v>
      </c>
    </row>
    <row r="31" spans="1:9" x14ac:dyDescent="0.45">
      <c r="A31" t="s">
        <v>813</v>
      </c>
      <c r="B31" t="s">
        <v>866</v>
      </c>
      <c r="C31" t="s">
        <v>867</v>
      </c>
      <c r="D31">
        <v>1</v>
      </c>
      <c r="E31">
        <v>2</v>
      </c>
      <c r="G31" t="s">
        <v>866</v>
      </c>
      <c r="H31" t="s">
        <v>867</v>
      </c>
      <c r="I31">
        <v>-1</v>
      </c>
    </row>
    <row r="32" spans="1:9" x14ac:dyDescent="0.45">
      <c r="A32" t="s">
        <v>813</v>
      </c>
      <c r="B32" t="s">
        <v>868</v>
      </c>
      <c r="C32" t="s">
        <v>869</v>
      </c>
      <c r="D32">
        <v>1</v>
      </c>
      <c r="E32">
        <v>2</v>
      </c>
      <c r="G32" t="s">
        <v>868</v>
      </c>
      <c r="H32" t="s">
        <v>869</v>
      </c>
      <c r="I32">
        <v>-1</v>
      </c>
    </row>
    <row r="33" spans="1:9" x14ac:dyDescent="0.45">
      <c r="A33" t="s">
        <v>813</v>
      </c>
      <c r="B33" t="s">
        <v>870</v>
      </c>
      <c r="C33" t="s">
        <v>871</v>
      </c>
      <c r="D33">
        <v>1</v>
      </c>
      <c r="E33">
        <v>2</v>
      </c>
      <c r="G33" t="s">
        <v>870</v>
      </c>
      <c r="H33" t="s">
        <v>871</v>
      </c>
      <c r="I33">
        <v>-1</v>
      </c>
    </row>
    <row r="34" spans="1:9" x14ac:dyDescent="0.45">
      <c r="A34" t="s">
        <v>813</v>
      </c>
      <c r="B34" t="s">
        <v>872</v>
      </c>
      <c r="C34" t="s">
        <v>873</v>
      </c>
      <c r="D34">
        <v>1</v>
      </c>
      <c r="E34">
        <v>2</v>
      </c>
      <c r="G34" t="s">
        <v>872</v>
      </c>
      <c r="H34" t="s">
        <v>873</v>
      </c>
      <c r="I34">
        <v>-1</v>
      </c>
    </row>
    <row r="35" spans="1:9" x14ac:dyDescent="0.45">
      <c r="A35" t="s">
        <v>813</v>
      </c>
      <c r="B35" t="s">
        <v>874</v>
      </c>
      <c r="C35" t="s">
        <v>875</v>
      </c>
      <c r="D35">
        <v>1</v>
      </c>
      <c r="E35">
        <v>2</v>
      </c>
      <c r="G35" t="s">
        <v>874</v>
      </c>
      <c r="H35" t="s">
        <v>875</v>
      </c>
      <c r="I35">
        <v>-1</v>
      </c>
    </row>
    <row r="36" spans="1:9" x14ac:dyDescent="0.45">
      <c r="A36" t="s">
        <v>813</v>
      </c>
      <c r="B36" t="s">
        <v>876</v>
      </c>
      <c r="C36" t="s">
        <v>877</v>
      </c>
      <c r="D36">
        <v>1</v>
      </c>
      <c r="E36">
        <v>2</v>
      </c>
      <c r="G36" t="s">
        <v>876</v>
      </c>
      <c r="H36" t="s">
        <v>877</v>
      </c>
      <c r="I36">
        <v>-1</v>
      </c>
    </row>
    <row r="37" spans="1:9" x14ac:dyDescent="0.45">
      <c r="A37" t="s">
        <v>813</v>
      </c>
      <c r="B37" t="s">
        <v>878</v>
      </c>
      <c r="C37" t="s">
        <v>879</v>
      </c>
      <c r="D37">
        <v>1</v>
      </c>
      <c r="E37">
        <v>2</v>
      </c>
      <c r="G37" t="s">
        <v>878</v>
      </c>
      <c r="H37" t="s">
        <v>879</v>
      </c>
      <c r="I37">
        <v>-1</v>
      </c>
    </row>
    <row r="38" spans="1:9" x14ac:dyDescent="0.45">
      <c r="A38" t="s">
        <v>813</v>
      </c>
      <c r="B38" t="s">
        <v>880</v>
      </c>
      <c r="C38" t="s">
        <v>881</v>
      </c>
      <c r="D38">
        <v>1</v>
      </c>
      <c r="E38">
        <v>2</v>
      </c>
      <c r="G38" t="s">
        <v>880</v>
      </c>
      <c r="H38" t="s">
        <v>881</v>
      </c>
      <c r="I38">
        <v>-1</v>
      </c>
    </row>
    <row r="39" spans="1:9" x14ac:dyDescent="0.45">
      <c r="A39" t="s">
        <v>813</v>
      </c>
      <c r="B39" t="s">
        <v>882</v>
      </c>
      <c r="C39" t="s">
        <v>883</v>
      </c>
      <c r="D39">
        <v>1</v>
      </c>
      <c r="E39">
        <v>2</v>
      </c>
      <c r="G39" t="s">
        <v>882</v>
      </c>
      <c r="H39" t="s">
        <v>883</v>
      </c>
      <c r="I39">
        <v>-1</v>
      </c>
    </row>
    <row r="40" spans="1:9" x14ac:dyDescent="0.45">
      <c r="A40" t="s">
        <v>813</v>
      </c>
      <c r="B40" t="s">
        <v>884</v>
      </c>
      <c r="C40" t="s">
        <v>885</v>
      </c>
      <c r="D40">
        <v>1</v>
      </c>
      <c r="E40">
        <v>2</v>
      </c>
      <c r="G40" t="s">
        <v>884</v>
      </c>
      <c r="H40" t="s">
        <v>885</v>
      </c>
      <c r="I40">
        <v>-1</v>
      </c>
    </row>
    <row r="41" spans="1:9" x14ac:dyDescent="0.45">
      <c r="A41" t="s">
        <v>813</v>
      </c>
      <c r="B41" t="s">
        <v>886</v>
      </c>
      <c r="C41" t="s">
        <v>887</v>
      </c>
      <c r="D41">
        <v>1</v>
      </c>
      <c r="E41">
        <v>2</v>
      </c>
      <c r="G41" t="s">
        <v>886</v>
      </c>
      <c r="H41" t="s">
        <v>887</v>
      </c>
      <c r="I41">
        <v>-1</v>
      </c>
    </row>
    <row r="42" spans="1:9" x14ac:dyDescent="0.45">
      <c r="A42" t="s">
        <v>813</v>
      </c>
      <c r="B42" t="s">
        <v>888</v>
      </c>
      <c r="C42" t="s">
        <v>889</v>
      </c>
      <c r="D42">
        <v>1</v>
      </c>
      <c r="E42">
        <v>2</v>
      </c>
      <c r="G42" t="s">
        <v>888</v>
      </c>
      <c r="H42" t="s">
        <v>889</v>
      </c>
      <c r="I42">
        <v>-1</v>
      </c>
    </row>
    <row r="43" spans="1:9" x14ac:dyDescent="0.45">
      <c r="A43" t="s">
        <v>813</v>
      </c>
      <c r="B43" t="s">
        <v>890</v>
      </c>
      <c r="C43" t="s">
        <v>891</v>
      </c>
      <c r="D43">
        <v>1</v>
      </c>
      <c r="E43">
        <v>2</v>
      </c>
      <c r="G43" t="s">
        <v>890</v>
      </c>
      <c r="H43" t="s">
        <v>891</v>
      </c>
      <c r="I43">
        <v>-1</v>
      </c>
    </row>
    <row r="44" spans="1:9" x14ac:dyDescent="0.45">
      <c r="A44" t="s">
        <v>813</v>
      </c>
      <c r="B44" t="s">
        <v>892</v>
      </c>
      <c r="C44" t="s">
        <v>893</v>
      </c>
      <c r="D44">
        <v>1</v>
      </c>
      <c r="E44">
        <v>2</v>
      </c>
      <c r="G44" t="s">
        <v>892</v>
      </c>
      <c r="H44" t="s">
        <v>893</v>
      </c>
      <c r="I44">
        <v>-1</v>
      </c>
    </row>
    <row r="45" spans="1:9" x14ac:dyDescent="0.45">
      <c r="A45" t="s">
        <v>813</v>
      </c>
      <c r="B45" t="s">
        <v>894</v>
      </c>
      <c r="C45" t="s">
        <v>895</v>
      </c>
      <c r="D45">
        <v>1</v>
      </c>
      <c r="E45">
        <v>2</v>
      </c>
      <c r="G45" t="s">
        <v>894</v>
      </c>
      <c r="H45" t="s">
        <v>895</v>
      </c>
      <c r="I45">
        <v>-1</v>
      </c>
    </row>
    <row r="46" spans="1:9" x14ac:dyDescent="0.45">
      <c r="A46" t="s">
        <v>813</v>
      </c>
      <c r="B46" t="s">
        <v>896</v>
      </c>
      <c r="C46" t="s">
        <v>897</v>
      </c>
      <c r="D46">
        <v>1</v>
      </c>
      <c r="E46">
        <v>2</v>
      </c>
      <c r="G46" t="s">
        <v>896</v>
      </c>
      <c r="H46" t="s">
        <v>897</v>
      </c>
      <c r="I46">
        <v>-1</v>
      </c>
    </row>
    <row r="47" spans="1:9" x14ac:dyDescent="0.45">
      <c r="A47" t="s">
        <v>813</v>
      </c>
      <c r="B47" t="s">
        <v>898</v>
      </c>
      <c r="C47" t="s">
        <v>899</v>
      </c>
      <c r="D47">
        <v>1</v>
      </c>
      <c r="E47">
        <v>2</v>
      </c>
      <c r="G47" t="s">
        <v>898</v>
      </c>
      <c r="H47" t="s">
        <v>899</v>
      </c>
      <c r="I47">
        <v>-1</v>
      </c>
    </row>
    <row r="48" spans="1:9" x14ac:dyDescent="0.45">
      <c r="A48" t="s">
        <v>813</v>
      </c>
      <c r="B48" t="s">
        <v>900</v>
      </c>
      <c r="C48" t="s">
        <v>901</v>
      </c>
      <c r="D48">
        <v>1</v>
      </c>
      <c r="E48">
        <v>2</v>
      </c>
      <c r="G48" t="s">
        <v>900</v>
      </c>
      <c r="H48" t="s">
        <v>901</v>
      </c>
      <c r="I48">
        <v>-1</v>
      </c>
    </row>
    <row r="49" spans="1:9" x14ac:dyDescent="0.45">
      <c r="A49" t="s">
        <v>813</v>
      </c>
      <c r="B49" t="s">
        <v>902</v>
      </c>
      <c r="C49" t="s">
        <v>903</v>
      </c>
      <c r="D49">
        <v>1</v>
      </c>
      <c r="E49">
        <v>2</v>
      </c>
      <c r="G49" t="s">
        <v>902</v>
      </c>
      <c r="H49" t="s">
        <v>903</v>
      </c>
      <c r="I49">
        <v>-1</v>
      </c>
    </row>
    <row r="50" spans="1:9" x14ac:dyDescent="0.45">
      <c r="A50" t="s">
        <v>813</v>
      </c>
      <c r="B50" t="s">
        <v>904</v>
      </c>
      <c r="C50" t="s">
        <v>905</v>
      </c>
      <c r="D50">
        <v>1</v>
      </c>
      <c r="E50">
        <v>2</v>
      </c>
      <c r="G50" t="s">
        <v>904</v>
      </c>
      <c r="H50" t="s">
        <v>905</v>
      </c>
      <c r="I50">
        <v>-1</v>
      </c>
    </row>
    <row r="51" spans="1:9" x14ac:dyDescent="0.45">
      <c r="A51" t="s">
        <v>813</v>
      </c>
      <c r="B51" t="s">
        <v>906</v>
      </c>
      <c r="C51" t="s">
        <v>907</v>
      </c>
      <c r="D51">
        <v>1</v>
      </c>
      <c r="E51">
        <v>2</v>
      </c>
      <c r="G51" t="s">
        <v>906</v>
      </c>
      <c r="H51" t="s">
        <v>907</v>
      </c>
      <c r="I51">
        <v>-1</v>
      </c>
    </row>
    <row r="52" spans="1:9" x14ac:dyDescent="0.45">
      <c r="A52" t="s">
        <v>813</v>
      </c>
      <c r="B52" t="s">
        <v>908</v>
      </c>
      <c r="C52" t="s">
        <v>909</v>
      </c>
      <c r="D52">
        <v>1</v>
      </c>
      <c r="E52">
        <v>2</v>
      </c>
      <c r="G52" t="s">
        <v>908</v>
      </c>
      <c r="H52" t="s">
        <v>909</v>
      </c>
      <c r="I52">
        <v>-1</v>
      </c>
    </row>
    <row r="53" spans="1:9" x14ac:dyDescent="0.45">
      <c r="A53" t="s">
        <v>813</v>
      </c>
      <c r="B53" t="s">
        <v>910</v>
      </c>
      <c r="C53" t="s">
        <v>911</v>
      </c>
      <c r="D53">
        <v>1</v>
      </c>
      <c r="E53">
        <v>2</v>
      </c>
      <c r="G53" t="s">
        <v>910</v>
      </c>
      <c r="H53" t="s">
        <v>911</v>
      </c>
      <c r="I53">
        <v>-1</v>
      </c>
    </row>
    <row r="54" spans="1:9" x14ac:dyDescent="0.45">
      <c r="A54" t="s">
        <v>813</v>
      </c>
      <c r="B54" t="s">
        <v>912</v>
      </c>
      <c r="C54" t="s">
        <v>913</v>
      </c>
      <c r="D54">
        <v>1</v>
      </c>
      <c r="E54">
        <v>2</v>
      </c>
      <c r="G54" t="s">
        <v>912</v>
      </c>
      <c r="H54" t="s">
        <v>913</v>
      </c>
      <c r="I54">
        <v>-1</v>
      </c>
    </row>
    <row r="55" spans="1:9" x14ac:dyDescent="0.45">
      <c r="A55" t="s">
        <v>813</v>
      </c>
      <c r="B55" t="s">
        <v>914</v>
      </c>
      <c r="C55" t="s">
        <v>915</v>
      </c>
      <c r="D55">
        <v>1</v>
      </c>
      <c r="E55">
        <v>2</v>
      </c>
      <c r="G55" t="s">
        <v>914</v>
      </c>
      <c r="H55" t="s">
        <v>915</v>
      </c>
      <c r="I55">
        <v>-1</v>
      </c>
    </row>
    <row r="56" spans="1:9" x14ac:dyDescent="0.45">
      <c r="A56" t="s">
        <v>813</v>
      </c>
      <c r="B56" t="s">
        <v>916</v>
      </c>
      <c r="C56" t="s">
        <v>917</v>
      </c>
      <c r="D56">
        <v>1</v>
      </c>
      <c r="E56">
        <v>2</v>
      </c>
      <c r="G56" t="s">
        <v>916</v>
      </c>
      <c r="H56" t="s">
        <v>917</v>
      </c>
      <c r="I56">
        <v>-1</v>
      </c>
    </row>
    <row r="57" spans="1:9" x14ac:dyDescent="0.45">
      <c r="A57" t="s">
        <v>813</v>
      </c>
      <c r="B57" t="s">
        <v>918</v>
      </c>
      <c r="C57" t="s">
        <v>919</v>
      </c>
      <c r="D57">
        <v>1</v>
      </c>
      <c r="E57">
        <v>2</v>
      </c>
      <c r="G57" t="s">
        <v>918</v>
      </c>
      <c r="H57" t="s">
        <v>919</v>
      </c>
      <c r="I57">
        <v>-1</v>
      </c>
    </row>
    <row r="58" spans="1:9" x14ac:dyDescent="0.45">
      <c r="A58" t="s">
        <v>813</v>
      </c>
      <c r="B58" t="s">
        <v>920</v>
      </c>
      <c r="C58" t="s">
        <v>921</v>
      </c>
      <c r="D58">
        <v>1</v>
      </c>
      <c r="E58">
        <v>2</v>
      </c>
      <c r="G58" t="s">
        <v>920</v>
      </c>
      <c r="H58" t="s">
        <v>921</v>
      </c>
      <c r="I58">
        <v>-1</v>
      </c>
    </row>
    <row r="59" spans="1:9" x14ac:dyDescent="0.45">
      <c r="A59" t="s">
        <v>813</v>
      </c>
      <c r="B59" t="s">
        <v>922</v>
      </c>
      <c r="C59" t="s">
        <v>923</v>
      </c>
      <c r="D59">
        <v>1</v>
      </c>
      <c r="E59">
        <v>2</v>
      </c>
      <c r="G59" t="s">
        <v>922</v>
      </c>
      <c r="H59" t="s">
        <v>923</v>
      </c>
      <c r="I59">
        <v>-1</v>
      </c>
    </row>
    <row r="60" spans="1:9" x14ac:dyDescent="0.45">
      <c r="A60" t="s">
        <v>813</v>
      </c>
      <c r="B60" t="s">
        <v>924</v>
      </c>
      <c r="C60" t="s">
        <v>925</v>
      </c>
      <c r="D60">
        <v>1</v>
      </c>
      <c r="E60">
        <v>2</v>
      </c>
      <c r="G60" t="s">
        <v>924</v>
      </c>
      <c r="H60" t="s">
        <v>925</v>
      </c>
      <c r="I60">
        <v>-1</v>
      </c>
    </row>
    <row r="61" spans="1:9" x14ac:dyDescent="0.45">
      <c r="A61" t="s">
        <v>813</v>
      </c>
      <c r="B61" t="s">
        <v>926</v>
      </c>
      <c r="C61" t="s">
        <v>927</v>
      </c>
      <c r="D61">
        <v>1</v>
      </c>
      <c r="E61">
        <v>2</v>
      </c>
      <c r="G61" t="s">
        <v>926</v>
      </c>
      <c r="H61" t="s">
        <v>927</v>
      </c>
      <c r="I61">
        <v>-1</v>
      </c>
    </row>
    <row r="62" spans="1:9" x14ac:dyDescent="0.45">
      <c r="A62" t="s">
        <v>813</v>
      </c>
      <c r="B62" t="s">
        <v>928</v>
      </c>
      <c r="C62" t="s">
        <v>929</v>
      </c>
      <c r="D62">
        <v>1</v>
      </c>
      <c r="E62">
        <v>2</v>
      </c>
      <c r="G62" t="s">
        <v>928</v>
      </c>
      <c r="H62" t="s">
        <v>929</v>
      </c>
      <c r="I62">
        <v>-1</v>
      </c>
    </row>
    <row r="63" spans="1:9" x14ac:dyDescent="0.45">
      <c r="A63" t="s">
        <v>813</v>
      </c>
      <c r="B63" t="s">
        <v>930</v>
      </c>
      <c r="C63" t="s">
        <v>931</v>
      </c>
      <c r="D63">
        <v>1</v>
      </c>
      <c r="E63">
        <v>2</v>
      </c>
      <c r="G63" t="s">
        <v>930</v>
      </c>
      <c r="H63" t="s">
        <v>931</v>
      </c>
      <c r="I63">
        <v>-1</v>
      </c>
    </row>
    <row r="64" spans="1:9" x14ac:dyDescent="0.45">
      <c r="A64" t="s">
        <v>813</v>
      </c>
      <c r="B64" t="s">
        <v>932</v>
      </c>
      <c r="C64" t="s">
        <v>933</v>
      </c>
      <c r="D64">
        <v>1</v>
      </c>
      <c r="E64">
        <v>2</v>
      </c>
      <c r="G64" t="s">
        <v>932</v>
      </c>
      <c r="H64" t="s">
        <v>933</v>
      </c>
      <c r="I64">
        <v>-1</v>
      </c>
    </row>
    <row r="65" spans="1:9" x14ac:dyDescent="0.45">
      <c r="A65" t="s">
        <v>813</v>
      </c>
      <c r="B65" t="s">
        <v>934</v>
      </c>
      <c r="C65" t="s">
        <v>935</v>
      </c>
      <c r="D65">
        <v>1</v>
      </c>
      <c r="E65">
        <v>2</v>
      </c>
      <c r="G65" t="s">
        <v>934</v>
      </c>
      <c r="H65" t="s">
        <v>935</v>
      </c>
      <c r="I65">
        <v>-1</v>
      </c>
    </row>
    <row r="66" spans="1:9" x14ac:dyDescent="0.45">
      <c r="A66" t="s">
        <v>813</v>
      </c>
      <c r="B66" t="s">
        <v>936</v>
      </c>
      <c r="C66" t="s">
        <v>937</v>
      </c>
      <c r="D66">
        <v>1</v>
      </c>
      <c r="E66">
        <v>2</v>
      </c>
      <c r="G66" t="s">
        <v>936</v>
      </c>
      <c r="H66" t="s">
        <v>937</v>
      </c>
      <c r="I66">
        <v>-1</v>
      </c>
    </row>
    <row r="67" spans="1:9" x14ac:dyDescent="0.45">
      <c r="A67" t="s">
        <v>813</v>
      </c>
      <c r="B67" t="s">
        <v>938</v>
      </c>
      <c r="C67" t="s">
        <v>939</v>
      </c>
      <c r="D67">
        <v>1</v>
      </c>
      <c r="E67">
        <v>2</v>
      </c>
      <c r="G67" t="s">
        <v>938</v>
      </c>
      <c r="H67" t="s">
        <v>939</v>
      </c>
      <c r="I67">
        <v>-1</v>
      </c>
    </row>
    <row r="68" spans="1:9" x14ac:dyDescent="0.45">
      <c r="A68" t="s">
        <v>813</v>
      </c>
      <c r="B68" t="s">
        <v>940</v>
      </c>
      <c r="C68" t="s">
        <v>941</v>
      </c>
      <c r="D68">
        <v>1</v>
      </c>
      <c r="E68">
        <v>2</v>
      </c>
      <c r="G68" t="s">
        <v>940</v>
      </c>
      <c r="H68" t="s">
        <v>941</v>
      </c>
      <c r="I68">
        <v>-1</v>
      </c>
    </row>
    <row r="69" spans="1:9" x14ac:dyDescent="0.45">
      <c r="A69" t="s">
        <v>813</v>
      </c>
      <c r="B69" t="s">
        <v>942</v>
      </c>
      <c r="C69" t="s">
        <v>943</v>
      </c>
      <c r="D69">
        <v>1</v>
      </c>
      <c r="E69">
        <v>2</v>
      </c>
      <c r="G69" t="s">
        <v>942</v>
      </c>
      <c r="H69" t="s">
        <v>943</v>
      </c>
      <c r="I69">
        <v>-1</v>
      </c>
    </row>
    <row r="70" spans="1:9" x14ac:dyDescent="0.45">
      <c r="A70" t="s">
        <v>813</v>
      </c>
      <c r="B70" t="s">
        <v>944</v>
      </c>
      <c r="C70" t="s">
        <v>945</v>
      </c>
      <c r="D70">
        <v>1</v>
      </c>
      <c r="E70">
        <v>2</v>
      </c>
      <c r="G70" t="s">
        <v>944</v>
      </c>
      <c r="H70" t="s">
        <v>945</v>
      </c>
      <c r="I70">
        <v>-1</v>
      </c>
    </row>
    <row r="71" spans="1:9" x14ac:dyDescent="0.45">
      <c r="A71" t="s">
        <v>813</v>
      </c>
      <c r="B71" t="s">
        <v>946</v>
      </c>
      <c r="C71" t="s">
        <v>947</v>
      </c>
      <c r="D71">
        <v>1</v>
      </c>
      <c r="E71">
        <v>2</v>
      </c>
      <c r="G71" t="s">
        <v>946</v>
      </c>
      <c r="H71" t="s">
        <v>947</v>
      </c>
      <c r="I71">
        <v>-1</v>
      </c>
    </row>
    <row r="72" spans="1:9" x14ac:dyDescent="0.45">
      <c r="A72" t="s">
        <v>813</v>
      </c>
      <c r="B72" t="s">
        <v>948</v>
      </c>
      <c r="C72" t="s">
        <v>949</v>
      </c>
      <c r="D72">
        <v>1</v>
      </c>
      <c r="E72">
        <v>2</v>
      </c>
      <c r="G72" t="s">
        <v>948</v>
      </c>
      <c r="H72" t="s">
        <v>949</v>
      </c>
      <c r="I72">
        <v>-1</v>
      </c>
    </row>
    <row r="73" spans="1:9" x14ac:dyDescent="0.45">
      <c r="A73" t="s">
        <v>813</v>
      </c>
      <c r="B73" t="s">
        <v>950</v>
      </c>
      <c r="C73" t="s">
        <v>951</v>
      </c>
      <c r="D73">
        <v>1</v>
      </c>
      <c r="E73">
        <v>2</v>
      </c>
      <c r="G73" t="s">
        <v>950</v>
      </c>
      <c r="H73" t="s">
        <v>951</v>
      </c>
      <c r="I73">
        <v>-1</v>
      </c>
    </row>
    <row r="74" spans="1:9" x14ac:dyDescent="0.45">
      <c r="A74" t="s">
        <v>813</v>
      </c>
      <c r="B74" t="s">
        <v>952</v>
      </c>
      <c r="C74" t="s">
        <v>953</v>
      </c>
      <c r="D74">
        <v>1</v>
      </c>
      <c r="E74">
        <v>2</v>
      </c>
      <c r="G74" t="s">
        <v>952</v>
      </c>
      <c r="H74" t="s">
        <v>953</v>
      </c>
      <c r="I74">
        <v>-1</v>
      </c>
    </row>
    <row r="75" spans="1:9" x14ac:dyDescent="0.45">
      <c r="A75" t="s">
        <v>813</v>
      </c>
      <c r="B75" t="s">
        <v>954</v>
      </c>
      <c r="C75" t="s">
        <v>955</v>
      </c>
      <c r="D75">
        <v>1</v>
      </c>
      <c r="E75">
        <v>2</v>
      </c>
      <c r="G75" t="s">
        <v>954</v>
      </c>
      <c r="H75" t="s">
        <v>955</v>
      </c>
      <c r="I75">
        <v>-1</v>
      </c>
    </row>
    <row r="76" spans="1:9" x14ac:dyDescent="0.45">
      <c r="A76" t="s">
        <v>813</v>
      </c>
      <c r="B76" t="s">
        <v>956</v>
      </c>
      <c r="C76" t="s">
        <v>957</v>
      </c>
      <c r="D76">
        <v>1</v>
      </c>
      <c r="E76">
        <v>2</v>
      </c>
      <c r="G76" t="s">
        <v>956</v>
      </c>
      <c r="H76" t="s">
        <v>957</v>
      </c>
      <c r="I76">
        <v>-1</v>
      </c>
    </row>
    <row r="77" spans="1:9" x14ac:dyDescent="0.45">
      <c r="A77" t="s">
        <v>813</v>
      </c>
      <c r="B77" t="s">
        <v>958</v>
      </c>
      <c r="C77" t="s">
        <v>959</v>
      </c>
      <c r="D77">
        <v>1</v>
      </c>
      <c r="E77">
        <v>2</v>
      </c>
      <c r="G77" t="s">
        <v>958</v>
      </c>
      <c r="H77" t="s">
        <v>959</v>
      </c>
      <c r="I77">
        <v>-1</v>
      </c>
    </row>
    <row r="78" spans="1:9" x14ac:dyDescent="0.45">
      <c r="A78" t="s">
        <v>813</v>
      </c>
      <c r="B78" t="s">
        <v>960</v>
      </c>
      <c r="C78" t="s">
        <v>961</v>
      </c>
      <c r="D78">
        <v>1</v>
      </c>
      <c r="E78">
        <v>2</v>
      </c>
      <c r="G78" t="s">
        <v>960</v>
      </c>
      <c r="H78" t="s">
        <v>961</v>
      </c>
      <c r="I78">
        <v>-1</v>
      </c>
    </row>
    <row r="79" spans="1:9" x14ac:dyDescent="0.45">
      <c r="A79" t="s">
        <v>813</v>
      </c>
      <c r="B79" t="s">
        <v>962</v>
      </c>
      <c r="C79" t="s">
        <v>963</v>
      </c>
      <c r="D79">
        <v>1</v>
      </c>
      <c r="E79">
        <v>2</v>
      </c>
      <c r="G79" t="s">
        <v>962</v>
      </c>
      <c r="H79" t="s">
        <v>963</v>
      </c>
      <c r="I7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2026-07-09T07:41:29Z</dcterms:modified>
</cp:coreProperties>
</file>