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TA_grids_syn_5\SubRES_Tmpl\"/>
    </mc:Choice>
  </mc:AlternateContent>
  <xr:revisionPtr revIDLastSave="0" documentId="8_{2F0E1E5E-381D-4D88-B805-0D9BB1FFFEC6}" xr6:coauthVersionLast="47" xr6:coauthVersionMax="47" xr10:uidLastSave="{00000000-0000-0000-0000-000000000000}"/>
  <bookViews>
    <workbookView xWindow="-98" yWindow="-98" windowWidth="28996" windowHeight="17475" firstSheet="6" activeTab="6" xr2:uid="{00000000-000D-0000-FFFF-FFFF00000000}"/>
  </bookViews>
  <sheets>
    <sheet name="misc" sheetId="7" r:id="rId1"/>
    <sheet name="ELC_Storage" sheetId="9" r:id="rId2"/>
    <sheet name="EV Battery" sheetId="10" r:id="rId3"/>
    <sheet name="H2 prod" sheetId="11" r:id="rId4"/>
    <sheet name="solar" sheetId="12" r:id="rId5"/>
    <sheet name="wind" sheetId="13" r:id="rId6"/>
    <sheet name="conventional" sheetId="14" r:id="rId7"/>
  </sheets>
  <externalReferences>
    <externalReference r:id="rId8"/>
  </externalReferences>
  <definedNames>
    <definedName name="FuelList">[1]ELC_Lists!$K$4:$K$113</definedName>
    <definedName name="HHV_Coal">[1]Costs!#REF!</definedName>
    <definedName name="HHV_H2">[1]Costs!#REF!</definedName>
    <definedName name="HHV_NG">[1]Costs!#REF!</definedName>
    <definedName name="LHV_Coal">[1]Costs!#REF!</definedName>
    <definedName name="LHV_H2">[1]Costs!#REF!</definedName>
    <definedName name="LHV_NG">[1]Costs!#REF!</definedName>
    <definedName name="SectorList">[1]ELC_Lists!$N$4:$N$15</definedName>
    <definedName name="TechnologyList">[1]ELC_Lists!$H$4:$H$16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" i="7" l="1"/>
  <c r="J17" i="7"/>
  <c r="J16" i="7"/>
  <c r="J14" i="7"/>
  <c r="J11" i="7"/>
  <c r="O17" i="7"/>
  <c r="J7" i="7"/>
  <c r="N29" i="11"/>
  <c r="N28" i="11"/>
  <c r="L29" i="11"/>
  <c r="L28" i="11"/>
  <c r="J29" i="11"/>
  <c r="J28" i="11"/>
  <c r="V29" i="11"/>
  <c r="U29" i="11"/>
  <c r="T29" i="11"/>
  <c r="H29" i="11"/>
  <c r="G29" i="11"/>
  <c r="F29" i="11"/>
  <c r="D29" i="11"/>
  <c r="C29" i="11"/>
  <c r="V28" i="11"/>
  <c r="U28" i="11"/>
  <c r="T28" i="11"/>
  <c r="H28" i="11"/>
  <c r="G28" i="11"/>
  <c r="F28" i="11"/>
  <c r="D28" i="11"/>
  <c r="C28" i="11"/>
  <c r="I27" i="11"/>
  <c r="E27" i="11"/>
  <c r="D27" i="11"/>
  <c r="C27" i="11"/>
  <c r="H3" i="11"/>
  <c r="H27" i="11" s="1"/>
  <c r="G3" i="11"/>
  <c r="G27" i="11" s="1"/>
  <c r="F3" i="11"/>
  <c r="F27" i="11" s="1"/>
  <c r="N27" i="11"/>
  <c r="K2" i="11"/>
  <c r="M2" i="11" s="1"/>
  <c r="M27" i="11" s="1"/>
  <c r="L27" i="11" l="1"/>
  <c r="K27" i="11"/>
  <c r="L5" i="10" l="1"/>
  <c r="F8" i="10" l="1"/>
  <c r="G8" i="10"/>
  <c r="J19" i="7" l="1"/>
  <c r="J18" i="7"/>
  <c r="S5" i="10"/>
  <c r="T22" i="9"/>
  <c r="S22" i="9"/>
  <c r="R22" i="9"/>
  <c r="Q22" i="9"/>
  <c r="P22" i="9"/>
  <c r="O22" i="9"/>
  <c r="N22" i="9"/>
  <c r="T21" i="9"/>
  <c r="S21" i="9"/>
  <c r="R21" i="9"/>
  <c r="Q21" i="9"/>
  <c r="P21" i="9"/>
  <c r="O21" i="9"/>
  <c r="N21" i="9"/>
  <c r="U19" i="9"/>
  <c r="N19" i="9"/>
  <c r="V18" i="9"/>
  <c r="N18" i="9"/>
  <c r="T14" i="9"/>
  <c r="S14" i="9"/>
  <c r="R14" i="9"/>
  <c r="Q14" i="9"/>
  <c r="P14" i="9"/>
  <c r="O14" i="9"/>
  <c r="N14" i="9"/>
  <c r="T13" i="9"/>
  <c r="S13" i="9"/>
  <c r="R13" i="9"/>
  <c r="Q13" i="9"/>
  <c r="P13" i="9"/>
  <c r="O13" i="9"/>
  <c r="N13" i="9"/>
  <c r="U11" i="9"/>
  <c r="N11" i="9"/>
  <c r="V10" i="9"/>
  <c r="N10" i="9"/>
  <c r="T9" i="9"/>
  <c r="S9" i="9"/>
  <c r="R9" i="9"/>
  <c r="Q9" i="9"/>
  <c r="P9" i="9"/>
  <c r="O9" i="9"/>
  <c r="N9" i="9"/>
  <c r="O16" i="7"/>
  <c r="O15" i="7"/>
  <c r="O10" i="7"/>
  <c r="O14" i="7"/>
  <c r="O12" i="7"/>
  <c r="O11" i="7"/>
  <c r="O9" i="7"/>
  <c r="O8" i="7"/>
  <c r="O13" i="7"/>
  <c r="J8" i="7"/>
  <c r="J6" i="7"/>
  <c r="J5" i="7"/>
  <c r="J4" i="7"/>
</calcChain>
</file>

<file path=xl/sharedStrings.xml><?xml version="1.0" encoding="utf-8"?>
<sst xmlns="http://schemas.openxmlformats.org/spreadsheetml/2006/main" count="1971" uniqueCount="542">
  <si>
    <t>~FI_Process</t>
  </si>
  <si>
    <t>TechName</t>
  </si>
  <si>
    <t>Comm-IN</t>
  </si>
  <si>
    <t>Comm-OUT</t>
  </si>
  <si>
    <t>EFF</t>
  </si>
  <si>
    <t>Cap2ACT</t>
  </si>
  <si>
    <t>Sets</t>
  </si>
  <si>
    <t>TechDesc</t>
  </si>
  <si>
    <t>TCap</t>
  </si>
  <si>
    <t>TAct</t>
  </si>
  <si>
    <t>GW</t>
  </si>
  <si>
    <t>Tslvl</t>
  </si>
  <si>
    <t>Process</t>
  </si>
  <si>
    <t>ElcAgg_Solar</t>
  </si>
  <si>
    <t>DAYNITE</t>
  </si>
  <si>
    <t>ELC,ELCCurt</t>
  </si>
  <si>
    <t>ElcAgg_Wind</t>
  </si>
  <si>
    <t>ELE</t>
  </si>
  <si>
    <t>ANNUAL</t>
  </si>
  <si>
    <t>ELC</t>
  </si>
  <si>
    <t>DMD</t>
  </si>
  <si>
    <t>TWh</t>
  </si>
  <si>
    <t>elc_buildings,elc_industry,elc_transport</t>
  </si>
  <si>
    <t>~FI_Comm</t>
  </si>
  <si>
    <t>Commodity</t>
  </si>
  <si>
    <t>Unit</t>
  </si>
  <si>
    <t>NRG</t>
  </si>
  <si>
    <t>solar</t>
  </si>
  <si>
    <t>hydro</t>
  </si>
  <si>
    <t>IMP</t>
  </si>
  <si>
    <t>flo_cost</t>
  </si>
  <si>
    <t>bioenergy</t>
  </si>
  <si>
    <t>coal</t>
  </si>
  <si>
    <t>gas</t>
  </si>
  <si>
    <t>geothermal</t>
  </si>
  <si>
    <t>hydrogen</t>
  </si>
  <si>
    <t>nuclear</t>
  </si>
  <si>
    <t>oil</t>
  </si>
  <si>
    <t>Csets</t>
  </si>
  <si>
    <t>CommName</t>
  </si>
  <si>
    <t>CommDesc</t>
  </si>
  <si>
    <t>LimType</t>
  </si>
  <si>
    <t>CTSLvl</t>
  </si>
  <si>
    <t>PeakTS</t>
  </si>
  <si>
    <t>Ctype</t>
  </si>
  <si>
    <t>ENV</t>
  </si>
  <si>
    <t>AuxStoIN</t>
  </si>
  <si>
    <t>Aux commodity for storage charging</t>
  </si>
  <si>
    <t>TBTU</t>
  </si>
  <si>
    <t>AuxStoOUT</t>
  </si>
  <si>
    <t>Aux commodity for storage discharging</t>
  </si>
  <si>
    <t>~FI_T: USD21</t>
  </si>
  <si>
    <t>Tact</t>
  </si>
  <si>
    <t>Tcap</t>
  </si>
  <si>
    <t>attribute</t>
  </si>
  <si>
    <t>CommGrp</t>
  </si>
  <si>
    <t>time_slice</t>
  </si>
  <si>
    <t>Comm-OUT-A</t>
  </si>
  <si>
    <t>LIFE</t>
  </si>
  <si>
    <t>ELE,STG</t>
  </si>
  <si>
    <t>EN_STG8hbNREL</t>
  </si>
  <si>
    <t>8 hour battery - NREL</t>
  </si>
  <si>
    <t>EN_STG4hbNREL</t>
  </si>
  <si>
    <t>FLO_FUNC</t>
  </si>
  <si>
    <t>4 hour battery - NREL</t>
  </si>
  <si>
    <t>NCAP_AFC</t>
  </si>
  <si>
    <t>ACT</t>
  </si>
  <si>
    <t>NCAP_COST</t>
  </si>
  <si>
    <t>NCAP_FOM</t>
  </si>
  <si>
    <t>NCAP_PKCNT</t>
  </si>
  <si>
    <t>PRC_CAPACT</t>
  </si>
  <si>
    <t>STG_EFF</t>
  </si>
  <si>
    <t>Utility-scale battery storage cost projections from NREL ATB 2024</t>
  </si>
  <si>
    <t>Includes $100 grid connection cost</t>
  </si>
  <si>
    <t>(2022$)</t>
  </si>
  <si>
    <t>4Hr Battery Storage</t>
  </si>
  <si>
    <t>CAPEX</t>
  </si>
  <si>
    <t>Advanced</t>
  </si>
  <si>
    <t>Conservative</t>
  </si>
  <si>
    <t>Moderate</t>
  </si>
  <si>
    <t>Fixed O&amp;M</t>
  </si>
  <si>
    <t>8Hr Battery Storage</t>
  </si>
  <si>
    <r>
      <t xml:space="preserve">Roundtrip </t>
    </r>
    <r>
      <rPr>
        <b/>
        <sz val="12"/>
        <color theme="1"/>
        <rFont val="Calibri"/>
        <family val="2"/>
        <scheme val="minor"/>
      </rPr>
      <t>EFF</t>
    </r>
    <r>
      <rPr>
        <sz val="12"/>
        <color theme="1"/>
        <rFont val="Calibri"/>
        <family val="2"/>
        <scheme val="minor"/>
      </rPr>
      <t>:</t>
    </r>
  </si>
  <si>
    <r>
      <rPr>
        <b/>
        <sz val="12"/>
        <color theme="1"/>
        <rFont val="Calibri"/>
        <family val="2"/>
        <scheme val="minor"/>
      </rPr>
      <t>CF</t>
    </r>
    <r>
      <rPr>
        <sz val="12"/>
        <color theme="1"/>
        <rFont val="Calibri"/>
        <family val="2"/>
        <scheme val="minor"/>
      </rPr>
      <t xml:space="preserve"> is duration/24 - assume one cycle per day</t>
    </r>
  </si>
  <si>
    <r>
      <rPr>
        <b/>
        <sz val="12"/>
        <color theme="1"/>
        <rFont val="Calibri"/>
        <family val="2"/>
        <scheme val="minor"/>
      </rPr>
      <t>VAROM</t>
    </r>
    <r>
      <rPr>
        <sz val="12"/>
        <color theme="1"/>
        <rFont val="Calibri"/>
        <family val="2"/>
        <scheme val="minor"/>
      </rPr>
      <t xml:space="preserve"> = 0</t>
    </r>
  </si>
  <si>
    <t>~FI_T: FX</t>
  </si>
  <si>
    <t>commodity</t>
  </si>
  <si>
    <t>Attribute</t>
  </si>
  <si>
    <t>S_EFF</t>
  </si>
  <si>
    <t>AFC~DAYNITE~UP</t>
  </si>
  <si>
    <t>CAP2ACT</t>
  </si>
  <si>
    <t>Peak</t>
  </si>
  <si>
    <t>PrimaryCG</t>
  </si>
  <si>
    <t>Vintage</t>
  </si>
  <si>
    <t>Car battery - 6kw/60Kwh - with V2G (optional)</t>
  </si>
  <si>
    <t>elc_roadtransport</t>
  </si>
  <si>
    <t>STG</t>
  </si>
  <si>
    <t>EXP</t>
  </si>
  <si>
    <t>Trd_electricity import</t>
  </si>
  <si>
    <t>Trd_electricity export</t>
  </si>
  <si>
    <t>$/GJ</t>
  </si>
  <si>
    <t>invcost</t>
  </si>
  <si>
    <t>~FI_T: USD21~FX~ACT_BND</t>
  </si>
  <si>
    <t>ev_battery</t>
  </si>
  <si>
    <t>e_demand</t>
  </si>
  <si>
    <t>life</t>
  </si>
  <si>
    <t>Demand sectors</t>
  </si>
  <si>
    <t>generic fuel supply</t>
  </si>
  <si>
    <t>XXX</t>
  </si>
  <si>
    <t>Investment cost per unit of capacity (EUR/kW-output)</t>
  </si>
  <si>
    <t>Fixed O&amp;M costs
(EUR/kW-output)</t>
  </si>
  <si>
    <t>Heatrate
(input over output ratio)</t>
  </si>
  <si>
    <t> Conversion technologies</t>
  </si>
  <si>
    <t>fixom</t>
  </si>
  <si>
    <t>input~GASNGA</t>
  </si>
  <si>
    <t>Ultimate</t>
  </si>
  <si>
    <t>2015
Heat</t>
  </si>
  <si>
    <t>2015
Electricity</t>
  </si>
  <si>
    <t>2030
Heat</t>
  </si>
  <si>
    <t>2030
Electricity</t>
  </si>
  <si>
    <t>Ultimate
Heat</t>
  </si>
  <si>
    <t>Ultimate
Electricity</t>
  </si>
  <si>
    <t>Hydrogen from natural gas steam reforming centralised - Large scale  (per 1 kW or 1 MWh H2 HHV)</t>
  </si>
  <si>
    <t>Hydrogen from natural gas steam reforming centralised - Large scale with CCU  (per 1 kW or 1 MWh H2 HHV)</t>
  </si>
  <si>
    <t>Hydrogen from natural gas steam reforming de-centralised - Medium scale  (per 1 kW or 1 MWh H2 HHV)</t>
  </si>
  <si>
    <t>Hydrogen from low temperature water electrolysis PEM centralised - Large scale  (per 1 kW or 1 MWh H2 HHV)</t>
  </si>
  <si>
    <t>Hydrogen from low temperature water electrolysis PEM de-centralised at a refuelling station  (per 1 kW or 1 MWh H2 HHV)</t>
  </si>
  <si>
    <t>Hydrogen from low temperature water electrolysis - Alkaline centralised, large scale  (per 1 kW or 1 MWh H2 HHV)</t>
  </si>
  <si>
    <t>Hydrogen from low temperature water electrolysis Alkaline de-centralised at a refuelling station  (per 1 kW or 1 MWh H2 HHV)</t>
  </si>
  <si>
    <t>Hydrogen from high temperature water electrolysis SOEC centralised  (per 1 kW or 1 MWh H2 HHV)</t>
  </si>
  <si>
    <t>Hydrogen from high temperature water electrolysis SOEC de-centralised at a refuelling station  (per 1 kW or 1 MWh H2 HHV)</t>
  </si>
  <si>
    <t>Methanation  (per 1 kW or 1 MWh CH4 HHV)</t>
  </si>
  <si>
    <t>CH4 Liquefaction plant  (per 1 kW or 1 MWh gas HHV)</t>
  </si>
  <si>
    <t>Gas Liquefaction plant  (per 1 kW or 1 MWh gas HHV)</t>
  </si>
  <si>
    <t>Regasification Plant including LNG storage  (per 1 kW or 1 MWh gas HHV)</t>
  </si>
  <si>
    <t>Power to liquid via the methanol route  (per 1 kW or 1 MWh CH4 HHV)</t>
  </si>
  <si>
    <t>Power to liquid via the Fischer Tropsch route  (per 1 kW or 1 MWh CH4 HHV)</t>
  </si>
  <si>
    <t>Power to liquid via High temperature co-electrolysis and Fischer Tropsch  (per 1 kW or 1 MWh CH4 HHV)</t>
  </si>
  <si>
    <t>Capture CO2 from air (Absorption technology)  (per 1 tCO2)</t>
  </si>
  <si>
    <t>Capture CO2 from air (Adsorption technology)  (per 1 tCO2)</t>
  </si>
  <si>
    <t>CO2 Liquefaction plant  (per 1 ton CO2)</t>
  </si>
  <si>
    <t>~FI_T: EUR15</t>
  </si>
  <si>
    <t>Cap2Act</t>
  </si>
  <si>
    <t>Yes</t>
  </si>
  <si>
    <t>H2prd_Elc_PEM</t>
  </si>
  <si>
    <t>H2prd_Elc_ALK</t>
  </si>
  <si>
    <t>efficiency</t>
  </si>
  <si>
    <t>h_demand</t>
  </si>
  <si>
    <t>Hydrogen demand</t>
  </si>
  <si>
    <t>hydrogen_allsect</t>
  </si>
  <si>
    <t>windon</t>
  </si>
  <si>
    <t>windoff</t>
  </si>
  <si>
    <t>fossil_supply</t>
  </si>
  <si>
    <t>hydro and geothermal</t>
  </si>
  <si>
    <t>renewable</t>
  </si>
  <si>
    <t>nuclear_fuel</t>
  </si>
  <si>
    <t>Nuclear fuel supply</t>
  </si>
  <si>
    <t>solar_potential</t>
  </si>
  <si>
    <t>winon_potential</t>
  </si>
  <si>
    <t>winoff_potential</t>
  </si>
  <si>
    <t>solar potential</t>
  </si>
  <si>
    <t>wind onshore potential</t>
  </si>
  <si>
    <t>wnid offshore potential</t>
  </si>
  <si>
    <t>~fi_process</t>
  </si>
  <si>
    <t>set</t>
  </si>
  <si>
    <t>process</t>
  </si>
  <si>
    <t>description</t>
  </si>
  <si>
    <t>capacity_unit</t>
  </si>
  <si>
    <t>activity_unit</t>
  </si>
  <si>
    <t>timeslicelevel</t>
  </si>
  <si>
    <t>vintage</t>
  </si>
  <si>
    <t>ele</t>
  </si>
  <si>
    <t>e_spv_001</t>
  </si>
  <si>
    <t>solar resource in cluster 1</t>
  </si>
  <si>
    <t>annual</t>
  </si>
  <si>
    <t>no</t>
  </si>
  <si>
    <t>e_spv_002</t>
  </si>
  <si>
    <t>solar resource in cluster 2</t>
  </si>
  <si>
    <t>e_spv_003</t>
  </si>
  <si>
    <t>solar resource in cluster 3</t>
  </si>
  <si>
    <t>e_spv_004</t>
  </si>
  <si>
    <t>solar resource in cluster 4</t>
  </si>
  <si>
    <t>e_spv_005</t>
  </si>
  <si>
    <t>solar resource in cluster 5</t>
  </si>
  <si>
    <t>e_spv_006</t>
  </si>
  <si>
    <t>solar resource in cluster 6</t>
  </si>
  <si>
    <t>e_spv_007</t>
  </si>
  <si>
    <t>solar resource in cluster 7</t>
  </si>
  <si>
    <t>e_spv_008</t>
  </si>
  <si>
    <t>solar resource in cluster 8</t>
  </si>
  <si>
    <t>e_spv_009</t>
  </si>
  <si>
    <t>solar resource in cluster 9</t>
  </si>
  <si>
    <t>e_spv_010</t>
  </si>
  <si>
    <t>solar resource in cluster 10</t>
  </si>
  <si>
    <t>e_spv_011</t>
  </si>
  <si>
    <t>solar resource in cluster 11</t>
  </si>
  <si>
    <t>e_spv_012</t>
  </si>
  <si>
    <t>solar resource in cluster 12</t>
  </si>
  <si>
    <t>e_spv_013</t>
  </si>
  <si>
    <t>solar resource in cluster 13</t>
  </si>
  <si>
    <t>e_spv_014</t>
  </si>
  <si>
    <t>solar resource in cluster 14</t>
  </si>
  <si>
    <t>e_spv_015</t>
  </si>
  <si>
    <t>solar resource in cluster 15</t>
  </si>
  <si>
    <t>e_spv_016</t>
  </si>
  <si>
    <t>solar resource in cluster 16</t>
  </si>
  <si>
    <t>e_spv_017</t>
  </si>
  <si>
    <t>solar resource in cluster 17</t>
  </si>
  <si>
    <t>e_spv_018</t>
  </si>
  <si>
    <t>solar resource in cluster 18</t>
  </si>
  <si>
    <t>e_spv_019</t>
  </si>
  <si>
    <t>solar resource in cluster 19</t>
  </si>
  <si>
    <t>e_spv_020</t>
  </si>
  <si>
    <t>solar resource in cluster 20</t>
  </si>
  <si>
    <t>e_spv_021</t>
  </si>
  <si>
    <t>solar resource in cluster 21</t>
  </si>
  <si>
    <t>e_spv_022</t>
  </si>
  <si>
    <t>solar resource in cluster 22</t>
  </si>
  <si>
    <t>e_spv_023</t>
  </si>
  <si>
    <t>solar resource in cluster 23</t>
  </si>
  <si>
    <t>e_spv_024</t>
  </si>
  <si>
    <t>solar resource in cluster 24</t>
  </si>
  <si>
    <t>~fi_t</t>
  </si>
  <si>
    <t>comm-out</t>
  </si>
  <si>
    <t>cap_bnd</t>
  </si>
  <si>
    <t>af~fx</t>
  </si>
  <si>
    <t>elc_spv_001</t>
  </si>
  <si>
    <t>elc_spv_002</t>
  </si>
  <si>
    <t>elc_spv_003</t>
  </si>
  <si>
    <t>elc_spv_004</t>
  </si>
  <si>
    <t>elc_spv_005</t>
  </si>
  <si>
    <t>elc_spv_006</t>
  </si>
  <si>
    <t>elc_spv_007</t>
  </si>
  <si>
    <t>elc_spv_008</t>
  </si>
  <si>
    <t>elc_spv_009</t>
  </si>
  <si>
    <t>elc_spv_010</t>
  </si>
  <si>
    <t>elc_spv_011</t>
  </si>
  <si>
    <t>elc_spv_012</t>
  </si>
  <si>
    <t>elc_spv_013</t>
  </si>
  <si>
    <t>elc_spv_014</t>
  </si>
  <si>
    <t>elc_spv_015</t>
  </si>
  <si>
    <t>elc_spv_016</t>
  </si>
  <si>
    <t>elc_spv_017</t>
  </si>
  <si>
    <t>elc_spv_018</t>
  </si>
  <si>
    <t>elc_spv_019</t>
  </si>
  <si>
    <t>elc_spv_020</t>
  </si>
  <si>
    <t>elc_spv_021</t>
  </si>
  <si>
    <t>elc_spv_022</t>
  </si>
  <si>
    <t>elc_spv_023</t>
  </si>
  <si>
    <t>elc_spv_024</t>
  </si>
  <si>
    <t>primarycg</t>
  </si>
  <si>
    <t>pre</t>
  </si>
  <si>
    <t>distr_solelc_spv_007</t>
  </si>
  <si>
    <t>connecting solar to buses in cluster 7</t>
  </si>
  <si>
    <t>NRGI</t>
  </si>
  <si>
    <t>daynite</t>
  </si>
  <si>
    <t>distr_solelc_spv_008</t>
  </si>
  <si>
    <t>connecting solar to buses in cluster 8</t>
  </si>
  <si>
    <t>distr_solelc_spv_006</t>
  </si>
  <si>
    <t>connecting solar to buses in cluster 6</t>
  </si>
  <si>
    <t>distr_solelc_spv_004</t>
  </si>
  <si>
    <t>connecting solar to buses in cluster 4</t>
  </si>
  <si>
    <t>distr_solelc_spv_012</t>
  </si>
  <si>
    <t>connecting solar to buses in cluster 12</t>
  </si>
  <si>
    <t>distr_solelc_spv_011</t>
  </si>
  <si>
    <t>connecting solar to buses in cluster 11</t>
  </si>
  <si>
    <t>distr_solelc_spv_003</t>
  </si>
  <si>
    <t>connecting solar to buses in cluster 3</t>
  </si>
  <si>
    <t>distr_solelc_spv_010</t>
  </si>
  <si>
    <t>connecting solar to buses in cluster 10</t>
  </si>
  <si>
    <t>distr_solelc_spv_024</t>
  </si>
  <si>
    <t>connecting solar to buses in cluster 24</t>
  </si>
  <si>
    <t>distr_solelc_spv_018</t>
  </si>
  <si>
    <t>connecting solar to buses in cluster 18</t>
  </si>
  <si>
    <t>distr_solelc_spv_013</t>
  </si>
  <si>
    <t>connecting solar to buses in cluster 13</t>
  </si>
  <si>
    <t>distr_solelc_spv_016</t>
  </si>
  <si>
    <t>connecting solar to buses in cluster 16</t>
  </si>
  <si>
    <t>distr_solelc_spv_005</t>
  </si>
  <si>
    <t>connecting solar to buses in cluster 5</t>
  </si>
  <si>
    <t>distr_solelc_spv_019</t>
  </si>
  <si>
    <t>connecting solar to buses in cluster 19</t>
  </si>
  <si>
    <t>distr_solelc_spv_014</t>
  </si>
  <si>
    <t>connecting solar to buses in cluster 14</t>
  </si>
  <si>
    <t>distr_solelc_spv_015</t>
  </si>
  <si>
    <t>connecting solar to buses in cluster 15</t>
  </si>
  <si>
    <t>distr_solelc_spv_022</t>
  </si>
  <si>
    <t>connecting solar to buses in cluster 22</t>
  </si>
  <si>
    <t>distr_solelc_spv_021</t>
  </si>
  <si>
    <t>connecting solar to buses in cluster 21</t>
  </si>
  <si>
    <t>distr_solelc_spv_023</t>
  </si>
  <si>
    <t>connecting solar to buses in cluster 23</t>
  </si>
  <si>
    <t>distr_solelc_spv_020</t>
  </si>
  <si>
    <t>connecting solar to buses in cluster 20</t>
  </si>
  <si>
    <t>distr_solelc_spv_017</t>
  </si>
  <si>
    <t>connecting solar to buses in cluster 17</t>
  </si>
  <si>
    <t>distr_solelc_spv_009</t>
  </si>
  <si>
    <t>connecting solar to buses in cluster 9</t>
  </si>
  <si>
    <t>distr_solelc_spv_002</t>
  </si>
  <si>
    <t>connecting solar to buses in cluster 2</t>
  </si>
  <si>
    <t>distr_solelc_spv_001</t>
  </si>
  <si>
    <t>connecting solar to buses in cluster 1</t>
  </si>
  <si>
    <t>comm-in</t>
  </si>
  <si>
    <t>ncap_cost~USD21_alt</t>
  </si>
  <si>
    <t>e_dem3,e_gen4,e_dem1</t>
  </si>
  <si>
    <t>e_gen3,e_gen1,e_dem1</t>
  </si>
  <si>
    <t>e_gen4,e_dem1</t>
  </si>
  <si>
    <t>e_dem3</t>
  </si>
  <si>
    <t>e_gen2</t>
  </si>
  <si>
    <t>e_gen3,e_gen2</t>
  </si>
  <si>
    <t>e_gen3</t>
  </si>
  <si>
    <t>e_gen1,e_dem1</t>
  </si>
  <si>
    <t>e_dem1</t>
  </si>
  <si>
    <t>e_gen2,e_dem0</t>
  </si>
  <si>
    <t>e_gen0,e_dem2</t>
  </si>
  <si>
    <t>e_gen4</t>
  </si>
  <si>
    <t>e_dem4,e_gen0</t>
  </si>
  <si>
    <t>e_dem0,e_gen0,e_dem2</t>
  </si>
  <si>
    <t>e_dem2</t>
  </si>
  <si>
    <t>e_dem1,e_gen1</t>
  </si>
  <si>
    <t>e_gen1</t>
  </si>
  <si>
    <t>e_gen1,e_dem4</t>
  </si>
  <si>
    <t>distr_wonelc_won_016</t>
  </si>
  <si>
    <t>connecting wind onshore to buses in cluster 16</t>
  </si>
  <si>
    <t>distr_wonelc_won_006</t>
  </si>
  <si>
    <t>connecting wind onshore to buses in cluster 6</t>
  </si>
  <si>
    <t>distr_wonelc_won_014</t>
  </si>
  <si>
    <t>connecting wind onshore to buses in cluster 14</t>
  </si>
  <si>
    <t>distr_wonelc_won_010</t>
  </si>
  <si>
    <t>connecting wind onshore to buses in cluster 10</t>
  </si>
  <si>
    <t>distr_wonelc_won_015</t>
  </si>
  <si>
    <t>connecting wind onshore to buses in cluster 15</t>
  </si>
  <si>
    <t>distr_wonelc_won_004</t>
  </si>
  <si>
    <t>connecting wind onshore to buses in cluster 4</t>
  </si>
  <si>
    <t>distr_wonelc_won_002</t>
  </si>
  <si>
    <t>connecting wind onshore to buses in cluster 2</t>
  </si>
  <si>
    <t>distr_wonelc_won_003</t>
  </si>
  <si>
    <t>connecting wind onshore to buses in cluster 3</t>
  </si>
  <si>
    <t>distr_wonelc_won_001</t>
  </si>
  <si>
    <t>connecting wind onshore to buses in cluster 1</t>
  </si>
  <si>
    <t>distr_wonelc_won_009</t>
  </si>
  <si>
    <t>connecting wind onshore to buses in cluster 9</t>
  </si>
  <si>
    <t>distr_wonelc_won_017</t>
  </si>
  <si>
    <t>connecting wind onshore to buses in cluster 17</t>
  </si>
  <si>
    <t>distr_wonelc_won_008</t>
  </si>
  <si>
    <t>connecting wind onshore to buses in cluster 8</t>
  </si>
  <si>
    <t>distr_wonelc_won_012</t>
  </si>
  <si>
    <t>connecting wind onshore to buses in cluster 12</t>
  </si>
  <si>
    <t>distr_wonelc_won_019</t>
  </si>
  <si>
    <t>connecting wind onshore to buses in cluster 19</t>
  </si>
  <si>
    <t>distr_wonelc_won_011</t>
  </si>
  <si>
    <t>connecting wind onshore to buses in cluster 11</t>
  </si>
  <si>
    <t>distr_wonelc_won_007</t>
  </si>
  <si>
    <t>connecting wind onshore to buses in cluster 7</t>
  </si>
  <si>
    <t>distr_wonelc_won_005</t>
  </si>
  <si>
    <t>connecting wind onshore to buses in cluster 5</t>
  </si>
  <si>
    <t>distr_wonelc_won_013</t>
  </si>
  <si>
    <t>connecting wind onshore to buses in cluster 13</t>
  </si>
  <si>
    <t>distr_wonelc_won_018</t>
  </si>
  <si>
    <t>connecting wind onshore to buses in cluster 18</t>
  </si>
  <si>
    <t>elc_won_016</t>
  </si>
  <si>
    <t>elc_won_006</t>
  </si>
  <si>
    <t>elc_won_014</t>
  </si>
  <si>
    <t>elc_won_010</t>
  </si>
  <si>
    <t>elc_won_015</t>
  </si>
  <si>
    <t>elc_won_004</t>
  </si>
  <si>
    <t>elc_won_002</t>
  </si>
  <si>
    <t>e_gen3,e_dem3,e_gen1,e_dem1</t>
  </si>
  <si>
    <t>elc_won_003</t>
  </si>
  <si>
    <t>elc_won_001</t>
  </si>
  <si>
    <t>elc_won_009</t>
  </si>
  <si>
    <t>elc_won_017</t>
  </si>
  <si>
    <t>elc_won_008</t>
  </si>
  <si>
    <t>elc_won_012</t>
  </si>
  <si>
    <t>e_gen0,e_dem4</t>
  </si>
  <si>
    <t>elc_won_019</t>
  </si>
  <si>
    <t>e_dem0,e_gen0</t>
  </si>
  <si>
    <t>elc_won_011</t>
  </si>
  <si>
    <t>elc_won_007</t>
  </si>
  <si>
    <t>elc_won_005</t>
  </si>
  <si>
    <t>elc_won_013</t>
  </si>
  <si>
    <t>e_gen0</t>
  </si>
  <si>
    <t>elc_won_018</t>
  </si>
  <si>
    <t>e_dem0</t>
  </si>
  <si>
    <t>distr_wofelc_wof_001</t>
  </si>
  <si>
    <t>connecting wind offshore to buses in cluster 1</t>
  </si>
  <si>
    <t>distr_wofelc_wof_006</t>
  </si>
  <si>
    <t>connecting wind offshore to buses in cluster 6</t>
  </si>
  <si>
    <t>distr_wofelc_wof_015</t>
  </si>
  <si>
    <t>connecting wind offshore to buses in cluster 15</t>
  </si>
  <si>
    <t>distr_wofelc_wof_002</t>
  </si>
  <si>
    <t>connecting wind offshore to buses in cluster 2</t>
  </si>
  <si>
    <t>distr_wofelc_wof_005</t>
  </si>
  <si>
    <t>connecting wind offshore to buses in cluster 5</t>
  </si>
  <si>
    <t>distr_wofelc_wof_017</t>
  </si>
  <si>
    <t>connecting wind offshore to buses in cluster 17</t>
  </si>
  <si>
    <t>distr_wofelc_wof_008</t>
  </si>
  <si>
    <t>connecting wind offshore to buses in cluster 8</t>
  </si>
  <si>
    <t>distr_wofelc_wof_019</t>
  </si>
  <si>
    <t>connecting wind offshore to buses in cluster 19</t>
  </si>
  <si>
    <t>distr_wofelc_wof_011</t>
  </si>
  <si>
    <t>connecting wind offshore to buses in cluster 11</t>
  </si>
  <si>
    <t>distr_wofelc_wof_007</t>
  </si>
  <si>
    <t>connecting wind offshore to buses in cluster 7</t>
  </si>
  <si>
    <t>distr_wofelc_wof_009</t>
  </si>
  <si>
    <t>connecting wind offshore to buses in cluster 9</t>
  </si>
  <si>
    <t>distr_wofelc_wof_018</t>
  </si>
  <si>
    <t>connecting wind offshore to buses in cluster 18</t>
  </si>
  <si>
    <t>distr_wofelc_wof_012</t>
  </si>
  <si>
    <t>connecting wind offshore to buses in cluster 12</t>
  </si>
  <si>
    <t>distr_wofelc_wof_013</t>
  </si>
  <si>
    <t>connecting wind offshore to buses in cluster 13</t>
  </si>
  <si>
    <t>distr_wofelc_wof_016</t>
  </si>
  <si>
    <t>connecting wind offshore to buses in cluster 16</t>
  </si>
  <si>
    <t>distr_wofelc_wof_004</t>
  </si>
  <si>
    <t>connecting wind offshore to buses in cluster 4</t>
  </si>
  <si>
    <t>distr_wofelc_wof_003</t>
  </si>
  <si>
    <t>connecting wind offshore to buses in cluster 3</t>
  </si>
  <si>
    <t>distr_wofelc_wof_010</t>
  </si>
  <si>
    <t>connecting wind offshore to buses in cluster 10</t>
  </si>
  <si>
    <t>distr_wofelc_wof_014</t>
  </si>
  <si>
    <t>connecting wind offshore to buses in cluster 14</t>
  </si>
  <si>
    <t>elc_wof_001</t>
  </si>
  <si>
    <t>elc_wof_006</t>
  </si>
  <si>
    <t>elc_wof_015</t>
  </si>
  <si>
    <t>elc_wof_002</t>
  </si>
  <si>
    <t>elc_wof_005</t>
  </si>
  <si>
    <t>elc_wof_017</t>
  </si>
  <si>
    <t>elc_wof_008</t>
  </si>
  <si>
    <t>e_dem4,e_gen1</t>
  </si>
  <si>
    <t>elc_wof_019</t>
  </si>
  <si>
    <t>elc_wof_011</t>
  </si>
  <si>
    <t>elc_wof_007</t>
  </si>
  <si>
    <t>elc_wof_009</t>
  </si>
  <si>
    <t>elc_wof_018</t>
  </si>
  <si>
    <t>elc_wof_012</t>
  </si>
  <si>
    <t>e_dem4</t>
  </si>
  <si>
    <t>elc_wof_013</t>
  </si>
  <si>
    <t>elc_wof_016</t>
  </si>
  <si>
    <t>elc_wof_004</t>
  </si>
  <si>
    <t>elc_wof_003</t>
  </si>
  <si>
    <t>elc_wof_010</t>
  </si>
  <si>
    <t>elc_wof_014</t>
  </si>
  <si>
    <t>e_won_001</t>
  </si>
  <si>
    <t>wind resource in cluster 1</t>
  </si>
  <si>
    <t>e_won_002</t>
  </si>
  <si>
    <t>wind resource in cluster 2</t>
  </si>
  <si>
    <t>e_won_003</t>
  </si>
  <si>
    <t>wind resource in cluster 3</t>
  </si>
  <si>
    <t>e_won_004</t>
  </si>
  <si>
    <t>wind resource in cluster 4</t>
  </si>
  <si>
    <t>e_won_005</t>
  </si>
  <si>
    <t>wind resource in cluster 5</t>
  </si>
  <si>
    <t>e_won_006</t>
  </si>
  <si>
    <t>wind resource in cluster 6</t>
  </si>
  <si>
    <t>e_won_007</t>
  </si>
  <si>
    <t>wind resource in cluster 7</t>
  </si>
  <si>
    <t>e_won_008</t>
  </si>
  <si>
    <t>wind resource in cluster 8</t>
  </si>
  <si>
    <t>e_won_009</t>
  </si>
  <si>
    <t>wind resource in cluster 9</t>
  </si>
  <si>
    <t>e_won_010</t>
  </si>
  <si>
    <t>wind resource in cluster 10</t>
  </si>
  <si>
    <t>e_won_011</t>
  </si>
  <si>
    <t>wind resource in cluster 11</t>
  </si>
  <si>
    <t>e_won_012</t>
  </si>
  <si>
    <t>wind resource in cluster 12</t>
  </si>
  <si>
    <t>e_won_013</t>
  </si>
  <si>
    <t>wind resource in cluster 13</t>
  </si>
  <si>
    <t>e_won_014</t>
  </si>
  <si>
    <t>wind resource in cluster 14</t>
  </si>
  <si>
    <t>e_won_015</t>
  </si>
  <si>
    <t>wind resource in cluster 15</t>
  </si>
  <si>
    <t>e_won_016</t>
  </si>
  <si>
    <t>wind resource in cluster 16</t>
  </si>
  <si>
    <t>e_won_017</t>
  </si>
  <si>
    <t>wind resource in cluster 17</t>
  </si>
  <si>
    <t>e_won_018</t>
  </si>
  <si>
    <t>wind resource in cluster 18</t>
  </si>
  <si>
    <t>e_won_019</t>
  </si>
  <si>
    <t>wind resource in cluster 19</t>
  </si>
  <si>
    <t>e_wof_001</t>
  </si>
  <si>
    <t>wind offshore resource in cluster 1</t>
  </si>
  <si>
    <t>e_wof_002</t>
  </si>
  <si>
    <t>wind offshore resource in cluster 2</t>
  </si>
  <si>
    <t>e_wof_003</t>
  </si>
  <si>
    <t>wind offshore resource in cluster 3</t>
  </si>
  <si>
    <t>e_wof_004</t>
  </si>
  <si>
    <t>wind offshore resource in cluster 4</t>
  </si>
  <si>
    <t>e_wof_005</t>
  </si>
  <si>
    <t>wind offshore resource in cluster 5</t>
  </si>
  <si>
    <t>e_wof_006</t>
  </si>
  <si>
    <t>wind offshore resource in cluster 6</t>
  </si>
  <si>
    <t>e_wof_007</t>
  </si>
  <si>
    <t>wind offshore resource in cluster 7</t>
  </si>
  <si>
    <t>e_wof_008</t>
  </si>
  <si>
    <t>wind offshore resource in cluster 8</t>
  </si>
  <si>
    <t>e_wof_009</t>
  </si>
  <si>
    <t>wind offshore resource in cluster 9</t>
  </si>
  <si>
    <t>e_wof_010</t>
  </si>
  <si>
    <t>wind offshore resource in cluster 10</t>
  </si>
  <si>
    <t>e_wof_011</t>
  </si>
  <si>
    <t>wind offshore resource in cluster 11</t>
  </si>
  <si>
    <t>e_wof_012</t>
  </si>
  <si>
    <t>wind offshore resource in cluster 12</t>
  </si>
  <si>
    <t>e_wof_013</t>
  </si>
  <si>
    <t>wind offshore resource in cluster 13</t>
  </si>
  <si>
    <t>e_wof_014</t>
  </si>
  <si>
    <t>wind offshore resource in cluster 14</t>
  </si>
  <si>
    <t>e_wof_015</t>
  </si>
  <si>
    <t>wind offshore resource in cluster 15</t>
  </si>
  <si>
    <t>e_wof_016</t>
  </si>
  <si>
    <t>wind offshore resource in cluster 16</t>
  </si>
  <si>
    <t>e_wof_017</t>
  </si>
  <si>
    <t>wind offshore resource in cluster 17</t>
  </si>
  <si>
    <t>e_wof_018</t>
  </si>
  <si>
    <t>wind offshore resource in cluster 18</t>
  </si>
  <si>
    <t>e_wof_019</t>
  </si>
  <si>
    <t>wind offshore resource in cluster 19</t>
  </si>
  <si>
    <t>Bioenergy + CCUS</t>
  </si>
  <si>
    <t>ncap_af</t>
  </si>
  <si>
    <t>ncap_cost</t>
  </si>
  <si>
    <t>ncap_fom</t>
  </si>
  <si>
    <t>ncap_iled</t>
  </si>
  <si>
    <t>Bioenergy - Large scale unit</t>
  </si>
  <si>
    <t>CCGT</t>
  </si>
  <si>
    <t>CCGT + CCS</t>
  </si>
  <si>
    <t>Coal + CCS</t>
  </si>
  <si>
    <t>Gas turbine</t>
  </si>
  <si>
    <t>Hydropower - large-scale unit</t>
  </si>
  <si>
    <t>IGCC</t>
  </si>
  <si>
    <t>IGCC + CCS</t>
  </si>
  <si>
    <t>Nuclear large</t>
  </si>
  <si>
    <t>Oxyfuel + CCS</t>
  </si>
  <si>
    <t>Solar photovoltaics - Large scale unit</t>
  </si>
  <si>
    <t>Steam Coal - SUBCRITICAL</t>
  </si>
  <si>
    <t>Steam Coal - SUPERCRITICAL</t>
  </si>
  <si>
    <t>Steam Coal - ULTRASUPERCRITICAL</t>
  </si>
  <si>
    <t>Wind offshore</t>
  </si>
  <si>
    <t>unknown</t>
  </si>
  <si>
    <t>Wind onshore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</si>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</sst>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Te\x\t"/>
    <numFmt numFmtId="165" formatCode="&quot;$&quot;#,##0"/>
    <numFmt numFmtId="166" formatCode="0.0%"/>
    <numFmt numFmtId="167" formatCode="_-* #,##0.00_-;\-* #,##0.00_-;_-* &quot;-&quot;??_-;_-@_-"/>
    <numFmt numFmtId="168" formatCode="0.0"/>
    <numFmt numFmtId="169" formatCode="0.000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0"/>
      <name val="STKFLOW - 14 of 38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charset val="161"/>
      <scheme val="minor"/>
    </font>
    <font>
      <b/>
      <i/>
      <sz val="11"/>
      <color theme="1"/>
      <name val="游ゴシック"/>
    </font>
    <font>
      <b/>
      <sz val="13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indexed="64"/>
      </top>
      <bottom/>
      <diagonal/>
    </border>
    <border>
      <left style="thin">
        <color theme="1" tint="0.499984740745262"/>
      </left>
      <right/>
      <top style="thin">
        <color indexed="64"/>
      </top>
      <bottom/>
      <diagonal/>
    </border>
    <border>
      <left/>
      <right style="thin">
        <color theme="1" tint="0.499984740745262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/>
      <right style="thin">
        <color theme="0" tint="-0.24994659260841701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1" tint="0.499984740745262"/>
      </left>
      <right/>
      <top/>
      <bottom style="thin">
        <color indexed="64"/>
      </bottom>
      <diagonal/>
    </border>
    <border>
      <left/>
      <right style="thin">
        <color theme="1" tint="0.499984740745262"/>
      </right>
      <top/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/>
      <right style="thin">
        <color theme="0" tint="-0.2499465926084170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9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4" fillId="0" borderId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0" borderId="0"/>
    <xf numFmtId="0" fontId="8" fillId="0" borderId="0"/>
    <xf numFmtId="9" fontId="8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5" fillId="0" borderId="3" applyNumberFormat="0" applyFill="0" applyAlignment="0" applyProtection="0"/>
    <xf numFmtId="0" fontId="2" fillId="0" borderId="0" applyNumberFormat="0" applyFill="0" applyBorder="0" applyAlignment="0" applyProtection="0"/>
    <xf numFmtId="0" fontId="16" fillId="2" borderId="0" applyNumberFormat="0" applyBorder="0" applyAlignment="0" applyProtection="0"/>
  </cellStyleXfs>
  <cellXfs count="153">
    <xf numFmtId="0" fontId="0" fillId="0" borderId="0" xfId="0"/>
    <xf numFmtId="0" fontId="1" fillId="0" borderId="0" xfId="0" applyFont="1"/>
    <xf numFmtId="0" fontId="2" fillId="0" borderId="1" xfId="1"/>
    <xf numFmtId="164" fontId="0" fillId="0" borderId="0" xfId="0" applyNumberFormat="1"/>
    <xf numFmtId="2" fontId="0" fillId="0" borderId="0" xfId="0" applyNumberFormat="1"/>
    <xf numFmtId="164" fontId="7" fillId="0" borderId="0" xfId="6" applyNumberFormat="1"/>
    <xf numFmtId="0" fontId="7" fillId="0" borderId="0" xfId="6"/>
    <xf numFmtId="0" fontId="1" fillId="0" borderId="0" xfId="6" applyFont="1"/>
    <xf numFmtId="164" fontId="1" fillId="0" borderId="0" xfId="6" applyNumberFormat="1" applyFont="1"/>
    <xf numFmtId="2" fontId="7" fillId="0" borderId="0" xfId="6" applyNumberFormat="1"/>
    <xf numFmtId="0" fontId="9" fillId="0" borderId="0" xfId="7" applyFont="1"/>
    <xf numFmtId="0" fontId="8" fillId="0" borderId="0" xfId="7"/>
    <xf numFmtId="0" fontId="6" fillId="4" borderId="0" xfId="5"/>
    <xf numFmtId="0" fontId="9" fillId="5" borderId="0" xfId="7" applyFont="1" applyFill="1"/>
    <xf numFmtId="0" fontId="8" fillId="5" borderId="0" xfId="7" applyFill="1"/>
    <xf numFmtId="0" fontId="10" fillId="5" borderId="0" xfId="7" applyFont="1" applyFill="1"/>
    <xf numFmtId="165" fontId="11" fillId="5" borderId="0" xfId="7" applyNumberFormat="1" applyFont="1" applyFill="1"/>
    <xf numFmtId="1" fontId="8" fillId="5" borderId="0" xfId="7" applyNumberFormat="1" applyFill="1"/>
    <xf numFmtId="165" fontId="11" fillId="5" borderId="2" xfId="7" applyNumberFormat="1" applyFont="1" applyFill="1" applyBorder="1"/>
    <xf numFmtId="166" fontId="12" fillId="0" borderId="0" xfId="8" applyNumberFormat="1" applyFont="1"/>
    <xf numFmtId="0" fontId="4" fillId="0" borderId="0" xfId="15" applyAlignment="1">
      <alignment vertical="center"/>
    </xf>
    <xf numFmtId="0" fontId="1" fillId="0" borderId="0" xfId="15" applyFont="1" applyAlignment="1">
      <alignment vertical="center"/>
    </xf>
    <xf numFmtId="0" fontId="14" fillId="0" borderId="0" xfId="15" applyFont="1" applyAlignment="1">
      <alignment vertical="center"/>
    </xf>
    <xf numFmtId="0" fontId="1" fillId="0" borderId="0" xfId="15" applyFont="1" applyAlignment="1">
      <alignment horizontal="left"/>
    </xf>
    <xf numFmtId="0" fontId="6" fillId="4" borderId="0" xfId="5" applyAlignment="1">
      <alignment vertical="center"/>
    </xf>
    <xf numFmtId="0" fontId="6" fillId="4" borderId="0" xfId="5" applyAlignment="1">
      <alignment horizontal="right"/>
    </xf>
    <xf numFmtId="0" fontId="4" fillId="0" borderId="0" xfId="15"/>
    <xf numFmtId="0" fontId="18" fillId="6" borderId="0" xfId="0" applyFont="1" applyFill="1" applyAlignment="1">
      <alignment horizontal="center" vertical="center"/>
    </xf>
    <xf numFmtId="0" fontId="16" fillId="2" borderId="0" xfId="18" applyBorder="1" applyAlignment="1">
      <alignment horizontal="left" vertical="center"/>
    </xf>
    <xf numFmtId="0" fontId="18" fillId="6" borderId="0" xfId="0" applyFont="1" applyFill="1" applyAlignment="1">
      <alignment horizontal="left" vertical="center" wrapText="1"/>
    </xf>
    <xf numFmtId="0" fontId="18" fillId="6" borderId="8" xfId="0" applyFont="1" applyFill="1" applyBorder="1" applyAlignment="1">
      <alignment horizontal="left" vertical="center" wrapText="1"/>
    </xf>
    <xf numFmtId="0" fontId="18" fillId="6" borderId="9" xfId="0" applyFont="1" applyFill="1" applyBorder="1" applyAlignment="1">
      <alignment horizontal="left" vertical="center" wrapText="1"/>
    </xf>
    <xf numFmtId="0" fontId="18" fillId="6" borderId="10" xfId="0" applyFont="1" applyFill="1" applyBorder="1" applyAlignment="1">
      <alignment horizontal="left" vertical="center" wrapText="1"/>
    </xf>
    <xf numFmtId="0" fontId="18" fillId="6" borderId="11" xfId="0" applyFont="1" applyFill="1" applyBorder="1" applyAlignment="1">
      <alignment horizontal="left" vertical="center" wrapText="1"/>
    </xf>
    <xf numFmtId="0" fontId="19" fillId="7" borderId="0" xfId="0" applyFont="1" applyFill="1" applyAlignment="1">
      <alignment vertical="center"/>
    </xf>
    <xf numFmtId="168" fontId="19" fillId="7" borderId="8" xfId="0" applyNumberFormat="1" applyFont="1" applyFill="1" applyBorder="1" applyAlignment="1">
      <alignment vertical="center"/>
    </xf>
    <xf numFmtId="168" fontId="19" fillId="7" borderId="0" xfId="0" applyNumberFormat="1" applyFont="1" applyFill="1" applyAlignment="1">
      <alignment vertical="center"/>
    </xf>
    <xf numFmtId="168" fontId="19" fillId="7" borderId="9" xfId="0" applyNumberFormat="1" applyFont="1" applyFill="1" applyBorder="1" applyAlignment="1">
      <alignment vertical="center"/>
    </xf>
    <xf numFmtId="2" fontId="19" fillId="7" borderId="0" xfId="0" applyNumberFormat="1" applyFont="1" applyFill="1" applyAlignment="1">
      <alignment vertical="center"/>
    </xf>
    <xf numFmtId="2" fontId="19" fillId="7" borderId="10" xfId="0" applyNumberFormat="1" applyFont="1" applyFill="1" applyBorder="1" applyAlignment="1">
      <alignment vertical="center"/>
    </xf>
    <xf numFmtId="2" fontId="19" fillId="7" borderId="11" xfId="0" applyNumberFormat="1" applyFont="1" applyFill="1" applyBorder="1" applyAlignment="1">
      <alignment vertical="center"/>
    </xf>
    <xf numFmtId="0" fontId="19" fillId="7" borderId="12" xfId="0" applyFont="1" applyFill="1" applyBorder="1" applyAlignment="1">
      <alignment horizontal="left" vertical="center"/>
    </xf>
    <xf numFmtId="0" fontId="19" fillId="7" borderId="0" xfId="0" applyFont="1" applyFill="1" applyAlignment="1">
      <alignment horizontal="left" vertical="center"/>
    </xf>
    <xf numFmtId="0" fontId="19" fillId="8" borderId="0" xfId="0" applyFont="1" applyFill="1" applyAlignment="1">
      <alignment vertical="center"/>
    </xf>
    <xf numFmtId="168" fontId="19" fillId="8" borderId="8" xfId="0" applyNumberFormat="1" applyFont="1" applyFill="1" applyBorder="1" applyAlignment="1">
      <alignment vertical="center"/>
    </xf>
    <xf numFmtId="168" fontId="19" fillId="8" borderId="0" xfId="0" applyNumberFormat="1" applyFont="1" applyFill="1" applyAlignment="1">
      <alignment vertical="center"/>
    </xf>
    <xf numFmtId="168" fontId="19" fillId="8" borderId="9" xfId="0" applyNumberFormat="1" applyFont="1" applyFill="1" applyBorder="1" applyAlignment="1">
      <alignment vertical="center"/>
    </xf>
    <xf numFmtId="2" fontId="19" fillId="8" borderId="0" xfId="0" applyNumberFormat="1" applyFont="1" applyFill="1" applyAlignment="1">
      <alignment vertical="center"/>
    </xf>
    <xf numFmtId="2" fontId="19" fillId="8" borderId="10" xfId="0" applyNumberFormat="1" applyFont="1" applyFill="1" applyBorder="1" applyAlignment="1">
      <alignment vertical="center"/>
    </xf>
    <xf numFmtId="2" fontId="19" fillId="8" borderId="11" xfId="0" applyNumberFormat="1" applyFont="1" applyFill="1" applyBorder="1" applyAlignment="1">
      <alignment vertical="center"/>
    </xf>
    <xf numFmtId="0" fontId="19" fillId="8" borderId="12" xfId="0" applyFont="1" applyFill="1" applyBorder="1" applyAlignment="1">
      <alignment horizontal="left" vertical="center"/>
    </xf>
    <xf numFmtId="0" fontId="19" fillId="8" borderId="0" xfId="0" applyFont="1" applyFill="1" applyAlignment="1">
      <alignment horizontal="left" vertical="center"/>
    </xf>
    <xf numFmtId="1" fontId="19" fillId="8" borderId="0" xfId="0" applyNumberFormat="1" applyFont="1" applyFill="1" applyAlignment="1">
      <alignment vertical="center"/>
    </xf>
    <xf numFmtId="1" fontId="19" fillId="7" borderId="0" xfId="0" applyNumberFormat="1" applyFont="1" applyFill="1" applyAlignment="1">
      <alignment vertical="center"/>
    </xf>
    <xf numFmtId="0" fontId="20" fillId="9" borderId="0" xfId="0" applyFont="1" applyFill="1" applyAlignment="1">
      <alignment vertical="center"/>
    </xf>
    <xf numFmtId="168" fontId="20" fillId="9" borderId="8" xfId="0" applyNumberFormat="1" applyFont="1" applyFill="1" applyBorder="1" applyAlignment="1">
      <alignment vertical="center"/>
    </xf>
    <xf numFmtId="168" fontId="20" fillId="9" borderId="0" xfId="0" applyNumberFormat="1" applyFont="1" applyFill="1" applyAlignment="1">
      <alignment vertical="center"/>
    </xf>
    <xf numFmtId="168" fontId="20" fillId="9" borderId="9" xfId="0" applyNumberFormat="1" applyFont="1" applyFill="1" applyBorder="1" applyAlignment="1">
      <alignment vertical="center"/>
    </xf>
    <xf numFmtId="169" fontId="20" fillId="9" borderId="8" xfId="0" applyNumberFormat="1" applyFont="1" applyFill="1" applyBorder="1" applyAlignment="1">
      <alignment vertical="center"/>
    </xf>
    <xf numFmtId="169" fontId="20" fillId="9" borderId="0" xfId="0" applyNumberFormat="1" applyFont="1" applyFill="1" applyAlignment="1">
      <alignment vertical="center"/>
    </xf>
    <xf numFmtId="169" fontId="20" fillId="9" borderId="10" xfId="0" applyNumberFormat="1" applyFont="1" applyFill="1" applyBorder="1" applyAlignment="1">
      <alignment vertical="center"/>
    </xf>
    <xf numFmtId="169" fontId="20" fillId="9" borderId="11" xfId="0" applyNumberFormat="1" applyFont="1" applyFill="1" applyBorder="1" applyAlignment="1">
      <alignment vertical="center"/>
    </xf>
    <xf numFmtId="0" fontId="20" fillId="9" borderId="12" xfId="0" applyFont="1" applyFill="1" applyBorder="1" applyAlignment="1">
      <alignment horizontal="left" vertical="center"/>
    </xf>
    <xf numFmtId="0" fontId="20" fillId="9" borderId="0" xfId="0" applyFont="1" applyFill="1" applyAlignment="1">
      <alignment horizontal="left" vertical="center"/>
    </xf>
    <xf numFmtId="0" fontId="19" fillId="10" borderId="0" xfId="0" applyFont="1" applyFill="1" applyAlignment="1">
      <alignment vertical="center"/>
    </xf>
    <xf numFmtId="168" fontId="19" fillId="10" borderId="8" xfId="0" applyNumberFormat="1" applyFont="1" applyFill="1" applyBorder="1" applyAlignment="1">
      <alignment vertical="center"/>
    </xf>
    <xf numFmtId="168" fontId="19" fillId="10" borderId="0" xfId="0" applyNumberFormat="1" applyFont="1" applyFill="1" applyAlignment="1">
      <alignment vertical="center"/>
    </xf>
    <xf numFmtId="168" fontId="19" fillId="10" borderId="9" xfId="0" applyNumberFormat="1" applyFont="1" applyFill="1" applyBorder="1" applyAlignment="1">
      <alignment vertical="center"/>
    </xf>
    <xf numFmtId="169" fontId="19" fillId="10" borderId="8" xfId="0" applyNumberFormat="1" applyFont="1" applyFill="1" applyBorder="1" applyAlignment="1">
      <alignment vertical="center"/>
    </xf>
    <xf numFmtId="169" fontId="19" fillId="10" borderId="0" xfId="0" applyNumberFormat="1" applyFont="1" applyFill="1" applyAlignment="1">
      <alignment vertical="center"/>
    </xf>
    <xf numFmtId="169" fontId="19" fillId="10" borderId="10" xfId="0" applyNumberFormat="1" applyFont="1" applyFill="1" applyBorder="1" applyAlignment="1">
      <alignment vertical="center"/>
    </xf>
    <xf numFmtId="169" fontId="19" fillId="10" borderId="11" xfId="0" applyNumberFormat="1" applyFont="1" applyFill="1" applyBorder="1" applyAlignment="1">
      <alignment vertical="center"/>
    </xf>
    <xf numFmtId="0" fontId="19" fillId="10" borderId="12" xfId="0" applyFont="1" applyFill="1" applyBorder="1" applyAlignment="1">
      <alignment horizontal="left" vertical="center"/>
    </xf>
    <xf numFmtId="0" fontId="19" fillId="10" borderId="0" xfId="0" applyFont="1" applyFill="1" applyAlignment="1">
      <alignment horizontal="left" vertical="center"/>
    </xf>
    <xf numFmtId="0" fontId="19" fillId="11" borderId="0" xfId="0" applyFont="1" applyFill="1" applyAlignment="1">
      <alignment vertical="center"/>
    </xf>
    <xf numFmtId="168" fontId="19" fillId="11" borderId="8" xfId="0" applyNumberFormat="1" applyFont="1" applyFill="1" applyBorder="1" applyAlignment="1">
      <alignment vertical="center"/>
    </xf>
    <xf numFmtId="168" fontId="19" fillId="11" borderId="0" xfId="0" applyNumberFormat="1" applyFont="1" applyFill="1" applyAlignment="1">
      <alignment vertical="center"/>
    </xf>
    <xf numFmtId="168" fontId="19" fillId="11" borderId="9" xfId="0" applyNumberFormat="1" applyFont="1" applyFill="1" applyBorder="1" applyAlignment="1">
      <alignment vertical="center"/>
    </xf>
    <xf numFmtId="169" fontId="19" fillId="11" borderId="8" xfId="0" applyNumberFormat="1" applyFont="1" applyFill="1" applyBorder="1" applyAlignment="1">
      <alignment vertical="center"/>
    </xf>
    <xf numFmtId="169" fontId="19" fillId="11" borderId="0" xfId="0" applyNumberFormat="1" applyFont="1" applyFill="1" applyAlignment="1">
      <alignment vertical="center"/>
    </xf>
    <xf numFmtId="169" fontId="19" fillId="11" borderId="10" xfId="0" applyNumberFormat="1" applyFont="1" applyFill="1" applyBorder="1" applyAlignment="1">
      <alignment vertical="center"/>
    </xf>
    <xf numFmtId="169" fontId="19" fillId="11" borderId="11" xfId="0" applyNumberFormat="1" applyFont="1" applyFill="1" applyBorder="1" applyAlignment="1">
      <alignment vertical="center"/>
    </xf>
    <xf numFmtId="0" fontId="19" fillId="11" borderId="12" xfId="0" applyFont="1" applyFill="1" applyBorder="1" applyAlignment="1">
      <alignment horizontal="left" vertical="center"/>
    </xf>
    <xf numFmtId="0" fontId="19" fillId="11" borderId="0" xfId="0" applyFont="1" applyFill="1" applyAlignment="1">
      <alignment horizontal="left" vertical="center"/>
    </xf>
    <xf numFmtId="0" fontId="19" fillId="12" borderId="4" xfId="0" applyFont="1" applyFill="1" applyBorder="1" applyAlignment="1">
      <alignment vertical="center"/>
    </xf>
    <xf numFmtId="168" fontId="19" fillId="12" borderId="5" xfId="0" applyNumberFormat="1" applyFont="1" applyFill="1" applyBorder="1" applyAlignment="1">
      <alignment vertical="center"/>
    </xf>
    <xf numFmtId="168" fontId="19" fillId="12" borderId="4" xfId="0" applyNumberFormat="1" applyFont="1" applyFill="1" applyBorder="1" applyAlignment="1">
      <alignment vertical="center"/>
    </xf>
    <xf numFmtId="168" fontId="19" fillId="12" borderId="6" xfId="0" applyNumberFormat="1" applyFont="1" applyFill="1" applyBorder="1" applyAlignment="1">
      <alignment vertical="center"/>
    </xf>
    <xf numFmtId="169" fontId="20" fillId="12" borderId="5" xfId="0" applyNumberFormat="1" applyFont="1" applyFill="1" applyBorder="1" applyAlignment="1">
      <alignment vertical="center"/>
    </xf>
    <xf numFmtId="169" fontId="20" fillId="12" borderId="4" xfId="0" applyNumberFormat="1" applyFont="1" applyFill="1" applyBorder="1" applyAlignment="1">
      <alignment vertical="center"/>
    </xf>
    <xf numFmtId="169" fontId="20" fillId="12" borderId="13" xfId="0" applyNumberFormat="1" applyFont="1" applyFill="1" applyBorder="1" applyAlignment="1">
      <alignment vertical="center"/>
    </xf>
    <xf numFmtId="169" fontId="20" fillId="12" borderId="14" xfId="0" applyNumberFormat="1" applyFont="1" applyFill="1" applyBorder="1" applyAlignment="1">
      <alignment vertical="center"/>
    </xf>
    <xf numFmtId="0" fontId="19" fillId="12" borderId="7" xfId="0" applyFont="1" applyFill="1" applyBorder="1" applyAlignment="1">
      <alignment horizontal="left" vertical="center"/>
    </xf>
    <xf numFmtId="0" fontId="19" fillId="12" borderId="0" xfId="0" applyFont="1" applyFill="1" applyAlignment="1">
      <alignment horizontal="left" vertical="center"/>
    </xf>
    <xf numFmtId="0" fontId="19" fillId="13" borderId="0" xfId="0" applyFont="1" applyFill="1" applyAlignment="1">
      <alignment vertical="center"/>
    </xf>
    <xf numFmtId="0" fontId="19" fillId="14" borderId="0" xfId="0" applyFont="1" applyFill="1" applyAlignment="1">
      <alignment vertical="center"/>
    </xf>
    <xf numFmtId="168" fontId="19" fillId="14" borderId="8" xfId="0" applyNumberFormat="1" applyFont="1" applyFill="1" applyBorder="1" applyAlignment="1">
      <alignment vertical="center"/>
    </xf>
    <xf numFmtId="168" fontId="19" fillId="14" borderId="0" xfId="0" applyNumberFormat="1" applyFont="1" applyFill="1" applyAlignment="1">
      <alignment vertical="center"/>
    </xf>
    <xf numFmtId="168" fontId="19" fillId="14" borderId="9" xfId="0" applyNumberFormat="1" applyFont="1" applyFill="1" applyBorder="1" applyAlignment="1">
      <alignment vertical="center"/>
    </xf>
    <xf numFmtId="169" fontId="20" fillId="14" borderId="8" xfId="0" applyNumberFormat="1" applyFont="1" applyFill="1" applyBorder="1" applyAlignment="1">
      <alignment vertical="center"/>
    </xf>
    <xf numFmtId="169" fontId="20" fillId="14" borderId="0" xfId="0" applyNumberFormat="1" applyFont="1" applyFill="1" applyAlignment="1">
      <alignment vertical="center"/>
    </xf>
    <xf numFmtId="169" fontId="20" fillId="14" borderId="10" xfId="0" applyNumberFormat="1" applyFont="1" applyFill="1" applyBorder="1" applyAlignment="1">
      <alignment vertical="center"/>
    </xf>
    <xf numFmtId="169" fontId="20" fillId="14" borderId="11" xfId="0" applyNumberFormat="1" applyFont="1" applyFill="1" applyBorder="1" applyAlignment="1">
      <alignment vertical="center"/>
    </xf>
    <xf numFmtId="0" fontId="19" fillId="13" borderId="12" xfId="0" applyFont="1" applyFill="1" applyBorder="1" applyAlignment="1">
      <alignment horizontal="left" vertical="center"/>
    </xf>
    <xf numFmtId="0" fontId="19" fillId="13" borderId="0" xfId="0" applyFont="1" applyFill="1" applyAlignment="1">
      <alignment horizontal="left" vertical="center"/>
    </xf>
    <xf numFmtId="0" fontId="19" fillId="12" borderId="15" xfId="0" applyFont="1" applyFill="1" applyBorder="1" applyAlignment="1">
      <alignment vertical="center"/>
    </xf>
    <xf numFmtId="168" fontId="19" fillId="12" borderId="16" xfId="0" applyNumberFormat="1" applyFont="1" applyFill="1" applyBorder="1" applyAlignment="1">
      <alignment vertical="center"/>
    </xf>
    <xf numFmtId="168" fontId="19" fillId="12" borderId="15" xfId="0" applyNumberFormat="1" applyFont="1" applyFill="1" applyBorder="1" applyAlignment="1">
      <alignment vertical="center"/>
    </xf>
    <xf numFmtId="168" fontId="19" fillId="12" borderId="17" xfId="0" applyNumberFormat="1" applyFont="1" applyFill="1" applyBorder="1" applyAlignment="1">
      <alignment vertical="center"/>
    </xf>
    <xf numFmtId="169" fontId="20" fillId="12" borderId="16" xfId="0" applyNumberFormat="1" applyFont="1" applyFill="1" applyBorder="1" applyAlignment="1">
      <alignment vertical="center"/>
    </xf>
    <xf numFmtId="169" fontId="20" fillId="12" borderId="15" xfId="0" applyNumberFormat="1" applyFont="1" applyFill="1" applyBorder="1" applyAlignment="1">
      <alignment vertical="center"/>
    </xf>
    <xf numFmtId="169" fontId="20" fillId="12" borderId="18" xfId="0" applyNumberFormat="1" applyFont="1" applyFill="1" applyBorder="1" applyAlignment="1">
      <alignment vertical="center"/>
    </xf>
    <xf numFmtId="169" fontId="20" fillId="12" borderId="19" xfId="0" applyNumberFormat="1" applyFont="1" applyFill="1" applyBorder="1" applyAlignment="1">
      <alignment vertical="center"/>
    </xf>
    <xf numFmtId="0" fontId="19" fillId="12" borderId="20" xfId="0" applyFont="1" applyFill="1" applyBorder="1" applyAlignment="1">
      <alignment horizontal="left" vertical="center"/>
    </xf>
    <xf numFmtId="1" fontId="19" fillId="15" borderId="0" xfId="0" applyNumberFormat="1" applyFont="1" applyFill="1" applyAlignment="1">
      <alignment vertical="center"/>
    </xf>
    <xf numFmtId="168" fontId="19" fillId="15" borderId="8" xfId="0" applyNumberFormat="1" applyFont="1" applyFill="1" applyBorder="1" applyAlignment="1">
      <alignment vertical="center"/>
    </xf>
    <xf numFmtId="168" fontId="19" fillId="15" borderId="0" xfId="0" applyNumberFormat="1" applyFont="1" applyFill="1" applyAlignment="1">
      <alignment vertical="center"/>
    </xf>
    <xf numFmtId="168" fontId="19" fillId="15" borderId="9" xfId="0" applyNumberFormat="1" applyFont="1" applyFill="1" applyBorder="1" applyAlignment="1">
      <alignment vertical="center"/>
    </xf>
    <xf numFmtId="169" fontId="19" fillId="15" borderId="8" xfId="0" applyNumberFormat="1" applyFont="1" applyFill="1" applyBorder="1" applyAlignment="1">
      <alignment vertical="center"/>
    </xf>
    <xf numFmtId="169" fontId="19" fillId="15" borderId="0" xfId="0" applyNumberFormat="1" applyFont="1" applyFill="1" applyAlignment="1">
      <alignment vertical="center"/>
    </xf>
    <xf numFmtId="169" fontId="19" fillId="15" borderId="10" xfId="0" applyNumberFormat="1" applyFont="1" applyFill="1" applyBorder="1" applyAlignment="1">
      <alignment vertical="center"/>
    </xf>
    <xf numFmtId="169" fontId="19" fillId="15" borderId="11" xfId="0" applyNumberFormat="1" applyFont="1" applyFill="1" applyBorder="1" applyAlignment="1">
      <alignment vertical="center"/>
    </xf>
    <xf numFmtId="0" fontId="19" fillId="15" borderId="12" xfId="0" applyFont="1" applyFill="1" applyBorder="1" applyAlignment="1">
      <alignment horizontal="left" vertical="center"/>
    </xf>
    <xf numFmtId="0" fontId="19" fillId="15" borderId="0" xfId="0" applyFont="1" applyFill="1" applyAlignment="1">
      <alignment horizontal="left" vertical="center"/>
    </xf>
    <xf numFmtId="1" fontId="19" fillId="16" borderId="0" xfId="0" applyNumberFormat="1" applyFont="1" applyFill="1" applyAlignment="1">
      <alignment vertical="center"/>
    </xf>
    <xf numFmtId="168" fontId="19" fillId="16" borderId="8" xfId="0" applyNumberFormat="1" applyFont="1" applyFill="1" applyBorder="1" applyAlignment="1">
      <alignment vertical="center"/>
    </xf>
    <xf numFmtId="168" fontId="19" fillId="16" borderId="0" xfId="0" applyNumberFormat="1" applyFont="1" applyFill="1" applyAlignment="1">
      <alignment vertical="center"/>
    </xf>
    <xf numFmtId="168" fontId="19" fillId="16" borderId="9" xfId="0" applyNumberFormat="1" applyFont="1" applyFill="1" applyBorder="1" applyAlignment="1">
      <alignment vertical="center"/>
    </xf>
    <xf numFmtId="169" fontId="19" fillId="16" borderId="8" xfId="0" applyNumberFormat="1" applyFont="1" applyFill="1" applyBorder="1" applyAlignment="1">
      <alignment vertical="center"/>
    </xf>
    <xf numFmtId="169" fontId="19" fillId="16" borderId="0" xfId="0" applyNumberFormat="1" applyFont="1" applyFill="1" applyAlignment="1">
      <alignment vertical="center"/>
    </xf>
    <xf numFmtId="169" fontId="19" fillId="16" borderId="10" xfId="0" applyNumberFormat="1" applyFont="1" applyFill="1" applyBorder="1" applyAlignment="1">
      <alignment vertical="center"/>
    </xf>
    <xf numFmtId="169" fontId="19" fillId="16" borderId="11" xfId="0" applyNumberFormat="1" applyFont="1" applyFill="1" applyBorder="1" applyAlignment="1">
      <alignment vertical="center"/>
    </xf>
    <xf numFmtId="0" fontId="19" fillId="16" borderId="12" xfId="0" applyFont="1" applyFill="1" applyBorder="1" applyAlignment="1">
      <alignment horizontal="left" vertical="center"/>
    </xf>
    <xf numFmtId="0" fontId="19" fillId="16" borderId="0" xfId="0" applyFont="1" applyFill="1" applyAlignment="1">
      <alignment horizontal="left" vertical="center"/>
    </xf>
    <xf numFmtId="0" fontId="19" fillId="15" borderId="15" xfId="0" applyFont="1" applyFill="1" applyBorder="1" applyAlignment="1">
      <alignment vertical="center"/>
    </xf>
    <xf numFmtId="168" fontId="19" fillId="15" borderId="16" xfId="0" applyNumberFormat="1" applyFont="1" applyFill="1" applyBorder="1" applyAlignment="1">
      <alignment vertical="center"/>
    </xf>
    <xf numFmtId="168" fontId="19" fillId="15" borderId="15" xfId="0" applyNumberFormat="1" applyFont="1" applyFill="1" applyBorder="1" applyAlignment="1">
      <alignment vertical="center"/>
    </xf>
    <xf numFmtId="168" fontId="19" fillId="15" borderId="17" xfId="0" applyNumberFormat="1" applyFont="1" applyFill="1" applyBorder="1" applyAlignment="1">
      <alignment vertical="center"/>
    </xf>
    <xf numFmtId="169" fontId="19" fillId="15" borderId="16" xfId="0" applyNumberFormat="1" applyFont="1" applyFill="1" applyBorder="1" applyAlignment="1">
      <alignment vertical="center"/>
    </xf>
    <xf numFmtId="169" fontId="19" fillId="15" borderId="15" xfId="0" applyNumberFormat="1" applyFont="1" applyFill="1" applyBorder="1" applyAlignment="1">
      <alignment vertical="center"/>
    </xf>
    <xf numFmtId="169" fontId="19" fillId="15" borderId="18" xfId="0" applyNumberFormat="1" applyFont="1" applyFill="1" applyBorder="1" applyAlignment="1">
      <alignment vertical="center"/>
    </xf>
    <xf numFmtId="169" fontId="19" fillId="15" borderId="19" xfId="0" applyNumberFormat="1" applyFont="1" applyFill="1" applyBorder="1" applyAlignment="1">
      <alignment vertical="center"/>
    </xf>
    <xf numFmtId="0" fontId="19" fillId="15" borderId="20" xfId="0" applyFont="1" applyFill="1" applyBorder="1" applyAlignment="1">
      <alignment horizontal="left" vertical="center"/>
    </xf>
    <xf numFmtId="0" fontId="15" fillId="0" borderId="3" xfId="16"/>
    <xf numFmtId="0" fontId="2" fillId="0" borderId="0" xfId="17"/>
    <xf numFmtId="1" fontId="0" fillId="0" borderId="0" xfId="0" applyNumberFormat="1"/>
    <xf numFmtId="1" fontId="17" fillId="0" borderId="0" xfId="0" applyNumberFormat="1" applyFont="1"/>
    <xf numFmtId="0" fontId="18" fillId="6" borderId="4" xfId="0" applyFont="1" applyFill="1" applyBorder="1" applyAlignment="1">
      <alignment horizontal="center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18" fillId="6" borderId="7" xfId="0" applyFont="1" applyFill="1" applyBorder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18" fillId="6" borderId="12" xfId="0" applyFont="1" applyFill="1" applyBorder="1" applyAlignment="1">
      <alignment horizontal="center" vertical="center"/>
    </xf>
  </cellXfs>
  <cellStyles count="19">
    <cellStyle name="20% - Accent3 3 2" xfId="4" xr:uid="{ABC4988B-8BA7-47D0-A9D6-448C999748B6}"/>
    <cellStyle name="Comma 2" xfId="9" xr:uid="{DF4BF3A2-D7A3-47EF-AC54-A7FAB7C9E75A}"/>
    <cellStyle name="Good" xfId="5" builtinId="26"/>
    <cellStyle name="Heading 2" xfId="16" builtinId="17"/>
    <cellStyle name="Heading 3" xfId="1" builtinId="18"/>
    <cellStyle name="Heading 4" xfId="17" builtinId="19"/>
    <cellStyle name="Neutral" xfId="18" builtinId="28"/>
    <cellStyle name="Neutral 2" xfId="2" xr:uid="{3BCEFBE8-9934-4FD3-8457-D9BAD006E4B1}"/>
    <cellStyle name="Normal" xfId="0" builtinId="0"/>
    <cellStyle name="Normal 10" xfId="15" xr:uid="{9E72CD5A-5E8E-4F4A-BAA7-54C5D99D2714}"/>
    <cellStyle name="Normal 2" xfId="11" xr:uid="{BA9D4942-E3CF-409B-BCDE-38EDFD9D6F29}"/>
    <cellStyle name="Normal 3" xfId="3" xr:uid="{5030BCE0-FC65-47A7-9892-47CF2F6D47AC}"/>
    <cellStyle name="Normal 3 2" xfId="6" xr:uid="{9B8EF505-F528-4131-8F0F-83EBFBF25AE1}"/>
    <cellStyle name="Normal 4" xfId="7" xr:uid="{C9EADCC0-E05D-4CAA-AD1B-687D16D77867}"/>
    <cellStyle name="Normal 4 2" xfId="12" xr:uid="{91361594-6ABA-41C3-AAFC-59E0F69BF033}"/>
    <cellStyle name="Normal 5" xfId="13" xr:uid="{249A49C2-5C59-4012-BA96-9AABBBDE472F}"/>
    <cellStyle name="Normal 5 2" xfId="14" xr:uid="{23F20049-36C2-4A53-BDCA-3499D1C90EE1}"/>
    <cellStyle name="Normal 6" xfId="10" xr:uid="{7F616784-26AC-4FA4-9A32-4DE4FFE70B6B}"/>
    <cellStyle name="Percent 4" xfId="8" xr:uid="{CACF3872-4D05-4235-AEE5-387E165BA7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VEDA/Veda/Veda_models/Tiam_framework_Kapsarc/SubRes_Tmpl/SubRES_H2-Producti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ELC_Lists"/>
      <sheetName val="Costs"/>
      <sheetName val="Costs-China"/>
      <sheetName val="ELC_Efficiency"/>
      <sheetName val="Emissions"/>
      <sheetName val="Constraints"/>
      <sheetName val="Lifetime"/>
      <sheetName val="Sector Delivery Mark-Ups"/>
      <sheetName val="TRA_SectFuel"/>
      <sheetName val="Costs (Optimistic)"/>
      <sheetName val="Efficiency (Optimistic)"/>
    </sheetNames>
    <sheetDataSet>
      <sheetData sheetId="0" refreshError="1"/>
      <sheetData sheetId="1">
        <row r="4">
          <cell r="H4" t="str">
            <v>Natural Gas with CCS</v>
          </cell>
          <cell r="K4" t="str">
            <v>Coal</v>
          </cell>
          <cell r="N4" t="str">
            <v>Residential</v>
          </cell>
        </row>
        <row r="5">
          <cell r="H5" t="str">
            <v>Electrolysis</v>
          </cell>
          <cell r="K5" t="str">
            <v>Gas</v>
          </cell>
          <cell r="N5" t="str">
            <v>Commercial</v>
          </cell>
        </row>
        <row r="6">
          <cell r="H6" t="str">
            <v>Coal Gasification with CCS</v>
          </cell>
          <cell r="K6" t="str">
            <v>Petcoke</v>
          </cell>
          <cell r="N6" t="str">
            <v>Industry</v>
          </cell>
        </row>
        <row r="7">
          <cell r="H7" t="str">
            <v>Biomass with CCS</v>
          </cell>
          <cell r="K7" t="str">
            <v>Biomass</v>
          </cell>
        </row>
        <row r="8">
          <cell r="K8" t="str">
            <v>HFO</v>
          </cell>
        </row>
        <row r="9">
          <cell r="K9" t="str">
            <v>Diesel</v>
          </cell>
        </row>
        <row r="10">
          <cell r="K10" t="str">
            <v>Waste</v>
          </cell>
        </row>
        <row r="11">
          <cell r="K11" t="str">
            <v>Electricity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C1C47-C7B1-48B4-9602-2B825216B37E}">
  <dimension ref="B2:V19"/>
  <sheetViews>
    <sheetView workbookViewId="0">
      <selection activeCell="G9" sqref="G9"/>
    </sheetView>
  </sheetViews>
  <sheetFormatPr defaultRowHeight="14.25"/>
  <cols>
    <col min="2" max="2" width="10.1328125" bestFit="1" customWidth="1"/>
    <col min="3" max="3" width="17.9296875" bestFit="1" customWidth="1"/>
    <col min="4" max="4" width="8.06640625" bestFit="1" customWidth="1"/>
    <col min="5" max="5" width="4.3984375" bestFit="1" customWidth="1"/>
    <col min="6" max="6" width="4.59765625" bestFit="1" customWidth="1"/>
    <col min="7" max="7" width="7.59765625" bestFit="1" customWidth="1"/>
    <col min="10" max="10" width="17.9296875" bestFit="1" customWidth="1"/>
    <col min="11" max="11" width="8.1328125" bestFit="1" customWidth="1"/>
    <col min="12" max="12" width="32.19921875" bestFit="1" customWidth="1"/>
    <col min="13" max="13" width="3.3984375" bestFit="1" customWidth="1"/>
    <col min="14" max="14" width="7.73046875" bestFit="1" customWidth="1"/>
    <col min="15" max="15" width="6.9296875" bestFit="1" customWidth="1"/>
    <col min="17" max="17" width="3.73046875" bestFit="1" customWidth="1"/>
    <col min="22" max="22" width="4.265625" bestFit="1" customWidth="1"/>
  </cols>
  <sheetData>
    <row r="2" spans="2:22" ht="14.65" thickBot="1">
      <c r="B2" s="2" t="s">
        <v>0</v>
      </c>
      <c r="L2" s="2" t="s">
        <v>102</v>
      </c>
      <c r="N2" s="1"/>
      <c r="O2" s="1"/>
      <c r="P2" s="1"/>
      <c r="Q2" s="1"/>
    </row>
    <row r="3" spans="2:22">
      <c r="B3" s="1" t="s">
        <v>6</v>
      </c>
      <c r="C3" s="1" t="s">
        <v>1</v>
      </c>
      <c r="D3" s="1" t="s">
        <v>7</v>
      </c>
      <c r="E3" s="1" t="s">
        <v>9</v>
      </c>
      <c r="F3" s="1" t="s">
        <v>8</v>
      </c>
      <c r="G3" s="1" t="s">
        <v>11</v>
      </c>
      <c r="J3" s="1" t="s">
        <v>12</v>
      </c>
      <c r="K3" s="1" t="s">
        <v>2</v>
      </c>
      <c r="L3" s="1" t="s">
        <v>3</v>
      </c>
      <c r="M3" t="s">
        <v>4</v>
      </c>
      <c r="N3" t="s">
        <v>5</v>
      </c>
      <c r="O3" s="1" t="s">
        <v>30</v>
      </c>
      <c r="P3" s="1">
        <v>2022</v>
      </c>
      <c r="Q3" s="1">
        <v>0</v>
      </c>
      <c r="R3" t="s">
        <v>101</v>
      </c>
      <c r="S3" t="s">
        <v>105</v>
      </c>
    </row>
    <row r="4" spans="2:22">
      <c r="B4" s="1" t="s">
        <v>17</v>
      </c>
      <c r="C4" s="1" t="s">
        <v>13</v>
      </c>
      <c r="E4" s="1" t="s">
        <v>21</v>
      </c>
      <c r="F4" t="s">
        <v>10</v>
      </c>
      <c r="G4" t="s">
        <v>14</v>
      </c>
      <c r="J4" s="1" t="str">
        <f>C4</f>
        <v>ElcAgg_Solar</v>
      </c>
      <c r="L4" s="1" t="s">
        <v>15</v>
      </c>
      <c r="M4" s="1">
        <v>1</v>
      </c>
      <c r="N4" s="1">
        <v>8.76</v>
      </c>
      <c r="O4" s="1"/>
      <c r="P4" s="1"/>
      <c r="Q4" s="1"/>
    </row>
    <row r="5" spans="2:22">
      <c r="B5" s="1" t="s">
        <v>17</v>
      </c>
      <c r="C5" s="1" t="s">
        <v>16</v>
      </c>
      <c r="E5" s="1" t="s">
        <v>21</v>
      </c>
      <c r="F5" t="s">
        <v>10</v>
      </c>
      <c r="G5" t="s">
        <v>14</v>
      </c>
      <c r="H5" s="1"/>
      <c r="I5" s="1"/>
      <c r="J5" s="1" t="str">
        <f>C5</f>
        <v>ElcAgg_Wind</v>
      </c>
      <c r="L5" s="1" t="s">
        <v>15</v>
      </c>
      <c r="M5" s="1">
        <v>1</v>
      </c>
      <c r="N5" s="1">
        <v>8.76</v>
      </c>
      <c r="O5" s="1"/>
      <c r="P5" s="1"/>
      <c r="Q5" s="1"/>
    </row>
    <row r="6" spans="2:22">
      <c r="B6" t="s">
        <v>20</v>
      </c>
      <c r="C6" t="s">
        <v>104</v>
      </c>
      <c r="D6" s="1" t="s">
        <v>106</v>
      </c>
      <c r="E6" s="1" t="s">
        <v>21</v>
      </c>
      <c r="F6" t="s">
        <v>10</v>
      </c>
      <c r="G6" s="1"/>
      <c r="H6" s="1"/>
      <c r="I6" s="1"/>
      <c r="J6" s="1" t="str">
        <f>C6</f>
        <v>e_demand</v>
      </c>
      <c r="K6" s="1" t="s">
        <v>19</v>
      </c>
      <c r="L6" t="s">
        <v>22</v>
      </c>
      <c r="M6" s="1">
        <v>1</v>
      </c>
      <c r="N6" s="1">
        <v>8.76</v>
      </c>
      <c r="O6" s="1"/>
      <c r="P6" s="1"/>
      <c r="Q6" s="1"/>
      <c r="V6" t="s">
        <v>100</v>
      </c>
    </row>
    <row r="7" spans="2:22">
      <c r="B7" t="s">
        <v>20</v>
      </c>
      <c r="C7" t="s">
        <v>147</v>
      </c>
      <c r="D7" s="1" t="s">
        <v>148</v>
      </c>
      <c r="E7" s="1" t="s">
        <v>21</v>
      </c>
      <c r="F7" t="s">
        <v>10</v>
      </c>
      <c r="G7" s="1"/>
      <c r="H7" s="1"/>
      <c r="I7" s="1"/>
      <c r="J7" s="1" t="str">
        <f>C7</f>
        <v>h_demand</v>
      </c>
      <c r="K7" s="1" t="s">
        <v>35</v>
      </c>
      <c r="L7" t="s">
        <v>149</v>
      </c>
      <c r="M7" s="1">
        <v>1</v>
      </c>
      <c r="N7" s="1">
        <v>8.76</v>
      </c>
      <c r="O7" s="1"/>
      <c r="P7" s="1"/>
      <c r="Q7" s="1"/>
    </row>
    <row r="8" spans="2:22">
      <c r="B8" t="s">
        <v>29</v>
      </c>
      <c r="C8" t="s">
        <v>98</v>
      </c>
      <c r="D8" s="1"/>
      <c r="E8" s="1" t="s">
        <v>21</v>
      </c>
      <c r="F8" t="s">
        <v>10</v>
      </c>
      <c r="G8" t="s">
        <v>14</v>
      </c>
      <c r="H8" s="1"/>
      <c r="I8" s="1"/>
      <c r="J8" s="1" t="str">
        <f>C10</f>
        <v>fossil_supply</v>
      </c>
      <c r="K8" s="1"/>
      <c r="L8" s="1" t="s">
        <v>32</v>
      </c>
      <c r="M8" s="1"/>
      <c r="N8" s="1"/>
      <c r="O8" s="1">
        <f t="shared" ref="O8:O12" si="0">V8*3.6</f>
        <v>7.2</v>
      </c>
      <c r="P8" s="1"/>
      <c r="V8" s="1">
        <v>2</v>
      </c>
    </row>
    <row r="9" spans="2:22">
      <c r="B9" t="s">
        <v>97</v>
      </c>
      <c r="C9" t="s">
        <v>99</v>
      </c>
      <c r="D9" s="1"/>
      <c r="E9" s="1" t="s">
        <v>21</v>
      </c>
      <c r="F9" t="s">
        <v>10</v>
      </c>
      <c r="G9" t="s">
        <v>14</v>
      </c>
      <c r="H9" s="1"/>
      <c r="I9" s="1"/>
      <c r="K9" s="1"/>
      <c r="L9" s="1" t="s">
        <v>33</v>
      </c>
      <c r="M9" s="1"/>
      <c r="N9" s="1"/>
      <c r="O9" s="1">
        <f t="shared" si="0"/>
        <v>18</v>
      </c>
      <c r="P9" s="1"/>
      <c r="V9" s="1">
        <v>5</v>
      </c>
    </row>
    <row r="10" spans="2:22">
      <c r="B10" s="1" t="s">
        <v>29</v>
      </c>
      <c r="C10" s="1" t="s">
        <v>152</v>
      </c>
      <c r="D10" s="1" t="s">
        <v>107</v>
      </c>
      <c r="E10" s="1" t="s">
        <v>21</v>
      </c>
      <c r="F10" t="s">
        <v>10</v>
      </c>
      <c r="G10" s="1"/>
      <c r="H10" s="1"/>
      <c r="I10" s="1"/>
      <c r="K10" s="1"/>
      <c r="L10" s="1" t="s">
        <v>37</v>
      </c>
      <c r="M10" s="1"/>
      <c r="N10" s="1"/>
      <c r="O10" s="1">
        <f>V10*3.6</f>
        <v>36</v>
      </c>
      <c r="P10" s="1"/>
      <c r="V10">
        <v>10</v>
      </c>
    </row>
    <row r="11" spans="2:22">
      <c r="B11" s="1" t="s">
        <v>29</v>
      </c>
      <c r="C11" s="1" t="s">
        <v>154</v>
      </c>
      <c r="D11" s="1" t="s">
        <v>153</v>
      </c>
      <c r="E11" s="1" t="s">
        <v>21</v>
      </c>
      <c r="F11" t="s">
        <v>10</v>
      </c>
      <c r="G11" s="1"/>
      <c r="H11" s="1"/>
      <c r="I11" s="1"/>
      <c r="J11" s="1" t="str">
        <f>C11</f>
        <v>renewable</v>
      </c>
      <c r="K11" s="1"/>
      <c r="L11" s="1" t="s">
        <v>34</v>
      </c>
      <c r="M11" s="1"/>
      <c r="N11" s="1"/>
      <c r="O11" s="1">
        <f t="shared" si="0"/>
        <v>0.36000000000000004</v>
      </c>
      <c r="P11" s="1"/>
      <c r="V11">
        <v>0.1</v>
      </c>
    </row>
    <row r="12" spans="2:22">
      <c r="B12" s="1" t="s">
        <v>29</v>
      </c>
      <c r="C12" s="1" t="s">
        <v>155</v>
      </c>
      <c r="D12" s="1" t="s">
        <v>156</v>
      </c>
      <c r="E12" s="1" t="s">
        <v>21</v>
      </c>
      <c r="F12" t="s">
        <v>10</v>
      </c>
      <c r="G12" s="1"/>
      <c r="H12" s="1"/>
      <c r="I12" s="1"/>
      <c r="K12" s="1"/>
      <c r="L12" s="1" t="s">
        <v>28</v>
      </c>
      <c r="M12" s="1"/>
      <c r="N12" s="1"/>
      <c r="O12" s="1">
        <f t="shared" si="0"/>
        <v>0.36000000000000004</v>
      </c>
      <c r="P12" s="1"/>
      <c r="V12">
        <v>0.1</v>
      </c>
    </row>
    <row r="13" spans="2:22">
      <c r="B13" s="1" t="s">
        <v>29</v>
      </c>
      <c r="C13" s="1" t="s">
        <v>157</v>
      </c>
      <c r="D13" s="1" t="s">
        <v>160</v>
      </c>
      <c r="E13" s="1" t="s">
        <v>21</v>
      </c>
      <c r="F13" t="s">
        <v>10</v>
      </c>
      <c r="G13" s="1"/>
      <c r="H13" s="1"/>
      <c r="I13" s="1"/>
      <c r="L13" s="1" t="s">
        <v>31</v>
      </c>
      <c r="M13" s="1"/>
      <c r="N13" s="1"/>
      <c r="O13" s="1">
        <f>V13*3.6</f>
        <v>25.2</v>
      </c>
      <c r="P13" s="1"/>
      <c r="V13" s="1">
        <v>7</v>
      </c>
    </row>
    <row r="14" spans="2:22">
      <c r="B14" s="1" t="s">
        <v>29</v>
      </c>
      <c r="C14" t="s">
        <v>158</v>
      </c>
      <c r="D14" t="s">
        <v>161</v>
      </c>
      <c r="E14" s="1" t="s">
        <v>21</v>
      </c>
      <c r="F14" t="s">
        <v>10</v>
      </c>
      <c r="G14" s="1"/>
      <c r="H14" s="1"/>
      <c r="I14" s="1"/>
      <c r="J14" s="1" t="str">
        <f>C12</f>
        <v>nuclear_fuel</v>
      </c>
      <c r="K14" s="1"/>
      <c r="L14" s="1" t="s">
        <v>36</v>
      </c>
      <c r="M14" s="1"/>
      <c r="N14" s="1"/>
      <c r="O14" s="1">
        <f>V14*3.6</f>
        <v>0.36000000000000004</v>
      </c>
      <c r="P14" s="1"/>
      <c r="V14">
        <v>0.1</v>
      </c>
    </row>
    <row r="15" spans="2:22">
      <c r="B15" s="1" t="s">
        <v>29</v>
      </c>
      <c r="C15" t="s">
        <v>159</v>
      </c>
      <c r="D15" t="s">
        <v>162</v>
      </c>
      <c r="E15" s="1" t="s">
        <v>21</v>
      </c>
      <c r="F15" t="s">
        <v>10</v>
      </c>
      <c r="G15" s="1"/>
      <c r="H15" s="1"/>
      <c r="I15" s="1"/>
      <c r="J15" s="1" t="str">
        <f>C13</f>
        <v>solar_potential</v>
      </c>
      <c r="K15" s="1"/>
      <c r="L15" s="1" t="s">
        <v>27</v>
      </c>
      <c r="M15" s="1"/>
      <c r="N15" s="1"/>
      <c r="O15" s="1">
        <f>V15*3.6</f>
        <v>0.36000000000000004</v>
      </c>
      <c r="P15" s="1"/>
      <c r="V15">
        <v>0.1</v>
      </c>
    </row>
    <row r="16" spans="2:22">
      <c r="B16" s="1"/>
      <c r="C16" s="1"/>
      <c r="D16" s="1"/>
      <c r="E16" s="1"/>
      <c r="F16" s="1"/>
      <c r="G16" s="1"/>
      <c r="H16" s="1"/>
      <c r="I16" s="1"/>
      <c r="J16" s="1" t="str">
        <f>C14</f>
        <v>winon_potential</v>
      </c>
      <c r="K16" s="1"/>
      <c r="L16" s="1" t="s">
        <v>150</v>
      </c>
      <c r="M16" s="1"/>
      <c r="N16" s="1"/>
      <c r="O16" s="1">
        <f>V16*3.6</f>
        <v>0.36000000000000004</v>
      </c>
      <c r="P16" s="1"/>
      <c r="V16">
        <v>0.1</v>
      </c>
    </row>
    <row r="17" spans="2:22">
      <c r="B17" s="1"/>
      <c r="C17" s="1"/>
      <c r="D17" s="1"/>
      <c r="E17" s="1"/>
      <c r="F17" s="1"/>
      <c r="G17" s="1"/>
      <c r="H17" s="1"/>
      <c r="I17" s="1"/>
      <c r="J17" s="1" t="str">
        <f>C15</f>
        <v>winoff_potential</v>
      </c>
      <c r="K17" s="1"/>
      <c r="L17" s="1" t="s">
        <v>151</v>
      </c>
      <c r="M17" s="1"/>
      <c r="N17" s="1"/>
      <c r="O17" s="1">
        <f t="shared" ref="O17" si="1">V17*3.6</f>
        <v>0.36000000000000004</v>
      </c>
      <c r="P17" s="1"/>
      <c r="V17">
        <v>0.1</v>
      </c>
    </row>
    <row r="18" spans="2:22">
      <c r="J18" t="str">
        <f>C8</f>
        <v>Trd_electricity import</v>
      </c>
      <c r="L18" t="s">
        <v>19</v>
      </c>
      <c r="P18">
        <v>0</v>
      </c>
      <c r="Q18">
        <v>3</v>
      </c>
      <c r="R18">
        <v>1000</v>
      </c>
      <c r="S18">
        <v>50</v>
      </c>
    </row>
    <row r="19" spans="2:22">
      <c r="J19" t="str">
        <f>C9</f>
        <v>Trd_electricity export</v>
      </c>
      <c r="K19" t="s">
        <v>19</v>
      </c>
      <c r="P19">
        <v>0</v>
      </c>
      <c r="Q19">
        <v>3</v>
      </c>
      <c r="R19">
        <v>1000</v>
      </c>
      <c r="S19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6D8AA-F8A9-4BBE-94C7-C767CA3BCC03}">
  <dimension ref="B2:W61"/>
  <sheetViews>
    <sheetView workbookViewId="0">
      <selection activeCell="H23" sqref="H23"/>
    </sheetView>
  </sheetViews>
  <sheetFormatPr defaultColWidth="8.86328125" defaultRowHeight="14.25"/>
  <cols>
    <col min="2" max="2" width="18.86328125" bestFit="1" customWidth="1"/>
    <col min="3" max="3" width="17.59765625" bestFit="1" customWidth="1"/>
    <col min="4" max="4" width="26" customWidth="1"/>
    <col min="5" max="5" width="11.1328125" bestFit="1" customWidth="1"/>
    <col min="6" max="6" width="13.265625" bestFit="1" customWidth="1"/>
    <col min="7" max="7" width="12.1328125" bestFit="1" customWidth="1"/>
    <col min="8" max="8" width="10.265625" bestFit="1" customWidth="1"/>
    <col min="9" max="9" width="16.265625" bestFit="1" customWidth="1"/>
    <col min="10" max="10" width="19.265625" bestFit="1" customWidth="1"/>
    <col min="11" max="11" width="8.86328125" bestFit="1" customWidth="1"/>
    <col min="12" max="12" width="14.265625" bestFit="1" customWidth="1"/>
    <col min="13" max="13" width="9.1328125" bestFit="1" customWidth="1"/>
    <col min="14" max="14" width="13" bestFit="1" customWidth="1"/>
    <col min="15" max="15" width="7.59765625" bestFit="1" customWidth="1"/>
    <col min="16" max="17" width="9" bestFit="1" customWidth="1"/>
    <col min="18" max="18" width="7.59765625" bestFit="1" customWidth="1"/>
    <col min="19" max="20" width="9" bestFit="1" customWidth="1"/>
    <col min="21" max="21" width="10.33203125" bestFit="1" customWidth="1"/>
    <col min="22" max="22" width="12.1328125" bestFit="1" customWidth="1"/>
    <col min="23" max="23" width="3.796875" bestFit="1" customWidth="1"/>
  </cols>
  <sheetData>
    <row r="2" spans="2:23">
      <c r="B2" s="3" t="s">
        <v>23</v>
      </c>
      <c r="C2" s="3"/>
      <c r="D2" s="3"/>
      <c r="E2" s="3"/>
      <c r="F2" s="3"/>
      <c r="G2" s="3"/>
      <c r="H2" s="3"/>
      <c r="I2" s="3"/>
    </row>
    <row r="3" spans="2:23">
      <c r="B3" s="3" t="s">
        <v>38</v>
      </c>
      <c r="C3" s="3" t="s">
        <v>39</v>
      </c>
      <c r="D3" s="3" t="s">
        <v>40</v>
      </c>
      <c r="E3" s="3" t="s">
        <v>25</v>
      </c>
      <c r="F3" s="3" t="s">
        <v>41</v>
      </c>
      <c r="G3" s="3" t="s">
        <v>42</v>
      </c>
      <c r="H3" s="3" t="s">
        <v>43</v>
      </c>
      <c r="I3" s="3" t="s">
        <v>44</v>
      </c>
    </row>
    <row r="4" spans="2:23">
      <c r="B4" s="3" t="s">
        <v>45</v>
      </c>
      <c r="C4" s="3" t="s">
        <v>46</v>
      </c>
      <c r="D4" s="3" t="s">
        <v>47</v>
      </c>
      <c r="E4" s="3" t="s">
        <v>48</v>
      </c>
      <c r="F4" s="3"/>
      <c r="G4" s="5" t="s">
        <v>14</v>
      </c>
      <c r="H4" s="3"/>
      <c r="I4" s="3"/>
    </row>
    <row r="5" spans="2:23">
      <c r="C5" s="3" t="s">
        <v>49</v>
      </c>
      <c r="D5" s="3" t="s">
        <v>50</v>
      </c>
      <c r="E5" s="3" t="s">
        <v>48</v>
      </c>
      <c r="F5" s="3"/>
      <c r="G5" s="5" t="s">
        <v>14</v>
      </c>
    </row>
    <row r="8" spans="2:23">
      <c r="B8" s="5" t="s">
        <v>0</v>
      </c>
      <c r="C8" s="5"/>
      <c r="D8" s="5"/>
      <c r="E8" s="5"/>
      <c r="F8" s="5"/>
      <c r="G8" s="5"/>
      <c r="H8" s="6"/>
      <c r="I8" s="6"/>
      <c r="J8" s="6"/>
      <c r="K8" s="6"/>
      <c r="L8" s="6"/>
      <c r="M8" s="7" t="s">
        <v>51</v>
      </c>
      <c r="O8" s="6"/>
      <c r="P8" s="6"/>
      <c r="Q8" s="6"/>
      <c r="R8" s="6"/>
      <c r="S8" s="6"/>
      <c r="T8" s="6"/>
      <c r="U8" s="6"/>
      <c r="V8" s="6"/>
      <c r="W8" s="6"/>
    </row>
    <row r="9" spans="2:23">
      <c r="B9" s="5" t="s">
        <v>6</v>
      </c>
      <c r="C9" s="5" t="s">
        <v>1</v>
      </c>
      <c r="D9" s="5" t="s">
        <v>7</v>
      </c>
      <c r="E9" s="5" t="s">
        <v>52</v>
      </c>
      <c r="F9" s="5" t="s">
        <v>53</v>
      </c>
      <c r="G9" s="5" t="s">
        <v>11</v>
      </c>
      <c r="H9" s="6"/>
      <c r="I9" s="6" t="s">
        <v>1</v>
      </c>
      <c r="J9" s="6" t="s">
        <v>54</v>
      </c>
      <c r="K9" s="6" t="s">
        <v>55</v>
      </c>
      <c r="L9" s="6" t="s">
        <v>24</v>
      </c>
      <c r="M9" s="7" t="s">
        <v>56</v>
      </c>
      <c r="N9" s="6">
        <f>J35</f>
        <v>2020</v>
      </c>
      <c r="O9" s="6">
        <f t="shared" ref="O9:T9" si="0">K35</f>
        <v>2025</v>
      </c>
      <c r="P9" s="6">
        <f t="shared" si="0"/>
        <v>2030</v>
      </c>
      <c r="Q9" s="6">
        <f t="shared" si="0"/>
        <v>2035</v>
      </c>
      <c r="R9" s="6">
        <f t="shared" si="0"/>
        <v>2040</v>
      </c>
      <c r="S9" s="6">
        <f t="shared" si="0"/>
        <v>2045</v>
      </c>
      <c r="T9" s="6">
        <f t="shared" si="0"/>
        <v>2050</v>
      </c>
      <c r="U9" s="6" t="s">
        <v>3</v>
      </c>
      <c r="V9" s="6" t="s">
        <v>57</v>
      </c>
      <c r="W9" t="s">
        <v>58</v>
      </c>
    </row>
    <row r="10" spans="2:23">
      <c r="B10" s="5" t="s">
        <v>59</v>
      </c>
      <c r="C10" s="5" t="s">
        <v>60</v>
      </c>
      <c r="D10" s="8" t="s">
        <v>61</v>
      </c>
      <c r="E10" s="5" t="s">
        <v>48</v>
      </c>
      <c r="F10" s="5" t="s">
        <v>10</v>
      </c>
      <c r="G10" s="5" t="s">
        <v>14</v>
      </c>
      <c r="H10" s="6"/>
      <c r="I10" s="6" t="s">
        <v>62</v>
      </c>
      <c r="J10" s="6" t="s">
        <v>63</v>
      </c>
      <c r="K10" s="3" t="s">
        <v>49</v>
      </c>
      <c r="L10" s="3" t="s">
        <v>19</v>
      </c>
      <c r="M10" s="6" t="s">
        <v>18</v>
      </c>
      <c r="N10" s="9">
        <f>1/N17</f>
        <v>1.1764705882352942</v>
      </c>
      <c r="O10" s="9"/>
      <c r="P10" s="9"/>
      <c r="Q10" s="9"/>
      <c r="R10" s="9"/>
      <c r="S10" s="9"/>
      <c r="T10" s="9"/>
      <c r="U10" s="6"/>
      <c r="V10" s="5" t="str">
        <f>K10</f>
        <v>AuxStoOUT</v>
      </c>
      <c r="W10">
        <v>20</v>
      </c>
    </row>
    <row r="11" spans="2:23">
      <c r="B11" s="5"/>
      <c r="C11" s="7" t="s">
        <v>62</v>
      </c>
      <c r="D11" s="7" t="s">
        <v>64</v>
      </c>
      <c r="E11" s="5" t="s">
        <v>48</v>
      </c>
      <c r="F11" s="5" t="s">
        <v>10</v>
      </c>
      <c r="G11" s="5" t="s">
        <v>14</v>
      </c>
      <c r="H11" s="6"/>
      <c r="I11" s="6" t="s">
        <v>62</v>
      </c>
      <c r="J11" s="6" t="s">
        <v>65</v>
      </c>
      <c r="K11" s="6" t="s">
        <v>66</v>
      </c>
      <c r="L11" s="6" t="s">
        <v>19</v>
      </c>
      <c r="M11" s="6" t="s">
        <v>14</v>
      </c>
      <c r="N11" s="9">
        <f>4/24</f>
        <v>0.16666666666666666</v>
      </c>
      <c r="O11" s="4"/>
      <c r="P11" s="4"/>
      <c r="Q11" s="4"/>
      <c r="R11" s="4"/>
      <c r="S11" s="4"/>
      <c r="T11" s="4"/>
      <c r="U11" s="5" t="str">
        <f>L11</f>
        <v>ELC</v>
      </c>
    </row>
    <row r="12" spans="2:23">
      <c r="B12" s="5"/>
      <c r="C12" s="5"/>
      <c r="D12" s="5"/>
      <c r="E12" s="5"/>
      <c r="F12" s="5"/>
      <c r="G12" s="5"/>
      <c r="H12" s="6"/>
      <c r="I12" s="6" t="s">
        <v>62</v>
      </c>
      <c r="J12" s="6" t="s">
        <v>65</v>
      </c>
      <c r="K12" s="6" t="s">
        <v>26</v>
      </c>
      <c r="L12" s="6"/>
      <c r="M12" s="7" t="s">
        <v>14</v>
      </c>
      <c r="N12" s="9">
        <v>1</v>
      </c>
      <c r="O12" s="9"/>
      <c r="P12" s="9"/>
      <c r="Q12" s="9"/>
      <c r="R12" s="9"/>
      <c r="S12" s="9"/>
      <c r="T12" s="9"/>
      <c r="U12" s="6"/>
      <c r="V12" s="6"/>
    </row>
    <row r="13" spans="2:23">
      <c r="B13" s="5"/>
      <c r="C13" s="5"/>
      <c r="D13" s="5"/>
      <c r="E13" s="5"/>
      <c r="F13" s="5"/>
      <c r="G13" s="5"/>
      <c r="H13" s="6"/>
      <c r="I13" s="6" t="s">
        <v>62</v>
      </c>
      <c r="J13" s="6" t="s">
        <v>67</v>
      </c>
      <c r="K13" s="6"/>
      <c r="L13" s="6"/>
      <c r="M13" s="7"/>
      <c r="N13" s="9">
        <f>J40</f>
        <v>1363</v>
      </c>
      <c r="O13" s="9">
        <f t="shared" ref="O13:T13" si="1">K40</f>
        <v>956</v>
      </c>
      <c r="P13" s="9">
        <f t="shared" si="1"/>
        <v>784</v>
      </c>
      <c r="Q13" s="9">
        <f t="shared" si="1"/>
        <v>735</v>
      </c>
      <c r="R13" s="9">
        <f t="shared" si="1"/>
        <v>686</v>
      </c>
      <c r="S13" s="9">
        <f t="shared" si="1"/>
        <v>637</v>
      </c>
      <c r="T13" s="9">
        <f t="shared" si="1"/>
        <v>588</v>
      </c>
      <c r="U13" s="6"/>
      <c r="V13" s="6"/>
    </row>
    <row r="14" spans="2:23">
      <c r="I14" t="s">
        <v>62</v>
      </c>
      <c r="J14" t="s">
        <v>68</v>
      </c>
      <c r="N14" s="4">
        <f>J44</f>
        <v>34</v>
      </c>
      <c r="O14" s="4">
        <f t="shared" ref="O14:T14" si="2">K44</f>
        <v>24</v>
      </c>
      <c r="P14" s="4">
        <f t="shared" si="2"/>
        <v>20</v>
      </c>
      <c r="Q14" s="4">
        <f t="shared" si="2"/>
        <v>18</v>
      </c>
      <c r="R14" s="4">
        <f t="shared" si="2"/>
        <v>17</v>
      </c>
      <c r="S14" s="4">
        <f t="shared" si="2"/>
        <v>16</v>
      </c>
      <c r="T14" s="4">
        <f t="shared" si="2"/>
        <v>15</v>
      </c>
    </row>
    <row r="15" spans="2:23">
      <c r="I15" t="s">
        <v>62</v>
      </c>
      <c r="J15" t="s">
        <v>69</v>
      </c>
      <c r="M15" t="s">
        <v>18</v>
      </c>
      <c r="N15" s="4">
        <v>1</v>
      </c>
      <c r="O15" s="4"/>
      <c r="P15" s="4"/>
      <c r="Q15" s="4"/>
      <c r="R15" s="4"/>
      <c r="S15" s="4"/>
      <c r="T15" s="4"/>
    </row>
    <row r="16" spans="2:23">
      <c r="I16" t="s">
        <v>62</v>
      </c>
      <c r="J16" t="s">
        <v>70</v>
      </c>
      <c r="N16" s="9">
        <v>31.536000000000001</v>
      </c>
      <c r="O16" s="4"/>
      <c r="P16" s="4"/>
      <c r="Q16" s="4"/>
      <c r="R16" s="4"/>
      <c r="S16" s="4"/>
      <c r="T16" s="4"/>
    </row>
    <row r="17" spans="9:23">
      <c r="I17" t="s">
        <v>62</v>
      </c>
      <c r="J17" t="s">
        <v>71</v>
      </c>
      <c r="N17" s="4">
        <v>0.85</v>
      </c>
      <c r="O17" s="4"/>
      <c r="P17" s="4"/>
      <c r="Q17" s="4"/>
      <c r="R17" s="4"/>
      <c r="S17" s="4"/>
      <c r="T17" s="4"/>
    </row>
    <row r="18" spans="9:23">
      <c r="I18" t="s">
        <v>60</v>
      </c>
      <c r="J18" t="s">
        <v>63</v>
      </c>
      <c r="K18" s="3" t="s">
        <v>49</v>
      </c>
      <c r="L18" s="3" t="s">
        <v>19</v>
      </c>
      <c r="M18" t="s">
        <v>18</v>
      </c>
      <c r="N18" s="9">
        <f>1/N25</f>
        <v>1.1764705882352942</v>
      </c>
      <c r="O18" s="4"/>
      <c r="P18" s="4"/>
      <c r="Q18" s="4"/>
      <c r="R18" s="4"/>
      <c r="S18" s="4"/>
      <c r="T18" s="4"/>
      <c r="U18" s="6"/>
      <c r="V18" s="5" t="str">
        <f>K18</f>
        <v>AuxStoOUT</v>
      </c>
      <c r="W18">
        <v>20</v>
      </c>
    </row>
    <row r="19" spans="9:23">
      <c r="I19" t="s">
        <v>60</v>
      </c>
      <c r="J19" t="s">
        <v>65</v>
      </c>
      <c r="K19" t="s">
        <v>66</v>
      </c>
      <c r="L19" t="s">
        <v>19</v>
      </c>
      <c r="M19" t="s">
        <v>14</v>
      </c>
      <c r="N19" s="4">
        <f>8/24</f>
        <v>0.33333333333333331</v>
      </c>
      <c r="O19" s="4"/>
      <c r="P19" s="4"/>
      <c r="Q19" s="4"/>
      <c r="R19" s="4"/>
      <c r="S19" s="4"/>
      <c r="T19" s="4"/>
      <c r="U19" s="5" t="str">
        <f>L19</f>
        <v>ELC</v>
      </c>
    </row>
    <row r="20" spans="9:23">
      <c r="I20" t="s">
        <v>60</v>
      </c>
      <c r="J20" t="s">
        <v>65</v>
      </c>
      <c r="K20" t="s">
        <v>26</v>
      </c>
      <c r="M20" t="s">
        <v>14</v>
      </c>
      <c r="N20" s="4">
        <v>1</v>
      </c>
      <c r="O20" s="4"/>
      <c r="P20" s="4"/>
      <c r="Q20" s="4"/>
      <c r="R20" s="4"/>
      <c r="S20" s="4"/>
      <c r="T20" s="4"/>
    </row>
    <row r="21" spans="9:23">
      <c r="I21" t="s">
        <v>60</v>
      </c>
      <c r="J21" t="s">
        <v>67</v>
      </c>
      <c r="N21" s="4">
        <f>J49</f>
        <v>2470</v>
      </c>
      <c r="O21" s="4">
        <f t="shared" ref="O21:T21" si="3">K49</f>
        <v>1714</v>
      </c>
      <c r="P21" s="4">
        <f t="shared" si="3"/>
        <v>1371</v>
      </c>
      <c r="Q21" s="4">
        <f t="shared" si="3"/>
        <v>1277</v>
      </c>
      <c r="R21" s="4">
        <f t="shared" si="3"/>
        <v>1183</v>
      </c>
      <c r="S21" s="4">
        <f t="shared" si="3"/>
        <v>1089</v>
      </c>
      <c r="T21" s="4">
        <f t="shared" si="3"/>
        <v>995</v>
      </c>
    </row>
    <row r="22" spans="9:23">
      <c r="I22" t="s">
        <v>60</v>
      </c>
      <c r="J22" t="s">
        <v>68</v>
      </c>
      <c r="N22" s="4">
        <f>J53</f>
        <v>62</v>
      </c>
      <c r="O22" s="4">
        <f t="shared" ref="O22:T22" si="4">K53</f>
        <v>43</v>
      </c>
      <c r="P22" s="4">
        <f t="shared" si="4"/>
        <v>34</v>
      </c>
      <c r="Q22" s="4">
        <f t="shared" si="4"/>
        <v>32</v>
      </c>
      <c r="R22" s="4">
        <f t="shared" si="4"/>
        <v>30</v>
      </c>
      <c r="S22" s="4">
        <f t="shared" si="4"/>
        <v>27</v>
      </c>
      <c r="T22" s="4">
        <f t="shared" si="4"/>
        <v>25</v>
      </c>
    </row>
    <row r="23" spans="9:23">
      <c r="I23" t="s">
        <v>60</v>
      </c>
      <c r="J23" t="s">
        <v>69</v>
      </c>
      <c r="M23" t="s">
        <v>18</v>
      </c>
      <c r="N23" s="4">
        <v>1</v>
      </c>
      <c r="O23" s="4"/>
      <c r="P23" s="4"/>
      <c r="Q23" s="4"/>
      <c r="R23" s="4"/>
      <c r="S23" s="4"/>
      <c r="T23" s="4"/>
    </row>
    <row r="24" spans="9:23">
      <c r="I24" t="s">
        <v>60</v>
      </c>
      <c r="J24" t="s">
        <v>70</v>
      </c>
      <c r="N24" s="9">
        <v>31.536000000000001</v>
      </c>
      <c r="O24" s="4"/>
      <c r="P24" s="4"/>
      <c r="Q24" s="4"/>
      <c r="R24" s="4"/>
      <c r="S24" s="4"/>
      <c r="T24" s="4"/>
    </row>
    <row r="25" spans="9:23">
      <c r="I25" t="s">
        <v>60</v>
      </c>
      <c r="J25" t="s">
        <v>71</v>
      </c>
      <c r="N25" s="4">
        <v>0.85</v>
      </c>
      <c r="O25" s="4"/>
      <c r="P25" s="4"/>
      <c r="Q25" s="4"/>
      <c r="R25" s="4"/>
      <c r="S25" s="4"/>
      <c r="T25" s="4"/>
    </row>
    <row r="31" spans="9:23" ht="15.75">
      <c r="I31" s="10" t="s">
        <v>72</v>
      </c>
      <c r="J31" s="11"/>
      <c r="K31" s="11"/>
      <c r="L31" s="11"/>
      <c r="M31" s="11"/>
      <c r="N31" s="11"/>
      <c r="O31" s="11"/>
      <c r="P31" s="11"/>
    </row>
    <row r="32" spans="9:23" ht="15.75">
      <c r="I32" s="10" t="s">
        <v>73</v>
      </c>
      <c r="J32" s="11"/>
      <c r="K32" s="11"/>
      <c r="L32" s="11"/>
      <c r="M32" s="11"/>
      <c r="N32" s="11"/>
      <c r="O32" s="11"/>
      <c r="P32" s="11"/>
    </row>
    <row r="33" spans="9:16">
      <c r="I33" s="12"/>
      <c r="J33" s="12"/>
      <c r="K33" s="12"/>
      <c r="L33" s="12"/>
      <c r="M33" s="12"/>
      <c r="N33" s="12"/>
      <c r="O33" s="12"/>
      <c r="P33" s="12"/>
    </row>
    <row r="34" spans="9:16" ht="15.75">
      <c r="I34" s="13" t="s">
        <v>74</v>
      </c>
      <c r="J34" s="14"/>
      <c r="K34" s="14"/>
      <c r="L34" s="14"/>
      <c r="M34" s="14"/>
      <c r="N34" s="14"/>
      <c r="O34" s="14"/>
      <c r="P34" s="14"/>
    </row>
    <row r="35" spans="9:16" ht="15.75">
      <c r="I35" s="14"/>
      <c r="J35" s="14">
        <v>2020</v>
      </c>
      <c r="K35" s="14">
        <v>2025</v>
      </c>
      <c r="L35" s="14">
        <v>2030</v>
      </c>
      <c r="M35" s="14">
        <v>2035</v>
      </c>
      <c r="N35" s="14">
        <v>2040</v>
      </c>
      <c r="O35" s="14">
        <v>2045</v>
      </c>
      <c r="P35" s="14">
        <v>2050</v>
      </c>
    </row>
    <row r="36" spans="9:16" ht="15.75">
      <c r="I36" s="15" t="s">
        <v>75</v>
      </c>
      <c r="J36" s="14"/>
      <c r="K36" s="14"/>
      <c r="L36" s="14"/>
      <c r="M36" s="14"/>
      <c r="N36" s="14"/>
      <c r="O36" s="14"/>
      <c r="P36" s="14"/>
    </row>
    <row r="37" spans="9:16" ht="15.75">
      <c r="I37" s="13" t="s">
        <v>76</v>
      </c>
      <c r="J37" s="14"/>
      <c r="K37" s="14"/>
      <c r="L37" s="14"/>
      <c r="M37" s="14"/>
      <c r="N37" s="14"/>
      <c r="O37" s="14"/>
      <c r="P37" s="14"/>
    </row>
    <row r="38" spans="9:16" ht="15.75">
      <c r="I38" s="14" t="s">
        <v>77</v>
      </c>
      <c r="J38" s="16">
        <v>1363</v>
      </c>
      <c r="K38" s="16">
        <v>839</v>
      </c>
      <c r="L38" s="16">
        <v>566</v>
      </c>
      <c r="M38" s="16">
        <v>512</v>
      </c>
      <c r="N38" s="16">
        <v>454</v>
      </c>
      <c r="O38" s="16">
        <v>400</v>
      </c>
      <c r="P38" s="16">
        <v>346</v>
      </c>
    </row>
    <row r="39" spans="9:16" ht="15.75">
      <c r="I39" s="14" t="s">
        <v>78</v>
      </c>
      <c r="J39" s="16">
        <v>1363</v>
      </c>
      <c r="K39" s="16">
        <v>1167</v>
      </c>
      <c r="L39" s="16">
        <v>981</v>
      </c>
      <c r="M39" s="16">
        <v>981</v>
      </c>
      <c r="N39" s="16">
        <v>981</v>
      </c>
      <c r="O39" s="16">
        <v>981</v>
      </c>
      <c r="P39" s="16">
        <v>981</v>
      </c>
    </row>
    <row r="40" spans="9:16" ht="15.75">
      <c r="I40" s="14" t="s">
        <v>79</v>
      </c>
      <c r="J40" s="16">
        <v>1363</v>
      </c>
      <c r="K40" s="16">
        <v>956</v>
      </c>
      <c r="L40" s="16">
        <v>784</v>
      </c>
      <c r="M40" s="16">
        <v>735</v>
      </c>
      <c r="N40" s="16">
        <v>686</v>
      </c>
      <c r="O40" s="16">
        <v>637</v>
      </c>
      <c r="P40" s="16">
        <v>588</v>
      </c>
    </row>
    <row r="41" spans="9:16" ht="15.75">
      <c r="I41" s="13" t="s">
        <v>80</v>
      </c>
      <c r="J41" s="17"/>
      <c r="K41" s="17"/>
      <c r="L41" s="17"/>
      <c r="M41" s="17"/>
      <c r="N41" s="17"/>
      <c r="O41" s="17"/>
      <c r="P41" s="17"/>
    </row>
    <row r="42" spans="9:16" ht="15.75">
      <c r="I42" s="14" t="s">
        <v>77</v>
      </c>
      <c r="J42" s="18">
        <v>34</v>
      </c>
      <c r="K42" s="18">
        <v>21</v>
      </c>
      <c r="L42" s="18">
        <v>14</v>
      </c>
      <c r="M42" s="18">
        <v>13</v>
      </c>
      <c r="N42" s="18">
        <v>11</v>
      </c>
      <c r="O42" s="18">
        <v>10</v>
      </c>
      <c r="P42" s="18">
        <v>9</v>
      </c>
    </row>
    <row r="43" spans="9:16" ht="15.75">
      <c r="I43" s="14" t="s">
        <v>78</v>
      </c>
      <c r="J43" s="18">
        <v>34</v>
      </c>
      <c r="K43" s="18">
        <v>29</v>
      </c>
      <c r="L43" s="18">
        <v>25</v>
      </c>
      <c r="M43" s="18">
        <v>25</v>
      </c>
      <c r="N43" s="18">
        <v>25</v>
      </c>
      <c r="O43" s="18">
        <v>25</v>
      </c>
      <c r="P43" s="18">
        <v>25</v>
      </c>
    </row>
    <row r="44" spans="9:16" ht="15.75">
      <c r="I44" s="14" t="s">
        <v>79</v>
      </c>
      <c r="J44" s="18">
        <v>34</v>
      </c>
      <c r="K44" s="18">
        <v>24</v>
      </c>
      <c r="L44" s="18">
        <v>20</v>
      </c>
      <c r="M44" s="18">
        <v>18</v>
      </c>
      <c r="N44" s="18">
        <v>17</v>
      </c>
      <c r="O44" s="18">
        <v>16</v>
      </c>
      <c r="P44" s="18">
        <v>15</v>
      </c>
    </row>
    <row r="45" spans="9:16" ht="15.75">
      <c r="I45" s="15" t="s">
        <v>81</v>
      </c>
      <c r="J45" s="17"/>
      <c r="K45" s="17"/>
      <c r="L45" s="17"/>
      <c r="M45" s="17"/>
      <c r="N45" s="17"/>
      <c r="O45" s="17"/>
      <c r="P45" s="17"/>
    </row>
    <row r="46" spans="9:16" ht="15.75">
      <c r="I46" s="13" t="s">
        <v>76</v>
      </c>
      <c r="J46" s="17"/>
      <c r="K46" s="17"/>
      <c r="L46" s="17"/>
      <c r="M46" s="17"/>
      <c r="N46" s="17"/>
      <c r="O46" s="17"/>
      <c r="P46" s="17"/>
    </row>
    <row r="47" spans="9:16" ht="15.75">
      <c r="I47" s="14" t="s">
        <v>77</v>
      </c>
      <c r="J47" s="16">
        <v>2470</v>
      </c>
      <c r="K47" s="16">
        <v>1518</v>
      </c>
      <c r="L47" s="16">
        <v>1024</v>
      </c>
      <c r="M47" s="16">
        <v>927</v>
      </c>
      <c r="N47" s="16">
        <v>822</v>
      </c>
      <c r="O47" s="16">
        <v>724</v>
      </c>
      <c r="P47" s="16">
        <v>626</v>
      </c>
    </row>
    <row r="48" spans="9:16" ht="15.75">
      <c r="I48" s="14" t="s">
        <v>78</v>
      </c>
      <c r="J48" s="16">
        <v>2470</v>
      </c>
      <c r="K48" s="16">
        <v>2111</v>
      </c>
      <c r="L48" s="16">
        <v>1754</v>
      </c>
      <c r="M48" s="16">
        <v>1754</v>
      </c>
      <c r="N48" s="16">
        <v>1754</v>
      </c>
      <c r="O48" s="16">
        <v>1754</v>
      </c>
      <c r="P48" s="16">
        <v>1754</v>
      </c>
    </row>
    <row r="49" spans="9:16" ht="15.75">
      <c r="I49" s="14" t="s">
        <v>79</v>
      </c>
      <c r="J49" s="16">
        <v>2470</v>
      </c>
      <c r="K49" s="16">
        <v>1714</v>
      </c>
      <c r="L49" s="16">
        <v>1371</v>
      </c>
      <c r="M49" s="16">
        <v>1277</v>
      </c>
      <c r="N49" s="16">
        <v>1183</v>
      </c>
      <c r="O49" s="16">
        <v>1089</v>
      </c>
      <c r="P49" s="16">
        <v>995</v>
      </c>
    </row>
    <row r="50" spans="9:16" ht="15.75">
      <c r="I50" s="13" t="s">
        <v>80</v>
      </c>
      <c r="J50" s="17"/>
      <c r="K50" s="17"/>
      <c r="L50" s="17"/>
      <c r="M50" s="17"/>
      <c r="N50" s="17"/>
      <c r="O50" s="17"/>
      <c r="P50" s="17"/>
    </row>
    <row r="51" spans="9:16" ht="15.75">
      <c r="I51" s="14" t="s">
        <v>77</v>
      </c>
      <c r="J51" s="18">
        <v>62</v>
      </c>
      <c r="K51" s="18">
        <v>38</v>
      </c>
      <c r="L51" s="18">
        <v>26</v>
      </c>
      <c r="M51" s="18">
        <v>23</v>
      </c>
      <c r="N51" s="18">
        <v>21</v>
      </c>
      <c r="O51" s="18">
        <v>18</v>
      </c>
      <c r="P51" s="18">
        <v>16</v>
      </c>
    </row>
    <row r="52" spans="9:16" ht="15.75">
      <c r="I52" s="14" t="s">
        <v>78</v>
      </c>
      <c r="J52" s="18">
        <v>62</v>
      </c>
      <c r="K52" s="18">
        <v>53</v>
      </c>
      <c r="L52" s="18">
        <v>44</v>
      </c>
      <c r="M52" s="18">
        <v>44</v>
      </c>
      <c r="N52" s="18">
        <v>44</v>
      </c>
      <c r="O52" s="18">
        <v>44</v>
      </c>
      <c r="P52" s="18">
        <v>44</v>
      </c>
    </row>
    <row r="53" spans="9:16" ht="15.75">
      <c r="I53" s="14" t="s">
        <v>79</v>
      </c>
      <c r="J53" s="18">
        <v>62</v>
      </c>
      <c r="K53" s="18">
        <v>43</v>
      </c>
      <c r="L53" s="18">
        <v>34</v>
      </c>
      <c r="M53" s="18">
        <v>32</v>
      </c>
      <c r="N53" s="18">
        <v>30</v>
      </c>
      <c r="O53" s="18">
        <v>27</v>
      </c>
      <c r="P53" s="18">
        <v>25</v>
      </c>
    </row>
    <row r="54" spans="9:16">
      <c r="I54" s="12"/>
      <c r="J54" s="12"/>
      <c r="K54" s="12"/>
      <c r="L54" s="12"/>
      <c r="M54" s="12"/>
      <c r="N54" s="12"/>
      <c r="O54" s="12"/>
      <c r="P54" s="12"/>
    </row>
    <row r="55" spans="9:16" ht="15.75">
      <c r="I55" s="11" t="s">
        <v>82</v>
      </c>
      <c r="J55" s="11">
        <v>0.85</v>
      </c>
      <c r="K55" s="11"/>
      <c r="L55" s="11"/>
      <c r="M55" s="11"/>
      <c r="N55" s="11"/>
      <c r="O55" s="11"/>
      <c r="P55" s="11"/>
    </row>
    <row r="56" spans="9:16" ht="15.75">
      <c r="I56" s="11" t="s">
        <v>83</v>
      </c>
      <c r="J56" s="11"/>
      <c r="K56" s="11"/>
      <c r="L56" s="11"/>
      <c r="M56" s="11"/>
      <c r="N56" s="11"/>
      <c r="O56" s="11"/>
      <c r="P56" s="11"/>
    </row>
    <row r="57" spans="9:16" ht="15.75">
      <c r="I57" s="11" t="s">
        <v>84</v>
      </c>
      <c r="J57" s="11"/>
      <c r="K57" s="11"/>
      <c r="L57" s="11"/>
      <c r="M57" s="19"/>
      <c r="N57" s="11"/>
      <c r="O57" s="11"/>
      <c r="P57" s="11"/>
    </row>
    <row r="58" spans="9:16" ht="15.75">
      <c r="I58" s="11"/>
      <c r="J58" s="11"/>
      <c r="K58" s="11"/>
      <c r="L58" s="11"/>
      <c r="M58" s="19"/>
      <c r="N58" s="11"/>
      <c r="O58" s="11"/>
      <c r="P58" s="11"/>
    </row>
    <row r="59" spans="9:16" ht="15.75">
      <c r="I59" s="11"/>
      <c r="J59" s="19"/>
      <c r="K59" s="11"/>
      <c r="L59" s="11"/>
      <c r="M59" s="19"/>
      <c r="N59" s="11"/>
      <c r="O59" s="11"/>
      <c r="P59" s="11"/>
    </row>
    <row r="60" spans="9:16" ht="15.75">
      <c r="I60" s="11"/>
      <c r="J60" s="19"/>
      <c r="K60" s="11"/>
      <c r="L60" s="11"/>
      <c r="M60" s="11"/>
      <c r="N60" s="11"/>
      <c r="O60" s="11"/>
      <c r="P60" s="11"/>
    </row>
    <row r="61" spans="9:16" ht="15.75">
      <c r="I61" s="11"/>
      <c r="J61" s="19"/>
      <c r="K61" s="11"/>
      <c r="L61" s="11"/>
      <c r="M61" s="11"/>
      <c r="N61" s="11"/>
      <c r="O61" s="11"/>
      <c r="P61" s="1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A90E-43F0-4F26-A089-D51219939B11}">
  <dimension ref="B3:Y8"/>
  <sheetViews>
    <sheetView workbookViewId="0">
      <selection activeCell="B5" sqref="B5"/>
    </sheetView>
  </sheetViews>
  <sheetFormatPr defaultRowHeight="14.25"/>
  <cols>
    <col min="2" max="2" width="11.53125" bestFit="1" customWidth="1"/>
    <col min="3" max="3" width="8.1328125" bestFit="1" customWidth="1"/>
    <col min="4" max="4" width="14.86328125" bestFit="1" customWidth="1"/>
    <col min="5" max="5" width="11.59765625" bestFit="1" customWidth="1"/>
    <col min="6" max="6" width="14.86328125" bestFit="1" customWidth="1"/>
    <col min="7" max="7" width="9.59765625" bestFit="1" customWidth="1"/>
    <col min="8" max="8" width="9" bestFit="1" customWidth="1"/>
    <col min="9" max="9" width="4.73046875" bestFit="1" customWidth="1"/>
    <col min="10" max="10" width="1.73046875" bestFit="1" customWidth="1"/>
    <col min="11" max="11" width="6.73046875" bestFit="1" customWidth="1"/>
    <col min="12" max="12" width="14.796875" bestFit="1" customWidth="1"/>
    <col min="13" max="13" width="3.796875" bestFit="1" customWidth="1"/>
    <col min="14" max="14" width="6.265625" bestFit="1" customWidth="1"/>
    <col min="15" max="15" width="7.9296875" bestFit="1" customWidth="1"/>
    <col min="16" max="16" width="4.46484375" bestFit="1" customWidth="1"/>
    <col min="18" max="18" width="9.796875" bestFit="1" customWidth="1"/>
    <col min="19" max="19" width="11.53125" bestFit="1" customWidth="1"/>
    <col min="20" max="20" width="37.9296875" bestFit="1" customWidth="1"/>
    <col min="21" max="21" width="4.06640625" bestFit="1" customWidth="1"/>
    <col min="22" max="22" width="4.3984375" bestFit="1" customWidth="1"/>
    <col min="23" max="23" width="7.59765625" bestFit="1" customWidth="1"/>
    <col min="25" max="25" width="6.73046875" bestFit="1" customWidth="1"/>
  </cols>
  <sheetData>
    <row r="3" spans="2:25">
      <c r="B3" s="23"/>
      <c r="C3" s="23"/>
      <c r="D3" s="23"/>
      <c r="E3" s="23"/>
      <c r="F3" s="23"/>
      <c r="G3" s="23"/>
      <c r="H3" s="23" t="s">
        <v>85</v>
      </c>
      <c r="I3" s="23"/>
      <c r="J3" s="23"/>
      <c r="K3" s="23"/>
      <c r="L3" s="23"/>
      <c r="M3" s="23"/>
      <c r="N3" s="23"/>
      <c r="O3" s="23"/>
      <c r="P3" s="23"/>
      <c r="Q3" s="23"/>
      <c r="R3" s="23" t="s">
        <v>0</v>
      </c>
      <c r="S3" s="23"/>
      <c r="T3" s="23"/>
      <c r="U3" s="23"/>
      <c r="V3" s="23"/>
      <c r="W3" s="23"/>
      <c r="X3" s="23"/>
      <c r="Y3" s="23"/>
    </row>
    <row r="4" spans="2:25">
      <c r="B4" s="23" t="s">
        <v>1</v>
      </c>
      <c r="C4" t="s">
        <v>2</v>
      </c>
      <c r="D4" t="s">
        <v>3</v>
      </c>
      <c r="E4" t="s">
        <v>57</v>
      </c>
      <c r="F4" t="s">
        <v>55</v>
      </c>
      <c r="G4" t="s">
        <v>86</v>
      </c>
      <c r="H4" t="s">
        <v>87</v>
      </c>
      <c r="I4">
        <v>2030</v>
      </c>
      <c r="J4">
        <v>0</v>
      </c>
      <c r="K4" s="23" t="s">
        <v>88</v>
      </c>
      <c r="L4" s="23" t="s">
        <v>89</v>
      </c>
      <c r="M4" s="23" t="s">
        <v>58</v>
      </c>
      <c r="N4" s="23" t="s">
        <v>101</v>
      </c>
      <c r="O4" s="23" t="s">
        <v>90</v>
      </c>
      <c r="P4" s="23" t="s">
        <v>91</v>
      </c>
      <c r="Q4" s="23"/>
      <c r="R4" s="23" t="s">
        <v>6</v>
      </c>
      <c r="S4" s="23" t="s">
        <v>1</v>
      </c>
      <c r="T4" s="23" t="s">
        <v>7</v>
      </c>
      <c r="U4" s="23" t="s">
        <v>52</v>
      </c>
      <c r="V4" s="23" t="s">
        <v>53</v>
      </c>
      <c r="W4" s="23" t="s">
        <v>11</v>
      </c>
      <c r="X4" s="23" t="s">
        <v>92</v>
      </c>
      <c r="Y4" s="23" t="s">
        <v>93</v>
      </c>
    </row>
    <row r="5" spans="2:25">
      <c r="B5" t="s">
        <v>103</v>
      </c>
      <c r="C5" t="s">
        <v>19</v>
      </c>
      <c r="F5" t="s">
        <v>26</v>
      </c>
      <c r="K5" s="23">
        <v>0.90249999999999997</v>
      </c>
      <c r="L5" s="25">
        <f>24/6</f>
        <v>4</v>
      </c>
      <c r="M5" s="23">
        <v>10</v>
      </c>
      <c r="N5" s="23">
        <v>150</v>
      </c>
      <c r="O5" s="25">
        <v>1</v>
      </c>
      <c r="P5" s="23">
        <v>1</v>
      </c>
      <c r="Q5" s="23"/>
      <c r="R5" s="23" t="s">
        <v>96</v>
      </c>
      <c r="S5" s="23" t="str">
        <f>B5</f>
        <v>ev_battery</v>
      </c>
      <c r="T5" s="23" t="s">
        <v>94</v>
      </c>
      <c r="U5" s="23" t="s">
        <v>21</v>
      </c>
      <c r="V5" s="23" t="s">
        <v>21</v>
      </c>
      <c r="W5" s="23" t="s">
        <v>14</v>
      </c>
      <c r="X5" s="23"/>
      <c r="Y5" s="23"/>
    </row>
    <row r="6" spans="2:25">
      <c r="B6" s="23"/>
      <c r="F6" t="s">
        <v>66</v>
      </c>
      <c r="K6" s="23"/>
      <c r="L6" s="24">
        <v>1</v>
      </c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 spans="2:25">
      <c r="B7" s="23"/>
      <c r="D7" t="s">
        <v>95</v>
      </c>
      <c r="E7" t="s">
        <v>46</v>
      </c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</row>
    <row r="8" spans="2:25" ht="17.649999999999999">
      <c r="B8" s="20"/>
      <c r="E8" s="26"/>
      <c r="F8" t="str">
        <f>C5</f>
        <v>ELC</v>
      </c>
      <c r="G8" t="str">
        <f>E7</f>
        <v>AuxStoIN</v>
      </c>
      <c r="H8" t="s">
        <v>63</v>
      </c>
      <c r="I8">
        <v>1</v>
      </c>
      <c r="J8">
        <v>3</v>
      </c>
      <c r="K8" s="21"/>
      <c r="L8" s="21"/>
      <c r="M8" s="21"/>
      <c r="N8" s="21"/>
      <c r="O8" s="21"/>
      <c r="P8" s="21"/>
      <c r="Q8" s="20"/>
      <c r="R8" s="20"/>
      <c r="S8" s="20"/>
      <c r="T8" s="20"/>
      <c r="U8" s="20"/>
      <c r="V8" s="20"/>
      <c r="W8" s="22"/>
      <c r="X8" s="22"/>
      <c r="Y8" s="2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64BB3-8019-4461-A511-24783E2ADCDE}">
  <dimension ref="A1:Z29"/>
  <sheetViews>
    <sheetView zoomScale="85" zoomScaleNormal="85" workbookViewId="0">
      <selection activeCell="A28" sqref="A28"/>
    </sheetView>
  </sheetViews>
  <sheetFormatPr defaultRowHeight="14.25"/>
  <cols>
    <col min="1" max="1" width="11.1328125" bestFit="1" customWidth="1"/>
    <col min="2" max="2" width="11.1328125" customWidth="1"/>
    <col min="3" max="5" width="14" bestFit="1" customWidth="1"/>
    <col min="6" max="8" width="11.86328125" bestFit="1" customWidth="1"/>
    <col min="9" max="9" width="20.265625" bestFit="1" customWidth="1"/>
    <col min="10" max="10" width="15.59765625" bestFit="1" customWidth="1"/>
    <col min="11" max="11" width="20.265625" bestFit="1" customWidth="1"/>
    <col min="12" max="12" width="15.59765625" bestFit="1" customWidth="1"/>
    <col min="13" max="13" width="20.265625" bestFit="1" customWidth="1"/>
    <col min="14" max="14" width="15.59765625" bestFit="1" customWidth="1"/>
    <col min="15" max="15" width="18.86328125" customWidth="1"/>
    <col min="16" max="16" width="4.3984375" bestFit="1" customWidth="1"/>
    <col min="17" max="17" width="8.1328125" bestFit="1" customWidth="1"/>
    <col min="18" max="18" width="5.9296875" bestFit="1" customWidth="1"/>
    <col min="21" max="21" width="18.1328125" bestFit="1" customWidth="1"/>
    <col min="22" max="22" width="24" customWidth="1"/>
    <col min="23" max="23" width="4.53125" bestFit="1" customWidth="1"/>
    <col min="24" max="24" width="4.19921875" bestFit="1" customWidth="1"/>
    <col min="25" max="25" width="7.6640625" bestFit="1" customWidth="1"/>
    <col min="26" max="26" width="7.1328125" bestFit="1" customWidth="1"/>
  </cols>
  <sheetData>
    <row r="1" spans="1:18" ht="33.75" customHeight="1">
      <c r="A1" t="s">
        <v>108</v>
      </c>
      <c r="C1" s="147" t="s">
        <v>109</v>
      </c>
      <c r="D1" s="147"/>
      <c r="E1" s="147"/>
      <c r="F1" s="148" t="s">
        <v>110</v>
      </c>
      <c r="G1" s="147"/>
      <c r="H1" s="149"/>
      <c r="I1" s="147" t="s">
        <v>111</v>
      </c>
      <c r="J1" s="147"/>
      <c r="K1" s="147"/>
      <c r="L1" s="147"/>
      <c r="M1" s="147"/>
      <c r="N1" s="147"/>
      <c r="O1" s="150" t="s">
        <v>112</v>
      </c>
      <c r="P1" s="27"/>
      <c r="Q1" s="27"/>
      <c r="R1" s="27"/>
    </row>
    <row r="2" spans="1:18">
      <c r="C2" s="28" t="s">
        <v>101</v>
      </c>
      <c r="D2" s="28" t="s">
        <v>101</v>
      </c>
      <c r="E2" s="28" t="s">
        <v>101</v>
      </c>
      <c r="F2" s="28" t="s">
        <v>113</v>
      </c>
      <c r="G2" s="28" t="s">
        <v>113</v>
      </c>
      <c r="H2" s="28" t="s">
        <v>113</v>
      </c>
      <c r="I2" s="28" t="s">
        <v>114</v>
      </c>
      <c r="J2" s="28" t="s">
        <v>146</v>
      </c>
      <c r="K2" s="28" t="str">
        <f>I2</f>
        <v>input~GASNGA</v>
      </c>
      <c r="L2" s="28" t="s">
        <v>146</v>
      </c>
      <c r="M2" s="28" t="str">
        <f>K2</f>
        <v>input~GASNGA</v>
      </c>
      <c r="N2" s="28" t="s">
        <v>146</v>
      </c>
      <c r="O2" s="151"/>
      <c r="P2" s="27"/>
      <c r="Q2" s="27"/>
      <c r="R2" s="27"/>
    </row>
    <row r="3" spans="1:18">
      <c r="C3" s="28">
        <v>2020</v>
      </c>
      <c r="D3" s="28">
        <v>2030</v>
      </c>
      <c r="E3" s="28">
        <v>2050</v>
      </c>
      <c r="F3" s="28">
        <f>C3</f>
        <v>2020</v>
      </c>
      <c r="G3" s="28">
        <f t="shared" ref="G3:H3" si="0">D3</f>
        <v>2030</v>
      </c>
      <c r="H3" s="28">
        <f t="shared" si="0"/>
        <v>2050</v>
      </c>
      <c r="I3" s="28">
        <v>2015</v>
      </c>
      <c r="J3" s="28">
        <v>2015</v>
      </c>
      <c r="K3" s="28">
        <v>2030</v>
      </c>
      <c r="L3" s="28">
        <v>2030</v>
      </c>
      <c r="M3" s="28">
        <v>2050</v>
      </c>
      <c r="N3" s="28">
        <v>2050</v>
      </c>
      <c r="O3" s="151"/>
      <c r="P3" s="27"/>
      <c r="Q3" s="27"/>
      <c r="R3" s="27"/>
    </row>
    <row r="4" spans="1:18" ht="26.25">
      <c r="C4" s="29">
        <v>2020</v>
      </c>
      <c r="D4" s="29">
        <v>2030</v>
      </c>
      <c r="E4" s="29" t="s">
        <v>115</v>
      </c>
      <c r="F4" s="30">
        <v>2015</v>
      </c>
      <c r="G4" s="29">
        <v>2030</v>
      </c>
      <c r="H4" s="31" t="s">
        <v>115</v>
      </c>
      <c r="I4" s="29" t="s">
        <v>116</v>
      </c>
      <c r="J4" s="29" t="s">
        <v>117</v>
      </c>
      <c r="K4" s="32" t="s">
        <v>118</v>
      </c>
      <c r="L4" s="33" t="s">
        <v>119</v>
      </c>
      <c r="M4" s="29" t="s">
        <v>120</v>
      </c>
      <c r="N4" s="29" t="s">
        <v>121</v>
      </c>
      <c r="O4" s="152"/>
      <c r="P4" s="27"/>
      <c r="Q4" s="27"/>
      <c r="R4" s="27"/>
    </row>
    <row r="5" spans="1:18">
      <c r="C5" s="34">
        <v>550</v>
      </c>
      <c r="D5" s="34">
        <v>500</v>
      </c>
      <c r="E5" s="34">
        <v>450</v>
      </c>
      <c r="F5" s="35">
        <v>22</v>
      </c>
      <c r="G5" s="36">
        <v>20</v>
      </c>
      <c r="H5" s="37">
        <v>18</v>
      </c>
      <c r="I5" s="38">
        <v>1.33</v>
      </c>
      <c r="J5" s="38">
        <v>9.4E-2</v>
      </c>
      <c r="K5" s="39">
        <v>1.3</v>
      </c>
      <c r="L5" s="40">
        <v>9.4E-2</v>
      </c>
      <c r="M5" s="38">
        <v>1.28</v>
      </c>
      <c r="N5" s="38">
        <v>9.4E-2</v>
      </c>
      <c r="O5" s="41" t="s">
        <v>122</v>
      </c>
      <c r="P5" s="42"/>
      <c r="Q5" s="42"/>
      <c r="R5" s="42"/>
    </row>
    <row r="6" spans="1:18">
      <c r="C6" s="43">
        <v>900</v>
      </c>
      <c r="D6" s="43">
        <v>850</v>
      </c>
      <c r="E6" s="43">
        <v>800</v>
      </c>
      <c r="F6" s="44">
        <v>36</v>
      </c>
      <c r="G6" s="45">
        <v>34</v>
      </c>
      <c r="H6" s="46">
        <v>32</v>
      </c>
      <c r="I6" s="47">
        <v>1.33</v>
      </c>
      <c r="J6" s="47">
        <v>1.0940000000000001</v>
      </c>
      <c r="K6" s="48">
        <v>1.3</v>
      </c>
      <c r="L6" s="49">
        <v>1.0940000000000001</v>
      </c>
      <c r="M6" s="47">
        <v>1.28</v>
      </c>
      <c r="N6" s="47">
        <v>1.0940000000000001</v>
      </c>
      <c r="O6" s="50" t="s">
        <v>123</v>
      </c>
      <c r="P6" s="51"/>
      <c r="Q6" s="51"/>
      <c r="R6" s="51"/>
    </row>
    <row r="7" spans="1:18">
      <c r="C7" s="34">
        <v>1978</v>
      </c>
      <c r="D7" s="34">
        <v>1598</v>
      </c>
      <c r="E7" s="34">
        <v>1450</v>
      </c>
      <c r="F7" s="35">
        <v>57</v>
      </c>
      <c r="G7" s="36">
        <v>31</v>
      </c>
      <c r="H7" s="37">
        <v>28</v>
      </c>
      <c r="I7" s="38">
        <v>1.53</v>
      </c>
      <c r="J7" s="38">
        <v>9.4E-2</v>
      </c>
      <c r="K7" s="39">
        <v>1.47</v>
      </c>
      <c r="L7" s="40">
        <v>9.4E-2</v>
      </c>
      <c r="M7" s="38">
        <v>1.43</v>
      </c>
      <c r="N7" s="38">
        <v>9.4E-2</v>
      </c>
      <c r="O7" s="41" t="s">
        <v>124</v>
      </c>
      <c r="P7" s="42"/>
      <c r="Q7" s="42"/>
      <c r="R7" s="42"/>
    </row>
    <row r="8" spans="1:18">
      <c r="C8" s="52">
        <v>1609.9999999999998</v>
      </c>
      <c r="D8" s="52">
        <v>740</v>
      </c>
      <c r="E8" s="52">
        <v>200</v>
      </c>
      <c r="F8" s="44">
        <v>49.000000000000007</v>
      </c>
      <c r="G8" s="45">
        <v>15</v>
      </c>
      <c r="H8" s="46">
        <v>10</v>
      </c>
      <c r="I8" s="47">
        <v>0</v>
      </c>
      <c r="J8" s="47">
        <v>1.39</v>
      </c>
      <c r="K8" s="48">
        <v>0</v>
      </c>
      <c r="L8" s="49">
        <v>1.19</v>
      </c>
      <c r="M8" s="47">
        <v>0</v>
      </c>
      <c r="N8" s="47">
        <v>1.17</v>
      </c>
      <c r="O8" s="50" t="s">
        <v>125</v>
      </c>
      <c r="P8" s="51"/>
      <c r="Q8" s="51"/>
      <c r="R8" s="51"/>
    </row>
    <row r="9" spans="1:18">
      <c r="C9" s="53">
        <v>2530</v>
      </c>
      <c r="D9" s="53">
        <v>1175</v>
      </c>
      <c r="E9" s="53">
        <v>350</v>
      </c>
      <c r="F9" s="35">
        <v>77.000000000000014</v>
      </c>
      <c r="G9" s="36">
        <v>34</v>
      </c>
      <c r="H9" s="37">
        <v>18</v>
      </c>
      <c r="I9" s="38">
        <v>0</v>
      </c>
      <c r="J9" s="38">
        <v>1.5</v>
      </c>
      <c r="K9" s="39">
        <v>0</v>
      </c>
      <c r="L9" s="40">
        <v>1.25</v>
      </c>
      <c r="M9" s="38">
        <v>0</v>
      </c>
      <c r="N9" s="38">
        <v>1.19</v>
      </c>
      <c r="O9" s="41" t="s">
        <v>126</v>
      </c>
      <c r="P9" s="42"/>
      <c r="Q9" s="42"/>
      <c r="R9" s="42"/>
    </row>
    <row r="10" spans="1:18">
      <c r="C10" s="52">
        <v>1265</v>
      </c>
      <c r="D10" s="52">
        <v>600</v>
      </c>
      <c r="E10" s="52">
        <v>180</v>
      </c>
      <c r="F10" s="44">
        <v>28</v>
      </c>
      <c r="G10" s="45">
        <v>14</v>
      </c>
      <c r="H10" s="46">
        <v>9</v>
      </c>
      <c r="I10" s="47">
        <v>0</v>
      </c>
      <c r="J10" s="47">
        <v>1.3952</v>
      </c>
      <c r="K10" s="48">
        <v>0</v>
      </c>
      <c r="L10" s="49">
        <v>1.268</v>
      </c>
      <c r="M10" s="47">
        <v>0</v>
      </c>
      <c r="N10" s="47">
        <v>1.18</v>
      </c>
      <c r="O10" s="50" t="s">
        <v>127</v>
      </c>
      <c r="P10" s="51"/>
      <c r="Q10" s="51"/>
      <c r="R10" s="51"/>
    </row>
    <row r="11" spans="1:18">
      <c r="C11" s="53">
        <v>1897.4999999999998</v>
      </c>
      <c r="D11" s="53">
        <v>715</v>
      </c>
      <c r="E11" s="53">
        <v>300</v>
      </c>
      <c r="F11" s="35">
        <v>41</v>
      </c>
      <c r="G11" s="36">
        <v>17</v>
      </c>
      <c r="H11" s="37">
        <v>15</v>
      </c>
      <c r="I11" s="38">
        <v>0</v>
      </c>
      <c r="J11" s="38">
        <v>1.3952</v>
      </c>
      <c r="K11" s="39">
        <v>0</v>
      </c>
      <c r="L11" s="40">
        <v>1.268</v>
      </c>
      <c r="M11" s="38">
        <v>0</v>
      </c>
      <c r="N11" s="38">
        <v>1.2</v>
      </c>
      <c r="O11" s="41" t="s">
        <v>128</v>
      </c>
      <c r="P11" s="42"/>
      <c r="Q11" s="42"/>
      <c r="R11" s="42"/>
    </row>
    <row r="12" spans="1:18">
      <c r="C12" s="52">
        <v>3332.088235294118</v>
      </c>
      <c r="D12" s="52">
        <v>1421.3921568627452</v>
      </c>
      <c r="E12" s="52">
        <v>600</v>
      </c>
      <c r="F12" s="44">
        <v>55.825000000000003</v>
      </c>
      <c r="G12" s="45">
        <v>36.18</v>
      </c>
      <c r="H12" s="46">
        <v>39</v>
      </c>
      <c r="I12" s="47">
        <v>1.996667038759689</v>
      </c>
      <c r="J12" s="47">
        <v>0.83711999999999998</v>
      </c>
      <c r="K12" s="48">
        <v>1.4556272790939169</v>
      </c>
      <c r="L12" s="49">
        <v>0.76080000000000003</v>
      </c>
      <c r="M12" s="47">
        <v>0.33333333333333337</v>
      </c>
      <c r="N12" s="47">
        <v>0.70799999999999996</v>
      </c>
      <c r="O12" s="50" t="s">
        <v>129</v>
      </c>
      <c r="P12" s="51"/>
      <c r="Q12" s="51"/>
      <c r="R12" s="51"/>
    </row>
    <row r="13" spans="1:18">
      <c r="C13" s="53">
        <v>5331.3411764705888</v>
      </c>
      <c r="D13" s="53">
        <v>2920.8941176470589</v>
      </c>
      <c r="E13" s="53">
        <v>1100</v>
      </c>
      <c r="F13" s="35">
        <v>94.902500000000003</v>
      </c>
      <c r="G13" s="36">
        <v>63.314999999999998</v>
      </c>
      <c r="H13" s="37">
        <v>48.75</v>
      </c>
      <c r="I13" s="38">
        <v>1.996667038759689</v>
      </c>
      <c r="J13" s="38">
        <v>0.83711999999999998</v>
      </c>
      <c r="K13" s="39">
        <v>1.4556272790939169</v>
      </c>
      <c r="L13" s="40">
        <v>0.76080000000000003</v>
      </c>
      <c r="M13" s="38">
        <v>0.33333333333333337</v>
      </c>
      <c r="N13" s="38">
        <v>0.72</v>
      </c>
      <c r="O13" s="41" t="s">
        <v>130</v>
      </c>
      <c r="P13" s="42"/>
      <c r="Q13" s="42"/>
      <c r="R13" s="42"/>
    </row>
    <row r="14" spans="1:18">
      <c r="C14" s="54">
        <v>1200</v>
      </c>
      <c r="D14" s="54">
        <v>733</v>
      </c>
      <c r="E14" s="54">
        <v>263</v>
      </c>
      <c r="F14" s="55">
        <v>42</v>
      </c>
      <c r="G14" s="56">
        <v>22</v>
      </c>
      <c r="H14" s="57">
        <v>9</v>
      </c>
      <c r="I14" s="58">
        <v>0</v>
      </c>
      <c r="J14" s="59">
        <v>0.01</v>
      </c>
      <c r="K14" s="60">
        <v>0</v>
      </c>
      <c r="L14" s="61">
        <v>0.01</v>
      </c>
      <c r="M14" s="59">
        <v>0</v>
      </c>
      <c r="N14" s="59">
        <v>0.01</v>
      </c>
      <c r="O14" s="62" t="s">
        <v>131</v>
      </c>
      <c r="P14" s="63"/>
      <c r="Q14" s="63"/>
      <c r="R14" s="63"/>
    </row>
    <row r="15" spans="1:18">
      <c r="C15" s="64">
        <v>450</v>
      </c>
      <c r="D15" s="64">
        <v>450</v>
      </c>
      <c r="E15" s="64">
        <v>450</v>
      </c>
      <c r="F15" s="65">
        <v>18</v>
      </c>
      <c r="G15" s="66">
        <v>18</v>
      </c>
      <c r="H15" s="67">
        <v>18</v>
      </c>
      <c r="I15" s="68">
        <v>0.26582278481012644</v>
      </c>
      <c r="J15" s="69">
        <v>0.06</v>
      </c>
      <c r="K15" s="70">
        <v>0.26582278481012644</v>
      </c>
      <c r="L15" s="71">
        <v>0.06</v>
      </c>
      <c r="M15" s="69">
        <v>0.26582278481012644</v>
      </c>
      <c r="N15" s="69">
        <v>0.06</v>
      </c>
      <c r="O15" s="72" t="s">
        <v>132</v>
      </c>
      <c r="P15" s="73"/>
      <c r="Q15" s="73"/>
      <c r="R15" s="73"/>
    </row>
    <row r="16" spans="1:18">
      <c r="C16" s="74">
        <v>200</v>
      </c>
      <c r="D16" s="74">
        <v>200</v>
      </c>
      <c r="E16" s="74">
        <v>200</v>
      </c>
      <c r="F16" s="75">
        <v>20</v>
      </c>
      <c r="G16" s="76">
        <v>20</v>
      </c>
      <c r="H16" s="77">
        <v>20</v>
      </c>
      <c r="I16" s="78">
        <v>1.2999999999999999E-2</v>
      </c>
      <c r="J16" s="79">
        <v>3.5999999999999997E-2</v>
      </c>
      <c r="K16" s="80">
        <v>1.2999999999999999E-2</v>
      </c>
      <c r="L16" s="81">
        <v>3.5999999999999997E-2</v>
      </c>
      <c r="M16" s="79">
        <v>1.2999999999999999E-2</v>
      </c>
      <c r="N16" s="79">
        <v>3.5999999999999997E-2</v>
      </c>
      <c r="O16" s="82" t="s">
        <v>133</v>
      </c>
      <c r="P16" s="83"/>
      <c r="Q16" s="83"/>
      <c r="R16" s="83"/>
    </row>
    <row r="17" spans="1:26">
      <c r="C17" s="64">
        <v>175</v>
      </c>
      <c r="D17" s="64">
        <v>175</v>
      </c>
      <c r="E17" s="64">
        <v>175</v>
      </c>
      <c r="F17" s="65">
        <v>5</v>
      </c>
      <c r="G17" s="66">
        <v>5</v>
      </c>
      <c r="H17" s="67">
        <v>5</v>
      </c>
      <c r="I17" s="68">
        <v>1.4E-2</v>
      </c>
      <c r="J17" s="69">
        <v>0</v>
      </c>
      <c r="K17" s="70">
        <v>1.4E-2</v>
      </c>
      <c r="L17" s="71">
        <v>0</v>
      </c>
      <c r="M17" s="69">
        <v>1.4E-2</v>
      </c>
      <c r="N17" s="69">
        <v>0</v>
      </c>
      <c r="O17" s="72" t="s">
        <v>134</v>
      </c>
      <c r="P17" s="73"/>
      <c r="Q17" s="73"/>
      <c r="R17" s="73"/>
    </row>
    <row r="18" spans="1:26">
      <c r="C18" s="84">
        <v>1000</v>
      </c>
      <c r="D18" s="84">
        <v>720</v>
      </c>
      <c r="E18" s="84">
        <v>364</v>
      </c>
      <c r="F18" s="85">
        <v>50</v>
      </c>
      <c r="G18" s="86">
        <v>31</v>
      </c>
      <c r="H18" s="87">
        <v>18</v>
      </c>
      <c r="I18" s="88">
        <v>0.2389</v>
      </c>
      <c r="J18" s="89">
        <v>3.056E-2</v>
      </c>
      <c r="K18" s="90">
        <v>0.2389</v>
      </c>
      <c r="L18" s="91">
        <v>3.056E-2</v>
      </c>
      <c r="M18" s="89">
        <v>0.2389</v>
      </c>
      <c r="N18" s="89">
        <v>3.056E-2</v>
      </c>
      <c r="O18" s="92" t="s">
        <v>135</v>
      </c>
      <c r="P18" s="93"/>
      <c r="Q18" s="93"/>
      <c r="R18" s="93"/>
    </row>
    <row r="19" spans="1:26">
      <c r="C19" s="94">
        <v>1556</v>
      </c>
      <c r="D19" s="94">
        <v>1143</v>
      </c>
      <c r="E19" s="95">
        <v>673</v>
      </c>
      <c r="F19" s="96">
        <v>54</v>
      </c>
      <c r="G19" s="97">
        <v>40</v>
      </c>
      <c r="H19" s="98">
        <v>24</v>
      </c>
      <c r="I19" s="99">
        <v>3.5000000000000003E-2</v>
      </c>
      <c r="J19" s="100">
        <v>0.02</v>
      </c>
      <c r="K19" s="101">
        <v>3.5000000000000003E-2</v>
      </c>
      <c r="L19" s="102">
        <v>0.02</v>
      </c>
      <c r="M19" s="100">
        <v>3.5000000000000003E-2</v>
      </c>
      <c r="N19" s="100">
        <v>0.02</v>
      </c>
      <c r="O19" s="103" t="s">
        <v>136</v>
      </c>
      <c r="P19" s="104"/>
      <c r="Q19" s="104"/>
      <c r="R19" s="104"/>
    </row>
    <row r="20" spans="1:26">
      <c r="C20" s="105">
        <v>2332</v>
      </c>
      <c r="D20" s="105">
        <v>1511</v>
      </c>
      <c r="E20" s="105">
        <v>965</v>
      </c>
      <c r="F20" s="106">
        <v>163</v>
      </c>
      <c r="G20" s="107">
        <v>106</v>
      </c>
      <c r="H20" s="108">
        <v>68</v>
      </c>
      <c r="I20" s="109">
        <v>0.46326666666666666</v>
      </c>
      <c r="J20" s="110">
        <v>1.9188104089219331</v>
      </c>
      <c r="K20" s="111">
        <v>0.39244195142277988</v>
      </c>
      <c r="L20" s="112">
        <v>1.6009812088633062</v>
      </c>
      <c r="M20" s="110">
        <v>0.37890902062421039</v>
      </c>
      <c r="N20" s="110">
        <v>1.5694083453910281</v>
      </c>
      <c r="O20" s="113" t="s">
        <v>137</v>
      </c>
      <c r="P20" s="93"/>
      <c r="Q20" s="93"/>
      <c r="R20" s="93"/>
    </row>
    <row r="21" spans="1:26">
      <c r="C21" s="114">
        <v>769.8768197088466</v>
      </c>
      <c r="D21" s="114">
        <v>648.04446103438272</v>
      </c>
      <c r="E21" s="114">
        <v>518.29059243801294</v>
      </c>
      <c r="F21" s="115">
        <v>26.945688689809632</v>
      </c>
      <c r="G21" s="116">
        <v>22.681556136203398</v>
      </c>
      <c r="H21" s="117">
        <v>18.140170735330454</v>
      </c>
      <c r="I21" s="118">
        <v>2.7777777777777777</v>
      </c>
      <c r="J21" s="119">
        <v>2.2222222222222223</v>
      </c>
      <c r="K21" s="120">
        <v>1.6666666666666665</v>
      </c>
      <c r="L21" s="121">
        <v>1.3888888888888888</v>
      </c>
      <c r="M21" s="119">
        <v>1.1388888888888888</v>
      </c>
      <c r="N21" s="119">
        <v>0.3</v>
      </c>
      <c r="O21" s="122" t="s">
        <v>138</v>
      </c>
      <c r="P21" s="123"/>
      <c r="Q21" s="123"/>
      <c r="R21" s="123"/>
    </row>
    <row r="22" spans="1:26">
      <c r="C22" s="124">
        <v>1259.7984322508398</v>
      </c>
      <c r="D22" s="124">
        <v>894.30135622744808</v>
      </c>
      <c r="E22" s="124">
        <v>495</v>
      </c>
      <c r="F22" s="125">
        <v>44.092945128779398</v>
      </c>
      <c r="G22" s="126">
        <v>31.300547467960687</v>
      </c>
      <c r="H22" s="127">
        <v>17.325000000000003</v>
      </c>
      <c r="I22" s="128">
        <v>2</v>
      </c>
      <c r="J22" s="129">
        <v>0.3</v>
      </c>
      <c r="K22" s="130">
        <v>1.8055555555555556</v>
      </c>
      <c r="L22" s="131">
        <v>0.3</v>
      </c>
      <c r="M22" s="129">
        <v>1.5</v>
      </c>
      <c r="N22" s="129">
        <v>0.3</v>
      </c>
      <c r="O22" s="132" t="s">
        <v>139</v>
      </c>
      <c r="P22" s="133"/>
      <c r="Q22" s="133"/>
      <c r="R22" s="133"/>
    </row>
    <row r="23" spans="1:26">
      <c r="C23" s="134">
        <v>174</v>
      </c>
      <c r="D23" s="134">
        <v>174</v>
      </c>
      <c r="E23" s="134">
        <v>174</v>
      </c>
      <c r="F23" s="135">
        <v>3</v>
      </c>
      <c r="G23" s="136">
        <v>3</v>
      </c>
      <c r="H23" s="137">
        <v>3</v>
      </c>
      <c r="I23" s="138">
        <v>0</v>
      </c>
      <c r="J23" s="139">
        <v>0.20588235294117646</v>
      </c>
      <c r="K23" s="140">
        <v>0</v>
      </c>
      <c r="L23" s="141">
        <v>0.20588235294117646</v>
      </c>
      <c r="M23" s="139">
        <v>0</v>
      </c>
      <c r="N23" s="139">
        <v>0.20588235294117646</v>
      </c>
      <c r="O23" s="142" t="s">
        <v>140</v>
      </c>
      <c r="P23" s="123"/>
      <c r="Q23" s="123"/>
      <c r="R23" s="123"/>
    </row>
    <row r="26" spans="1:26" ht="17.25" thickBot="1">
      <c r="C26" s="143" t="s">
        <v>141</v>
      </c>
      <c r="T26" s="143" t="s">
        <v>0</v>
      </c>
    </row>
    <row r="27" spans="1:26" ht="14.65" thickTop="1">
      <c r="A27" s="144" t="s">
        <v>3</v>
      </c>
      <c r="B27" s="144" t="s">
        <v>2</v>
      </c>
      <c r="C27" s="144" t="str">
        <f>C2&amp;"~"&amp;C3</f>
        <v>invcost~2020</v>
      </c>
      <c r="D27" s="144" t="str">
        <f t="shared" ref="D27:N27" si="1">D2&amp;"~"&amp;D3</f>
        <v>invcost~2030</v>
      </c>
      <c r="E27" s="144" t="str">
        <f t="shared" si="1"/>
        <v>invcost~2050</v>
      </c>
      <c r="F27" s="144" t="str">
        <f t="shared" si="1"/>
        <v>fixom~2020</v>
      </c>
      <c r="G27" s="144" t="str">
        <f t="shared" si="1"/>
        <v>fixom~2030</v>
      </c>
      <c r="H27" s="144" t="str">
        <f t="shared" si="1"/>
        <v>fixom~2050</v>
      </c>
      <c r="I27" s="144" t="str">
        <f t="shared" si="1"/>
        <v>input~GASNGA~2015</v>
      </c>
      <c r="J27" s="144" t="s">
        <v>146</v>
      </c>
      <c r="K27" s="144" t="str">
        <f t="shared" si="1"/>
        <v>input~GASNGA~2030</v>
      </c>
      <c r="L27" s="144" t="str">
        <f t="shared" si="1"/>
        <v>efficiency~2030</v>
      </c>
      <c r="M27" s="144" t="str">
        <f t="shared" si="1"/>
        <v>input~GASNGA~2050</v>
      </c>
      <c r="N27" s="144" t="str">
        <f t="shared" si="1"/>
        <v>efficiency~2050</v>
      </c>
      <c r="O27" s="144" t="s">
        <v>1</v>
      </c>
      <c r="P27" s="144" t="s">
        <v>58</v>
      </c>
      <c r="Q27" s="144" t="s">
        <v>142</v>
      </c>
      <c r="T27" s="144" t="s">
        <v>6</v>
      </c>
      <c r="U27" s="144" t="s">
        <v>1</v>
      </c>
      <c r="V27" s="144" t="s">
        <v>7</v>
      </c>
      <c r="W27" s="144" t="s">
        <v>53</v>
      </c>
      <c r="X27" s="144" t="s">
        <v>52</v>
      </c>
      <c r="Y27" s="144" t="s">
        <v>11</v>
      </c>
      <c r="Z27" s="144" t="s">
        <v>93</v>
      </c>
    </row>
    <row r="28" spans="1:26">
      <c r="A28" t="s">
        <v>35</v>
      </c>
      <c r="B28" t="s">
        <v>15</v>
      </c>
      <c r="C28" s="145">
        <f>C8</f>
        <v>1609.9999999999998</v>
      </c>
      <c r="D28" s="145">
        <f>D8</f>
        <v>740</v>
      </c>
      <c r="E28" s="146">
        <v>450</v>
      </c>
      <c r="F28" s="145">
        <f>F8</f>
        <v>49.000000000000007</v>
      </c>
      <c r="G28" s="145">
        <f>G8</f>
        <v>15</v>
      </c>
      <c r="H28" s="145">
        <f>H8</f>
        <v>10</v>
      </c>
      <c r="I28" s="4"/>
      <c r="J28" s="4">
        <f>1/J8</f>
        <v>0.71942446043165476</v>
      </c>
      <c r="K28" s="4"/>
      <c r="L28" s="4">
        <f>1/L8</f>
        <v>0.84033613445378152</v>
      </c>
      <c r="M28" s="4"/>
      <c r="N28" s="4">
        <f>1/N8</f>
        <v>0.85470085470085477</v>
      </c>
      <c r="O28" t="s">
        <v>144</v>
      </c>
      <c r="P28">
        <v>25</v>
      </c>
      <c r="Q28">
        <v>8.76</v>
      </c>
      <c r="T28" t="str">
        <f t="shared" ref="T28:T29" si="2">IF(O28="","*","PRE")</f>
        <v>PRE</v>
      </c>
      <c r="U28" t="str">
        <f t="shared" ref="U28:U29" si="3">O28</f>
        <v>H2prd_Elc_PEM</v>
      </c>
      <c r="V28" t="str">
        <f>O8</f>
        <v>Hydrogen from low temperature water electrolysis PEM centralised - Large scale  (per 1 kW or 1 MWh H2 HHV)</v>
      </c>
      <c r="W28" t="s">
        <v>10</v>
      </c>
      <c r="X28" t="s">
        <v>21</v>
      </c>
      <c r="Y28" t="s">
        <v>14</v>
      </c>
      <c r="Z28" t="s">
        <v>143</v>
      </c>
    </row>
    <row r="29" spans="1:26">
      <c r="A29" t="s">
        <v>35</v>
      </c>
      <c r="B29" t="s">
        <v>15</v>
      </c>
      <c r="C29" s="145">
        <f>C10</f>
        <v>1265</v>
      </c>
      <c r="D29" s="145">
        <f>D10</f>
        <v>600</v>
      </c>
      <c r="E29" s="146">
        <v>350</v>
      </c>
      <c r="F29" s="145">
        <f>F10</f>
        <v>28</v>
      </c>
      <c r="G29" s="145">
        <f>G10</f>
        <v>14</v>
      </c>
      <c r="H29" s="145">
        <f>H10</f>
        <v>9</v>
      </c>
      <c r="I29" s="4"/>
      <c r="J29" s="4">
        <f>1/J10</f>
        <v>0.71674311926605505</v>
      </c>
      <c r="K29" s="4"/>
      <c r="L29" s="4">
        <f>1/L10</f>
        <v>0.78864353312302837</v>
      </c>
      <c r="M29" s="4"/>
      <c r="N29" s="4">
        <f>1/N10</f>
        <v>0.84745762711864414</v>
      </c>
      <c r="O29" t="s">
        <v>145</v>
      </c>
      <c r="P29">
        <v>25</v>
      </c>
      <c r="Q29">
        <v>8.76</v>
      </c>
      <c r="T29" t="str">
        <f t="shared" si="2"/>
        <v>PRE</v>
      </c>
      <c r="U29" t="str">
        <f t="shared" si="3"/>
        <v>H2prd_Elc_ALK</v>
      </c>
      <c r="V29" t="str">
        <f>O10</f>
        <v>Hydrogen from low temperature water electrolysis - Alkaline centralised, large scale  (per 1 kW or 1 MWh H2 HHV)</v>
      </c>
      <c r="W29" t="s">
        <v>10</v>
      </c>
      <c r="X29" t="s">
        <v>21</v>
      </c>
      <c r="Y29" t="s">
        <v>14</v>
      </c>
      <c r="Z29" t="s">
        <v>143</v>
      </c>
    </row>
  </sheetData>
  <mergeCells count="4">
    <mergeCell ref="C1:E1"/>
    <mergeCell ref="F1:H1"/>
    <mergeCell ref="I1:N1"/>
    <mergeCell ref="O1:O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8E7EB-BB14-41A7-B58C-287E1C06FDDE}">
  <dimension ref="B9:BD34"/>
  <sheetViews>
    <sheetView workbookViewId="0"/>
  </sheetViews>
  <sheetFormatPr defaultRowHeight="14.25"/>
  <sheetData>
    <row r="9" spans="2:56">
      <c r="B9" t="s">
        <v>163</v>
      </c>
      <c r="J9" t="s">
        <v>222</v>
      </c>
      <c r="O9" t="s">
        <v>163</v>
      </c>
      <c r="X9" t="s">
        <v>222</v>
      </c>
      <c r="AD9" t="s">
        <v>163</v>
      </c>
      <c r="AL9" t="s">
        <v>222</v>
      </c>
      <c r="AR9" t="s">
        <v>163</v>
      </c>
      <c r="AZ9" t="s">
        <v>222</v>
      </c>
    </row>
    <row r="10" spans="2:56">
      <c r="B10" t="s">
        <v>164</v>
      </c>
      <c r="C10" t="s">
        <v>165</v>
      </c>
      <c r="D10" t="s">
        <v>166</v>
      </c>
      <c r="E10" t="s">
        <v>167</v>
      </c>
      <c r="F10" t="s">
        <v>168</v>
      </c>
      <c r="G10" t="s">
        <v>169</v>
      </c>
      <c r="H10" t="s">
        <v>170</v>
      </c>
      <c r="J10" t="s">
        <v>165</v>
      </c>
      <c r="K10" t="s">
        <v>223</v>
      </c>
      <c r="L10" t="s">
        <v>224</v>
      </c>
      <c r="M10" t="s">
        <v>225</v>
      </c>
      <c r="O10" t="s">
        <v>164</v>
      </c>
      <c r="P10" t="s">
        <v>165</v>
      </c>
      <c r="Q10" t="s">
        <v>166</v>
      </c>
      <c r="R10" t="s">
        <v>167</v>
      </c>
      <c r="S10" t="s">
        <v>168</v>
      </c>
      <c r="T10" t="s">
        <v>250</v>
      </c>
      <c r="U10" t="s">
        <v>169</v>
      </c>
      <c r="V10" t="s">
        <v>170</v>
      </c>
      <c r="X10" t="s">
        <v>165</v>
      </c>
      <c r="Y10" t="s">
        <v>302</v>
      </c>
      <c r="Z10" t="s">
        <v>223</v>
      </c>
      <c r="AA10" t="s">
        <v>146</v>
      </c>
      <c r="AB10" t="s">
        <v>303</v>
      </c>
      <c r="AD10" t="s">
        <v>164</v>
      </c>
      <c r="AE10" t="s">
        <v>165</v>
      </c>
      <c r="AF10" t="s">
        <v>166</v>
      </c>
      <c r="AG10" t="s">
        <v>167</v>
      </c>
      <c r="AH10" t="s">
        <v>168</v>
      </c>
      <c r="AI10" t="s">
        <v>169</v>
      </c>
      <c r="AJ10" t="s">
        <v>170</v>
      </c>
      <c r="AL10" t="s">
        <v>165</v>
      </c>
      <c r="AM10" t="s">
        <v>302</v>
      </c>
      <c r="AN10" t="s">
        <v>223</v>
      </c>
      <c r="AO10" t="s">
        <v>146</v>
      </c>
      <c r="AP10" t="s">
        <v>303</v>
      </c>
      <c r="AR10" t="s">
        <v>164</v>
      </c>
      <c r="AS10" t="s">
        <v>165</v>
      </c>
      <c r="AT10" t="s">
        <v>166</v>
      </c>
      <c r="AU10" t="s">
        <v>167</v>
      </c>
      <c r="AV10" t="s">
        <v>168</v>
      </c>
      <c r="AW10" t="s">
        <v>169</v>
      </c>
      <c r="AX10" t="s">
        <v>170</v>
      </c>
      <c r="AZ10" t="s">
        <v>165</v>
      </c>
      <c r="BA10" t="s">
        <v>302</v>
      </c>
      <c r="BB10" t="s">
        <v>223</v>
      </c>
      <c r="BC10" t="s">
        <v>146</v>
      </c>
      <c r="BD10" t="s">
        <v>303</v>
      </c>
    </row>
    <row r="11" spans="2:56">
      <c r="B11" t="s">
        <v>171</v>
      </c>
      <c r="C11" t="s">
        <v>172</v>
      </c>
      <c r="D11" t="s">
        <v>173</v>
      </c>
      <c r="E11" t="s">
        <v>10</v>
      </c>
      <c r="F11" t="s">
        <v>21</v>
      </c>
      <c r="G11" t="s">
        <v>174</v>
      </c>
      <c r="H11" t="s">
        <v>175</v>
      </c>
      <c r="J11" t="s">
        <v>172</v>
      </c>
      <c r="K11" t="s">
        <v>226</v>
      </c>
      <c r="L11">
        <v>4.8756887454995406</v>
      </c>
      <c r="M11">
        <v>0.1756225545149005</v>
      </c>
      <c r="O11" t="s">
        <v>251</v>
      </c>
      <c r="P11" t="s">
        <v>252</v>
      </c>
      <c r="Q11" t="s">
        <v>253</v>
      </c>
      <c r="R11" t="s">
        <v>10</v>
      </c>
      <c r="S11" t="s">
        <v>21</v>
      </c>
      <c r="T11" t="s">
        <v>254</v>
      </c>
      <c r="U11" t="s">
        <v>255</v>
      </c>
      <c r="V11" t="s">
        <v>175</v>
      </c>
      <c r="X11" t="s">
        <v>252</v>
      </c>
      <c r="Y11" t="s">
        <v>232</v>
      </c>
      <c r="Z11" t="s">
        <v>304</v>
      </c>
      <c r="AA11">
        <v>0.99578767700265725</v>
      </c>
      <c r="AB11">
        <v>77.225921617950405</v>
      </c>
      <c r="AD11" t="s">
        <v>251</v>
      </c>
      <c r="AE11" t="s">
        <v>322</v>
      </c>
      <c r="AF11" t="s">
        <v>323</v>
      </c>
      <c r="AG11" t="s">
        <v>10</v>
      </c>
      <c r="AH11" t="s">
        <v>21</v>
      </c>
      <c r="AI11" t="s">
        <v>255</v>
      </c>
      <c r="AJ11" t="s">
        <v>175</v>
      </c>
      <c r="AL11" t="s">
        <v>322</v>
      </c>
      <c r="AM11" t="s">
        <v>360</v>
      </c>
      <c r="AN11" t="s">
        <v>313</v>
      </c>
      <c r="AO11">
        <v>0.99434573613426058</v>
      </c>
      <c r="AP11">
        <v>103.6615042052228</v>
      </c>
      <c r="AR11" t="s">
        <v>251</v>
      </c>
      <c r="AS11" t="s">
        <v>384</v>
      </c>
      <c r="AT11" t="s">
        <v>385</v>
      </c>
      <c r="AU11" t="s">
        <v>10</v>
      </c>
      <c r="AV11" t="s">
        <v>21</v>
      </c>
      <c r="AW11" t="s">
        <v>255</v>
      </c>
      <c r="AX11" t="s">
        <v>175</v>
      </c>
      <c r="AZ11" t="s">
        <v>384</v>
      </c>
      <c r="BA11" t="s">
        <v>422</v>
      </c>
      <c r="BB11" t="s">
        <v>374</v>
      </c>
      <c r="BC11">
        <v>0.98604752400777451</v>
      </c>
      <c r="BD11">
        <v>255.7953931908016</v>
      </c>
    </row>
    <row r="12" spans="2:56">
      <c r="B12" t="s">
        <v>171</v>
      </c>
      <c r="C12" t="s">
        <v>176</v>
      </c>
      <c r="D12" t="s">
        <v>177</v>
      </c>
      <c r="E12" t="s">
        <v>10</v>
      </c>
      <c r="F12" t="s">
        <v>21</v>
      </c>
      <c r="G12" t="s">
        <v>174</v>
      </c>
      <c r="H12" t="s">
        <v>175</v>
      </c>
      <c r="J12" t="s">
        <v>176</v>
      </c>
      <c r="K12" t="s">
        <v>227</v>
      </c>
      <c r="L12">
        <v>24.363080093927088</v>
      </c>
      <c r="M12">
        <v>0.17439201708463409</v>
      </c>
      <c r="O12" t="s">
        <v>251</v>
      </c>
      <c r="P12" t="s">
        <v>256</v>
      </c>
      <c r="Q12" t="s">
        <v>257</v>
      </c>
      <c r="R12" t="s">
        <v>10</v>
      </c>
      <c r="S12" t="s">
        <v>21</v>
      </c>
      <c r="T12" t="s">
        <v>254</v>
      </c>
      <c r="U12" t="s">
        <v>255</v>
      </c>
      <c r="V12" t="s">
        <v>175</v>
      </c>
      <c r="X12" t="s">
        <v>256</v>
      </c>
      <c r="Y12" t="s">
        <v>233</v>
      </c>
      <c r="Z12" t="s">
        <v>305</v>
      </c>
      <c r="AA12">
        <v>0.98831527246075113</v>
      </c>
      <c r="AB12">
        <v>214.22000488623038</v>
      </c>
      <c r="AD12" t="s">
        <v>251</v>
      </c>
      <c r="AE12" t="s">
        <v>324</v>
      </c>
      <c r="AF12" t="s">
        <v>325</v>
      </c>
      <c r="AG12" t="s">
        <v>10</v>
      </c>
      <c r="AH12" t="s">
        <v>21</v>
      </c>
      <c r="AI12" t="s">
        <v>255</v>
      </c>
      <c r="AJ12" t="s">
        <v>175</v>
      </c>
      <c r="AL12" t="s">
        <v>324</v>
      </c>
      <c r="AM12" t="s">
        <v>361</v>
      </c>
      <c r="AN12" t="s">
        <v>319</v>
      </c>
      <c r="AO12">
        <v>0.99569846360282876</v>
      </c>
      <c r="AP12">
        <v>78.861500614806289</v>
      </c>
      <c r="AR12" t="s">
        <v>251</v>
      </c>
      <c r="AS12" t="s">
        <v>386</v>
      </c>
      <c r="AT12" t="s">
        <v>387</v>
      </c>
      <c r="AU12" t="s">
        <v>10</v>
      </c>
      <c r="AV12" t="s">
        <v>21</v>
      </c>
      <c r="AW12" t="s">
        <v>255</v>
      </c>
      <c r="AX12" t="s">
        <v>175</v>
      </c>
      <c r="AZ12" t="s">
        <v>386</v>
      </c>
      <c r="BA12" t="s">
        <v>423</v>
      </c>
      <c r="BB12" t="s">
        <v>310</v>
      </c>
      <c r="BC12">
        <v>0.99255087362635097</v>
      </c>
      <c r="BD12">
        <v>136.56731685023306</v>
      </c>
    </row>
    <row r="13" spans="2:56">
      <c r="B13" t="s">
        <v>171</v>
      </c>
      <c r="C13" t="s">
        <v>178</v>
      </c>
      <c r="D13" t="s">
        <v>179</v>
      </c>
      <c r="E13" t="s">
        <v>10</v>
      </c>
      <c r="F13" t="s">
        <v>21</v>
      </c>
      <c r="G13" t="s">
        <v>174</v>
      </c>
      <c r="H13" t="s">
        <v>175</v>
      </c>
      <c r="J13" t="s">
        <v>178</v>
      </c>
      <c r="K13" t="s">
        <v>228</v>
      </c>
      <c r="L13">
        <v>0.11523048421685045</v>
      </c>
      <c r="M13">
        <v>0.1996650099318526</v>
      </c>
      <c r="O13" t="s">
        <v>251</v>
      </c>
      <c r="P13" t="s">
        <v>258</v>
      </c>
      <c r="Q13" t="s">
        <v>259</v>
      </c>
      <c r="R13" t="s">
        <v>10</v>
      </c>
      <c r="S13" t="s">
        <v>21</v>
      </c>
      <c r="T13" t="s">
        <v>254</v>
      </c>
      <c r="U13" t="s">
        <v>255</v>
      </c>
      <c r="V13" t="s">
        <v>175</v>
      </c>
      <c r="X13" t="s">
        <v>258</v>
      </c>
      <c r="Y13" t="s">
        <v>231</v>
      </c>
      <c r="Z13" t="s">
        <v>306</v>
      </c>
      <c r="AA13">
        <v>0.99581499086659175</v>
      </c>
      <c r="AB13">
        <v>76.725167445817675</v>
      </c>
      <c r="AD13" t="s">
        <v>251</v>
      </c>
      <c r="AE13" t="s">
        <v>326</v>
      </c>
      <c r="AF13" t="s">
        <v>327</v>
      </c>
      <c r="AG13" t="s">
        <v>10</v>
      </c>
      <c r="AH13" t="s">
        <v>21</v>
      </c>
      <c r="AI13" t="s">
        <v>255</v>
      </c>
      <c r="AJ13" t="s">
        <v>175</v>
      </c>
      <c r="AL13" t="s">
        <v>326</v>
      </c>
      <c r="AM13" t="s">
        <v>362</v>
      </c>
      <c r="AN13" t="s">
        <v>316</v>
      </c>
      <c r="AO13">
        <v>0.99418326051727468</v>
      </c>
      <c r="AP13">
        <v>106.64022384996325</v>
      </c>
      <c r="AR13" t="s">
        <v>251</v>
      </c>
      <c r="AS13" t="s">
        <v>388</v>
      </c>
      <c r="AT13" t="s">
        <v>389</v>
      </c>
      <c r="AU13" t="s">
        <v>10</v>
      </c>
      <c r="AV13" t="s">
        <v>21</v>
      </c>
      <c r="AW13" t="s">
        <v>255</v>
      </c>
      <c r="AX13" t="s">
        <v>175</v>
      </c>
      <c r="AZ13" t="s">
        <v>388</v>
      </c>
      <c r="BA13" t="s">
        <v>424</v>
      </c>
      <c r="BB13" t="s">
        <v>309</v>
      </c>
      <c r="BC13">
        <v>0.98531493655634972</v>
      </c>
      <c r="BD13">
        <v>269.22616313358861</v>
      </c>
    </row>
    <row r="14" spans="2:56">
      <c r="B14" t="s">
        <v>171</v>
      </c>
      <c r="C14" t="s">
        <v>180</v>
      </c>
      <c r="D14" t="s">
        <v>181</v>
      </c>
      <c r="E14" t="s">
        <v>10</v>
      </c>
      <c r="F14" t="s">
        <v>21</v>
      </c>
      <c r="G14" t="s">
        <v>174</v>
      </c>
      <c r="H14" t="s">
        <v>175</v>
      </c>
      <c r="J14" t="s">
        <v>180</v>
      </c>
      <c r="K14" t="s">
        <v>229</v>
      </c>
      <c r="L14">
        <v>12.370290287147224</v>
      </c>
      <c r="M14">
        <v>0.18126392882323519</v>
      </c>
      <c r="O14" t="s">
        <v>251</v>
      </c>
      <c r="P14" t="s">
        <v>260</v>
      </c>
      <c r="Q14" t="s">
        <v>261</v>
      </c>
      <c r="R14" t="s">
        <v>10</v>
      </c>
      <c r="S14" t="s">
        <v>21</v>
      </c>
      <c r="T14" t="s">
        <v>254</v>
      </c>
      <c r="U14" t="s">
        <v>255</v>
      </c>
      <c r="V14" t="s">
        <v>175</v>
      </c>
      <c r="X14" t="s">
        <v>260</v>
      </c>
      <c r="Y14" t="s">
        <v>229</v>
      </c>
      <c r="Z14" t="s">
        <v>307</v>
      </c>
      <c r="AA14">
        <v>0.9909877059540344</v>
      </c>
      <c r="AB14">
        <v>165.22539084270321</v>
      </c>
      <c r="AD14" t="s">
        <v>251</v>
      </c>
      <c r="AE14" t="s">
        <v>328</v>
      </c>
      <c r="AF14" t="s">
        <v>329</v>
      </c>
      <c r="AG14" t="s">
        <v>10</v>
      </c>
      <c r="AH14" t="s">
        <v>21</v>
      </c>
      <c r="AI14" t="s">
        <v>255</v>
      </c>
      <c r="AJ14" t="s">
        <v>175</v>
      </c>
      <c r="AL14" t="s">
        <v>328</v>
      </c>
      <c r="AM14" t="s">
        <v>363</v>
      </c>
      <c r="AN14" t="s">
        <v>316</v>
      </c>
      <c r="AO14">
        <v>0.98892100416345008</v>
      </c>
      <c r="AP14">
        <v>203.11492367008205</v>
      </c>
      <c r="AR14" t="s">
        <v>251</v>
      </c>
      <c r="AS14" t="s">
        <v>390</v>
      </c>
      <c r="AT14" t="s">
        <v>391</v>
      </c>
      <c r="AU14" t="s">
        <v>10</v>
      </c>
      <c r="AV14" t="s">
        <v>21</v>
      </c>
      <c r="AW14" t="s">
        <v>255</v>
      </c>
      <c r="AX14" t="s">
        <v>175</v>
      </c>
      <c r="AZ14" t="s">
        <v>390</v>
      </c>
      <c r="BA14" t="s">
        <v>425</v>
      </c>
      <c r="BB14" t="s">
        <v>320</v>
      </c>
      <c r="BC14">
        <v>0.9871643695249851</v>
      </c>
      <c r="BD14">
        <v>235.31989204193999</v>
      </c>
    </row>
    <row r="15" spans="2:56">
      <c r="B15" t="s">
        <v>171</v>
      </c>
      <c r="C15" t="s">
        <v>182</v>
      </c>
      <c r="D15" t="s">
        <v>183</v>
      </c>
      <c r="E15" t="s">
        <v>10</v>
      </c>
      <c r="F15" t="s">
        <v>21</v>
      </c>
      <c r="G15" t="s">
        <v>174</v>
      </c>
      <c r="H15" t="s">
        <v>175</v>
      </c>
      <c r="J15" t="s">
        <v>182</v>
      </c>
      <c r="K15" t="s">
        <v>230</v>
      </c>
      <c r="L15">
        <v>9.4040580871581625E-2</v>
      </c>
      <c r="M15">
        <v>0.19212286855127089</v>
      </c>
      <c r="O15" t="s">
        <v>251</v>
      </c>
      <c r="P15" t="s">
        <v>262</v>
      </c>
      <c r="Q15" t="s">
        <v>263</v>
      </c>
      <c r="R15" t="s">
        <v>10</v>
      </c>
      <c r="S15" t="s">
        <v>21</v>
      </c>
      <c r="T15" t="s">
        <v>254</v>
      </c>
      <c r="U15" t="s">
        <v>255</v>
      </c>
      <c r="V15" t="s">
        <v>175</v>
      </c>
      <c r="X15" t="s">
        <v>262</v>
      </c>
      <c r="Y15" t="s">
        <v>237</v>
      </c>
      <c r="Z15" t="s">
        <v>308</v>
      </c>
      <c r="AA15">
        <v>0.99469106859785295</v>
      </c>
      <c r="AB15">
        <v>97.330409039363303</v>
      </c>
      <c r="AD15" t="s">
        <v>251</v>
      </c>
      <c r="AE15" t="s">
        <v>330</v>
      </c>
      <c r="AF15" t="s">
        <v>331</v>
      </c>
      <c r="AG15" t="s">
        <v>10</v>
      </c>
      <c r="AH15" t="s">
        <v>21</v>
      </c>
      <c r="AI15" t="s">
        <v>255</v>
      </c>
      <c r="AJ15" t="s">
        <v>175</v>
      </c>
      <c r="AL15" t="s">
        <v>330</v>
      </c>
      <c r="AM15" t="s">
        <v>364</v>
      </c>
      <c r="AN15" t="s">
        <v>310</v>
      </c>
      <c r="AO15">
        <v>0.99544376374689236</v>
      </c>
      <c r="AP15">
        <v>83.53099797364041</v>
      </c>
      <c r="AR15" t="s">
        <v>251</v>
      </c>
      <c r="AS15" t="s">
        <v>392</v>
      </c>
      <c r="AT15" t="s">
        <v>393</v>
      </c>
      <c r="AU15" t="s">
        <v>10</v>
      </c>
      <c r="AV15" t="s">
        <v>21</v>
      </c>
      <c r="AW15" t="s">
        <v>255</v>
      </c>
      <c r="AX15" t="s">
        <v>175</v>
      </c>
      <c r="AZ15" t="s">
        <v>392</v>
      </c>
      <c r="BA15" t="s">
        <v>426</v>
      </c>
      <c r="BB15" t="s">
        <v>318</v>
      </c>
      <c r="BC15">
        <v>0.98946486302362358</v>
      </c>
      <c r="BD15">
        <v>193.14417790023398</v>
      </c>
    </row>
    <row r="16" spans="2:56">
      <c r="B16" t="s">
        <v>171</v>
      </c>
      <c r="C16" t="s">
        <v>184</v>
      </c>
      <c r="D16" t="s">
        <v>185</v>
      </c>
      <c r="E16" t="s">
        <v>10</v>
      </c>
      <c r="F16" t="s">
        <v>21</v>
      </c>
      <c r="G16" t="s">
        <v>174</v>
      </c>
      <c r="H16" t="s">
        <v>175</v>
      </c>
      <c r="J16" t="s">
        <v>184</v>
      </c>
      <c r="K16" t="s">
        <v>231</v>
      </c>
      <c r="L16">
        <v>5.8282611827233533</v>
      </c>
      <c r="M16">
        <v>0.17165669241936479</v>
      </c>
      <c r="O16" t="s">
        <v>251</v>
      </c>
      <c r="P16" t="s">
        <v>264</v>
      </c>
      <c r="Q16" t="s">
        <v>265</v>
      </c>
      <c r="R16" t="s">
        <v>10</v>
      </c>
      <c r="S16" t="s">
        <v>21</v>
      </c>
      <c r="T16" t="s">
        <v>254</v>
      </c>
      <c r="U16" t="s">
        <v>255</v>
      </c>
      <c r="V16" t="s">
        <v>175</v>
      </c>
      <c r="X16" t="s">
        <v>264</v>
      </c>
      <c r="Y16" t="s">
        <v>236</v>
      </c>
      <c r="Z16" t="s">
        <v>309</v>
      </c>
      <c r="AA16">
        <v>0.9906484453165656</v>
      </c>
      <c r="AB16">
        <v>171.44516919629839</v>
      </c>
      <c r="AD16" t="s">
        <v>251</v>
      </c>
      <c r="AE16" t="s">
        <v>332</v>
      </c>
      <c r="AF16" t="s">
        <v>333</v>
      </c>
      <c r="AG16" t="s">
        <v>10</v>
      </c>
      <c r="AH16" t="s">
        <v>21</v>
      </c>
      <c r="AI16" t="s">
        <v>255</v>
      </c>
      <c r="AJ16" t="s">
        <v>175</v>
      </c>
      <c r="AL16" t="s">
        <v>332</v>
      </c>
      <c r="AM16" t="s">
        <v>365</v>
      </c>
      <c r="AN16" t="s">
        <v>307</v>
      </c>
      <c r="AO16">
        <v>0.99397635668510442</v>
      </c>
      <c r="AP16">
        <v>110.43346077308482</v>
      </c>
      <c r="AR16" t="s">
        <v>251</v>
      </c>
      <c r="AS16" t="s">
        <v>394</v>
      </c>
      <c r="AT16" t="s">
        <v>395</v>
      </c>
      <c r="AU16" t="s">
        <v>10</v>
      </c>
      <c r="AV16" t="s">
        <v>21</v>
      </c>
      <c r="AW16" t="s">
        <v>255</v>
      </c>
      <c r="AX16" t="s">
        <v>175</v>
      </c>
      <c r="AZ16" t="s">
        <v>394</v>
      </c>
      <c r="BA16" t="s">
        <v>427</v>
      </c>
      <c r="BB16" t="s">
        <v>313</v>
      </c>
      <c r="BC16">
        <v>0.99144028670108497</v>
      </c>
      <c r="BD16">
        <v>156.9280771467763</v>
      </c>
    </row>
    <row r="17" spans="2:56">
      <c r="B17" t="s">
        <v>171</v>
      </c>
      <c r="C17" t="s">
        <v>186</v>
      </c>
      <c r="D17" t="s">
        <v>187</v>
      </c>
      <c r="E17" t="s">
        <v>10</v>
      </c>
      <c r="F17" t="s">
        <v>21</v>
      </c>
      <c r="G17" t="s">
        <v>174</v>
      </c>
      <c r="H17" t="s">
        <v>175</v>
      </c>
      <c r="J17" t="s">
        <v>186</v>
      </c>
      <c r="K17" t="s">
        <v>232</v>
      </c>
      <c r="L17">
        <v>44.98318285576746</v>
      </c>
      <c r="M17">
        <v>0.17485655135029499</v>
      </c>
      <c r="O17" t="s">
        <v>251</v>
      </c>
      <c r="P17" t="s">
        <v>266</v>
      </c>
      <c r="Q17" t="s">
        <v>267</v>
      </c>
      <c r="R17" t="s">
        <v>10</v>
      </c>
      <c r="S17" t="s">
        <v>21</v>
      </c>
      <c r="T17" t="s">
        <v>254</v>
      </c>
      <c r="U17" t="s">
        <v>255</v>
      </c>
      <c r="V17" t="s">
        <v>175</v>
      </c>
      <c r="X17" t="s">
        <v>266</v>
      </c>
      <c r="Y17" t="s">
        <v>228</v>
      </c>
      <c r="Z17" t="s">
        <v>307</v>
      </c>
      <c r="AA17">
        <v>0.98954239986864923</v>
      </c>
      <c r="AB17">
        <v>191.7226690747643</v>
      </c>
      <c r="AD17" t="s">
        <v>251</v>
      </c>
      <c r="AE17" t="s">
        <v>334</v>
      </c>
      <c r="AF17" t="s">
        <v>335</v>
      </c>
      <c r="AG17" t="s">
        <v>10</v>
      </c>
      <c r="AH17" t="s">
        <v>21</v>
      </c>
      <c r="AI17" t="s">
        <v>255</v>
      </c>
      <c r="AJ17" t="s">
        <v>175</v>
      </c>
      <c r="AL17" t="s">
        <v>334</v>
      </c>
      <c r="AM17" t="s">
        <v>366</v>
      </c>
      <c r="AN17" t="s">
        <v>367</v>
      </c>
      <c r="AO17">
        <v>0.98683168951818423</v>
      </c>
      <c r="AP17">
        <v>241.41902549995638</v>
      </c>
      <c r="AR17" t="s">
        <v>251</v>
      </c>
      <c r="AS17" t="s">
        <v>396</v>
      </c>
      <c r="AT17" t="s">
        <v>397</v>
      </c>
      <c r="AU17" t="s">
        <v>10</v>
      </c>
      <c r="AV17" t="s">
        <v>21</v>
      </c>
      <c r="AW17" t="s">
        <v>255</v>
      </c>
      <c r="AX17" t="s">
        <v>175</v>
      </c>
      <c r="AZ17" t="s">
        <v>396</v>
      </c>
      <c r="BA17" t="s">
        <v>428</v>
      </c>
      <c r="BB17" t="s">
        <v>429</v>
      </c>
      <c r="BC17">
        <v>0.98922418263827849</v>
      </c>
      <c r="BD17">
        <v>197.55665163156166</v>
      </c>
    </row>
    <row r="18" spans="2:56">
      <c r="B18" t="s">
        <v>171</v>
      </c>
      <c r="C18" t="s">
        <v>188</v>
      </c>
      <c r="D18" t="s">
        <v>189</v>
      </c>
      <c r="E18" t="s">
        <v>10</v>
      </c>
      <c r="F18" t="s">
        <v>21</v>
      </c>
      <c r="G18" t="s">
        <v>174</v>
      </c>
      <c r="H18" t="s">
        <v>175</v>
      </c>
      <c r="J18" t="s">
        <v>188</v>
      </c>
      <c r="K18" t="s">
        <v>233</v>
      </c>
      <c r="L18">
        <v>2.7793460957217331</v>
      </c>
      <c r="M18">
        <v>0.20444896422767969</v>
      </c>
      <c r="O18" t="s">
        <v>251</v>
      </c>
      <c r="P18" t="s">
        <v>268</v>
      </c>
      <c r="Q18" t="s">
        <v>269</v>
      </c>
      <c r="R18" t="s">
        <v>10</v>
      </c>
      <c r="S18" t="s">
        <v>21</v>
      </c>
      <c r="T18" t="s">
        <v>254</v>
      </c>
      <c r="U18" t="s">
        <v>255</v>
      </c>
      <c r="V18" t="s">
        <v>175</v>
      </c>
      <c r="X18" t="s">
        <v>268</v>
      </c>
      <c r="Y18" t="s">
        <v>235</v>
      </c>
      <c r="Z18" t="s">
        <v>310</v>
      </c>
      <c r="AA18">
        <v>0.9959491469044518</v>
      </c>
      <c r="AB18">
        <v>74.265640085050762</v>
      </c>
      <c r="AD18" t="s">
        <v>251</v>
      </c>
      <c r="AE18" t="s">
        <v>336</v>
      </c>
      <c r="AF18" t="s">
        <v>337</v>
      </c>
      <c r="AG18" t="s">
        <v>10</v>
      </c>
      <c r="AH18" t="s">
        <v>21</v>
      </c>
      <c r="AI18" t="s">
        <v>255</v>
      </c>
      <c r="AJ18" t="s">
        <v>175</v>
      </c>
      <c r="AL18" t="s">
        <v>336</v>
      </c>
      <c r="AM18" t="s">
        <v>368</v>
      </c>
      <c r="AN18" t="s">
        <v>321</v>
      </c>
      <c r="AO18">
        <v>0.9914370231308075</v>
      </c>
      <c r="AP18">
        <v>156.98790926852976</v>
      </c>
      <c r="AR18" t="s">
        <v>251</v>
      </c>
      <c r="AS18" t="s">
        <v>398</v>
      </c>
      <c r="AT18" t="s">
        <v>399</v>
      </c>
      <c r="AU18" t="s">
        <v>10</v>
      </c>
      <c r="AV18" t="s">
        <v>21</v>
      </c>
      <c r="AW18" t="s">
        <v>255</v>
      </c>
      <c r="AX18" t="s">
        <v>175</v>
      </c>
      <c r="AZ18" t="s">
        <v>398</v>
      </c>
      <c r="BA18" t="s">
        <v>430</v>
      </c>
      <c r="BB18" t="s">
        <v>308</v>
      </c>
      <c r="BC18">
        <v>0.99112342225338756</v>
      </c>
      <c r="BD18">
        <v>162.73725868789538</v>
      </c>
    </row>
    <row r="19" spans="2:56">
      <c r="B19" t="s">
        <v>171</v>
      </c>
      <c r="C19" t="s">
        <v>190</v>
      </c>
      <c r="D19" t="s">
        <v>191</v>
      </c>
      <c r="E19" t="s">
        <v>10</v>
      </c>
      <c r="F19" t="s">
        <v>21</v>
      </c>
      <c r="G19" t="s">
        <v>174</v>
      </c>
      <c r="H19" t="s">
        <v>175</v>
      </c>
      <c r="J19" t="s">
        <v>190</v>
      </c>
      <c r="K19" t="s">
        <v>234</v>
      </c>
      <c r="L19">
        <v>6.641615412118532</v>
      </c>
      <c r="M19">
        <v>0.18991504627852859</v>
      </c>
      <c r="O19" t="s">
        <v>251</v>
      </c>
      <c r="P19" t="s">
        <v>270</v>
      </c>
      <c r="Q19" t="s">
        <v>271</v>
      </c>
      <c r="R19" t="s">
        <v>10</v>
      </c>
      <c r="S19" t="s">
        <v>21</v>
      </c>
      <c r="T19" t="s">
        <v>254</v>
      </c>
      <c r="U19" t="s">
        <v>255</v>
      </c>
      <c r="V19" t="s">
        <v>175</v>
      </c>
      <c r="X19" t="s">
        <v>270</v>
      </c>
      <c r="Y19" t="s">
        <v>249</v>
      </c>
      <c r="Z19" t="s">
        <v>311</v>
      </c>
      <c r="AA19">
        <v>0.99463383873092592</v>
      </c>
      <c r="AB19">
        <v>98.379623266358081</v>
      </c>
      <c r="AD19" t="s">
        <v>251</v>
      </c>
      <c r="AE19" t="s">
        <v>338</v>
      </c>
      <c r="AF19" t="s">
        <v>339</v>
      </c>
      <c r="AG19" t="s">
        <v>10</v>
      </c>
      <c r="AH19" t="s">
        <v>21</v>
      </c>
      <c r="AI19" t="s">
        <v>255</v>
      </c>
      <c r="AJ19" t="s">
        <v>175</v>
      </c>
      <c r="AL19" t="s">
        <v>338</v>
      </c>
      <c r="AM19" t="s">
        <v>369</v>
      </c>
      <c r="AN19" t="s">
        <v>312</v>
      </c>
      <c r="AO19">
        <v>0.99152474814089264</v>
      </c>
      <c r="AP19">
        <v>155.37961741696745</v>
      </c>
      <c r="AR19" t="s">
        <v>251</v>
      </c>
      <c r="AS19" t="s">
        <v>400</v>
      </c>
      <c r="AT19" t="s">
        <v>401</v>
      </c>
      <c r="AU19" t="s">
        <v>10</v>
      </c>
      <c r="AV19" t="s">
        <v>21</v>
      </c>
      <c r="AW19" t="s">
        <v>255</v>
      </c>
      <c r="AX19" t="s">
        <v>175</v>
      </c>
      <c r="AZ19" t="s">
        <v>400</v>
      </c>
      <c r="BA19" t="s">
        <v>431</v>
      </c>
      <c r="BB19" t="s">
        <v>307</v>
      </c>
      <c r="BC19">
        <v>0.99121667726062745</v>
      </c>
      <c r="BD19">
        <v>161.02758355516244</v>
      </c>
    </row>
    <row r="20" spans="2:56">
      <c r="B20" t="s">
        <v>171</v>
      </c>
      <c r="C20" t="s">
        <v>192</v>
      </c>
      <c r="D20" t="s">
        <v>193</v>
      </c>
      <c r="E20" t="s">
        <v>10</v>
      </c>
      <c r="F20" t="s">
        <v>21</v>
      </c>
      <c r="G20" t="s">
        <v>174</v>
      </c>
      <c r="H20" t="s">
        <v>175</v>
      </c>
      <c r="J20" t="s">
        <v>192</v>
      </c>
      <c r="K20" t="s">
        <v>235</v>
      </c>
      <c r="L20">
        <v>10.705533259062522</v>
      </c>
      <c r="M20">
        <v>0.2158318597825894</v>
      </c>
      <c r="O20" t="s">
        <v>251</v>
      </c>
      <c r="P20" t="s">
        <v>272</v>
      </c>
      <c r="Q20" t="s">
        <v>273</v>
      </c>
      <c r="R20" t="s">
        <v>10</v>
      </c>
      <c r="S20" t="s">
        <v>21</v>
      </c>
      <c r="T20" t="s">
        <v>254</v>
      </c>
      <c r="U20" t="s">
        <v>255</v>
      </c>
      <c r="V20" t="s">
        <v>175</v>
      </c>
      <c r="X20" t="s">
        <v>272</v>
      </c>
      <c r="Y20" t="s">
        <v>243</v>
      </c>
      <c r="Z20" t="s">
        <v>312</v>
      </c>
      <c r="AA20">
        <v>0.99096045297563695</v>
      </c>
      <c r="AB20">
        <v>165.72502877998866</v>
      </c>
      <c r="AD20" t="s">
        <v>251</v>
      </c>
      <c r="AE20" t="s">
        <v>340</v>
      </c>
      <c r="AF20" t="s">
        <v>341</v>
      </c>
      <c r="AG20" t="s">
        <v>10</v>
      </c>
      <c r="AH20" t="s">
        <v>21</v>
      </c>
      <c r="AI20" t="s">
        <v>255</v>
      </c>
      <c r="AJ20" t="s">
        <v>175</v>
      </c>
      <c r="AL20" t="s">
        <v>340</v>
      </c>
      <c r="AM20" t="s">
        <v>370</v>
      </c>
      <c r="AN20" t="s">
        <v>319</v>
      </c>
      <c r="AO20">
        <v>0.9960929385350632</v>
      </c>
      <c r="AP20">
        <v>71.629460190507217</v>
      </c>
      <c r="AR20" t="s">
        <v>251</v>
      </c>
      <c r="AS20" t="s">
        <v>402</v>
      </c>
      <c r="AT20" t="s">
        <v>403</v>
      </c>
      <c r="AU20" t="s">
        <v>10</v>
      </c>
      <c r="AV20" t="s">
        <v>21</v>
      </c>
      <c r="AW20" t="s">
        <v>255</v>
      </c>
      <c r="AX20" t="s">
        <v>175</v>
      </c>
      <c r="AZ20" t="s">
        <v>402</v>
      </c>
      <c r="BA20" t="s">
        <v>432</v>
      </c>
      <c r="BB20" t="s">
        <v>310</v>
      </c>
      <c r="BC20">
        <v>0.99210159337136916</v>
      </c>
      <c r="BD20">
        <v>144.80412152489885</v>
      </c>
    </row>
    <row r="21" spans="2:56">
      <c r="B21" t="s">
        <v>171</v>
      </c>
      <c r="C21" t="s">
        <v>194</v>
      </c>
      <c r="D21" t="s">
        <v>195</v>
      </c>
      <c r="E21" t="s">
        <v>10</v>
      </c>
      <c r="F21" t="s">
        <v>21</v>
      </c>
      <c r="G21" t="s">
        <v>174</v>
      </c>
      <c r="H21" t="s">
        <v>175</v>
      </c>
      <c r="J21" t="s">
        <v>194</v>
      </c>
      <c r="K21" t="s">
        <v>236</v>
      </c>
      <c r="L21">
        <v>7.8151942553314413</v>
      </c>
      <c r="M21">
        <v>0.22224125569484449</v>
      </c>
      <c r="O21" t="s">
        <v>251</v>
      </c>
      <c r="P21" t="s">
        <v>274</v>
      </c>
      <c r="Q21" t="s">
        <v>275</v>
      </c>
      <c r="R21" t="s">
        <v>10</v>
      </c>
      <c r="S21" t="s">
        <v>21</v>
      </c>
      <c r="T21" t="s">
        <v>254</v>
      </c>
      <c r="U21" t="s">
        <v>255</v>
      </c>
      <c r="V21" t="s">
        <v>175</v>
      </c>
      <c r="X21" t="s">
        <v>274</v>
      </c>
      <c r="Y21" t="s">
        <v>238</v>
      </c>
      <c r="Z21" t="s">
        <v>313</v>
      </c>
      <c r="AA21">
        <v>0.99551974890890171</v>
      </c>
      <c r="AB21">
        <v>82.137936670135986</v>
      </c>
      <c r="AD21" t="s">
        <v>251</v>
      </c>
      <c r="AE21" t="s">
        <v>342</v>
      </c>
      <c r="AF21" t="s">
        <v>343</v>
      </c>
      <c r="AG21" t="s">
        <v>10</v>
      </c>
      <c r="AH21" t="s">
        <v>21</v>
      </c>
      <c r="AI21" t="s">
        <v>255</v>
      </c>
      <c r="AJ21" t="s">
        <v>175</v>
      </c>
      <c r="AL21" t="s">
        <v>342</v>
      </c>
      <c r="AM21" t="s">
        <v>371</v>
      </c>
      <c r="AN21" t="s">
        <v>313</v>
      </c>
      <c r="AO21">
        <v>0.99757986255493836</v>
      </c>
      <c r="AP21">
        <v>44.369186492796821</v>
      </c>
      <c r="AR21" t="s">
        <v>251</v>
      </c>
      <c r="AS21" t="s">
        <v>404</v>
      </c>
      <c r="AT21" t="s">
        <v>405</v>
      </c>
      <c r="AU21" t="s">
        <v>10</v>
      </c>
      <c r="AV21" t="s">
        <v>21</v>
      </c>
      <c r="AW21" t="s">
        <v>255</v>
      </c>
      <c r="AX21" t="s">
        <v>175</v>
      </c>
      <c r="AZ21" t="s">
        <v>404</v>
      </c>
      <c r="BA21" t="s">
        <v>433</v>
      </c>
      <c r="BB21" t="s">
        <v>305</v>
      </c>
      <c r="BC21">
        <v>0.98559663740369508</v>
      </c>
      <c r="BD21">
        <v>264.06164759892442</v>
      </c>
    </row>
    <row r="22" spans="2:56">
      <c r="B22" t="s">
        <v>171</v>
      </c>
      <c r="C22" t="s">
        <v>196</v>
      </c>
      <c r="D22" t="s">
        <v>197</v>
      </c>
      <c r="E22" t="s">
        <v>10</v>
      </c>
      <c r="F22" t="s">
        <v>21</v>
      </c>
      <c r="G22" t="s">
        <v>174</v>
      </c>
      <c r="H22" t="s">
        <v>175</v>
      </c>
      <c r="J22" t="s">
        <v>196</v>
      </c>
      <c r="K22" t="s">
        <v>237</v>
      </c>
      <c r="L22">
        <v>3.787245058440587</v>
      </c>
      <c r="M22">
        <v>0.22722132350830879</v>
      </c>
      <c r="O22" t="s">
        <v>251</v>
      </c>
      <c r="P22" t="s">
        <v>276</v>
      </c>
      <c r="Q22" t="s">
        <v>277</v>
      </c>
      <c r="R22" t="s">
        <v>10</v>
      </c>
      <c r="S22" t="s">
        <v>21</v>
      </c>
      <c r="T22" t="s">
        <v>254</v>
      </c>
      <c r="U22" t="s">
        <v>255</v>
      </c>
      <c r="V22" t="s">
        <v>175</v>
      </c>
      <c r="X22" t="s">
        <v>276</v>
      </c>
      <c r="Y22" t="s">
        <v>241</v>
      </c>
      <c r="Z22" t="s">
        <v>314</v>
      </c>
      <c r="AA22">
        <v>0.99619833594549689</v>
      </c>
      <c r="AB22">
        <v>69.697174332556941</v>
      </c>
      <c r="AD22" t="s">
        <v>251</v>
      </c>
      <c r="AE22" t="s">
        <v>344</v>
      </c>
      <c r="AF22" t="s">
        <v>345</v>
      </c>
      <c r="AG22" t="s">
        <v>10</v>
      </c>
      <c r="AH22" t="s">
        <v>21</v>
      </c>
      <c r="AI22" t="s">
        <v>255</v>
      </c>
      <c r="AJ22" t="s">
        <v>175</v>
      </c>
      <c r="AL22" t="s">
        <v>344</v>
      </c>
      <c r="AM22" t="s">
        <v>372</v>
      </c>
      <c r="AN22" t="s">
        <v>321</v>
      </c>
      <c r="AO22">
        <v>0.99102029221888321</v>
      </c>
      <c r="AP22">
        <v>164.62797598714178</v>
      </c>
      <c r="AR22" t="s">
        <v>251</v>
      </c>
      <c r="AS22" t="s">
        <v>406</v>
      </c>
      <c r="AT22" t="s">
        <v>407</v>
      </c>
      <c r="AU22" t="s">
        <v>10</v>
      </c>
      <c r="AV22" t="s">
        <v>21</v>
      </c>
      <c r="AW22" t="s">
        <v>255</v>
      </c>
      <c r="AX22" t="s">
        <v>175</v>
      </c>
      <c r="AZ22" t="s">
        <v>406</v>
      </c>
      <c r="BA22" t="s">
        <v>434</v>
      </c>
      <c r="BB22" t="s">
        <v>308</v>
      </c>
      <c r="BC22">
        <v>0.98592997668554583</v>
      </c>
      <c r="BD22">
        <v>257.95042743166061</v>
      </c>
    </row>
    <row r="23" spans="2:56">
      <c r="B23" t="s">
        <v>171</v>
      </c>
      <c r="C23" t="s">
        <v>198</v>
      </c>
      <c r="D23" t="s">
        <v>199</v>
      </c>
      <c r="E23" t="s">
        <v>10</v>
      </c>
      <c r="F23" t="s">
        <v>21</v>
      </c>
      <c r="G23" t="s">
        <v>174</v>
      </c>
      <c r="H23" t="s">
        <v>175</v>
      </c>
      <c r="J23" t="s">
        <v>198</v>
      </c>
      <c r="K23" t="s">
        <v>238</v>
      </c>
      <c r="L23">
        <v>11.035354442158566</v>
      </c>
      <c r="M23">
        <v>0.22966322614931231</v>
      </c>
      <c r="O23" t="s">
        <v>251</v>
      </c>
      <c r="P23" t="s">
        <v>278</v>
      </c>
      <c r="Q23" t="s">
        <v>279</v>
      </c>
      <c r="R23" t="s">
        <v>10</v>
      </c>
      <c r="S23" t="s">
        <v>21</v>
      </c>
      <c r="T23" t="s">
        <v>254</v>
      </c>
      <c r="U23" t="s">
        <v>255</v>
      </c>
      <c r="V23" t="s">
        <v>175</v>
      </c>
      <c r="X23" t="s">
        <v>278</v>
      </c>
      <c r="Y23" t="s">
        <v>230</v>
      </c>
      <c r="Z23" t="s">
        <v>315</v>
      </c>
      <c r="AA23">
        <v>0.9883034158301095</v>
      </c>
      <c r="AB23">
        <v>214.43737644799285</v>
      </c>
      <c r="AD23" t="s">
        <v>251</v>
      </c>
      <c r="AE23" t="s">
        <v>346</v>
      </c>
      <c r="AF23" t="s">
        <v>347</v>
      </c>
      <c r="AG23" t="s">
        <v>10</v>
      </c>
      <c r="AH23" t="s">
        <v>21</v>
      </c>
      <c r="AI23" t="s">
        <v>255</v>
      </c>
      <c r="AJ23" t="s">
        <v>175</v>
      </c>
      <c r="AL23" t="s">
        <v>346</v>
      </c>
      <c r="AM23" t="s">
        <v>373</v>
      </c>
      <c r="AN23" t="s">
        <v>374</v>
      </c>
      <c r="AO23">
        <v>0.99103381617125441</v>
      </c>
      <c r="AP23">
        <v>164.38003686033554</v>
      </c>
      <c r="AR23" t="s">
        <v>251</v>
      </c>
      <c r="AS23" t="s">
        <v>408</v>
      </c>
      <c r="AT23" t="s">
        <v>409</v>
      </c>
      <c r="AU23" t="s">
        <v>10</v>
      </c>
      <c r="AV23" t="s">
        <v>21</v>
      </c>
      <c r="AW23" t="s">
        <v>255</v>
      </c>
      <c r="AX23" t="s">
        <v>175</v>
      </c>
      <c r="AZ23" t="s">
        <v>408</v>
      </c>
      <c r="BA23" t="s">
        <v>435</v>
      </c>
      <c r="BB23" t="s">
        <v>436</v>
      </c>
      <c r="BC23">
        <v>0.9926579768883198</v>
      </c>
      <c r="BD23">
        <v>134.60375704747125</v>
      </c>
    </row>
    <row r="24" spans="2:56">
      <c r="B24" t="s">
        <v>171</v>
      </c>
      <c r="C24" t="s">
        <v>200</v>
      </c>
      <c r="D24" t="s">
        <v>201</v>
      </c>
      <c r="E24" t="s">
        <v>10</v>
      </c>
      <c r="F24" t="s">
        <v>21</v>
      </c>
      <c r="G24" t="s">
        <v>174</v>
      </c>
      <c r="H24" t="s">
        <v>175</v>
      </c>
      <c r="J24" t="s">
        <v>200</v>
      </c>
      <c r="K24" t="s">
        <v>239</v>
      </c>
      <c r="L24">
        <v>5.7113903390121514</v>
      </c>
      <c r="M24">
        <v>0.2211131353656578</v>
      </c>
      <c r="O24" t="s">
        <v>251</v>
      </c>
      <c r="P24" t="s">
        <v>280</v>
      </c>
      <c r="Q24" t="s">
        <v>281</v>
      </c>
      <c r="R24" t="s">
        <v>10</v>
      </c>
      <c r="S24" t="s">
        <v>21</v>
      </c>
      <c r="T24" t="s">
        <v>254</v>
      </c>
      <c r="U24" t="s">
        <v>255</v>
      </c>
      <c r="V24" t="s">
        <v>175</v>
      </c>
      <c r="X24" t="s">
        <v>280</v>
      </c>
      <c r="Y24" t="s">
        <v>244</v>
      </c>
      <c r="Z24" t="s">
        <v>316</v>
      </c>
      <c r="AA24">
        <v>0.9901510390044167</v>
      </c>
      <c r="AB24">
        <v>180.56428491902676</v>
      </c>
      <c r="AD24" t="s">
        <v>251</v>
      </c>
      <c r="AE24" t="s">
        <v>348</v>
      </c>
      <c r="AF24" t="s">
        <v>349</v>
      </c>
      <c r="AG24" t="s">
        <v>10</v>
      </c>
      <c r="AH24" t="s">
        <v>21</v>
      </c>
      <c r="AI24" t="s">
        <v>255</v>
      </c>
      <c r="AJ24" t="s">
        <v>175</v>
      </c>
      <c r="AL24" t="s">
        <v>348</v>
      </c>
      <c r="AM24" t="s">
        <v>375</v>
      </c>
      <c r="AN24" t="s">
        <v>376</v>
      </c>
      <c r="AO24">
        <v>0.98949472513757064</v>
      </c>
      <c r="AP24">
        <v>192.59670581120548</v>
      </c>
      <c r="AR24" t="s">
        <v>251</v>
      </c>
      <c r="AS24" t="s">
        <v>410</v>
      </c>
      <c r="AT24" t="s">
        <v>411</v>
      </c>
      <c r="AU24" t="s">
        <v>10</v>
      </c>
      <c r="AV24" t="s">
        <v>21</v>
      </c>
      <c r="AW24" t="s">
        <v>255</v>
      </c>
      <c r="AX24" t="s">
        <v>175</v>
      </c>
      <c r="AZ24" t="s">
        <v>410</v>
      </c>
      <c r="BA24" t="s">
        <v>437</v>
      </c>
      <c r="BB24" t="s">
        <v>383</v>
      </c>
      <c r="BC24">
        <v>0.99037637097828846</v>
      </c>
      <c r="BD24">
        <v>176.43319873137889</v>
      </c>
    </row>
    <row r="25" spans="2:56">
      <c r="B25" t="s">
        <v>171</v>
      </c>
      <c r="C25" t="s">
        <v>202</v>
      </c>
      <c r="D25" t="s">
        <v>203</v>
      </c>
      <c r="E25" t="s">
        <v>10</v>
      </c>
      <c r="F25" t="s">
        <v>21</v>
      </c>
      <c r="G25" t="s">
        <v>174</v>
      </c>
      <c r="H25" t="s">
        <v>175</v>
      </c>
      <c r="J25" t="s">
        <v>202</v>
      </c>
      <c r="K25" t="s">
        <v>240</v>
      </c>
      <c r="L25">
        <v>9.0662172460897033</v>
      </c>
      <c r="M25">
        <v>0.2192969725686699</v>
      </c>
      <c r="O25" t="s">
        <v>251</v>
      </c>
      <c r="P25" t="s">
        <v>282</v>
      </c>
      <c r="Q25" t="s">
        <v>283</v>
      </c>
      <c r="R25" t="s">
        <v>10</v>
      </c>
      <c r="S25" t="s">
        <v>21</v>
      </c>
      <c r="T25" t="s">
        <v>254</v>
      </c>
      <c r="U25" t="s">
        <v>255</v>
      </c>
      <c r="V25" t="s">
        <v>175</v>
      </c>
      <c r="X25" t="s">
        <v>282</v>
      </c>
      <c r="Y25" t="s">
        <v>239</v>
      </c>
      <c r="Z25" t="s">
        <v>317</v>
      </c>
      <c r="AA25">
        <v>0.98960824105727241</v>
      </c>
      <c r="AB25">
        <v>190.51558061667333</v>
      </c>
      <c r="AD25" t="s">
        <v>251</v>
      </c>
      <c r="AE25" t="s">
        <v>350</v>
      </c>
      <c r="AF25" t="s">
        <v>351</v>
      </c>
      <c r="AG25" t="s">
        <v>10</v>
      </c>
      <c r="AH25" t="s">
        <v>21</v>
      </c>
      <c r="AI25" t="s">
        <v>255</v>
      </c>
      <c r="AJ25" t="s">
        <v>175</v>
      </c>
      <c r="AL25" t="s">
        <v>350</v>
      </c>
      <c r="AM25" t="s">
        <v>377</v>
      </c>
      <c r="AN25" t="s">
        <v>314</v>
      </c>
      <c r="AO25">
        <v>0.99483230658210964</v>
      </c>
      <c r="AP25">
        <v>94.741045994655948</v>
      </c>
      <c r="AR25" t="s">
        <v>251</v>
      </c>
      <c r="AS25" t="s">
        <v>412</v>
      </c>
      <c r="AT25" t="s">
        <v>413</v>
      </c>
      <c r="AU25" t="s">
        <v>10</v>
      </c>
      <c r="AV25" t="s">
        <v>21</v>
      </c>
      <c r="AW25" t="s">
        <v>255</v>
      </c>
      <c r="AX25" t="s">
        <v>175</v>
      </c>
      <c r="AZ25" t="s">
        <v>412</v>
      </c>
      <c r="BA25" t="s">
        <v>438</v>
      </c>
      <c r="BB25" t="s">
        <v>310</v>
      </c>
      <c r="BC25">
        <v>0.99025419259986314</v>
      </c>
      <c r="BD25">
        <v>178.67313566917599</v>
      </c>
    </row>
    <row r="26" spans="2:56">
      <c r="B26" t="s">
        <v>171</v>
      </c>
      <c r="C26" t="s">
        <v>204</v>
      </c>
      <c r="D26" t="s">
        <v>205</v>
      </c>
      <c r="E26" t="s">
        <v>10</v>
      </c>
      <c r="F26" t="s">
        <v>21</v>
      </c>
      <c r="G26" t="s">
        <v>174</v>
      </c>
      <c r="H26" t="s">
        <v>175</v>
      </c>
      <c r="J26" t="s">
        <v>204</v>
      </c>
      <c r="K26" t="s">
        <v>241</v>
      </c>
      <c r="L26">
        <v>19.420870985373586</v>
      </c>
      <c r="M26">
        <v>0.21154111826453981</v>
      </c>
      <c r="O26" t="s">
        <v>251</v>
      </c>
      <c r="P26" t="s">
        <v>284</v>
      </c>
      <c r="Q26" t="s">
        <v>285</v>
      </c>
      <c r="R26" t="s">
        <v>10</v>
      </c>
      <c r="S26" t="s">
        <v>21</v>
      </c>
      <c r="T26" t="s">
        <v>254</v>
      </c>
      <c r="U26" t="s">
        <v>255</v>
      </c>
      <c r="V26" t="s">
        <v>175</v>
      </c>
      <c r="X26" t="s">
        <v>284</v>
      </c>
      <c r="Y26" t="s">
        <v>240</v>
      </c>
      <c r="Z26" t="s">
        <v>318</v>
      </c>
      <c r="AA26">
        <v>0.99237179242975782</v>
      </c>
      <c r="AB26">
        <v>139.85047212110769</v>
      </c>
      <c r="AD26" t="s">
        <v>251</v>
      </c>
      <c r="AE26" t="s">
        <v>352</v>
      </c>
      <c r="AF26" t="s">
        <v>353</v>
      </c>
      <c r="AG26" t="s">
        <v>10</v>
      </c>
      <c r="AH26" t="s">
        <v>21</v>
      </c>
      <c r="AI26" t="s">
        <v>255</v>
      </c>
      <c r="AJ26" t="s">
        <v>175</v>
      </c>
      <c r="AL26" t="s">
        <v>352</v>
      </c>
      <c r="AM26" t="s">
        <v>378</v>
      </c>
      <c r="AN26" t="s">
        <v>320</v>
      </c>
      <c r="AO26">
        <v>0.99657844678159457</v>
      </c>
      <c r="AP26">
        <v>62.728475670766194</v>
      </c>
      <c r="AR26" t="s">
        <v>251</v>
      </c>
      <c r="AS26" t="s">
        <v>414</v>
      </c>
      <c r="AT26" t="s">
        <v>415</v>
      </c>
      <c r="AU26" t="s">
        <v>10</v>
      </c>
      <c r="AV26" t="s">
        <v>21</v>
      </c>
      <c r="AW26" t="s">
        <v>255</v>
      </c>
      <c r="AX26" t="s">
        <v>175</v>
      </c>
      <c r="AZ26" t="s">
        <v>414</v>
      </c>
      <c r="BA26" t="s">
        <v>439</v>
      </c>
      <c r="BB26" t="s">
        <v>318</v>
      </c>
      <c r="BC26">
        <v>0.98715647069024248</v>
      </c>
      <c r="BD26">
        <v>235.46470401222211</v>
      </c>
    </row>
    <row r="27" spans="2:56">
      <c r="B27" t="s">
        <v>171</v>
      </c>
      <c r="C27" t="s">
        <v>206</v>
      </c>
      <c r="D27" t="s">
        <v>207</v>
      </c>
      <c r="E27" t="s">
        <v>10</v>
      </c>
      <c r="F27" t="s">
        <v>21</v>
      </c>
      <c r="G27" t="s">
        <v>174</v>
      </c>
      <c r="H27" t="s">
        <v>175</v>
      </c>
      <c r="J27" t="s">
        <v>206</v>
      </c>
      <c r="K27" t="s">
        <v>242</v>
      </c>
      <c r="L27">
        <v>7.539956732039311</v>
      </c>
      <c r="M27">
        <v>0.16990025578911919</v>
      </c>
      <c r="O27" t="s">
        <v>251</v>
      </c>
      <c r="P27" t="s">
        <v>286</v>
      </c>
      <c r="Q27" t="s">
        <v>287</v>
      </c>
      <c r="R27" t="s">
        <v>10</v>
      </c>
      <c r="S27" t="s">
        <v>21</v>
      </c>
      <c r="T27" t="s">
        <v>254</v>
      </c>
      <c r="U27" t="s">
        <v>255</v>
      </c>
      <c r="V27" t="s">
        <v>175</v>
      </c>
      <c r="X27" t="s">
        <v>286</v>
      </c>
      <c r="Y27" t="s">
        <v>247</v>
      </c>
      <c r="Z27" t="s">
        <v>319</v>
      </c>
      <c r="AA27">
        <v>0.99681262466819043</v>
      </c>
      <c r="AB27">
        <v>58.435214416509581</v>
      </c>
      <c r="AD27" t="s">
        <v>251</v>
      </c>
      <c r="AE27" t="s">
        <v>354</v>
      </c>
      <c r="AF27" t="s">
        <v>355</v>
      </c>
      <c r="AG27" t="s">
        <v>10</v>
      </c>
      <c r="AH27" t="s">
        <v>21</v>
      </c>
      <c r="AI27" t="s">
        <v>255</v>
      </c>
      <c r="AJ27" t="s">
        <v>175</v>
      </c>
      <c r="AL27" t="s">
        <v>354</v>
      </c>
      <c r="AM27" t="s">
        <v>379</v>
      </c>
      <c r="AN27" t="s">
        <v>304</v>
      </c>
      <c r="AO27">
        <v>0.99018353362868128</v>
      </c>
      <c r="AP27">
        <v>179.9685501408423</v>
      </c>
      <c r="AR27" t="s">
        <v>251</v>
      </c>
      <c r="AS27" t="s">
        <v>416</v>
      </c>
      <c r="AT27" t="s">
        <v>417</v>
      </c>
      <c r="AU27" t="s">
        <v>10</v>
      </c>
      <c r="AV27" t="s">
        <v>21</v>
      </c>
      <c r="AW27" t="s">
        <v>255</v>
      </c>
      <c r="AX27" t="s">
        <v>175</v>
      </c>
      <c r="AZ27" t="s">
        <v>416</v>
      </c>
      <c r="BA27" t="s">
        <v>440</v>
      </c>
      <c r="BB27" t="s">
        <v>314</v>
      </c>
      <c r="BC27">
        <v>0.99213695242537014</v>
      </c>
      <c r="BD27">
        <v>144.15587220154825</v>
      </c>
    </row>
    <row r="28" spans="2:56">
      <c r="B28" t="s">
        <v>171</v>
      </c>
      <c r="C28" t="s">
        <v>208</v>
      </c>
      <c r="D28" t="s">
        <v>209</v>
      </c>
      <c r="E28" t="s">
        <v>10</v>
      </c>
      <c r="F28" t="s">
        <v>21</v>
      </c>
      <c r="G28" t="s">
        <v>174</v>
      </c>
      <c r="H28" t="s">
        <v>175</v>
      </c>
      <c r="J28" t="s">
        <v>208</v>
      </c>
      <c r="K28" t="s">
        <v>243</v>
      </c>
      <c r="L28">
        <v>11.33028486424983</v>
      </c>
      <c r="M28">
        <v>0.1699192122042236</v>
      </c>
      <c r="O28" t="s">
        <v>251</v>
      </c>
      <c r="P28" t="s">
        <v>288</v>
      </c>
      <c r="Q28" t="s">
        <v>289</v>
      </c>
      <c r="R28" t="s">
        <v>10</v>
      </c>
      <c r="S28" t="s">
        <v>21</v>
      </c>
      <c r="T28" t="s">
        <v>254</v>
      </c>
      <c r="U28" t="s">
        <v>255</v>
      </c>
      <c r="V28" t="s">
        <v>175</v>
      </c>
      <c r="X28" t="s">
        <v>288</v>
      </c>
      <c r="Y28" t="s">
        <v>246</v>
      </c>
      <c r="Z28" t="s">
        <v>316</v>
      </c>
      <c r="AA28">
        <v>0.99423271944065184</v>
      </c>
      <c r="AB28">
        <v>105.73347692138286</v>
      </c>
      <c r="AD28" t="s">
        <v>251</v>
      </c>
      <c r="AE28" t="s">
        <v>356</v>
      </c>
      <c r="AF28" t="s">
        <v>357</v>
      </c>
      <c r="AG28" t="s">
        <v>10</v>
      </c>
      <c r="AH28" t="s">
        <v>21</v>
      </c>
      <c r="AI28" t="s">
        <v>255</v>
      </c>
      <c r="AJ28" t="s">
        <v>175</v>
      </c>
      <c r="AL28" t="s">
        <v>356</v>
      </c>
      <c r="AM28" t="s">
        <v>380</v>
      </c>
      <c r="AN28" t="s">
        <v>381</v>
      </c>
      <c r="AO28">
        <v>0.99126029591348896</v>
      </c>
      <c r="AP28">
        <v>160.22790825270209</v>
      </c>
      <c r="AR28" t="s">
        <v>251</v>
      </c>
      <c r="AS28" t="s">
        <v>418</v>
      </c>
      <c r="AT28" t="s">
        <v>419</v>
      </c>
      <c r="AU28" t="s">
        <v>10</v>
      </c>
      <c r="AV28" t="s">
        <v>21</v>
      </c>
      <c r="AW28" t="s">
        <v>255</v>
      </c>
      <c r="AX28" t="s">
        <v>175</v>
      </c>
      <c r="AZ28" t="s">
        <v>418</v>
      </c>
      <c r="BA28" t="s">
        <v>441</v>
      </c>
      <c r="BB28" t="s">
        <v>307</v>
      </c>
      <c r="BC28">
        <v>0.98694570234571399</v>
      </c>
      <c r="BD28">
        <v>239.32879032857716</v>
      </c>
    </row>
    <row r="29" spans="2:56">
      <c r="B29" t="s">
        <v>171</v>
      </c>
      <c r="C29" t="s">
        <v>210</v>
      </c>
      <c r="D29" t="s">
        <v>211</v>
      </c>
      <c r="E29" t="s">
        <v>10</v>
      </c>
      <c r="F29" t="s">
        <v>21</v>
      </c>
      <c r="G29" t="s">
        <v>174</v>
      </c>
      <c r="H29" t="s">
        <v>175</v>
      </c>
      <c r="J29" t="s">
        <v>210</v>
      </c>
      <c r="K29" t="s">
        <v>244</v>
      </c>
      <c r="L29">
        <v>9.520512324694101</v>
      </c>
      <c r="M29">
        <v>0.202770261450093</v>
      </c>
      <c r="O29" t="s">
        <v>251</v>
      </c>
      <c r="P29" t="s">
        <v>290</v>
      </c>
      <c r="Q29" t="s">
        <v>291</v>
      </c>
      <c r="R29" t="s">
        <v>10</v>
      </c>
      <c r="S29" t="s">
        <v>21</v>
      </c>
      <c r="T29" t="s">
        <v>254</v>
      </c>
      <c r="U29" t="s">
        <v>255</v>
      </c>
      <c r="V29" t="s">
        <v>175</v>
      </c>
      <c r="X29" t="s">
        <v>290</v>
      </c>
      <c r="Y29" t="s">
        <v>248</v>
      </c>
      <c r="Z29" t="s">
        <v>320</v>
      </c>
      <c r="AA29">
        <v>0.99495348543906925</v>
      </c>
      <c r="AB29">
        <v>92.519433617063214</v>
      </c>
      <c r="AD29" t="s">
        <v>251</v>
      </c>
      <c r="AE29" t="s">
        <v>358</v>
      </c>
      <c r="AF29" t="s">
        <v>359</v>
      </c>
      <c r="AG29" t="s">
        <v>10</v>
      </c>
      <c r="AH29" t="s">
        <v>21</v>
      </c>
      <c r="AI29" t="s">
        <v>255</v>
      </c>
      <c r="AJ29" t="s">
        <v>175</v>
      </c>
      <c r="AL29" t="s">
        <v>358</v>
      </c>
      <c r="AM29" t="s">
        <v>382</v>
      </c>
      <c r="AN29" t="s">
        <v>383</v>
      </c>
      <c r="AO29">
        <v>0.99074954647483282</v>
      </c>
      <c r="AP29">
        <v>169.59164796139925</v>
      </c>
      <c r="AR29" t="s">
        <v>251</v>
      </c>
      <c r="AS29" t="s">
        <v>420</v>
      </c>
      <c r="AT29" t="s">
        <v>421</v>
      </c>
      <c r="AU29" t="s">
        <v>10</v>
      </c>
      <c r="AV29" t="s">
        <v>21</v>
      </c>
      <c r="AW29" t="s">
        <v>255</v>
      </c>
      <c r="AX29" t="s">
        <v>175</v>
      </c>
      <c r="AZ29" t="s">
        <v>420</v>
      </c>
      <c r="BA29" t="s">
        <v>442</v>
      </c>
      <c r="BB29" t="s">
        <v>313</v>
      </c>
      <c r="BC29">
        <v>0.99123298444407149</v>
      </c>
      <c r="BD29">
        <v>160.72861852535661</v>
      </c>
    </row>
    <row r="30" spans="2:56">
      <c r="B30" t="s">
        <v>171</v>
      </c>
      <c r="C30" t="s">
        <v>212</v>
      </c>
      <c r="D30" t="s">
        <v>213</v>
      </c>
      <c r="E30" t="s">
        <v>10</v>
      </c>
      <c r="F30" t="s">
        <v>21</v>
      </c>
      <c r="G30" t="s">
        <v>174</v>
      </c>
      <c r="H30" t="s">
        <v>175</v>
      </c>
      <c r="J30" t="s">
        <v>212</v>
      </c>
      <c r="K30" t="s">
        <v>245</v>
      </c>
      <c r="L30">
        <v>15.622210660715986</v>
      </c>
      <c r="M30">
        <v>0.2034292332152422</v>
      </c>
      <c r="O30" t="s">
        <v>251</v>
      </c>
      <c r="P30" t="s">
        <v>292</v>
      </c>
      <c r="Q30" t="s">
        <v>293</v>
      </c>
      <c r="R30" t="s">
        <v>10</v>
      </c>
      <c r="S30" t="s">
        <v>21</v>
      </c>
      <c r="T30" t="s">
        <v>254</v>
      </c>
      <c r="U30" t="s">
        <v>255</v>
      </c>
      <c r="V30" t="s">
        <v>175</v>
      </c>
      <c r="X30" t="s">
        <v>292</v>
      </c>
      <c r="Y30" t="s">
        <v>245</v>
      </c>
      <c r="Z30" t="s">
        <v>321</v>
      </c>
      <c r="AA30">
        <v>0.99324624493948932</v>
      </c>
      <c r="AB30">
        <v>123.81884277602917</v>
      </c>
    </row>
    <row r="31" spans="2:56">
      <c r="B31" t="s">
        <v>171</v>
      </c>
      <c r="C31" t="s">
        <v>214</v>
      </c>
      <c r="D31" t="s">
        <v>215</v>
      </c>
      <c r="E31" t="s">
        <v>10</v>
      </c>
      <c r="F31" t="s">
        <v>21</v>
      </c>
      <c r="G31" t="s">
        <v>174</v>
      </c>
      <c r="H31" t="s">
        <v>175</v>
      </c>
      <c r="J31" t="s">
        <v>214</v>
      </c>
      <c r="K31" t="s">
        <v>246</v>
      </c>
      <c r="L31">
        <v>12.374405982824484</v>
      </c>
      <c r="M31">
        <v>0.20284476080416239</v>
      </c>
      <c r="O31" t="s">
        <v>251</v>
      </c>
      <c r="P31" t="s">
        <v>294</v>
      </c>
      <c r="Q31" t="s">
        <v>295</v>
      </c>
      <c r="R31" t="s">
        <v>10</v>
      </c>
      <c r="S31" t="s">
        <v>21</v>
      </c>
      <c r="T31" t="s">
        <v>254</v>
      </c>
      <c r="U31" t="s">
        <v>255</v>
      </c>
      <c r="V31" t="s">
        <v>175</v>
      </c>
      <c r="X31" t="s">
        <v>294</v>
      </c>
      <c r="Y31" t="s">
        <v>242</v>
      </c>
      <c r="Z31" t="s">
        <v>312</v>
      </c>
      <c r="AA31">
        <v>0.98574408150559789</v>
      </c>
      <c r="AB31">
        <v>261.35850573070513</v>
      </c>
    </row>
    <row r="32" spans="2:56">
      <c r="B32" t="s">
        <v>171</v>
      </c>
      <c r="C32" t="s">
        <v>216</v>
      </c>
      <c r="D32" t="s">
        <v>217</v>
      </c>
      <c r="E32" t="s">
        <v>10</v>
      </c>
      <c r="F32" t="s">
        <v>21</v>
      </c>
      <c r="G32" t="s">
        <v>174</v>
      </c>
      <c r="H32" t="s">
        <v>175</v>
      </c>
      <c r="J32" t="s">
        <v>216</v>
      </c>
      <c r="K32" t="s">
        <v>247</v>
      </c>
      <c r="L32">
        <v>19.338901625217922</v>
      </c>
      <c r="M32">
        <v>0.1791632777486992</v>
      </c>
      <c r="O32" t="s">
        <v>251</v>
      </c>
      <c r="P32" t="s">
        <v>296</v>
      </c>
      <c r="Q32" t="s">
        <v>297</v>
      </c>
      <c r="R32" t="s">
        <v>10</v>
      </c>
      <c r="S32" t="s">
        <v>21</v>
      </c>
      <c r="T32" t="s">
        <v>254</v>
      </c>
      <c r="U32" t="s">
        <v>255</v>
      </c>
      <c r="V32" t="s">
        <v>175</v>
      </c>
      <c r="X32" t="s">
        <v>296</v>
      </c>
      <c r="Y32" t="s">
        <v>234</v>
      </c>
      <c r="Z32" t="s">
        <v>306</v>
      </c>
      <c r="AA32">
        <v>0.9908762455415363</v>
      </c>
      <c r="AB32">
        <v>167.26883173850183</v>
      </c>
    </row>
    <row r="33" spans="2:28">
      <c r="B33" t="s">
        <v>171</v>
      </c>
      <c r="C33" t="s">
        <v>218</v>
      </c>
      <c r="D33" t="s">
        <v>219</v>
      </c>
      <c r="E33" t="s">
        <v>10</v>
      </c>
      <c r="F33" t="s">
        <v>21</v>
      </c>
      <c r="G33" t="s">
        <v>174</v>
      </c>
      <c r="H33" t="s">
        <v>175</v>
      </c>
      <c r="J33" t="s">
        <v>218</v>
      </c>
      <c r="K33" t="s">
        <v>248</v>
      </c>
      <c r="L33">
        <v>7.6634505148876118</v>
      </c>
      <c r="M33">
        <v>0.19404286551654079</v>
      </c>
      <c r="O33" t="s">
        <v>251</v>
      </c>
      <c r="P33" t="s">
        <v>298</v>
      </c>
      <c r="Q33" t="s">
        <v>299</v>
      </c>
      <c r="R33" t="s">
        <v>10</v>
      </c>
      <c r="S33" t="s">
        <v>21</v>
      </c>
      <c r="T33" t="s">
        <v>254</v>
      </c>
      <c r="U33" t="s">
        <v>255</v>
      </c>
      <c r="V33" t="s">
        <v>175</v>
      </c>
      <c r="X33" t="s">
        <v>298</v>
      </c>
      <c r="Y33" t="s">
        <v>227</v>
      </c>
      <c r="Z33" t="s">
        <v>307</v>
      </c>
      <c r="AA33">
        <v>0.99654704284184426</v>
      </c>
      <c r="AB33">
        <v>63.304214566188087</v>
      </c>
    </row>
    <row r="34" spans="2:28">
      <c r="B34" t="s">
        <v>171</v>
      </c>
      <c r="C34" t="s">
        <v>220</v>
      </c>
      <c r="D34" t="s">
        <v>221</v>
      </c>
      <c r="E34" t="s">
        <v>10</v>
      </c>
      <c r="F34" t="s">
        <v>21</v>
      </c>
      <c r="G34" t="s">
        <v>174</v>
      </c>
      <c r="H34" t="s">
        <v>175</v>
      </c>
      <c r="J34" t="s">
        <v>220</v>
      </c>
      <c r="K34" t="s">
        <v>249</v>
      </c>
      <c r="L34">
        <v>8.1016831146845654</v>
      </c>
      <c r="M34">
        <v>0.18791459857204379</v>
      </c>
      <c r="O34" t="s">
        <v>251</v>
      </c>
      <c r="P34" t="s">
        <v>300</v>
      </c>
      <c r="Q34" t="s">
        <v>301</v>
      </c>
      <c r="R34" t="s">
        <v>10</v>
      </c>
      <c r="S34" t="s">
        <v>21</v>
      </c>
      <c r="T34" t="s">
        <v>254</v>
      </c>
      <c r="U34" t="s">
        <v>255</v>
      </c>
      <c r="V34" t="s">
        <v>175</v>
      </c>
      <c r="X34" t="s">
        <v>300</v>
      </c>
      <c r="Y34" t="s">
        <v>226</v>
      </c>
      <c r="Z34" t="s">
        <v>307</v>
      </c>
      <c r="AA34">
        <v>0.99507556324399316</v>
      </c>
      <c r="AB34">
        <v>90.28134052679161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AB898-A9FB-406A-856B-B0536553378B}">
  <dimension ref="B9:Z29"/>
  <sheetViews>
    <sheetView workbookViewId="0"/>
  </sheetViews>
  <sheetFormatPr defaultRowHeight="14.25"/>
  <sheetData>
    <row r="9" spans="2:26">
      <c r="B9" t="s">
        <v>163</v>
      </c>
      <c r="J9" t="s">
        <v>222</v>
      </c>
      <c r="O9" t="s">
        <v>163</v>
      </c>
      <c r="W9" t="s">
        <v>222</v>
      </c>
    </row>
    <row r="10" spans="2:26">
      <c r="B10" t="s">
        <v>164</v>
      </c>
      <c r="C10" t="s">
        <v>165</v>
      </c>
      <c r="D10" t="s">
        <v>166</v>
      </c>
      <c r="E10" t="s">
        <v>167</v>
      </c>
      <c r="F10" t="s">
        <v>168</v>
      </c>
      <c r="G10" t="s">
        <v>169</v>
      </c>
      <c r="H10" t="s">
        <v>170</v>
      </c>
      <c r="J10" t="s">
        <v>165</v>
      </c>
      <c r="K10" t="s">
        <v>223</v>
      </c>
      <c r="L10" t="s">
        <v>224</v>
      </c>
      <c r="M10" t="s">
        <v>225</v>
      </c>
      <c r="O10" t="s">
        <v>164</v>
      </c>
      <c r="P10" t="s">
        <v>165</v>
      </c>
      <c r="Q10" t="s">
        <v>166</v>
      </c>
      <c r="R10" t="s">
        <v>167</v>
      </c>
      <c r="S10" t="s">
        <v>168</v>
      </c>
      <c r="T10" t="s">
        <v>169</v>
      </c>
      <c r="U10" t="s">
        <v>170</v>
      </c>
      <c r="W10" t="s">
        <v>165</v>
      </c>
      <c r="X10" t="s">
        <v>223</v>
      </c>
      <c r="Y10" t="s">
        <v>224</v>
      </c>
      <c r="Z10" t="s">
        <v>225</v>
      </c>
    </row>
    <row r="11" spans="2:26">
      <c r="B11" t="s">
        <v>171</v>
      </c>
      <c r="C11" t="s">
        <v>443</v>
      </c>
      <c r="D11" t="s">
        <v>444</v>
      </c>
      <c r="E11" t="s">
        <v>10</v>
      </c>
      <c r="F11" t="s">
        <v>21</v>
      </c>
      <c r="G11" t="s">
        <v>174</v>
      </c>
      <c r="H11" t="s">
        <v>175</v>
      </c>
      <c r="J11" t="s">
        <v>443</v>
      </c>
      <c r="K11" t="s">
        <v>369</v>
      </c>
      <c r="L11">
        <v>7.7363165779076795</v>
      </c>
      <c r="M11">
        <v>0.1067814682163853</v>
      </c>
      <c r="O11" t="s">
        <v>171</v>
      </c>
      <c r="P11" t="s">
        <v>481</v>
      </c>
      <c r="Q11" t="s">
        <v>482</v>
      </c>
      <c r="R11" t="s">
        <v>10</v>
      </c>
      <c r="S11" t="s">
        <v>21</v>
      </c>
      <c r="T11" t="s">
        <v>174</v>
      </c>
      <c r="U11" t="s">
        <v>175</v>
      </c>
      <c r="W11" t="s">
        <v>481</v>
      </c>
      <c r="X11" t="s">
        <v>422</v>
      </c>
      <c r="Y11">
        <v>39.450749999999999</v>
      </c>
      <c r="Z11">
        <v>0.2484648779811813</v>
      </c>
    </row>
    <row r="12" spans="2:26">
      <c r="B12" t="s">
        <v>171</v>
      </c>
      <c r="C12" t="s">
        <v>445</v>
      </c>
      <c r="D12" t="s">
        <v>446</v>
      </c>
      <c r="E12" t="s">
        <v>10</v>
      </c>
      <c r="F12" t="s">
        <v>21</v>
      </c>
      <c r="G12" t="s">
        <v>174</v>
      </c>
      <c r="H12" t="s">
        <v>175</v>
      </c>
      <c r="J12" t="s">
        <v>445</v>
      </c>
      <c r="K12" t="s">
        <v>366</v>
      </c>
      <c r="L12">
        <v>2.3427652611420688</v>
      </c>
      <c r="M12">
        <v>0.24330473042687509</v>
      </c>
      <c r="O12" t="s">
        <v>171</v>
      </c>
      <c r="P12" t="s">
        <v>483</v>
      </c>
      <c r="Q12" t="s">
        <v>484</v>
      </c>
      <c r="R12" t="s">
        <v>10</v>
      </c>
      <c r="S12" t="s">
        <v>21</v>
      </c>
      <c r="T12" t="s">
        <v>174</v>
      </c>
      <c r="U12" t="s">
        <v>175</v>
      </c>
      <c r="W12" t="s">
        <v>483</v>
      </c>
      <c r="X12" t="s">
        <v>425</v>
      </c>
      <c r="Y12">
        <v>10.7745</v>
      </c>
      <c r="Z12">
        <v>0.2178774232132801</v>
      </c>
    </row>
    <row r="13" spans="2:26">
      <c r="B13" t="s">
        <v>171</v>
      </c>
      <c r="C13" t="s">
        <v>447</v>
      </c>
      <c r="D13" t="s">
        <v>448</v>
      </c>
      <c r="E13" t="s">
        <v>10</v>
      </c>
      <c r="F13" t="s">
        <v>21</v>
      </c>
      <c r="G13" t="s">
        <v>174</v>
      </c>
      <c r="H13" t="s">
        <v>175</v>
      </c>
      <c r="J13" t="s">
        <v>447</v>
      </c>
      <c r="K13" t="s">
        <v>368</v>
      </c>
      <c r="L13">
        <v>21.492626448742886</v>
      </c>
      <c r="M13">
        <v>0.1659864827149567</v>
      </c>
      <c r="O13" t="s">
        <v>171</v>
      </c>
      <c r="P13" t="s">
        <v>485</v>
      </c>
      <c r="Q13" t="s">
        <v>486</v>
      </c>
      <c r="R13" t="s">
        <v>10</v>
      </c>
      <c r="S13" t="s">
        <v>21</v>
      </c>
      <c r="T13" t="s">
        <v>174</v>
      </c>
      <c r="U13" t="s">
        <v>175</v>
      </c>
      <c r="W13" t="s">
        <v>485</v>
      </c>
      <c r="X13" t="s">
        <v>440</v>
      </c>
      <c r="Y13">
        <v>38.600250000000003</v>
      </c>
      <c r="Z13">
        <v>0.28900156844457497</v>
      </c>
    </row>
    <row r="14" spans="2:26">
      <c r="B14" t="s">
        <v>171</v>
      </c>
      <c r="C14" t="s">
        <v>449</v>
      </c>
      <c r="D14" t="s">
        <v>450</v>
      </c>
      <c r="E14" t="s">
        <v>10</v>
      </c>
      <c r="F14" t="s">
        <v>21</v>
      </c>
      <c r="G14" t="s">
        <v>174</v>
      </c>
      <c r="H14" t="s">
        <v>175</v>
      </c>
      <c r="J14" t="s">
        <v>449</v>
      </c>
      <c r="K14" t="s">
        <v>365</v>
      </c>
      <c r="L14">
        <v>6.3986137173550848</v>
      </c>
      <c r="M14">
        <v>0.12695115959174291</v>
      </c>
      <c r="O14" t="s">
        <v>171</v>
      </c>
      <c r="P14" t="s">
        <v>487</v>
      </c>
      <c r="Q14" t="s">
        <v>488</v>
      </c>
      <c r="R14" t="s">
        <v>10</v>
      </c>
      <c r="S14" t="s">
        <v>21</v>
      </c>
      <c r="T14" t="s">
        <v>174</v>
      </c>
      <c r="U14" t="s">
        <v>175</v>
      </c>
      <c r="W14" t="s">
        <v>487</v>
      </c>
      <c r="X14" t="s">
        <v>439</v>
      </c>
      <c r="Y14">
        <v>4.0402500000000003</v>
      </c>
      <c r="Z14">
        <v>0.26388034481020151</v>
      </c>
    </row>
    <row r="15" spans="2:26">
      <c r="B15" t="s">
        <v>171</v>
      </c>
      <c r="C15" t="s">
        <v>451</v>
      </c>
      <c r="D15" t="s">
        <v>452</v>
      </c>
      <c r="E15" t="s">
        <v>10</v>
      </c>
      <c r="F15" t="s">
        <v>21</v>
      </c>
      <c r="G15" t="s">
        <v>174</v>
      </c>
      <c r="H15" t="s">
        <v>175</v>
      </c>
      <c r="J15" t="s">
        <v>451</v>
      </c>
      <c r="K15" t="s">
        <v>379</v>
      </c>
      <c r="L15">
        <v>4.0537250245901548</v>
      </c>
      <c r="M15">
        <v>0.1156289487533637</v>
      </c>
      <c r="O15" t="s">
        <v>171</v>
      </c>
      <c r="P15" t="s">
        <v>489</v>
      </c>
      <c r="Q15" t="s">
        <v>490</v>
      </c>
      <c r="R15" t="s">
        <v>10</v>
      </c>
      <c r="S15" t="s">
        <v>21</v>
      </c>
      <c r="T15" t="s">
        <v>174</v>
      </c>
      <c r="U15" t="s">
        <v>175</v>
      </c>
      <c r="W15" t="s">
        <v>489</v>
      </c>
      <c r="X15" t="s">
        <v>426</v>
      </c>
      <c r="Y15">
        <v>39.321750000000002</v>
      </c>
      <c r="Z15">
        <v>0.29850796904066318</v>
      </c>
    </row>
    <row r="16" spans="2:26">
      <c r="B16" t="s">
        <v>171</v>
      </c>
      <c r="C16" t="s">
        <v>453</v>
      </c>
      <c r="D16" t="s">
        <v>454</v>
      </c>
      <c r="E16" t="s">
        <v>10</v>
      </c>
      <c r="F16" t="s">
        <v>21</v>
      </c>
      <c r="G16" t="s">
        <v>174</v>
      </c>
      <c r="H16" t="s">
        <v>175</v>
      </c>
      <c r="J16" t="s">
        <v>453</v>
      </c>
      <c r="K16" t="s">
        <v>361</v>
      </c>
      <c r="L16">
        <v>9.6185391844194168</v>
      </c>
      <c r="M16">
        <v>8.8659780776036604E-2</v>
      </c>
      <c r="O16" t="s">
        <v>171</v>
      </c>
      <c r="P16" t="s">
        <v>491</v>
      </c>
      <c r="Q16" t="s">
        <v>492</v>
      </c>
      <c r="R16" t="s">
        <v>10</v>
      </c>
      <c r="S16" t="s">
        <v>21</v>
      </c>
      <c r="T16" t="s">
        <v>174</v>
      </c>
      <c r="U16" t="s">
        <v>175</v>
      </c>
      <c r="W16" t="s">
        <v>491</v>
      </c>
      <c r="X16" t="s">
        <v>423</v>
      </c>
      <c r="Y16">
        <v>12.592499999999999</v>
      </c>
      <c r="Z16">
        <v>0.28366024852480159</v>
      </c>
    </row>
    <row r="17" spans="2:26">
      <c r="B17" t="s">
        <v>171</v>
      </c>
      <c r="C17" t="s">
        <v>455</v>
      </c>
      <c r="D17" t="s">
        <v>456</v>
      </c>
      <c r="E17" t="s">
        <v>10</v>
      </c>
      <c r="F17" t="s">
        <v>21</v>
      </c>
      <c r="G17" t="s">
        <v>174</v>
      </c>
      <c r="H17" t="s">
        <v>175</v>
      </c>
      <c r="J17" t="s">
        <v>455</v>
      </c>
      <c r="K17" t="s">
        <v>378</v>
      </c>
      <c r="L17">
        <v>20.992062966824207</v>
      </c>
      <c r="M17">
        <v>0.113712621553391</v>
      </c>
      <c r="O17" t="s">
        <v>171</v>
      </c>
      <c r="P17" t="s">
        <v>493</v>
      </c>
      <c r="Q17" t="s">
        <v>494</v>
      </c>
      <c r="R17" t="s">
        <v>10</v>
      </c>
      <c r="S17" t="s">
        <v>21</v>
      </c>
      <c r="T17" t="s">
        <v>174</v>
      </c>
      <c r="U17" t="s">
        <v>175</v>
      </c>
      <c r="W17" t="s">
        <v>493</v>
      </c>
      <c r="X17" t="s">
        <v>432</v>
      </c>
      <c r="Y17">
        <v>15.871499999999999</v>
      </c>
      <c r="Z17">
        <v>0.30636574729781879</v>
      </c>
    </row>
    <row r="18" spans="2:26">
      <c r="B18" t="s">
        <v>171</v>
      </c>
      <c r="C18" t="s">
        <v>457</v>
      </c>
      <c r="D18" t="s">
        <v>458</v>
      </c>
      <c r="E18" t="s">
        <v>10</v>
      </c>
      <c r="F18" t="s">
        <v>21</v>
      </c>
      <c r="G18" t="s">
        <v>174</v>
      </c>
      <c r="H18" t="s">
        <v>175</v>
      </c>
      <c r="J18" t="s">
        <v>457</v>
      </c>
      <c r="K18" t="s">
        <v>372</v>
      </c>
      <c r="L18">
        <v>4.7225970155809494</v>
      </c>
      <c r="M18">
        <v>0.11595533842419591</v>
      </c>
      <c r="O18" t="s">
        <v>171</v>
      </c>
      <c r="P18" t="s">
        <v>495</v>
      </c>
      <c r="Q18" t="s">
        <v>496</v>
      </c>
      <c r="R18" t="s">
        <v>10</v>
      </c>
      <c r="S18" t="s">
        <v>21</v>
      </c>
      <c r="T18" t="s">
        <v>174</v>
      </c>
      <c r="U18" t="s">
        <v>175</v>
      </c>
      <c r="W18" t="s">
        <v>495</v>
      </c>
      <c r="X18" t="s">
        <v>428</v>
      </c>
      <c r="Y18">
        <v>19.04175</v>
      </c>
      <c r="Z18">
        <v>0.24775851801280979</v>
      </c>
    </row>
    <row r="19" spans="2:26">
      <c r="B19" t="s">
        <v>171</v>
      </c>
      <c r="C19" t="s">
        <v>459</v>
      </c>
      <c r="D19" t="s">
        <v>460</v>
      </c>
      <c r="E19" t="s">
        <v>10</v>
      </c>
      <c r="F19" t="s">
        <v>21</v>
      </c>
      <c r="G19" t="s">
        <v>174</v>
      </c>
      <c r="H19" t="s">
        <v>175</v>
      </c>
      <c r="J19" t="s">
        <v>459</v>
      </c>
      <c r="K19" t="s">
        <v>370</v>
      </c>
      <c r="L19">
        <v>9.0836490896593176</v>
      </c>
      <c r="M19">
        <v>0.13201736314252621</v>
      </c>
      <c r="O19" t="s">
        <v>171</v>
      </c>
      <c r="P19" t="s">
        <v>497</v>
      </c>
      <c r="Q19" t="s">
        <v>498</v>
      </c>
      <c r="R19" t="s">
        <v>10</v>
      </c>
      <c r="S19" t="s">
        <v>21</v>
      </c>
      <c r="T19" t="s">
        <v>174</v>
      </c>
      <c r="U19" t="s">
        <v>175</v>
      </c>
      <c r="W19" t="s">
        <v>497</v>
      </c>
      <c r="X19" t="s">
        <v>433</v>
      </c>
      <c r="Y19">
        <v>28.344000000000001</v>
      </c>
      <c r="Z19">
        <v>0.238561888696876</v>
      </c>
    </row>
    <row r="20" spans="2:26">
      <c r="B20" t="s">
        <v>171</v>
      </c>
      <c r="C20" t="s">
        <v>461</v>
      </c>
      <c r="D20" t="s">
        <v>462</v>
      </c>
      <c r="E20" t="s">
        <v>10</v>
      </c>
      <c r="F20" t="s">
        <v>21</v>
      </c>
      <c r="G20" t="s">
        <v>174</v>
      </c>
      <c r="H20" t="s">
        <v>175</v>
      </c>
      <c r="J20" t="s">
        <v>461</v>
      </c>
      <c r="K20" t="s">
        <v>363</v>
      </c>
      <c r="L20">
        <v>10.618766499150132</v>
      </c>
      <c r="M20">
        <v>0.1639958713693849</v>
      </c>
      <c r="O20" t="s">
        <v>171</v>
      </c>
      <c r="P20" t="s">
        <v>499</v>
      </c>
      <c r="Q20" t="s">
        <v>500</v>
      </c>
      <c r="R20" t="s">
        <v>10</v>
      </c>
      <c r="S20" t="s">
        <v>21</v>
      </c>
      <c r="T20" t="s">
        <v>174</v>
      </c>
      <c r="U20" t="s">
        <v>175</v>
      </c>
      <c r="W20" t="s">
        <v>499</v>
      </c>
      <c r="X20" t="s">
        <v>441</v>
      </c>
      <c r="Y20">
        <v>14.163</v>
      </c>
      <c r="Z20">
        <v>0.2227294751359814</v>
      </c>
    </row>
    <row r="21" spans="2:26">
      <c r="B21" t="s">
        <v>171</v>
      </c>
      <c r="C21" t="s">
        <v>463</v>
      </c>
      <c r="D21" t="s">
        <v>464</v>
      </c>
      <c r="E21" t="s">
        <v>10</v>
      </c>
      <c r="F21" t="s">
        <v>21</v>
      </c>
      <c r="G21" t="s">
        <v>174</v>
      </c>
      <c r="H21" t="s">
        <v>175</v>
      </c>
      <c r="J21" t="s">
        <v>463</v>
      </c>
      <c r="K21" t="s">
        <v>377</v>
      </c>
      <c r="L21">
        <v>37.276481001553563</v>
      </c>
      <c r="M21">
        <v>0.20831242550980769</v>
      </c>
      <c r="O21" t="s">
        <v>171</v>
      </c>
      <c r="P21" t="s">
        <v>501</v>
      </c>
      <c r="Q21" t="s">
        <v>502</v>
      </c>
      <c r="R21" t="s">
        <v>10</v>
      </c>
      <c r="S21" t="s">
        <v>21</v>
      </c>
      <c r="T21" t="s">
        <v>174</v>
      </c>
      <c r="U21" t="s">
        <v>175</v>
      </c>
      <c r="W21" t="s">
        <v>501</v>
      </c>
      <c r="X21" t="s">
        <v>431</v>
      </c>
      <c r="Y21">
        <v>2.0775000000000001</v>
      </c>
      <c r="Z21">
        <v>0.22957249532400861</v>
      </c>
    </row>
    <row r="22" spans="2:26">
      <c r="B22" t="s">
        <v>171</v>
      </c>
      <c r="C22" t="s">
        <v>465</v>
      </c>
      <c r="D22" t="s">
        <v>466</v>
      </c>
      <c r="E22" t="s">
        <v>10</v>
      </c>
      <c r="F22" t="s">
        <v>21</v>
      </c>
      <c r="G22" t="s">
        <v>174</v>
      </c>
      <c r="H22" t="s">
        <v>175</v>
      </c>
      <c r="J22" t="s">
        <v>465</v>
      </c>
      <c r="K22" t="s">
        <v>373</v>
      </c>
      <c r="L22">
        <v>20.90644030096918</v>
      </c>
      <c r="M22">
        <v>0.1089207512006329</v>
      </c>
      <c r="O22" t="s">
        <v>171</v>
      </c>
      <c r="P22" t="s">
        <v>503</v>
      </c>
      <c r="Q22" t="s">
        <v>504</v>
      </c>
      <c r="R22" t="s">
        <v>10</v>
      </c>
      <c r="S22" t="s">
        <v>21</v>
      </c>
      <c r="T22" t="s">
        <v>174</v>
      </c>
      <c r="U22" t="s">
        <v>175</v>
      </c>
      <c r="W22" t="s">
        <v>503</v>
      </c>
      <c r="X22" t="s">
        <v>435</v>
      </c>
      <c r="Y22">
        <v>9.2415000000000003</v>
      </c>
      <c r="Z22">
        <v>0.208613866030332</v>
      </c>
    </row>
    <row r="23" spans="2:26">
      <c r="B23" t="s">
        <v>171</v>
      </c>
      <c r="C23" t="s">
        <v>467</v>
      </c>
      <c r="D23" t="s">
        <v>468</v>
      </c>
      <c r="E23" t="s">
        <v>10</v>
      </c>
      <c r="F23" t="s">
        <v>21</v>
      </c>
      <c r="G23" t="s">
        <v>174</v>
      </c>
      <c r="H23" t="s">
        <v>175</v>
      </c>
      <c r="J23" t="s">
        <v>467</v>
      </c>
      <c r="K23" t="s">
        <v>380</v>
      </c>
      <c r="L23">
        <v>1.24293744829465</v>
      </c>
      <c r="M23">
        <v>9.4018179307857899E-2</v>
      </c>
      <c r="O23" t="s">
        <v>171</v>
      </c>
      <c r="P23" t="s">
        <v>505</v>
      </c>
      <c r="Q23" t="s">
        <v>506</v>
      </c>
      <c r="R23" t="s">
        <v>10</v>
      </c>
      <c r="S23" t="s">
        <v>21</v>
      </c>
      <c r="T23" t="s">
        <v>174</v>
      </c>
      <c r="U23" t="s">
        <v>175</v>
      </c>
      <c r="W23" t="s">
        <v>505</v>
      </c>
      <c r="X23" t="s">
        <v>437</v>
      </c>
      <c r="Y23">
        <v>0.97650000000000003</v>
      </c>
      <c r="Z23">
        <v>0.21437135897798651</v>
      </c>
    </row>
    <row r="24" spans="2:26">
      <c r="B24" t="s">
        <v>171</v>
      </c>
      <c r="C24" t="s">
        <v>469</v>
      </c>
      <c r="D24" t="s">
        <v>470</v>
      </c>
      <c r="E24" t="s">
        <v>10</v>
      </c>
      <c r="F24" t="s">
        <v>21</v>
      </c>
      <c r="G24" t="s">
        <v>174</v>
      </c>
      <c r="H24" t="s">
        <v>175</v>
      </c>
      <c r="J24" t="s">
        <v>469</v>
      </c>
      <c r="K24" t="s">
        <v>362</v>
      </c>
      <c r="L24">
        <v>3.655060122103603</v>
      </c>
      <c r="M24">
        <v>0.14311265140153179</v>
      </c>
      <c r="O24" t="s">
        <v>171</v>
      </c>
      <c r="P24" t="s">
        <v>507</v>
      </c>
      <c r="Q24" t="s">
        <v>508</v>
      </c>
      <c r="R24" t="s">
        <v>10</v>
      </c>
      <c r="S24" t="s">
        <v>21</v>
      </c>
      <c r="T24" t="s">
        <v>174</v>
      </c>
      <c r="U24" t="s">
        <v>175</v>
      </c>
      <c r="W24" t="s">
        <v>507</v>
      </c>
      <c r="X24" t="s">
        <v>442</v>
      </c>
      <c r="Y24">
        <v>6.8857499999999998</v>
      </c>
      <c r="Z24">
        <v>0.26959215691845589</v>
      </c>
    </row>
    <row r="25" spans="2:26">
      <c r="B25" t="s">
        <v>171</v>
      </c>
      <c r="C25" t="s">
        <v>471</v>
      </c>
      <c r="D25" t="s">
        <v>472</v>
      </c>
      <c r="E25" t="s">
        <v>10</v>
      </c>
      <c r="F25" t="s">
        <v>21</v>
      </c>
      <c r="G25" t="s">
        <v>174</v>
      </c>
      <c r="H25" t="s">
        <v>175</v>
      </c>
      <c r="J25" t="s">
        <v>471</v>
      </c>
      <c r="K25" t="s">
        <v>364</v>
      </c>
      <c r="L25">
        <v>48.450394178145253</v>
      </c>
      <c r="M25">
        <v>0.2433164831628466</v>
      </c>
      <c r="O25" t="s">
        <v>171</v>
      </c>
      <c r="P25" t="s">
        <v>509</v>
      </c>
      <c r="Q25" t="s">
        <v>510</v>
      </c>
      <c r="R25" t="s">
        <v>10</v>
      </c>
      <c r="S25" t="s">
        <v>21</v>
      </c>
      <c r="T25" t="s">
        <v>174</v>
      </c>
      <c r="U25" t="s">
        <v>175</v>
      </c>
      <c r="W25" t="s">
        <v>509</v>
      </c>
      <c r="X25" t="s">
        <v>424</v>
      </c>
      <c r="Y25">
        <v>71.778000000000006</v>
      </c>
      <c r="Z25">
        <v>0.39560456390377008</v>
      </c>
    </row>
    <row r="26" spans="2:26">
      <c r="B26" t="s">
        <v>171</v>
      </c>
      <c r="C26" t="s">
        <v>473</v>
      </c>
      <c r="D26" t="s">
        <v>474</v>
      </c>
      <c r="E26" t="s">
        <v>10</v>
      </c>
      <c r="F26" t="s">
        <v>21</v>
      </c>
      <c r="G26" t="s">
        <v>174</v>
      </c>
      <c r="H26" t="s">
        <v>175</v>
      </c>
      <c r="J26" t="s">
        <v>473</v>
      </c>
      <c r="K26" t="s">
        <v>360</v>
      </c>
      <c r="L26">
        <v>19.948651692996549</v>
      </c>
      <c r="M26">
        <v>0.26469960967055511</v>
      </c>
      <c r="O26" t="s">
        <v>171</v>
      </c>
      <c r="P26" t="s">
        <v>511</v>
      </c>
      <c r="Q26" t="s">
        <v>512</v>
      </c>
      <c r="R26" t="s">
        <v>10</v>
      </c>
      <c r="S26" t="s">
        <v>21</v>
      </c>
      <c r="T26" t="s">
        <v>174</v>
      </c>
      <c r="U26" t="s">
        <v>175</v>
      </c>
      <c r="W26" t="s">
        <v>511</v>
      </c>
      <c r="X26" t="s">
        <v>438</v>
      </c>
      <c r="Y26">
        <v>40.861499999999999</v>
      </c>
      <c r="Z26">
        <v>0.3326685623353598</v>
      </c>
    </row>
    <row r="27" spans="2:26">
      <c r="B27" t="s">
        <v>171</v>
      </c>
      <c r="C27" t="s">
        <v>475</v>
      </c>
      <c r="D27" t="s">
        <v>476</v>
      </c>
      <c r="E27" t="s">
        <v>10</v>
      </c>
      <c r="F27" t="s">
        <v>21</v>
      </c>
      <c r="G27" t="s">
        <v>174</v>
      </c>
      <c r="H27" t="s">
        <v>175</v>
      </c>
      <c r="J27" t="s">
        <v>475</v>
      </c>
      <c r="K27" t="s">
        <v>371</v>
      </c>
      <c r="L27">
        <v>23.13749613808001</v>
      </c>
      <c r="M27">
        <v>0.13108526943306451</v>
      </c>
      <c r="O27" t="s">
        <v>171</v>
      </c>
      <c r="P27" t="s">
        <v>513</v>
      </c>
      <c r="Q27" t="s">
        <v>514</v>
      </c>
      <c r="R27" t="s">
        <v>10</v>
      </c>
      <c r="S27" t="s">
        <v>21</v>
      </c>
      <c r="T27" t="s">
        <v>174</v>
      </c>
      <c r="U27" t="s">
        <v>175</v>
      </c>
      <c r="W27" t="s">
        <v>513</v>
      </c>
      <c r="X27" t="s">
        <v>427</v>
      </c>
      <c r="Y27">
        <v>53.390250000000002</v>
      </c>
      <c r="Z27">
        <v>0.32314222864424491</v>
      </c>
    </row>
    <row r="28" spans="2:26">
      <c r="B28" t="s">
        <v>171</v>
      </c>
      <c r="C28" t="s">
        <v>477</v>
      </c>
      <c r="D28" t="s">
        <v>478</v>
      </c>
      <c r="E28" t="s">
        <v>10</v>
      </c>
      <c r="F28" t="s">
        <v>21</v>
      </c>
      <c r="G28" t="s">
        <v>174</v>
      </c>
      <c r="H28" t="s">
        <v>175</v>
      </c>
      <c r="J28" t="s">
        <v>477</v>
      </c>
      <c r="K28" t="s">
        <v>382</v>
      </c>
      <c r="L28">
        <v>6.7463178806119855</v>
      </c>
      <c r="M28">
        <v>0.13784704004674381</v>
      </c>
      <c r="O28" t="s">
        <v>171</v>
      </c>
      <c r="P28" t="s">
        <v>515</v>
      </c>
      <c r="Q28" t="s">
        <v>516</v>
      </c>
      <c r="R28" t="s">
        <v>10</v>
      </c>
      <c r="S28" t="s">
        <v>21</v>
      </c>
      <c r="T28" t="s">
        <v>174</v>
      </c>
      <c r="U28" t="s">
        <v>175</v>
      </c>
      <c r="W28" t="s">
        <v>515</v>
      </c>
      <c r="X28" t="s">
        <v>434</v>
      </c>
      <c r="Y28">
        <v>49.423499999999997</v>
      </c>
      <c r="Z28">
        <v>0.37971902087614279</v>
      </c>
    </row>
    <row r="29" spans="2:26">
      <c r="B29" t="s">
        <v>171</v>
      </c>
      <c r="C29" t="s">
        <v>479</v>
      </c>
      <c r="D29" t="s">
        <v>480</v>
      </c>
      <c r="E29" t="s">
        <v>10</v>
      </c>
      <c r="F29" t="s">
        <v>21</v>
      </c>
      <c r="G29" t="s">
        <v>174</v>
      </c>
      <c r="H29" t="s">
        <v>175</v>
      </c>
      <c r="J29" t="s">
        <v>479</v>
      </c>
      <c r="K29" t="s">
        <v>375</v>
      </c>
      <c r="L29">
        <v>9.7794224100622564</v>
      </c>
      <c r="M29">
        <v>0.1332508824588724</v>
      </c>
      <c r="O29" t="s">
        <v>171</v>
      </c>
      <c r="P29" t="s">
        <v>517</v>
      </c>
      <c r="Q29" t="s">
        <v>518</v>
      </c>
      <c r="R29" t="s">
        <v>10</v>
      </c>
      <c r="S29" t="s">
        <v>21</v>
      </c>
      <c r="T29" t="s">
        <v>174</v>
      </c>
      <c r="U29" t="s">
        <v>175</v>
      </c>
      <c r="W29" t="s">
        <v>517</v>
      </c>
      <c r="X29" t="s">
        <v>430</v>
      </c>
      <c r="Y29">
        <v>48.613500000000002</v>
      </c>
      <c r="Z29">
        <v>0.37419415776168491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97DC6-C440-4709-B595-150AB7E836CB}">
  <dimension ref="B9:P73"/>
  <sheetViews>
    <sheetView tabSelected="1" workbookViewId="0"/>
  </sheetViews>
  <sheetFormatPr defaultRowHeight="14.25"/>
  <sheetData>
    <row r="9" spans="2:16">
      <c r="B9" t="s">
        <v>222</v>
      </c>
      <c r="J9" t="s">
        <v>163</v>
      </c>
    </row>
    <row r="10" spans="2:16">
      <c r="B10" t="s">
        <v>165</v>
      </c>
      <c r="C10" t="s">
        <v>302</v>
      </c>
      <c r="D10" t="s">
        <v>223</v>
      </c>
      <c r="E10">
        <v>2023</v>
      </c>
      <c r="F10">
        <v>2030</v>
      </c>
      <c r="G10">
        <v>2050</v>
      </c>
      <c r="H10" t="s">
        <v>54</v>
      </c>
      <c r="J10" t="s">
        <v>164</v>
      </c>
      <c r="K10" t="s">
        <v>165</v>
      </c>
      <c r="L10" t="s">
        <v>166</v>
      </c>
      <c r="M10" t="s">
        <v>167</v>
      </c>
      <c r="N10" t="s">
        <v>168</v>
      </c>
      <c r="O10" t="s">
        <v>169</v>
      </c>
      <c r="P10" t="s">
        <v>170</v>
      </c>
    </row>
    <row r="11" spans="2:16">
      <c r="B11" t="s">
        <v>519</v>
      </c>
      <c r="C11" t="s">
        <v>31</v>
      </c>
      <c r="D11" t="s">
        <v>19</v>
      </c>
      <c r="E11">
        <v>0.30000000000000004</v>
      </c>
      <c r="F11">
        <v>0.30000000000000004</v>
      </c>
      <c r="G11">
        <v>0.30000000000000004</v>
      </c>
      <c r="H11" t="s">
        <v>146</v>
      </c>
      <c r="J11" t="s">
        <v>171</v>
      </c>
      <c r="K11" t="s">
        <v>519</v>
      </c>
      <c r="M11" t="s">
        <v>10</v>
      </c>
      <c r="N11" t="s">
        <v>21</v>
      </c>
      <c r="O11" t="s">
        <v>255</v>
      </c>
      <c r="P11" t="s">
        <v>541</v>
      </c>
    </row>
    <row r="12" spans="2:16">
      <c r="B12" t="s">
        <v>519</v>
      </c>
      <c r="C12" t="s">
        <v>31</v>
      </c>
      <c r="D12" t="s">
        <v>19</v>
      </c>
      <c r="E12">
        <v>0.60000000000000009</v>
      </c>
      <c r="F12">
        <v>0.60000000000000009</v>
      </c>
      <c r="G12">
        <v>0.60000000000000009</v>
      </c>
      <c r="H12" t="s">
        <v>520</v>
      </c>
      <c r="J12" t="s">
        <v>171</v>
      </c>
      <c r="K12" t="s">
        <v>524</v>
      </c>
      <c r="M12" t="s">
        <v>10</v>
      </c>
      <c r="N12" t="s">
        <v>21</v>
      </c>
      <c r="O12" t="s">
        <v>255</v>
      </c>
      <c r="P12" t="s">
        <v>541</v>
      </c>
    </row>
    <row r="13" spans="2:16">
      <c r="B13" t="s">
        <v>519</v>
      </c>
      <c r="C13" t="s">
        <v>31</v>
      </c>
      <c r="D13" t="s">
        <v>19</v>
      </c>
      <c r="E13">
        <v>5750</v>
      </c>
      <c r="F13">
        <v>5700</v>
      </c>
      <c r="G13">
        <v>5100</v>
      </c>
      <c r="H13" t="s">
        <v>521</v>
      </c>
      <c r="J13" t="s">
        <v>171</v>
      </c>
      <c r="K13" t="s">
        <v>525</v>
      </c>
      <c r="M13" t="s">
        <v>10</v>
      </c>
      <c r="N13" t="s">
        <v>21</v>
      </c>
      <c r="O13" t="s">
        <v>255</v>
      </c>
      <c r="P13" t="s">
        <v>541</v>
      </c>
    </row>
    <row r="14" spans="2:16">
      <c r="B14" t="s">
        <v>519</v>
      </c>
      <c r="C14" t="s">
        <v>31</v>
      </c>
      <c r="D14" t="s">
        <v>19</v>
      </c>
      <c r="E14">
        <v>200</v>
      </c>
      <c r="F14">
        <v>200</v>
      </c>
      <c r="G14">
        <v>175</v>
      </c>
      <c r="H14" t="s">
        <v>522</v>
      </c>
      <c r="J14" t="s">
        <v>171</v>
      </c>
      <c r="K14" t="s">
        <v>526</v>
      </c>
      <c r="M14" t="s">
        <v>10</v>
      </c>
      <c r="N14" t="s">
        <v>21</v>
      </c>
      <c r="O14" t="s">
        <v>255</v>
      </c>
      <c r="P14" t="s">
        <v>541</v>
      </c>
    </row>
    <row r="15" spans="2:16">
      <c r="B15" t="s">
        <v>519</v>
      </c>
      <c r="C15" t="s">
        <v>31</v>
      </c>
      <c r="D15" t="s">
        <v>19</v>
      </c>
      <c r="E15">
        <v>3</v>
      </c>
      <c r="F15">
        <v>3</v>
      </c>
      <c r="G15">
        <v>3</v>
      </c>
      <c r="H15" t="s">
        <v>523</v>
      </c>
      <c r="J15" t="s">
        <v>171</v>
      </c>
      <c r="K15" t="s">
        <v>527</v>
      </c>
      <c r="M15" t="s">
        <v>10</v>
      </c>
      <c r="N15" t="s">
        <v>21</v>
      </c>
      <c r="O15" t="s">
        <v>255</v>
      </c>
      <c r="P15" t="s">
        <v>541</v>
      </c>
    </row>
    <row r="16" spans="2:16">
      <c r="B16" t="s">
        <v>524</v>
      </c>
      <c r="C16" t="s">
        <v>31</v>
      </c>
      <c r="D16" t="s">
        <v>19</v>
      </c>
      <c r="E16">
        <v>0.35000000000000003</v>
      </c>
      <c r="F16">
        <v>0.35000000000000003</v>
      </c>
      <c r="G16">
        <v>0.35000000000000003</v>
      </c>
      <c r="H16" t="s">
        <v>146</v>
      </c>
      <c r="J16" t="s">
        <v>171</v>
      </c>
      <c r="K16" t="s">
        <v>528</v>
      </c>
      <c r="M16" t="s">
        <v>10</v>
      </c>
      <c r="N16" t="s">
        <v>21</v>
      </c>
      <c r="O16" t="s">
        <v>255</v>
      </c>
      <c r="P16" t="s">
        <v>541</v>
      </c>
    </row>
    <row r="17" spans="2:16">
      <c r="B17" t="s">
        <v>524</v>
      </c>
      <c r="C17" t="s">
        <v>31</v>
      </c>
      <c r="D17" t="s">
        <v>19</v>
      </c>
      <c r="E17">
        <v>0.60000000000000009</v>
      </c>
      <c r="F17">
        <v>0.60000000000000009</v>
      </c>
      <c r="G17">
        <v>0.60000000000000009</v>
      </c>
      <c r="H17" t="s">
        <v>520</v>
      </c>
      <c r="J17" t="s">
        <v>171</v>
      </c>
      <c r="K17" t="s">
        <v>529</v>
      </c>
      <c r="M17" t="s">
        <v>10</v>
      </c>
      <c r="N17" t="s">
        <v>21</v>
      </c>
      <c r="O17" t="s">
        <v>255</v>
      </c>
      <c r="P17" t="s">
        <v>541</v>
      </c>
    </row>
    <row r="18" spans="2:16">
      <c r="B18" t="s">
        <v>524</v>
      </c>
      <c r="C18" t="s">
        <v>31</v>
      </c>
      <c r="D18" t="s">
        <v>19</v>
      </c>
      <c r="E18">
        <v>2400</v>
      </c>
      <c r="F18">
        <v>2350</v>
      </c>
      <c r="G18">
        <v>2300</v>
      </c>
      <c r="H18" t="s">
        <v>521</v>
      </c>
      <c r="J18" t="s">
        <v>171</v>
      </c>
      <c r="K18" t="s">
        <v>530</v>
      </c>
      <c r="M18" t="s">
        <v>10</v>
      </c>
      <c r="N18" t="s">
        <v>21</v>
      </c>
      <c r="O18" t="s">
        <v>255</v>
      </c>
      <c r="P18" t="s">
        <v>541</v>
      </c>
    </row>
    <row r="19" spans="2:16">
      <c r="B19" t="s">
        <v>524</v>
      </c>
      <c r="C19" t="s">
        <v>31</v>
      </c>
      <c r="D19" t="s">
        <v>19</v>
      </c>
      <c r="E19">
        <v>85</v>
      </c>
      <c r="F19">
        <v>85</v>
      </c>
      <c r="G19">
        <v>80</v>
      </c>
      <c r="H19" t="s">
        <v>522</v>
      </c>
      <c r="J19" t="s">
        <v>171</v>
      </c>
      <c r="K19" t="s">
        <v>531</v>
      </c>
      <c r="M19" t="s">
        <v>10</v>
      </c>
      <c r="N19" t="s">
        <v>21</v>
      </c>
      <c r="O19" t="s">
        <v>255</v>
      </c>
      <c r="P19" t="s">
        <v>541</v>
      </c>
    </row>
    <row r="20" spans="2:16">
      <c r="B20" t="s">
        <v>524</v>
      </c>
      <c r="C20" t="s">
        <v>31</v>
      </c>
      <c r="D20" t="s">
        <v>19</v>
      </c>
      <c r="E20">
        <v>3</v>
      </c>
      <c r="F20">
        <v>3</v>
      </c>
      <c r="G20">
        <v>3</v>
      </c>
      <c r="H20" t="s">
        <v>523</v>
      </c>
      <c r="J20" t="s">
        <v>171</v>
      </c>
      <c r="K20" t="s">
        <v>532</v>
      </c>
      <c r="M20" t="s">
        <v>10</v>
      </c>
      <c r="N20" t="s">
        <v>21</v>
      </c>
      <c r="O20" t="s">
        <v>255</v>
      </c>
      <c r="P20" t="s">
        <v>541</v>
      </c>
    </row>
    <row r="21" spans="2:16">
      <c r="B21" t="s">
        <v>525</v>
      </c>
      <c r="C21" t="s">
        <v>33</v>
      </c>
      <c r="D21" t="s">
        <v>19</v>
      </c>
      <c r="E21">
        <v>0.59</v>
      </c>
      <c r="F21">
        <v>0.6</v>
      </c>
      <c r="G21">
        <v>0.61</v>
      </c>
      <c r="H21" t="s">
        <v>146</v>
      </c>
      <c r="J21" t="s">
        <v>171</v>
      </c>
      <c r="K21" t="s">
        <v>533</v>
      </c>
      <c r="M21" t="s">
        <v>10</v>
      </c>
      <c r="N21" t="s">
        <v>21</v>
      </c>
      <c r="O21" t="s">
        <v>255</v>
      </c>
      <c r="P21" t="s">
        <v>541</v>
      </c>
    </row>
    <row r="22" spans="2:16">
      <c r="B22" t="s">
        <v>525</v>
      </c>
      <c r="C22" t="s">
        <v>33</v>
      </c>
      <c r="D22" t="s">
        <v>19</v>
      </c>
      <c r="E22">
        <v>1000</v>
      </c>
      <c r="F22">
        <v>1000</v>
      </c>
      <c r="G22">
        <v>1000</v>
      </c>
      <c r="H22" t="s">
        <v>521</v>
      </c>
      <c r="J22" t="s">
        <v>171</v>
      </c>
      <c r="K22" t="s">
        <v>534</v>
      </c>
      <c r="M22" t="s">
        <v>10</v>
      </c>
      <c r="N22" t="s">
        <v>21</v>
      </c>
      <c r="O22" t="s">
        <v>255</v>
      </c>
      <c r="P22" t="s">
        <v>541</v>
      </c>
    </row>
    <row r="23" spans="2:16">
      <c r="B23" t="s">
        <v>525</v>
      </c>
      <c r="C23" t="s">
        <v>33</v>
      </c>
      <c r="D23" t="s">
        <v>19</v>
      </c>
      <c r="E23">
        <v>25</v>
      </c>
      <c r="F23">
        <v>25</v>
      </c>
      <c r="G23">
        <v>25</v>
      </c>
      <c r="H23" t="s">
        <v>522</v>
      </c>
      <c r="J23" t="s">
        <v>171</v>
      </c>
      <c r="K23" t="s">
        <v>535</v>
      </c>
      <c r="M23" t="s">
        <v>10</v>
      </c>
      <c r="N23" t="s">
        <v>21</v>
      </c>
      <c r="O23" t="s">
        <v>255</v>
      </c>
      <c r="P23" t="s">
        <v>541</v>
      </c>
    </row>
    <row r="24" spans="2:16">
      <c r="B24" t="s">
        <v>526</v>
      </c>
      <c r="C24" t="s">
        <v>33</v>
      </c>
      <c r="D24" t="s">
        <v>19</v>
      </c>
      <c r="E24">
        <v>0.51</v>
      </c>
      <c r="F24">
        <v>0.52</v>
      </c>
      <c r="G24">
        <v>0.54</v>
      </c>
      <c r="H24" t="s">
        <v>146</v>
      </c>
      <c r="J24" t="s">
        <v>171</v>
      </c>
      <c r="K24" t="s">
        <v>536</v>
      </c>
      <c r="M24" t="s">
        <v>10</v>
      </c>
      <c r="N24" t="s">
        <v>21</v>
      </c>
      <c r="O24" t="s">
        <v>255</v>
      </c>
      <c r="P24" t="s">
        <v>541</v>
      </c>
    </row>
    <row r="25" spans="2:16">
      <c r="B25" t="s">
        <v>526</v>
      </c>
      <c r="C25" t="s">
        <v>33</v>
      </c>
      <c r="D25" t="s">
        <v>19</v>
      </c>
      <c r="E25">
        <v>3100</v>
      </c>
      <c r="F25">
        <v>3100</v>
      </c>
      <c r="G25">
        <v>2400</v>
      </c>
      <c r="H25" t="s">
        <v>521</v>
      </c>
      <c r="J25" t="s">
        <v>171</v>
      </c>
      <c r="K25" t="s">
        <v>537</v>
      </c>
      <c r="M25" t="s">
        <v>10</v>
      </c>
      <c r="N25" t="s">
        <v>21</v>
      </c>
      <c r="O25" t="s">
        <v>255</v>
      </c>
      <c r="P25" t="s">
        <v>541</v>
      </c>
    </row>
    <row r="26" spans="2:16">
      <c r="B26" t="s">
        <v>526</v>
      </c>
      <c r="C26" t="s">
        <v>33</v>
      </c>
      <c r="D26" t="s">
        <v>19</v>
      </c>
      <c r="E26">
        <v>75</v>
      </c>
      <c r="F26">
        <v>75</v>
      </c>
      <c r="G26">
        <v>60</v>
      </c>
      <c r="H26" t="s">
        <v>522</v>
      </c>
      <c r="J26" t="s">
        <v>171</v>
      </c>
      <c r="K26" t="s">
        <v>538</v>
      </c>
      <c r="M26" t="s">
        <v>10</v>
      </c>
      <c r="N26" t="s">
        <v>21</v>
      </c>
      <c r="O26" t="s">
        <v>255</v>
      </c>
      <c r="P26" t="s">
        <v>541</v>
      </c>
    </row>
    <row r="27" spans="2:16">
      <c r="B27" t="s">
        <v>527</v>
      </c>
      <c r="C27" t="s">
        <v>32</v>
      </c>
      <c r="D27" t="s">
        <v>19</v>
      </c>
      <c r="E27">
        <v>0.37</v>
      </c>
      <c r="F27">
        <v>0.38</v>
      </c>
      <c r="G27">
        <v>0.39</v>
      </c>
      <c r="H27" t="s">
        <v>146</v>
      </c>
      <c r="J27" t="s">
        <v>171</v>
      </c>
      <c r="K27" t="s">
        <v>540</v>
      </c>
      <c r="M27" t="s">
        <v>10</v>
      </c>
      <c r="N27" t="s">
        <v>21</v>
      </c>
      <c r="O27" t="s">
        <v>255</v>
      </c>
      <c r="P27" t="s">
        <v>541</v>
      </c>
    </row>
    <row r="28" spans="2:16">
      <c r="B28" t="s">
        <v>527</v>
      </c>
      <c r="C28" t="s">
        <v>32</v>
      </c>
      <c r="D28" t="s">
        <v>19</v>
      </c>
      <c r="E28">
        <v>5500</v>
      </c>
      <c r="F28">
        <v>5500</v>
      </c>
      <c r="G28">
        <v>4350</v>
      </c>
      <c r="H28" t="s">
        <v>521</v>
      </c>
    </row>
    <row r="29" spans="2:16">
      <c r="B29" t="s">
        <v>527</v>
      </c>
      <c r="C29" t="s">
        <v>32</v>
      </c>
      <c r="D29" t="s">
        <v>19</v>
      </c>
      <c r="E29">
        <v>165</v>
      </c>
      <c r="F29">
        <v>165</v>
      </c>
      <c r="G29">
        <v>130</v>
      </c>
      <c r="H29" t="s">
        <v>522</v>
      </c>
    </row>
    <row r="30" spans="2:16">
      <c r="B30" t="s">
        <v>528</v>
      </c>
      <c r="C30" t="s">
        <v>33</v>
      </c>
      <c r="D30" t="s">
        <v>19</v>
      </c>
      <c r="E30">
        <v>0.4</v>
      </c>
      <c r="F30">
        <v>0.41000000000000003</v>
      </c>
      <c r="G30">
        <v>0.42</v>
      </c>
      <c r="H30" t="s">
        <v>146</v>
      </c>
    </row>
    <row r="31" spans="2:16">
      <c r="B31" t="s">
        <v>528</v>
      </c>
      <c r="C31" t="s">
        <v>33</v>
      </c>
      <c r="D31" t="s">
        <v>19</v>
      </c>
      <c r="E31">
        <v>500</v>
      </c>
      <c r="F31">
        <v>500</v>
      </c>
      <c r="G31">
        <v>500</v>
      </c>
      <c r="H31" t="s">
        <v>521</v>
      </c>
    </row>
    <row r="32" spans="2:16">
      <c r="B32" t="s">
        <v>528</v>
      </c>
      <c r="C32" t="s">
        <v>33</v>
      </c>
      <c r="D32" t="s">
        <v>19</v>
      </c>
      <c r="E32">
        <v>20</v>
      </c>
      <c r="F32">
        <v>20</v>
      </c>
      <c r="G32">
        <v>20</v>
      </c>
      <c r="H32" t="s">
        <v>522</v>
      </c>
    </row>
    <row r="33" spans="2:8">
      <c r="B33" t="s">
        <v>529</v>
      </c>
      <c r="C33" t="s">
        <v>28</v>
      </c>
      <c r="D33" t="s">
        <v>19</v>
      </c>
      <c r="E33">
        <v>1</v>
      </c>
      <c r="F33">
        <v>1</v>
      </c>
      <c r="G33">
        <v>1</v>
      </c>
      <c r="H33" t="s">
        <v>146</v>
      </c>
    </row>
    <row r="34" spans="2:8">
      <c r="B34" t="s">
        <v>529</v>
      </c>
      <c r="C34" t="s">
        <v>28</v>
      </c>
      <c r="D34" t="s">
        <v>19</v>
      </c>
      <c r="E34">
        <v>0.35000000000000003</v>
      </c>
      <c r="F34">
        <v>0.35000000000000003</v>
      </c>
      <c r="G34">
        <v>0.35000000000000003</v>
      </c>
      <c r="H34" t="s">
        <v>520</v>
      </c>
    </row>
    <row r="35" spans="2:8">
      <c r="B35" t="s">
        <v>529</v>
      </c>
      <c r="C35" t="s">
        <v>28</v>
      </c>
      <c r="D35" t="s">
        <v>19</v>
      </c>
      <c r="E35">
        <v>2650</v>
      </c>
      <c r="F35">
        <v>2650</v>
      </c>
      <c r="G35">
        <v>2650</v>
      </c>
      <c r="H35" t="s">
        <v>521</v>
      </c>
    </row>
    <row r="36" spans="2:8">
      <c r="B36" t="s">
        <v>529</v>
      </c>
      <c r="C36" t="s">
        <v>28</v>
      </c>
      <c r="D36" t="s">
        <v>19</v>
      </c>
      <c r="E36">
        <v>65</v>
      </c>
      <c r="F36">
        <v>65</v>
      </c>
      <c r="G36">
        <v>65</v>
      </c>
      <c r="H36" t="s">
        <v>522</v>
      </c>
    </row>
    <row r="37" spans="2:8">
      <c r="B37" t="s">
        <v>529</v>
      </c>
      <c r="C37" t="s">
        <v>28</v>
      </c>
      <c r="D37" t="s">
        <v>19</v>
      </c>
      <c r="E37">
        <v>4</v>
      </c>
      <c r="F37">
        <v>4</v>
      </c>
      <c r="G37">
        <v>4</v>
      </c>
      <c r="H37" t="s">
        <v>523</v>
      </c>
    </row>
    <row r="38" spans="2:8">
      <c r="B38" t="s">
        <v>530</v>
      </c>
      <c r="C38" t="s">
        <v>33</v>
      </c>
      <c r="D38" t="s">
        <v>19</v>
      </c>
      <c r="E38">
        <v>0.45</v>
      </c>
      <c r="F38">
        <v>0.47000000000000003</v>
      </c>
      <c r="G38">
        <v>0.5</v>
      </c>
      <c r="H38" t="s">
        <v>146</v>
      </c>
    </row>
    <row r="39" spans="2:8">
      <c r="B39" t="s">
        <v>530</v>
      </c>
      <c r="C39" t="s">
        <v>33</v>
      </c>
      <c r="D39" t="s">
        <v>19</v>
      </c>
      <c r="E39">
        <v>2500</v>
      </c>
      <c r="F39">
        <v>2350</v>
      </c>
      <c r="G39">
        <v>2300</v>
      </c>
      <c r="H39" t="s">
        <v>521</v>
      </c>
    </row>
    <row r="40" spans="2:8">
      <c r="B40" t="s">
        <v>530</v>
      </c>
      <c r="C40" t="s">
        <v>33</v>
      </c>
      <c r="D40" t="s">
        <v>19</v>
      </c>
      <c r="E40">
        <v>95</v>
      </c>
      <c r="F40">
        <v>85</v>
      </c>
      <c r="G40">
        <v>80</v>
      </c>
      <c r="H40" t="s">
        <v>522</v>
      </c>
    </row>
    <row r="41" spans="2:8">
      <c r="B41" t="s">
        <v>531</v>
      </c>
      <c r="C41" t="s">
        <v>32</v>
      </c>
      <c r="D41" t="s">
        <v>19</v>
      </c>
      <c r="E41">
        <v>0.36</v>
      </c>
      <c r="F41">
        <v>0.38</v>
      </c>
      <c r="G41">
        <v>0.43</v>
      </c>
      <c r="H41" t="s">
        <v>146</v>
      </c>
    </row>
    <row r="42" spans="2:8">
      <c r="B42" t="s">
        <v>531</v>
      </c>
      <c r="C42" t="s">
        <v>32</v>
      </c>
      <c r="D42" t="s">
        <v>19</v>
      </c>
      <c r="E42">
        <v>5850</v>
      </c>
      <c r="F42">
        <v>5700</v>
      </c>
      <c r="G42">
        <v>5100</v>
      </c>
      <c r="H42" t="s">
        <v>521</v>
      </c>
    </row>
    <row r="43" spans="2:8">
      <c r="B43" t="s">
        <v>531</v>
      </c>
      <c r="C43" t="s">
        <v>32</v>
      </c>
      <c r="D43" t="s">
        <v>19</v>
      </c>
      <c r="E43">
        <v>205</v>
      </c>
      <c r="F43">
        <v>200</v>
      </c>
      <c r="G43">
        <v>180</v>
      </c>
      <c r="H43" t="s">
        <v>522</v>
      </c>
    </row>
    <row r="44" spans="2:8">
      <c r="B44" t="s">
        <v>532</v>
      </c>
      <c r="C44" t="s">
        <v>36</v>
      </c>
      <c r="D44" t="s">
        <v>19</v>
      </c>
      <c r="E44">
        <v>0.33</v>
      </c>
      <c r="F44">
        <v>0.33</v>
      </c>
      <c r="G44">
        <v>0.33</v>
      </c>
      <c r="H44" t="s">
        <v>146</v>
      </c>
    </row>
    <row r="45" spans="2:8">
      <c r="B45" t="s">
        <v>532</v>
      </c>
      <c r="C45" t="s">
        <v>36</v>
      </c>
      <c r="D45" t="s">
        <v>19</v>
      </c>
      <c r="E45">
        <v>6600</v>
      </c>
      <c r="F45">
        <v>5100</v>
      </c>
      <c r="G45">
        <v>4500</v>
      </c>
      <c r="H45" t="s">
        <v>521</v>
      </c>
    </row>
    <row r="46" spans="2:8">
      <c r="B46" t="s">
        <v>532</v>
      </c>
      <c r="C46" t="s">
        <v>36</v>
      </c>
      <c r="D46" t="s">
        <v>19</v>
      </c>
      <c r="E46">
        <v>165</v>
      </c>
      <c r="F46">
        <v>165</v>
      </c>
      <c r="G46">
        <v>160</v>
      </c>
      <c r="H46" t="s">
        <v>522</v>
      </c>
    </row>
    <row r="47" spans="2:8">
      <c r="B47" t="s">
        <v>533</v>
      </c>
      <c r="C47" t="s">
        <v>32</v>
      </c>
      <c r="D47" t="s">
        <v>19</v>
      </c>
      <c r="E47">
        <v>0.37</v>
      </c>
      <c r="F47">
        <v>0.38</v>
      </c>
      <c r="G47">
        <v>0.39</v>
      </c>
      <c r="H47" t="s">
        <v>146</v>
      </c>
    </row>
    <row r="48" spans="2:8">
      <c r="B48" t="s">
        <v>533</v>
      </c>
      <c r="C48" t="s">
        <v>32</v>
      </c>
      <c r="D48" t="s">
        <v>19</v>
      </c>
      <c r="E48">
        <v>5700</v>
      </c>
      <c r="F48">
        <v>5700</v>
      </c>
      <c r="G48">
        <v>5100</v>
      </c>
      <c r="H48" t="s">
        <v>521</v>
      </c>
    </row>
    <row r="49" spans="2:8">
      <c r="B49" t="s">
        <v>533</v>
      </c>
      <c r="C49" t="s">
        <v>32</v>
      </c>
      <c r="D49" t="s">
        <v>19</v>
      </c>
      <c r="E49">
        <v>170</v>
      </c>
      <c r="F49">
        <v>170</v>
      </c>
      <c r="G49">
        <v>155</v>
      </c>
      <c r="H49" t="s">
        <v>522</v>
      </c>
    </row>
    <row r="50" spans="2:8">
      <c r="B50" t="s">
        <v>534</v>
      </c>
      <c r="C50" t="s">
        <v>27</v>
      </c>
      <c r="D50" t="s">
        <v>19</v>
      </c>
      <c r="E50">
        <v>1</v>
      </c>
      <c r="F50">
        <v>1</v>
      </c>
      <c r="G50">
        <v>1</v>
      </c>
      <c r="H50" t="s">
        <v>146</v>
      </c>
    </row>
    <row r="51" spans="2:8">
      <c r="B51" t="s">
        <v>534</v>
      </c>
      <c r="C51" t="s">
        <v>27</v>
      </c>
      <c r="D51" t="s">
        <v>19</v>
      </c>
      <c r="E51">
        <v>0.14000000000000001</v>
      </c>
      <c r="F51">
        <v>0.14000000000000001</v>
      </c>
      <c r="G51">
        <v>0.14000000000000001</v>
      </c>
      <c r="H51" t="s">
        <v>520</v>
      </c>
    </row>
    <row r="52" spans="2:8">
      <c r="B52" t="s">
        <v>534</v>
      </c>
      <c r="C52" t="s">
        <v>27</v>
      </c>
      <c r="D52" t="s">
        <v>19</v>
      </c>
      <c r="E52">
        <v>750</v>
      </c>
      <c r="F52">
        <v>480</v>
      </c>
      <c r="G52">
        <v>340</v>
      </c>
      <c r="H52" t="s">
        <v>521</v>
      </c>
    </row>
    <row r="53" spans="2:8">
      <c r="B53" t="s">
        <v>534</v>
      </c>
      <c r="C53" t="s">
        <v>27</v>
      </c>
      <c r="D53" t="s">
        <v>19</v>
      </c>
      <c r="E53">
        <v>12</v>
      </c>
      <c r="F53">
        <v>10</v>
      </c>
      <c r="G53">
        <v>10</v>
      </c>
      <c r="H53" t="s">
        <v>522</v>
      </c>
    </row>
    <row r="54" spans="2:8">
      <c r="B54" t="s">
        <v>534</v>
      </c>
      <c r="C54" t="s">
        <v>27</v>
      </c>
      <c r="D54" t="s">
        <v>19</v>
      </c>
      <c r="E54">
        <v>1.5</v>
      </c>
      <c r="F54">
        <v>1.5</v>
      </c>
      <c r="G54">
        <v>1.5</v>
      </c>
      <c r="H54" t="s">
        <v>523</v>
      </c>
    </row>
    <row r="55" spans="2:8">
      <c r="B55" t="s">
        <v>535</v>
      </c>
      <c r="C55" t="s">
        <v>32</v>
      </c>
      <c r="D55" t="s">
        <v>19</v>
      </c>
      <c r="E55">
        <v>0.39</v>
      </c>
      <c r="F55">
        <v>0.39</v>
      </c>
      <c r="G55">
        <v>0.39</v>
      </c>
      <c r="H55" t="s">
        <v>146</v>
      </c>
    </row>
    <row r="56" spans="2:8">
      <c r="B56" t="s">
        <v>535</v>
      </c>
      <c r="C56" t="s">
        <v>32</v>
      </c>
      <c r="D56" t="s">
        <v>19</v>
      </c>
      <c r="E56">
        <v>1700</v>
      </c>
      <c r="F56">
        <v>1700</v>
      </c>
      <c r="G56">
        <v>1700</v>
      </c>
      <c r="H56" t="s">
        <v>521</v>
      </c>
    </row>
    <row r="57" spans="2:8">
      <c r="B57" t="s">
        <v>535</v>
      </c>
      <c r="C57" t="s">
        <v>32</v>
      </c>
      <c r="D57" t="s">
        <v>19</v>
      </c>
      <c r="E57">
        <v>45</v>
      </c>
      <c r="F57">
        <v>45</v>
      </c>
      <c r="G57">
        <v>45</v>
      </c>
      <c r="H57" t="s">
        <v>522</v>
      </c>
    </row>
    <row r="58" spans="2:8">
      <c r="B58" t="s">
        <v>536</v>
      </c>
      <c r="C58" t="s">
        <v>32</v>
      </c>
      <c r="D58" t="s">
        <v>19</v>
      </c>
      <c r="E58">
        <v>0.43</v>
      </c>
      <c r="F58">
        <v>0.43</v>
      </c>
      <c r="G58">
        <v>0.43</v>
      </c>
      <c r="H58" t="s">
        <v>146</v>
      </c>
    </row>
    <row r="59" spans="2:8">
      <c r="B59" t="s">
        <v>536</v>
      </c>
      <c r="C59" t="s">
        <v>32</v>
      </c>
      <c r="D59" t="s">
        <v>19</v>
      </c>
      <c r="E59">
        <v>2000</v>
      </c>
      <c r="F59">
        <v>2000</v>
      </c>
      <c r="G59">
        <v>2000</v>
      </c>
      <c r="H59" t="s">
        <v>521</v>
      </c>
    </row>
    <row r="60" spans="2:8">
      <c r="B60" t="s">
        <v>536</v>
      </c>
      <c r="C60" t="s">
        <v>32</v>
      </c>
      <c r="D60" t="s">
        <v>19</v>
      </c>
      <c r="E60">
        <v>60</v>
      </c>
      <c r="F60">
        <v>60</v>
      </c>
      <c r="G60">
        <v>60</v>
      </c>
      <c r="H60" t="s">
        <v>522</v>
      </c>
    </row>
    <row r="61" spans="2:8">
      <c r="B61" t="s">
        <v>537</v>
      </c>
      <c r="C61" t="s">
        <v>32</v>
      </c>
      <c r="D61" t="s">
        <v>19</v>
      </c>
      <c r="E61">
        <v>0.46</v>
      </c>
      <c r="F61">
        <v>0.46</v>
      </c>
      <c r="G61">
        <v>0.48</v>
      </c>
      <c r="H61" t="s">
        <v>146</v>
      </c>
    </row>
    <row r="62" spans="2:8">
      <c r="B62" t="s">
        <v>537</v>
      </c>
      <c r="C62" t="s">
        <v>32</v>
      </c>
      <c r="D62" t="s">
        <v>19</v>
      </c>
      <c r="E62">
        <v>2200</v>
      </c>
      <c r="F62">
        <v>2200</v>
      </c>
      <c r="G62">
        <v>2200</v>
      </c>
      <c r="H62" t="s">
        <v>521</v>
      </c>
    </row>
    <row r="63" spans="2:8">
      <c r="B63" t="s">
        <v>537</v>
      </c>
      <c r="C63" t="s">
        <v>32</v>
      </c>
      <c r="D63" t="s">
        <v>19</v>
      </c>
      <c r="E63">
        <v>65</v>
      </c>
      <c r="F63">
        <v>65</v>
      </c>
      <c r="G63">
        <v>65</v>
      </c>
      <c r="H63" t="s">
        <v>522</v>
      </c>
    </row>
    <row r="64" spans="2:8">
      <c r="B64" t="s">
        <v>538</v>
      </c>
      <c r="C64" t="s">
        <v>539</v>
      </c>
      <c r="D64" t="s">
        <v>19</v>
      </c>
      <c r="E64">
        <v>1</v>
      </c>
      <c r="F64">
        <v>1</v>
      </c>
      <c r="G64">
        <v>1</v>
      </c>
      <c r="H64" t="s">
        <v>146</v>
      </c>
    </row>
    <row r="65" spans="2:8">
      <c r="B65" t="s">
        <v>538</v>
      </c>
      <c r="C65" t="s">
        <v>539</v>
      </c>
      <c r="D65" t="s">
        <v>19</v>
      </c>
      <c r="E65">
        <v>0.5</v>
      </c>
      <c r="F65">
        <v>0.55000000000000004</v>
      </c>
      <c r="G65">
        <v>0.56000000000000005</v>
      </c>
      <c r="H65" t="s">
        <v>520</v>
      </c>
    </row>
    <row r="66" spans="2:8">
      <c r="B66" t="s">
        <v>538</v>
      </c>
      <c r="C66" t="s">
        <v>539</v>
      </c>
      <c r="D66" t="s">
        <v>19</v>
      </c>
      <c r="E66">
        <v>3120</v>
      </c>
      <c r="F66">
        <v>2280</v>
      </c>
      <c r="G66">
        <v>1660</v>
      </c>
      <c r="H66" t="s">
        <v>521</v>
      </c>
    </row>
    <row r="67" spans="2:8">
      <c r="B67" t="s">
        <v>538</v>
      </c>
      <c r="C67" t="s">
        <v>539</v>
      </c>
      <c r="D67" t="s">
        <v>19</v>
      </c>
      <c r="E67">
        <v>60</v>
      </c>
      <c r="F67">
        <v>50</v>
      </c>
      <c r="G67">
        <v>40</v>
      </c>
      <c r="H67" t="s">
        <v>522</v>
      </c>
    </row>
    <row r="68" spans="2:8">
      <c r="B68" t="s">
        <v>538</v>
      </c>
      <c r="C68" t="s">
        <v>539</v>
      </c>
      <c r="D68" t="s">
        <v>19</v>
      </c>
      <c r="E68">
        <v>3</v>
      </c>
      <c r="F68">
        <v>3</v>
      </c>
      <c r="G68">
        <v>3</v>
      </c>
      <c r="H68" t="s">
        <v>523</v>
      </c>
    </row>
    <row r="69" spans="2:8">
      <c r="B69" t="s">
        <v>540</v>
      </c>
      <c r="C69" t="s">
        <v>539</v>
      </c>
      <c r="D69" t="s">
        <v>19</v>
      </c>
      <c r="E69">
        <v>1</v>
      </c>
      <c r="F69">
        <v>1</v>
      </c>
      <c r="G69">
        <v>1</v>
      </c>
      <c r="H69" t="s">
        <v>146</v>
      </c>
    </row>
    <row r="70" spans="2:8">
      <c r="B70" t="s">
        <v>540</v>
      </c>
      <c r="C70" t="s">
        <v>539</v>
      </c>
      <c r="D70" t="s">
        <v>19</v>
      </c>
      <c r="E70">
        <v>0.28999999999999998</v>
      </c>
      <c r="F70">
        <v>0.3</v>
      </c>
      <c r="G70">
        <v>0.3</v>
      </c>
      <c r="H70" t="s">
        <v>520</v>
      </c>
    </row>
    <row r="71" spans="2:8">
      <c r="B71" t="s">
        <v>540</v>
      </c>
      <c r="C71" t="s">
        <v>539</v>
      </c>
      <c r="D71" t="s">
        <v>19</v>
      </c>
      <c r="E71">
        <v>1630</v>
      </c>
      <c r="F71">
        <v>1550</v>
      </c>
      <c r="G71">
        <v>1490</v>
      </c>
      <c r="H71" t="s">
        <v>521</v>
      </c>
    </row>
    <row r="72" spans="2:8">
      <c r="B72" t="s">
        <v>540</v>
      </c>
      <c r="C72" t="s">
        <v>539</v>
      </c>
      <c r="D72" t="s">
        <v>19</v>
      </c>
      <c r="E72">
        <v>42</v>
      </c>
      <c r="F72">
        <v>40</v>
      </c>
      <c r="G72">
        <v>38</v>
      </c>
      <c r="H72" t="s">
        <v>522</v>
      </c>
    </row>
    <row r="73" spans="2:8">
      <c r="B73" t="s">
        <v>540</v>
      </c>
      <c r="C73" t="s">
        <v>539</v>
      </c>
      <c r="D73" t="s">
        <v>19</v>
      </c>
      <c r="E73">
        <v>1.5</v>
      </c>
      <c r="F73">
        <v>1.5</v>
      </c>
      <c r="G73">
        <v>1.5</v>
      </c>
      <c r="H73" t="s">
        <v>523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BFCCA8-CBC8-4420-8192-FBA74C41319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misc</vt:lpstr>
      <vt:lpstr>ELC_Storage</vt:lpstr>
      <vt:lpstr>EV Battery</vt:lpstr>
      <vt:lpstr>H2 prod</vt:lpstr>
      <vt:lpstr>solar</vt:lpstr>
      <vt:lpstr>wind</vt:lpstr>
      <vt:lpstr>conventional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2019-05-06T14:41:57Z</cp:lastPrinted>
  <dcterms:created xsi:type="dcterms:W3CDTF">2016-08-02T11:07:23Z</dcterms:created>
  <dcterms:modified xsi:type="dcterms:W3CDTF">2025-10-20T09:55:52Z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427268445491790</vt:r8>
  </property>
  <property fmtid="{D5CDD505-2E9C-101B-9397-08002B2CF9AE}" pid="3" name="{A44787D4-0540-4523-9961-78E4036D8C6D}">
    <vt:lpwstr>{302D441D-EDB0-49B8-84B4-625F8847A58E}</vt:lpwstr>
  </property>
</Properties>
</file>