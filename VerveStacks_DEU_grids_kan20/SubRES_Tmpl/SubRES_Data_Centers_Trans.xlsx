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DC detail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9C6500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STKFLOW - 14 of 38"/>
      <sz val="10"/>
    </font>
    <font>
      <name val="Calibri"/>
      <family val="2"/>
      <color theme="1"/>
      <sz val="12"/>
      <scheme val="minor"/>
    </font>
    <font>
      <name val="Calibri"/>
      <charset val="161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</fills>
  <borders count="1">
    <border>
      <left/>
      <right/>
      <top/>
      <bottom/>
      <diagonal/>
    </border>
  </borders>
  <cellStyleXfs count="14">
    <xf numFmtId="0" fontId="1" fillId="0" borderId="0"/>
    <xf numFmtId="0" fontId="3" fillId="2" borderId="0"/>
    <xf numFmtId="0" fontId="4" fillId="0" borderId="0"/>
    <xf numFmtId="0" fontId="5" fillId="3" borderId="0"/>
    <xf numFmtId="0" fontId="6" fillId="0" borderId="0"/>
    <xf numFmtId="0" fontId="7" fillId="0" borderId="0"/>
    <xf numFmtId="9" fontId="7" fillId="0" borderId="0"/>
    <xf numFmtId="164" fontId="8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9" fillId="0" borderId="0" pivotButton="0" quotePrefix="0" xfId="0"/>
  </cellXfs>
  <cellStyles count="14">
    <cellStyle name="Normal" xfId="0" builtinId="0"/>
    <cellStyle name="Neutral 2" xfId="1"/>
    <cellStyle name="Normal 3" xfId="2"/>
    <cellStyle name="20% - Accent3 3 2" xfId="3"/>
    <cellStyle name="Normal 3 2" xfId="4"/>
    <cellStyle name="Normal 4" xfId="5"/>
    <cellStyle name="Percent 4" xfId="6"/>
    <cellStyle name="Comma 2" xfId="7"/>
    <cellStyle name="Normal 6" xfId="8"/>
    <cellStyle name="Normal 2" xfId="9"/>
    <cellStyle name="Normal 4 2" xfId="10"/>
    <cellStyle name="Normal 5" xfId="11"/>
    <cellStyle name="Normal 5 2" xfId="12"/>
    <cellStyle name="Normal 10" xfId="1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tabSelected="1" workbookViewId="0">
      <selection activeCell="H9" sqref="H9"/>
    </sheetView>
  </sheetViews>
  <sheetFormatPr baseColWidth="8" defaultRowHeight="15"/>
  <cols>
    <col width="20.7109375" bestFit="1" customWidth="1" min="1" max="1"/>
    <col width="47.85546875" bestFit="1" customWidth="1" min="2" max="2"/>
    <col width="6.42578125" bestFit="1" customWidth="1" min="3" max="3"/>
    <col width="6.42578125" customWidth="1" min="4" max="4"/>
    <col width="10.28515625" bestFit="1" customWidth="1" min="6" max="6"/>
    <col width="7.85546875" bestFit="1" customWidth="1" min="7" max="7"/>
    <col width="19.7109375" bestFit="1" customWidth="1" min="8" max="8"/>
    <col width="36.42578125" bestFit="1" customWidth="1" min="11" max="11"/>
    <col width="5" bestFit="1" customWidth="1" min="12" max="12"/>
    <col width="6.5703125" bestFit="1" customWidth="1" min="13" max="13"/>
    <col width="4.7109375" bestFit="1" customWidth="1" min="14" max="19"/>
    <col width="1.7109375" bestFit="1" customWidth="1" min="20" max="20"/>
    <col width="5.42578125" bestFit="1" customWidth="1" min="21" max="21"/>
    <col width="15.5703125" customWidth="1" min="23" max="23"/>
    <col width="4.7109375" bestFit="1" customWidth="1" min="24" max="24"/>
    <col width="5.42578125" bestFit="1" customWidth="1" min="25" max="25"/>
  </cols>
  <sheetData>
    <row r="1">
      <c r="A1" t="inlineStr">
        <is>
          <t>node</t>
        </is>
      </c>
      <c r="B1" t="inlineStr">
        <is>
          <t>city</t>
        </is>
      </c>
      <c r="C1" t="inlineStr">
        <is>
          <t>include</t>
        </is>
      </c>
      <c r="D1" t="inlineStr">
        <is>
          <t>score</t>
        </is>
      </c>
    </row>
    <row r="2">
      <c r="A2" t="inlineStr">
        <is>
          <t>e_Wurzburg_DEU</t>
        </is>
      </c>
      <c r="B2" t="inlineStr">
        <is>
          <t>grid node -- way/108797675-380 (Wurzburg, 29 km)</t>
        </is>
      </c>
      <c r="C2" t="n">
        <v>1</v>
      </c>
      <c r="D2" t="n">
        <v>2408</v>
      </c>
      <c r="K2" t="inlineStr">
        <is>
          <t>~tfm_ins</t>
        </is>
      </c>
    </row>
    <row r="3">
      <c r="A3" t="inlineStr">
        <is>
          <t>e_Cologne_DEU</t>
        </is>
      </c>
      <c r="B3" t="inlineStr">
        <is>
          <t>grid node -- way/24839976-380 (Cologne, 19 km)</t>
        </is>
      </c>
      <c r="C3" t="n">
        <v>1</v>
      </c>
      <c r="D3" t="n">
        <v>251</v>
      </c>
      <c r="K3" t="inlineStr">
        <is>
          <t>attribute</t>
        </is>
      </c>
      <c r="L3" t="inlineStr">
        <is>
          <t>value</t>
        </is>
      </c>
      <c r="M3" t="inlineStr">
        <is>
          <t>process</t>
        </is>
      </c>
    </row>
    <row r="4">
      <c r="A4" t="inlineStr">
        <is>
          <t>e_Hamburg_DEU</t>
        </is>
      </c>
      <c r="B4" t="inlineStr">
        <is>
          <t>grid node -- way/1089911133-380 (Hamburg, 31 km)</t>
        </is>
      </c>
      <c r="C4" t="n">
        <v>1</v>
      </c>
      <c r="D4" t="n">
        <v>230</v>
      </c>
      <c r="K4" t="inlineStr">
        <is>
          <t>cap2act</t>
        </is>
      </c>
      <c r="L4" t="n">
        <v>8.76</v>
      </c>
      <c r="M4" t="inlineStr">
        <is>
          <t>DC_*</t>
        </is>
      </c>
    </row>
    <row r="5">
      <c r="A5" t="inlineStr">
        <is>
          <t>e_Munich_DEU</t>
        </is>
      </c>
      <c r="B5" t="inlineStr">
        <is>
          <t>grid node -- way/26245195-380 (Munich, 23 km)</t>
        </is>
      </c>
      <c r="C5" t="n">
        <v>1</v>
      </c>
      <c r="D5" t="n">
        <v>229</v>
      </c>
      <c r="K5" t="inlineStr">
        <is>
          <t>eff</t>
        </is>
      </c>
      <c r="L5" t="n">
        <v>1</v>
      </c>
      <c r="M5" t="inlineStr">
        <is>
          <t>DC_*</t>
        </is>
      </c>
    </row>
    <row r="6">
      <c r="A6" t="inlineStr">
        <is>
          <t>e_SchwedtOder_DEU</t>
        </is>
      </c>
      <c r="B6" t="inlineStr">
        <is>
          <t>grid node -- way/170123812-400 (Berlin, 87 km)</t>
        </is>
      </c>
      <c r="C6" t="n">
        <v>1</v>
      </c>
      <c r="D6" t="n">
        <v>184</v>
      </c>
    </row>
    <row r="7">
      <c r="A7" t="inlineStr">
        <is>
          <t>e_FrankfurtOder_DEU</t>
        </is>
      </c>
      <c r="B7" t="inlineStr">
        <is>
          <t>grid node -- way/52983550-380 (Frankfurt (Oder), 19 km)</t>
        </is>
      </c>
      <c r="D7" t="n">
        <v>165</v>
      </c>
    </row>
    <row r="8">
      <c r="A8" t="inlineStr">
        <is>
          <t>e_Amberg_DEU</t>
        </is>
      </c>
      <c r="B8" t="inlineStr">
        <is>
          <t>grid node -- way/29084374-380 (Nuremberg, 77 km)</t>
        </is>
      </c>
      <c r="D8" t="n">
        <v>160</v>
      </c>
    </row>
    <row r="9">
      <c r="A9" t="inlineStr">
        <is>
          <t>e_Dusseldorf_DEU</t>
        </is>
      </c>
      <c r="B9" t="inlineStr">
        <is>
          <t>grid node -- way/35818134-220 (Dusseldorf, 26 km)</t>
        </is>
      </c>
      <c r="D9" t="n">
        <v>123</v>
      </c>
    </row>
    <row r="10">
      <c r="A10" t="inlineStr">
        <is>
          <t>e_Chemnitz_DEU</t>
        </is>
      </c>
      <c r="B10" t="inlineStr">
        <is>
          <t>grid node -- way/943135226-380 (Chemnitz, 8 km)</t>
        </is>
      </c>
      <c r="D10" t="n">
        <v>84</v>
      </c>
      <c r="F10" t="inlineStr">
        <is>
          <t>~tfm_topins</t>
        </is>
      </c>
      <c r="K10" t="inlineStr">
        <is>
          <t>~tfm_ins-TS: attribute=NCAP_PASTI</t>
        </is>
      </c>
    </row>
    <row r="11">
      <c r="A11" t="inlineStr">
        <is>
          <t>e_Ravensburg_DEU</t>
        </is>
      </c>
      <c r="B11" t="inlineStr">
        <is>
          <t>grid node -- way/25306752-220 (Ulm, 56 km)</t>
        </is>
      </c>
      <c r="D11" t="n">
        <v>62</v>
      </c>
      <c r="F11" t="inlineStr">
        <is>
          <t>process</t>
        </is>
      </c>
      <c r="G11" t="inlineStr">
        <is>
          <t>io</t>
        </is>
      </c>
      <c r="H11" t="inlineStr">
        <is>
          <t>commodity</t>
        </is>
      </c>
      <c r="K11" t="inlineStr">
        <is>
          <t>process</t>
        </is>
      </c>
      <c r="L11" t="n">
        <v>2025</v>
      </c>
      <c r="M11">
        <f>L11+1</f>
        <v/>
      </c>
      <c r="N11">
        <f>M11+1</f>
        <v/>
      </c>
      <c r="O11">
        <f>N11+1</f>
        <v/>
      </c>
      <c r="P11">
        <f>O11+1</f>
        <v/>
      </c>
      <c r="Q11">
        <f>P11+1</f>
        <v/>
      </c>
      <c r="R11" t="n">
        <v>2032</v>
      </c>
      <c r="S11" t="n">
        <v>2035</v>
      </c>
    </row>
    <row r="12">
      <c r="A12" t="inlineStr">
        <is>
          <t>e_Offenburg_DEU</t>
        </is>
      </c>
      <c r="B12" t="inlineStr">
        <is>
          <t>grid node -- way/82130902-225 (Karlsruhe, 51 km)</t>
        </is>
      </c>
      <c r="D12" t="n">
        <v>54</v>
      </c>
      <c r="F12" t="inlineStr">
        <is>
          <t>DC_1</t>
        </is>
      </c>
      <c r="G12" t="inlineStr">
        <is>
          <t>IN</t>
        </is>
      </c>
      <c r="H12">
        <f t="array" ref="H12">IFERROR(INDEX(_xlfn._xlws.FILTER($A$2:$A$500,$C$2:$C$500=1),1),"")</f>
        <v/>
      </c>
      <c r="K12" t="inlineStr">
        <is>
          <t>DC_1</t>
        </is>
      </c>
      <c r="M12" t="n">
        <v>0.5</v>
      </c>
      <c r="O12" t="n">
        <v>0.5</v>
      </c>
      <c r="Q12" t="n">
        <v>1</v>
      </c>
    </row>
    <row r="13">
      <c r="A13" t="inlineStr">
        <is>
          <t>e_Bremen_DEU</t>
        </is>
      </c>
      <c r="B13" t="inlineStr">
        <is>
          <t>grid node -- way/44717036-380 (Bremen, 8 km)</t>
        </is>
      </c>
      <c r="D13" t="n">
        <v>35</v>
      </c>
      <c r="F13" t="inlineStr">
        <is>
          <t>DC_2</t>
        </is>
      </c>
      <c r="G13" t="inlineStr">
        <is>
          <t>IN</t>
        </is>
      </c>
      <c r="H13">
        <f t="array" ref="H13">IFERROR(INDEX(_xlfn._xlws.FILTER($A$2:$A$500,$C$2:$C$500=1),2),"")</f>
        <v/>
      </c>
      <c r="K13" t="inlineStr">
        <is>
          <t>DC_2</t>
        </is>
      </c>
      <c r="N13" t="n">
        <v>0.5</v>
      </c>
      <c r="P13" t="n">
        <v>0.5</v>
      </c>
      <c r="R13" t="n">
        <v>1</v>
      </c>
    </row>
    <row r="14">
      <c r="A14" t="inlineStr">
        <is>
          <t>e_Braunschweig_DEU</t>
        </is>
      </c>
      <c r="B14" t="inlineStr">
        <is>
          <t>grid node -- DE43-220 (Braunschweig, 15 km)</t>
        </is>
      </c>
      <c r="D14" t="n">
        <v>25</v>
      </c>
      <c r="F14" t="inlineStr">
        <is>
          <t>DC_3</t>
        </is>
      </c>
      <c r="G14" t="inlineStr">
        <is>
          <t>IN</t>
        </is>
      </c>
      <c r="H14">
        <f t="array" ref="H14">IFERROR(INDEX(_xlfn._xlws.FILTER($A$2:$A$500,$C$2:$C$500=1),3),"")</f>
        <v/>
      </c>
      <c r="K14" t="inlineStr">
        <is>
          <t>DC_3</t>
        </is>
      </c>
      <c r="N14" t="n">
        <v>1</v>
      </c>
      <c r="Q14" t="n">
        <v>1</v>
      </c>
    </row>
    <row r="15">
      <c r="A15" t="inlineStr">
        <is>
          <t>e_Dortmund_DEU</t>
        </is>
      </c>
      <c r="B15" t="inlineStr">
        <is>
          <t>grid node -- DE69-380 (Dortmund, 14 km)</t>
        </is>
      </c>
      <c r="D15" t="n">
        <v>21</v>
      </c>
      <c r="F15" t="inlineStr">
        <is>
          <t>DC_4</t>
        </is>
      </c>
      <c r="G15" t="inlineStr">
        <is>
          <t>IN</t>
        </is>
      </c>
      <c r="H15">
        <f t="array" ref="H15">IFERROR(INDEX(_xlfn._xlws.FILTER($A$2:$A$500,$C$2:$C$500=1),4),"")</f>
        <v/>
      </c>
      <c r="K15" t="inlineStr">
        <is>
          <t>DC_4</t>
        </is>
      </c>
      <c r="M15" t="n">
        <v>0.25</v>
      </c>
      <c r="N15" t="n">
        <v>0.25</v>
      </c>
      <c r="P15" t="n">
        <v>0.5</v>
      </c>
    </row>
    <row r="16">
      <c r="A16" t="inlineStr">
        <is>
          <t>e_Hamm_DEU</t>
        </is>
      </c>
      <c r="B16" t="inlineStr">
        <is>
          <t>grid node -- way/42488850-380 (Dortmund, 41 km)</t>
        </is>
      </c>
      <c r="D16" t="n">
        <v>17</v>
      </c>
      <c r="F16" t="inlineStr">
        <is>
          <t>DC_5</t>
        </is>
      </c>
      <c r="G16" t="inlineStr">
        <is>
          <t>IN</t>
        </is>
      </c>
      <c r="H16">
        <f t="array" ref="H16">IFERROR(INDEX(_xlfn._xlws.FILTER($A$2:$A$500,$C$2:$C$500=1),5),"")</f>
        <v/>
      </c>
      <c r="K16" t="inlineStr">
        <is>
          <t>DC_5</t>
        </is>
      </c>
      <c r="O16" t="n">
        <v>1</v>
      </c>
    </row>
    <row r="17">
      <c r="A17" t="inlineStr">
        <is>
          <t>e_Jena_DEU</t>
        </is>
      </c>
      <c r="B17" t="inlineStr">
        <is>
          <t>grid node -- way/143882655-380 (Jena, 33 km)</t>
        </is>
      </c>
      <c r="D17" t="n">
        <v>12</v>
      </c>
    </row>
    <row r="18">
      <c r="A18" t="inlineStr">
        <is>
          <t>e_BadHersfeld_DEU</t>
        </is>
      </c>
      <c r="B18" t="inlineStr">
        <is>
          <t>grid node -- way/29309786-380 (Kassel, 48 km)</t>
        </is>
      </c>
      <c r="D18" t="n">
        <v>11</v>
      </c>
      <c r="T18" s="1">
        <f>SUM(L12:T16)</f>
        <v/>
      </c>
      <c r="U18" s="2" t="inlineStr">
        <is>
          <t>Total</t>
        </is>
      </c>
    </row>
    <row r="19">
      <c r="A19" t="inlineStr">
        <is>
          <t>e_Rheine_DEU</t>
        </is>
      </c>
      <c r="B19" t="inlineStr">
        <is>
          <t>grid node -- way/952346322-380 (Rheine, 29 km)</t>
        </is>
      </c>
      <c r="D19" t="n">
        <v>9</v>
      </c>
    </row>
    <row r="20">
      <c r="A20" t="inlineStr">
        <is>
          <t>e_Lubeck_DEU</t>
        </is>
      </c>
      <c r="B20" t="inlineStr">
        <is>
          <t>grid node -- way/275466323 (Lubeck, 8 km)</t>
        </is>
      </c>
      <c r="D20" t="n">
        <v>5</v>
      </c>
      <c r="K20" t="inlineStr">
        <is>
          <t>~tfm_ins-TS: attribute=NCAP_AF; limtype=FX</t>
        </is>
      </c>
    </row>
    <row r="21">
      <c r="A21" t="inlineStr">
        <is>
          <t>e_Magdeburg_DEU</t>
        </is>
      </c>
      <c r="B21" t="inlineStr">
        <is>
          <t>grid node -- way/26472665-380 (Magdeburg, 15 km)</t>
        </is>
      </c>
      <c r="D21" t="n">
        <v>4</v>
      </c>
      <c r="K21" t="inlineStr">
        <is>
          <t>process</t>
        </is>
      </c>
      <c r="L21" t="n">
        <v>2025</v>
      </c>
      <c r="M21" t="n">
        <v>0</v>
      </c>
    </row>
    <row r="22">
      <c r="A22" t="inlineStr">
        <is>
          <t>e_Ulm_DEU</t>
        </is>
      </c>
      <c r="B22" t="inlineStr">
        <is>
          <t>grid node -- DE205-380 (Ulm, 15 km)</t>
        </is>
      </c>
      <c r="D22" t="n">
        <v>3</v>
      </c>
      <c r="K22" t="inlineStr">
        <is>
          <t>DC_1</t>
        </is>
      </c>
      <c r="L22" t="n">
        <v>0.85</v>
      </c>
      <c r="M22" t="n">
        <v>3</v>
      </c>
    </row>
    <row r="23">
      <c r="A23" t="inlineStr">
        <is>
          <t>e_Neunkirchen_DEU</t>
        </is>
      </c>
      <c r="B23" t="inlineStr">
        <is>
          <t>grid node -- way/82773910-400 (Saarbrucken, 18 km)</t>
        </is>
      </c>
      <c r="D23" t="n">
        <v>3</v>
      </c>
      <c r="K23" t="inlineStr">
        <is>
          <t>DC_2</t>
        </is>
      </c>
      <c r="L23" t="n">
        <v>0.85</v>
      </c>
      <c r="M23" t="n">
        <v>3</v>
      </c>
    </row>
    <row r="24">
      <c r="A24" t="inlineStr">
        <is>
          <t>e_Saarbrucken_DEU</t>
        </is>
      </c>
      <c r="B24" t="inlineStr">
        <is>
          <t>grid node -- DE177-220 (Saarbrucken, 19 km)</t>
        </is>
      </c>
      <c r="D24" t="n">
        <v>2</v>
      </c>
      <c r="K24" t="inlineStr">
        <is>
          <t>DC_3</t>
        </is>
      </c>
      <c r="L24" t="n">
        <v>0.85</v>
      </c>
      <c r="M24" t="n">
        <v>3</v>
      </c>
    </row>
    <row r="25">
      <c r="A25" t="inlineStr">
        <is>
          <t>e_Friedrichshafen_DEU</t>
        </is>
      </c>
      <c r="B25" t="inlineStr">
        <is>
          <t>grid node -- way/31131320-380 (Konstanz, 46 km)</t>
        </is>
      </c>
      <c r="D25" t="n">
        <v>2</v>
      </c>
      <c r="K25" t="inlineStr">
        <is>
          <t>DC_4</t>
        </is>
      </c>
      <c r="L25" t="n">
        <v>0.85</v>
      </c>
      <c r="M25" t="n">
        <v>3</v>
      </c>
    </row>
    <row r="26">
      <c r="A26" t="inlineStr">
        <is>
          <t>e_Flensburg_DEU</t>
        </is>
      </c>
      <c r="B26" t="inlineStr">
        <is>
          <t>grid node -- way/449010725-380 (Flensburg, 10 km)</t>
        </is>
      </c>
      <c r="D26" t="n">
        <v>2</v>
      </c>
      <c r="K26" t="inlineStr">
        <is>
          <t>DC_5</t>
        </is>
      </c>
      <c r="L26" t="n">
        <v>0.85</v>
      </c>
      <c r="M26" t="n">
        <v>3</v>
      </c>
    </row>
    <row r="27">
      <c r="A27" t="inlineStr">
        <is>
          <t>e_VillingenSchwennin_DEU</t>
        </is>
      </c>
      <c r="B27" t="inlineStr">
        <is>
          <t>grid node -- DE209-380 (Villingen-Schwenningen, 17 km)</t>
        </is>
      </c>
      <c r="D27" t="n">
        <v>2</v>
      </c>
    </row>
    <row r="28">
      <c r="A28" t="inlineStr">
        <is>
          <t>e_Merzig_DEU</t>
        </is>
      </c>
      <c r="B28" t="inlineStr">
        <is>
          <t>grid node -- DE173-220 (Trier, 5 km)</t>
        </is>
      </c>
      <c r="D28" t="n">
        <v>1</v>
      </c>
    </row>
    <row r="29">
      <c r="A29" t="inlineStr">
        <is>
          <t>e_Oldenburg_DEU</t>
        </is>
      </c>
      <c r="B29" t="inlineStr">
        <is>
          <t>grid node -- way/1128250707-380 (Oldenburg, 24 km)</t>
        </is>
      </c>
      <c r="D29" t="n">
        <v>1</v>
      </c>
    </row>
    <row r="30">
      <c r="A30" t="inlineStr">
        <is>
          <t>e_Weilheim_DEU</t>
        </is>
      </c>
      <c r="B30" t="inlineStr">
        <is>
          <t>grid node -- way/68532663-220 (Munich, 75 km)</t>
        </is>
      </c>
      <c r="D30" t="n">
        <v>1</v>
      </c>
    </row>
    <row r="31">
      <c r="A31" t="inlineStr">
        <is>
          <t>e_Emmendingen_DEU</t>
        </is>
      </c>
      <c r="B31" t="inlineStr">
        <is>
          <t>grid node -- way/87653464-220 (Freiburg im Breisgau, 13 km)</t>
        </is>
      </c>
      <c r="D31" t="n">
        <v>1</v>
      </c>
    </row>
    <row r="32">
      <c r="A32" t="inlineStr">
        <is>
          <t>e_Gustrow_DEU</t>
        </is>
      </c>
      <c r="B32" t="inlineStr">
        <is>
          <t>grid node -- way/940919943 (Rostock, 6 km)</t>
        </is>
      </c>
      <c r="D32" t="n">
        <v>1</v>
      </c>
    </row>
    <row r="33"/>
    <row r="34"/>
    <row r="35"/>
    <row r="36"/>
    <row r="37"/>
    <row r="38"/>
    <row r="39"/>
    <row r="40"/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Amit Kanudia</dc:creator>
  <dcterms:created xmlns:dcterms="http://purl.org/dc/terms/" xmlns:xsi="http://www.w3.org/2001/XMLSchema-instance" xsi:type="dcterms:W3CDTF">2016-10-05T11:02:08Z</dcterms:created>
  <dcterms:modified xmlns:dcterms="http://purl.org/dc/terms/" xmlns:xsi="http://www.w3.org/2001/XMLSchema-instance" xsi:type="dcterms:W3CDTF">2026-10-01T12:11:34Z</dcterms:modified>
  <cp:lastModifiedBy>KanORS-EMR Business Standard</cp:lastModifiedBy>
</cp:coreProperties>
</file>

<file path=docProps/custom.xml><?xml version="1.0" encoding="utf-8"?>
<Properties xmlns="http://schemas.openxmlformats.org/officeDocument/2006/custom-properties">
  <property name="SaveCode" fmtid="{D5CDD505-2E9C-101B-9397-08002B2CF9AE}" pid="2">
    <vt:r8 xmlns:vt="http://schemas.openxmlformats.org/officeDocument/2006/docPropsVTypes">273153185844421</vt:r8>
  </property>
  <property name="{A44787D4-0540-4523-9961-78E4036D8C6D}" fmtid="{D5CDD505-2E9C-101B-9397-08002B2CF9AE}" pid="3">
    <vt:lpwstr xmlns:vt="http://schemas.openxmlformats.org/officeDocument/2006/docPropsVTypes">{0E588E8C-D9B2-472E-8D6A-B5564BD29317}</vt:lpwstr>
  </property>
</Properties>
</file>